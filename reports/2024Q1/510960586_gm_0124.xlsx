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32024\Heb University\סופי אורי\"/>
    </mc:Choice>
  </mc:AlternateContent>
  <xr:revisionPtr revIDLastSave="0" documentId="13_ncr:1_{969EEA97-9D94-416C-B381-7BFD759F5D2F}" xr6:coauthVersionLast="36" xr6:coauthVersionMax="47" xr10:uidLastSave="{00000000-0000-0000-0000-000000000000}"/>
  <bookViews>
    <workbookView xWindow="-120" yWindow="-120" windowWidth="29040" windowHeight="15720" tabRatio="840" firstSheet="13" activeTab="17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59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B27" i="2"/>
  <c r="B32" i="2" l="1"/>
  <c r="C30" i="2"/>
  <c r="B29" i="2"/>
  <c r="D29" i="2" s="1"/>
  <c r="B28" i="2"/>
  <c r="D28" i="2" s="1"/>
  <c r="D27" i="2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5" i="38"/>
  <c r="D13" i="38"/>
  <c r="B30" i="2" l="1"/>
  <c r="E29" i="2" s="1"/>
  <c r="E17" i="2"/>
  <c r="E13" i="2"/>
  <c r="E9" i="2"/>
  <c r="E5" i="2"/>
  <c r="E28" i="2"/>
  <c r="E24" i="2"/>
  <c r="E20" i="2"/>
  <c r="E16" i="2"/>
  <c r="E12" i="2"/>
  <c r="E8" i="2"/>
  <c r="E4" i="2"/>
  <c r="E22" i="2"/>
  <c r="E18" i="2"/>
  <c r="E14" i="2"/>
  <c r="E10" i="2"/>
  <c r="E6" i="2"/>
  <c r="E23" i="2"/>
  <c r="E19" i="2"/>
  <c r="E15" i="2"/>
  <c r="E11" i="2"/>
  <c r="E7" i="2"/>
  <c r="E3" i="2"/>
  <c r="D3" i="2"/>
  <c r="D30" i="2" s="1"/>
  <c r="E26" i="2" l="1"/>
  <c r="E21" i="2"/>
  <c r="E25" i="2"/>
  <c r="E30" i="2"/>
</calcChain>
</file>

<file path=xl/sharedStrings.xml><?xml version="1.0" encoding="utf-8"?>
<sst xmlns="http://schemas.openxmlformats.org/spreadsheetml/2006/main" count="44319" uniqueCount="3273">
  <si>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</si>
  <si>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</si>
  <si>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</si>
  <si>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</si>
  <si>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</si>
  <si>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</si>
  <si>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</si>
  <si>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</si>
  <si>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</si>
  <si>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</si>
  <si>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</si>
  <si>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</si>
  <si>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</si>
  <si>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</si>
  <si>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</si>
  <si>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</si>
  <si>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</si>
  <si>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</si>
  <si>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</si>
  <si>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</si>
  <si>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</si>
  <si>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</si>
  <si>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</si>
  <si>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</si>
  <si>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</si>
  <si>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</si>
  <si>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1182</t>
  </si>
  <si>
    <t>בנק ישראל- מק"מ</t>
  </si>
  <si>
    <t>מ.ק.מ. 414</t>
  </si>
  <si>
    <t>IL0082404182</t>
  </si>
  <si>
    <t>מק"מ קצר משנים עשר חודשים</t>
  </si>
  <si>
    <t>ישראל</t>
  </si>
  <si>
    <t>TASE</t>
  </si>
  <si>
    <t>RF</t>
  </si>
  <si>
    <t>פנימי</t>
  </si>
  <si>
    <t>ILS</t>
  </si>
  <si>
    <t>03/04/2024</t>
  </si>
  <si>
    <t>שווי הוגן</t>
  </si>
  <si>
    <t>מלווה קצר מועד 1014</t>
  </si>
  <si>
    <t>IL0082410106</t>
  </si>
  <si>
    <t>02/10/2024</t>
  </si>
  <si>
    <t>מלווה קצר מועד 1214</t>
  </si>
  <si>
    <t>IL0082412185</t>
  </si>
  <si>
    <t>04/12/2024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</si>
  <si>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</si>
  <si>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</si>
  <si>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</si>
  <si>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</si>
  <si>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</si>
  <si>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</si>
  <si>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</si>
  <si>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</si>
  <si>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</si>
  <si>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</si>
  <si>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</si>
  <si>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</si>
  <si>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</si>
  <si>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</si>
  <si>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</si>
  <si>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</si>
  <si>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</si>
  <si>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</si>
  <si>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</si>
  <si>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</si>
  <si>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</si>
  <si>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</si>
  <si>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</si>
  <si>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</si>
  <si>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</si>
  <si>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</si>
  <si>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</si>
  <si>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</si>
  <si>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</si>
  <si>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</si>
  <si>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</si>
  <si>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</si>
  <si>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</si>
  <si>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</si>
  <si>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</si>
  <si>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</si>
  <si>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</si>
  <si>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</si>
  <si>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</si>
  <si>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</si>
  <si>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1.3% 04/32</t>
  </si>
  <si>
    <t>IL0011806606</t>
  </si>
  <si>
    <t>30/04/2032</t>
  </si>
  <si>
    <t>ממשלתית שקלית 537ב 1.5% 05/37</t>
  </si>
  <si>
    <t>IL0011661803</t>
  </si>
  <si>
    <t>31/05/2037</t>
  </si>
  <si>
    <t>מקמ 524</t>
  </si>
  <si>
    <t>IL0082405254</t>
  </si>
  <si>
    <t>08/05/2024</t>
  </si>
  <si>
    <t>מקמ 614</t>
  </si>
  <si>
    <t>IL0082406161</t>
  </si>
  <si>
    <t>05/06/2024</t>
  </si>
  <si>
    <t>Treasury Bill</t>
  </si>
  <si>
    <t>B 31/10/24</t>
  </si>
  <si>
    <t>US912797HE00</t>
  </si>
  <si>
    <t>צמוד מט"ח בריבית קבועה</t>
  </si>
  <si>
    <t>חו"ל</t>
  </si>
  <si>
    <t>ארה"ב</t>
  </si>
  <si>
    <t>NYSE </t>
  </si>
  <si>
    <t>Aaa</t>
  </si>
  <si>
    <t>מידרוג Moodys</t>
  </si>
  <si>
    <t>USD</t>
  </si>
  <si>
    <t>31/10/2024</t>
  </si>
  <si>
    <t>US TREASURY N/B</t>
  </si>
  <si>
    <t>T 3 7/8 08/15/33</t>
  </si>
  <si>
    <t>US91282CHT18</t>
  </si>
  <si>
    <t>FWB</t>
  </si>
  <si>
    <t>Moodys</t>
  </si>
  <si>
    <t>15/08/2033</t>
  </si>
  <si>
    <t>T 4 1/2 15/11/2033</t>
  </si>
  <si>
    <t>US91282CJJ18</t>
  </si>
  <si>
    <t>15/11/2033</t>
  </si>
  <si>
    <t>T-3 3/8 15/05/33</t>
  </si>
  <si>
    <t>US91282CHC82</t>
  </si>
  <si>
    <t>15/05/2033</t>
  </si>
  <si>
    <t>12904</t>
  </si>
  <si>
    <t>מלווה קצר מועד 1114</t>
  </si>
  <si>
    <t>IL0082411195</t>
  </si>
  <si>
    <t>06/11/2024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</si>
  <si>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</si>
  <si>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</si>
  <si>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</si>
  <si>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</si>
  <si>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</si>
  <si>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424</t>
  </si>
  <si>
    <t>מלווה קצר מועד 714</t>
  </si>
  <si>
    <t>IL0082407151</t>
  </si>
  <si>
    <t>03/07/2024</t>
  </si>
  <si>
    <t>מלווה קצר מועד 814</t>
  </si>
  <si>
    <t>IL0082408142</t>
  </si>
  <si>
    <t>07/08/2024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</si>
  <si>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</si>
  <si>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</si>
  <si>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</si>
  <si>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</si>
  <si>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</si>
  <si>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</si>
  <si>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שקלית 0.5% 04/25</t>
  </si>
  <si>
    <t>IL0011626681</t>
  </si>
  <si>
    <t>30/04/2025</t>
  </si>
  <si>
    <t>969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</si>
  <si>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</si>
  <si>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</si>
  <si>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</si>
  <si>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</si>
  <si>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</si>
  <si>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</si>
  <si>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</si>
  <si>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</si>
  <si>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</si>
  <si>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</si>
  <si>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</si>
  <si>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</si>
  <si>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</si>
  <si>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</si>
  <si>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</si>
  <si>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</si>
  <si>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</si>
  <si>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</si>
  <si>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</si>
  <si>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</si>
  <si>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</si>
  <si>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31/05/2010</t>
  </si>
  <si>
    <t>זכאים מס עמיתים</t>
  </si>
  <si>
    <t>28200000</t>
  </si>
  <si>
    <t>חייבים וזכאים מס</t>
  </si>
  <si>
    <t>חייבים</t>
  </si>
  <si>
    <t>27960000</t>
  </si>
  <si>
    <t>אפסק אגח א חש 12/11</t>
  </si>
  <si>
    <t>11253761</t>
  </si>
  <si>
    <t xml:space="preserve">חייבים בגין תקבולים </t>
  </si>
  <si>
    <t>28/06/2018</t>
  </si>
  <si>
    <t>22/01/2020</t>
  </si>
  <si>
    <t>זכאים נדלן</t>
  </si>
  <si>
    <t>299918782</t>
  </si>
  <si>
    <t>21/06/2020</t>
  </si>
  <si>
    <t>חייבים נדלן</t>
  </si>
  <si>
    <t>299918781</t>
  </si>
  <si>
    <t>30/07/2019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</si>
  <si>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</si>
  <si>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</si>
  <si>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</si>
  <si>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</si>
  <si>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</si>
  <si>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</si>
  <si>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</si>
  <si>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</si>
  <si>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</si>
  <si>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</si>
  <si>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</si>
  <si>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</si>
  <si>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</si>
  <si>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</si>
  <si>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</si>
  <si>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</si>
  <si>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</si>
  <si>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</si>
  <si>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</si>
  <si>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</si>
  <si>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נדל"ן מניב</t>
  </si>
  <si>
    <t>אחר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</si>
  <si>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</si>
  <si>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</si>
  <si>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</si>
  <si>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</si>
  <si>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</si>
  <si>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</si>
  <si>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גמול פועלים סהר</t>
  </si>
  <si>
    <t>33-414</t>
  </si>
  <si>
    <t>סימול בנק</t>
  </si>
  <si>
    <t>צמוד למט"ח</t>
  </si>
  <si>
    <t>04/03/2025</t>
  </si>
  <si>
    <t>AAA</t>
  </si>
  <si>
    <t>S&amp;P מעלות</t>
  </si>
  <si>
    <t>19/07/2024</t>
  </si>
  <si>
    <t>צמוד למדד המחירים לצרכן</t>
  </si>
  <si>
    <t>02/11/2034</t>
  </si>
  <si>
    <t>04/04/2024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</si>
  <si>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</si>
  <si>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</si>
  <si>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</si>
  <si>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</si>
  <si>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</si>
  <si>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</si>
  <si>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</si>
  <si>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</si>
  <si>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</si>
  <si>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</si>
  <si>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</si>
  <si>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</si>
  <si>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</si>
  <si>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</si>
  <si>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</si>
  <si>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</si>
  <si>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</si>
  <si>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</si>
  <si>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</si>
  <si>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</si>
  <si>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</si>
  <si>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</si>
  <si>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</si>
  <si>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</si>
  <si>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</si>
  <si>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</si>
  <si>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</si>
  <si>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</si>
  <si>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</si>
  <si>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</si>
  <si>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</si>
  <si>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</si>
  <si>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</si>
  <si>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</si>
  <si>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</si>
  <si>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</si>
  <si>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</si>
  <si>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</si>
  <si>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</si>
  <si>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</si>
  <si>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</si>
  <si>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</si>
  <si>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</si>
  <si>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</si>
  <si>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</si>
  <si>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</si>
  <si>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</si>
  <si>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</si>
  <si>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</si>
  <si>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</si>
  <si>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</si>
  <si>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</si>
  <si>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</si>
  <si>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</si>
  <si>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</si>
  <si>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</si>
  <si>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</si>
  <si>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</si>
  <si>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</si>
  <si>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</si>
  <si>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</si>
  <si>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</si>
  <si>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</si>
  <si>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</si>
  <si>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</si>
  <si>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</si>
  <si>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</si>
  <si>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</si>
  <si>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</si>
  <si>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</si>
  <si>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</si>
  <si>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</si>
  <si>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</si>
  <si>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</si>
  <si>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</si>
  <si>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</si>
  <si>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</si>
  <si>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</si>
  <si>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</si>
  <si>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</si>
  <si>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</si>
  <si>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</si>
  <si>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</si>
  <si>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</si>
  <si>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</si>
  <si>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</si>
  <si>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</si>
  <si>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</si>
  <si>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</si>
  <si>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</si>
  <si>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</si>
  <si>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</si>
  <si>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</si>
  <si>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</si>
  <si>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</si>
  <si>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</si>
  <si>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</si>
  <si>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</si>
  <si>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</si>
  <si>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</si>
  <si>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</si>
  <si>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</si>
  <si>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</si>
  <si>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</si>
  <si>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</si>
  <si>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</si>
  <si>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</si>
  <si>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</si>
  <si>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</si>
  <si>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</si>
  <si>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</si>
  <si>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</si>
  <si>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</si>
  <si>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</si>
  <si>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</si>
  <si>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</si>
  <si>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</si>
  <si>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</si>
  <si>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</si>
  <si>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</si>
  <si>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</si>
  <si>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</si>
  <si>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</si>
  <si>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</si>
  <si>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</si>
  <si>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</si>
  <si>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</si>
  <si>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</si>
  <si>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</si>
  <si>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</si>
  <si>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</si>
  <si>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</si>
  <si>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</si>
  <si>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</si>
  <si>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</si>
  <si>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</si>
  <si>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</si>
  <si>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</si>
  <si>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</si>
  <si>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</si>
  <si>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</si>
  <si>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</si>
  <si>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</si>
  <si>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</si>
  <si>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</si>
  <si>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</si>
  <si>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</si>
  <si>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</si>
  <si>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</si>
  <si>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</si>
  <si>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</si>
  <si>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</si>
  <si>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</si>
  <si>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</si>
  <si>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</si>
  <si>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</si>
  <si>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</si>
  <si>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</si>
  <si>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</si>
  <si>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</si>
  <si>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</si>
  <si>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</si>
  <si>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</si>
  <si>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</si>
  <si>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</si>
  <si>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</si>
  <si>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</si>
  <si>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</si>
  <si>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</si>
  <si>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</si>
  <si>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</si>
  <si>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</si>
  <si>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</si>
  <si>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</si>
  <si>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</si>
  <si>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</si>
  <si>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</si>
  <si>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</si>
  <si>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</si>
  <si>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</si>
  <si>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</si>
  <si>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</si>
  <si>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</si>
  <si>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</si>
  <si>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</si>
  <si>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</si>
  <si>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</si>
  <si>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</si>
  <si>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</si>
  <si>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</si>
  <si>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</si>
  <si>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</si>
  <si>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</si>
  <si>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</si>
  <si>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</si>
  <si>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</si>
  <si>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</si>
  <si>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</si>
  <si>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</si>
  <si>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</si>
  <si>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</si>
  <si>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</si>
  <si>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</si>
  <si>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</si>
  <si>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</si>
  <si>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</si>
  <si>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</si>
  <si>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</si>
  <si>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</si>
  <si>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</si>
  <si>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</si>
  <si>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</si>
  <si>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</si>
  <si>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</si>
  <si>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</si>
  <si>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</si>
  <si>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</si>
  <si>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</si>
  <si>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</si>
  <si>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</si>
  <si>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</si>
  <si>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</si>
  <si>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</si>
  <si>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</si>
  <si>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</si>
  <si>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</si>
  <si>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</si>
  <si>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</si>
  <si>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</si>
  <si>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</si>
  <si>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</si>
  <si>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</si>
  <si>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</si>
  <si>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</si>
  <si>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</si>
  <si>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</si>
  <si>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</si>
  <si>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</si>
  <si>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</si>
  <si>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</si>
  <si>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</si>
  <si>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</si>
  <si>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</si>
  <si>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</si>
  <si>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</si>
  <si>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</si>
  <si>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</si>
  <si>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</si>
  <si>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</si>
  <si>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</si>
  <si>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</si>
  <si>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</si>
  <si>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</si>
  <si>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</si>
  <si>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</si>
  <si>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</si>
  <si>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</si>
  <si>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</si>
  <si>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</si>
  <si>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</si>
  <si>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</si>
  <si>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</si>
  <si>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</si>
  <si>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</si>
  <si>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</si>
  <si>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</si>
  <si>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</si>
  <si>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</si>
  <si>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</si>
  <si>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</si>
  <si>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</si>
  <si>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</si>
  <si>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</si>
  <si>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</si>
  <si>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</si>
  <si>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</si>
  <si>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</si>
  <si>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</si>
  <si>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</si>
  <si>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</si>
  <si>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</si>
  <si>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</si>
  <si>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</si>
  <si>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</si>
  <si>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</si>
  <si>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</si>
  <si>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</si>
  <si>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</si>
  <si>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</si>
  <si>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</si>
  <si>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</si>
  <si>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</si>
  <si>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</si>
  <si>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</si>
  <si>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</si>
  <si>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</si>
  <si>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</si>
  <si>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</si>
  <si>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</si>
  <si>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</si>
  <si>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</si>
  <si>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</si>
  <si>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</si>
  <si>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</si>
  <si>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</si>
  <si>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</si>
  <si>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</si>
  <si>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</si>
  <si>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</si>
  <si>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</si>
  <si>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</si>
  <si>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</si>
  <si>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</si>
  <si>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</si>
  <si>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</si>
  <si>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</si>
  <si>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</si>
  <si>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</si>
  <si>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</si>
  <si>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</si>
  <si>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</si>
  <si>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</si>
  <si>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</si>
  <si>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</si>
  <si>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</si>
  <si>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</si>
  <si>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</si>
  <si>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</si>
  <si>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</si>
  <si>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</si>
  <si>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</si>
  <si>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</si>
  <si>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</si>
  <si>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</si>
  <si>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</si>
  <si>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</si>
  <si>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</si>
  <si>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</si>
  <si>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</si>
  <si>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</si>
  <si>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</si>
  <si>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</si>
  <si>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</si>
  <si>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</si>
  <si>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</si>
  <si>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</si>
  <si>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</si>
  <si>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</si>
  <si>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</si>
  <si>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</si>
  <si>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</si>
  <si>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</si>
  <si>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</si>
  <si>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</si>
  <si>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</si>
  <si>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</si>
  <si>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</si>
  <si>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</si>
  <si>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</si>
  <si>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</si>
  <si>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</si>
  <si>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</si>
  <si>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</si>
  <si>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</si>
  <si>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</si>
  <si>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</si>
  <si>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</si>
  <si>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</si>
  <si>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</si>
  <si>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</si>
  <si>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</si>
  <si>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</si>
  <si>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</si>
  <si>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</si>
  <si>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</si>
  <si>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</si>
  <si>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</si>
  <si>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</si>
  <si>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</si>
  <si>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</si>
  <si>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</si>
  <si>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</si>
  <si>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</si>
  <si>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</si>
  <si>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</si>
  <si>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</si>
  <si>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</si>
  <si>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</si>
  <si>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</si>
  <si>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</si>
  <si>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</si>
  <si>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</si>
  <si>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</si>
  <si>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</si>
  <si>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</si>
  <si>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</si>
  <si>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</si>
  <si>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</si>
  <si>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</si>
  <si>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</si>
  <si>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</si>
  <si>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</si>
  <si>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</si>
  <si>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</si>
  <si>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</si>
  <si>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</si>
  <si>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</si>
  <si>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</si>
  <si>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</si>
  <si>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</si>
  <si>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</si>
  <si>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</si>
  <si>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</si>
  <si>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</si>
  <si>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</si>
  <si>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</si>
  <si>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</si>
  <si>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</si>
  <si>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</si>
  <si>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</si>
  <si>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</si>
  <si>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</si>
  <si>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</si>
  <si>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</si>
  <si>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</si>
  <si>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</si>
  <si>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</si>
  <si>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</si>
  <si>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</si>
  <si>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</si>
  <si>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</si>
  <si>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</si>
  <si>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</si>
  <si>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</si>
  <si>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</si>
  <si>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</si>
  <si>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</si>
  <si>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</si>
  <si>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</si>
  <si>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</si>
  <si>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</si>
  <si>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</si>
  <si>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</si>
  <si>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</si>
  <si>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</si>
  <si>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</si>
  <si>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</si>
  <si>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</si>
  <si>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</si>
  <si>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</si>
  <si>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</si>
  <si>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</si>
  <si>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</si>
  <si>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</si>
  <si>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</si>
  <si>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</si>
  <si>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</si>
  <si>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</si>
  <si>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</si>
  <si>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</si>
  <si>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</si>
  <si>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</si>
  <si>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</si>
  <si>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</si>
  <si>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</si>
  <si>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</si>
  <si>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</si>
  <si>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</si>
  <si>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</si>
  <si>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</si>
  <si>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</si>
  <si>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</si>
  <si>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</si>
  <si>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</si>
  <si>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</si>
  <si>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</si>
  <si>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</si>
  <si>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</si>
  <si>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</si>
  <si>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</si>
  <si>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</si>
  <si>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</si>
  <si>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</si>
  <si>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</si>
  <si>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</si>
  <si>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</si>
  <si>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</si>
  <si>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</si>
  <si>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</si>
  <si>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</si>
  <si>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</si>
  <si>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</si>
  <si>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</si>
  <si>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</si>
  <si>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</si>
  <si>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</si>
  <si>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</si>
  <si>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</si>
  <si>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</si>
  <si>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</si>
  <si>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</si>
  <si>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</si>
  <si>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</si>
  <si>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</si>
  <si>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</si>
  <si>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</si>
  <si>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</si>
  <si>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</si>
  <si>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</si>
  <si>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</si>
  <si>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</si>
  <si>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</si>
  <si>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</si>
  <si>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</si>
  <si>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</si>
  <si>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</si>
  <si>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</si>
  <si>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</si>
  <si>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</si>
  <si>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</si>
  <si>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</si>
  <si>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</si>
  <si>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</si>
  <si>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</si>
  <si>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</si>
  <si>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</si>
  <si>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</si>
  <si>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</si>
  <si>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</si>
  <si>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</si>
  <si>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</si>
  <si>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</si>
  <si>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</si>
  <si>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</si>
  <si>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</si>
  <si>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</si>
  <si>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</si>
  <si>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</si>
  <si>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</si>
  <si>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</si>
  <si>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</si>
  <si>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</si>
  <si>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</si>
  <si>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</si>
  <si>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</si>
  <si>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</si>
  <si>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</si>
  <si>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</si>
  <si>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</si>
  <si>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</si>
  <si>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</si>
  <si>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</si>
  <si>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</si>
  <si>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</si>
  <si>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</si>
  <si>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</si>
  <si>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</si>
  <si>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</si>
  <si>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</si>
  <si>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</si>
  <si>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</si>
  <si>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</si>
  <si>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</si>
  <si>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</si>
  <si>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</si>
  <si>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</si>
  <si>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</si>
  <si>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</si>
  <si>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</si>
  <si>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</si>
  <si>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</si>
  <si>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</si>
  <si>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</si>
  <si>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</si>
  <si>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</si>
  <si>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</si>
  <si>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</si>
  <si>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</si>
  <si>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</si>
  <si>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</si>
  <si>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</si>
  <si>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</si>
  <si>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</si>
  <si>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</si>
  <si>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</si>
  <si>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</si>
  <si>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</si>
  <si>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</si>
  <si>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</si>
  <si>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</si>
  <si>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</si>
  <si>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</si>
  <si>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</si>
  <si>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</si>
  <si>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</si>
  <si>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</si>
  <si>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</si>
  <si>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</si>
  <si>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</si>
  <si>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</si>
  <si>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</si>
  <si>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</si>
  <si>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</si>
  <si>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</si>
  <si>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</si>
  <si>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</si>
  <si>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</si>
  <si>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</si>
  <si>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</si>
  <si>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</si>
  <si>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</si>
  <si>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</si>
  <si>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</si>
  <si>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</si>
  <si>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</si>
  <si>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</si>
  <si>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</si>
  <si>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</si>
  <si>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</si>
  <si>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</si>
  <si>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</si>
  <si>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</si>
  <si>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</si>
  <si>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</si>
  <si>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</si>
  <si>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</si>
  <si>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</si>
  <si>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</si>
  <si>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</si>
  <si>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</si>
  <si>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</si>
  <si>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</si>
  <si>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</si>
  <si>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</si>
  <si>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</si>
  <si>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</si>
  <si>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</si>
  <si>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</si>
  <si>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</si>
  <si>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</si>
  <si>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</si>
  <si>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</si>
  <si>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</si>
  <si>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</si>
  <si>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</si>
  <si>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</si>
  <si>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</si>
  <si>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</si>
  <si>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</si>
  <si>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</si>
  <si>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</si>
  <si>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</si>
  <si>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</si>
  <si>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</si>
  <si>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</si>
  <si>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</si>
  <si>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</si>
  <si>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</si>
  <si>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</si>
  <si>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</si>
  <si>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</si>
  <si>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</si>
  <si>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</si>
  <si>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</si>
  <si>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</si>
  <si>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</si>
  <si>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</si>
  <si>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</si>
  <si>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</si>
  <si>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</si>
  <si>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</si>
  <si>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</si>
  <si>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</si>
  <si>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</si>
  <si>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</si>
  <si>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</si>
  <si>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</si>
  <si>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</si>
  <si>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</si>
  <si>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</si>
  <si>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</si>
  <si>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</si>
  <si>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</si>
  <si>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</si>
  <si>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</si>
  <si>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</si>
  <si>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</si>
  <si>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</si>
  <si>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</si>
  <si>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</si>
  <si>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</si>
  <si>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</si>
  <si>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</si>
  <si>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</si>
  <si>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</si>
  <si>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</si>
  <si>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</si>
  <si>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</si>
  <si>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</si>
  <si>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</si>
  <si>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</si>
  <si>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</si>
  <si>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</si>
  <si>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</si>
  <si>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</si>
  <si>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</si>
  <si>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</si>
  <si>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</si>
  <si>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</si>
  <si>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</si>
  <si>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</si>
  <si>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</si>
  <si>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</si>
  <si>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</si>
  <si>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</si>
  <si>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</si>
  <si>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</si>
  <si>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</si>
  <si>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</si>
  <si>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</si>
  <si>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</si>
  <si>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</si>
  <si>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</si>
  <si>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</si>
  <si>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</si>
  <si>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</si>
  <si>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</si>
  <si>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</si>
  <si>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</si>
  <si>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</si>
  <si>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</si>
  <si>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</si>
  <si>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</si>
  <si>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</si>
  <si>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</si>
  <si>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</si>
  <si>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</si>
  <si>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</si>
  <si>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</si>
  <si>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</si>
  <si>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</si>
  <si>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</si>
  <si>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</si>
  <si>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</si>
  <si>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</si>
  <si>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</si>
  <si>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</si>
  <si>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</si>
  <si>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</si>
  <si>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</si>
  <si>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</si>
  <si>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</si>
  <si>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</si>
  <si>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</si>
  <si>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</si>
  <si>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</si>
  <si>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</si>
  <si>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</si>
  <si>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</si>
  <si>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</si>
  <si>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</si>
  <si>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</si>
  <si>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</si>
  <si>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</si>
  <si>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</si>
  <si>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</si>
  <si>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</si>
  <si>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</si>
  <si>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</si>
  <si>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</si>
  <si>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</si>
  <si>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</si>
  <si>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</si>
  <si>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</si>
  <si>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</si>
  <si>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</si>
  <si>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</si>
  <si>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</si>
  <si>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</si>
  <si>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</si>
  <si>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</si>
  <si>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</si>
  <si>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</si>
  <si>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</si>
  <si>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</si>
  <si>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</si>
  <si>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</si>
  <si>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</si>
  <si>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</si>
  <si>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</si>
  <si>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</si>
  <si>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</si>
  <si>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</si>
  <si>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</si>
  <si>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</si>
  <si>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</si>
  <si>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</si>
  <si>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</si>
  <si>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</si>
  <si>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</si>
  <si>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</si>
  <si>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</si>
  <si>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</si>
  <si>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</si>
  <si>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</si>
  <si>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</si>
  <si>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</si>
  <si>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</si>
  <si>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</si>
  <si>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</si>
  <si>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</si>
  <si>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</si>
  <si>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</si>
  <si>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</si>
  <si>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</si>
  <si>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</si>
  <si>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</si>
  <si>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</si>
  <si>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</si>
  <si>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</si>
  <si>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</si>
  <si>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</si>
  <si>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</si>
  <si>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</si>
  <si>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</si>
  <si>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</si>
  <si>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</si>
  <si>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</si>
  <si>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</si>
  <si>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</si>
  <si>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</si>
  <si>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</si>
  <si>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</si>
  <si>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</si>
  <si>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</si>
  <si>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</si>
  <si>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</si>
  <si>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</si>
  <si>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</si>
  <si>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</si>
  <si>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</si>
  <si>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</si>
  <si>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</si>
  <si>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</si>
  <si>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</si>
  <si>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</si>
  <si>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</si>
  <si>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</si>
  <si>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</si>
  <si>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</si>
  <si>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</si>
  <si>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</si>
  <si>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</si>
  <si>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</si>
  <si>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</si>
  <si>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</si>
  <si>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</si>
  <si>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</si>
  <si>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</si>
  <si>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</si>
  <si>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</si>
  <si>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</si>
  <si>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</si>
  <si>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</si>
  <si>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</si>
  <si>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</si>
  <si>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</si>
  <si>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</si>
  <si>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</si>
  <si>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</si>
  <si>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</si>
  <si>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</si>
  <si>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</si>
  <si>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</si>
  <si>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</si>
  <si>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</si>
  <si>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</si>
  <si>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</si>
  <si>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</si>
  <si>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</si>
  <si>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</si>
  <si>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</si>
  <si>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</si>
  <si>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</si>
  <si>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</si>
  <si>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</si>
  <si>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</si>
  <si>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</si>
  <si>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</si>
  <si>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</si>
  <si>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</si>
  <si>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</si>
  <si>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</si>
  <si>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</si>
  <si>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</si>
  <si>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</si>
  <si>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</si>
  <si>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</si>
  <si>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</si>
  <si>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</si>
  <si>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</si>
  <si>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</si>
  <si>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</si>
  <si>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</si>
  <si>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</si>
  <si>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</si>
  <si>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</si>
  <si>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</si>
  <si>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</si>
  <si>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</si>
  <si>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</si>
  <si>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</si>
  <si>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</si>
  <si>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</si>
  <si>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</si>
  <si>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</si>
  <si>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</si>
  <si>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</si>
  <si>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</si>
  <si>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</si>
  <si>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</si>
  <si>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</si>
  <si>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</si>
  <si>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</si>
  <si>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</si>
  <si>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</si>
  <si>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</si>
  <si>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</si>
  <si>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</si>
  <si>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</si>
  <si>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</si>
  <si>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</si>
  <si>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</si>
  <si>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</si>
  <si>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</si>
  <si>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</si>
  <si>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</si>
  <si>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</si>
  <si>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</si>
  <si>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</si>
  <si>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</si>
  <si>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</si>
  <si>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</si>
  <si>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</si>
  <si>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</si>
  <si>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</si>
  <si>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</si>
  <si>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</si>
  <si>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</si>
  <si>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</si>
  <si>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</si>
  <si>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</si>
  <si>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</si>
  <si>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</si>
  <si>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</si>
  <si>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</si>
  <si>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</si>
  <si>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</si>
  <si>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</si>
  <si>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</si>
  <si>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</si>
  <si>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</si>
  <si>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</si>
  <si>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</si>
  <si>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</si>
  <si>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</si>
  <si>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</si>
  <si>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</si>
  <si>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</si>
  <si>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</si>
  <si>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</si>
  <si>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</si>
  <si>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</si>
  <si>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</si>
  <si>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</si>
  <si>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</si>
  <si>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</si>
  <si>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</si>
  <si>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</si>
  <si>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</si>
  <si>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</si>
  <si>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</si>
  <si>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</si>
  <si>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</si>
  <si>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</si>
  <si>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</si>
  <si>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</si>
  <si>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</si>
  <si>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</si>
  <si>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</si>
  <si>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</si>
  <si>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</si>
  <si>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</si>
  <si>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</si>
  <si>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</si>
  <si>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</si>
  <si>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</si>
  <si>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</si>
  <si>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</si>
  <si>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CAD</t>
  </si>
  <si>
    <t>JPY</t>
  </si>
  <si>
    <t>GBP</t>
  </si>
  <si>
    <t>EUR</t>
  </si>
  <si>
    <t>AUD</t>
  </si>
  <si>
    <t>NOK</t>
  </si>
  <si>
    <t>HKD</t>
  </si>
  <si>
    <t>DKK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</si>
  <si>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</si>
  <si>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</si>
  <si>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</si>
  <si>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</si>
  <si>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</si>
  <si>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</si>
  <si>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</si>
  <si>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</si>
  <si>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</si>
  <si>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</si>
  <si>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</si>
  <si>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</si>
  <si>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</si>
  <si>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</si>
  <si>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</si>
  <si>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</si>
  <si>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</si>
  <si>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</si>
  <si>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</si>
  <si>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</si>
  <si>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</si>
  <si>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</si>
  <si>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</si>
  <si>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</si>
  <si>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</si>
  <si>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</si>
  <si>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</si>
  <si>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</si>
  <si>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</si>
  <si>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</si>
  <si>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</si>
  <si>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</si>
  <si>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</si>
  <si>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</si>
  <si>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</si>
  <si>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</si>
  <si>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</si>
  <si>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</si>
  <si>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</si>
  <si>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</si>
  <si>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</si>
  <si>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</si>
  <si>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</si>
  <si>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</si>
  <si>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</si>
  <si>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</si>
  <si>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</si>
  <si>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</si>
  <si>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</si>
  <si>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</si>
  <si>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</si>
  <si>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</si>
  <si>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</si>
  <si>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</si>
  <si>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</si>
  <si>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</si>
  <si>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</si>
  <si>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</si>
  <si>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</si>
  <si>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</si>
  <si>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</si>
  <si>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</si>
  <si>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</si>
  <si>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</si>
  <si>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</si>
  <si>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</si>
  <si>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</si>
  <si>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</si>
  <si>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</si>
  <si>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</si>
  <si>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</si>
  <si>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</si>
  <si>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</si>
  <si>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</si>
  <si>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</si>
  <si>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</si>
  <si>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</si>
  <si>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</si>
  <si>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</si>
  <si>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</si>
  <si>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</si>
  <si>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</si>
  <si>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</si>
  <si>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</si>
  <si>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</si>
  <si>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</si>
  <si>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</si>
  <si>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</si>
  <si>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</si>
  <si>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</si>
  <si>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</si>
  <si>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</si>
  <si>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</si>
  <si>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</si>
  <si>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</si>
  <si>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</si>
  <si>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</si>
  <si>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</si>
  <si>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</si>
  <si>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</si>
  <si>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</si>
  <si>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</si>
  <si>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</si>
  <si>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</si>
  <si>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</si>
  <si>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</si>
  <si>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</si>
  <si>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</si>
  <si>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</si>
  <si>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</si>
  <si>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</si>
  <si>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</si>
  <si>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</si>
  <si>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9926364</t>
  </si>
  <si>
    <t>USD ILS</t>
  </si>
  <si>
    <t>8/01/2024</t>
  </si>
  <si>
    <t>8/04/2024</t>
  </si>
  <si>
    <t>367.662</t>
  </si>
  <si>
    <t>POALILIT</t>
  </si>
  <si>
    <t>9927759</t>
  </si>
  <si>
    <t>14/02/2024</t>
  </si>
  <si>
    <t>367.663</t>
  </si>
  <si>
    <t>9928353</t>
  </si>
  <si>
    <t>4/03/2024</t>
  </si>
  <si>
    <t>4/06/2024</t>
  </si>
  <si>
    <t>364.378</t>
  </si>
  <si>
    <t>9928354</t>
  </si>
  <si>
    <t>EUR ILS</t>
  </si>
  <si>
    <t>394.990</t>
  </si>
  <si>
    <t>9928412</t>
  </si>
  <si>
    <t>6/03/2024</t>
  </si>
  <si>
    <t>394.989</t>
  </si>
  <si>
    <t>9928646</t>
  </si>
  <si>
    <t>13/03/2024</t>
  </si>
  <si>
    <t>364.376</t>
  </si>
  <si>
    <t>7228</t>
  </si>
  <si>
    <t>7229</t>
  </si>
  <si>
    <t>12905</t>
  </si>
  <si>
    <t>13680</t>
  </si>
  <si>
    <t>14769</t>
  </si>
  <si>
    <t>514984558</t>
  </si>
  <si>
    <t>אבנון 2021 משיכה 1</t>
  </si>
  <si>
    <t>50007509</t>
  </si>
  <si>
    <t xml:space="preserve">תשתיות (שלב הבניה)  - </t>
  </si>
  <si>
    <t>14/04/2022</t>
  </si>
  <si>
    <t>Baa1</t>
  </si>
  <si>
    <t>31/12/2027</t>
  </si>
  <si>
    <t>הון עצמי ושימושים שוטפים</t>
  </si>
  <si>
    <t>מרווח הוגן</t>
  </si>
  <si>
    <t>31/03/2024</t>
  </si>
  <si>
    <t>513846667</t>
  </si>
  <si>
    <t>ח.פ</t>
  </si>
  <si>
    <t>אשדוד הלוואה 3.55% 19/34</t>
  </si>
  <si>
    <t>50003508</t>
  </si>
  <si>
    <t>06/03/2019</t>
  </si>
  <si>
    <t>A1</t>
  </si>
  <si>
    <t>30/09/2035</t>
  </si>
  <si>
    <t xml:space="preserve">מימון מחדש. </t>
  </si>
  <si>
    <t>513326439</t>
  </si>
  <si>
    <t>דוראד 2030/2014 5.5%</t>
  </si>
  <si>
    <t>28472</t>
  </si>
  <si>
    <t>22/05/2019</t>
  </si>
  <si>
    <t>AA-</t>
  </si>
  <si>
    <t>other</t>
  </si>
  <si>
    <t>20/12/2030</t>
  </si>
  <si>
    <t>דוראד אנרגיה 18 2014/2030 5.5%</t>
  </si>
  <si>
    <t>29207</t>
  </si>
  <si>
    <t>Aa3</t>
  </si>
  <si>
    <t>קבועה</t>
  </si>
  <si>
    <t>דוראד אנרגיה 19 14/2030 5.5% (מיטב)</t>
  </si>
  <si>
    <t>29215</t>
  </si>
  <si>
    <t>דוראד אנרגיה משיכה 11 12/31 %5.5301</t>
  </si>
  <si>
    <t>97386</t>
  </si>
  <si>
    <t>30/01/2012</t>
  </si>
  <si>
    <t>18/05/2031</t>
  </si>
  <si>
    <t>25/12/2023 00:00:00</t>
  </si>
  <si>
    <t xml:space="preserve">חוב בכיר שנמכר ע"י בנקים שונים </t>
  </si>
  <si>
    <t>דוראד אנרגיה משיכה 12 13/12 %5.5301</t>
  </si>
  <si>
    <t>97378</t>
  </si>
  <si>
    <t>13/02/2012</t>
  </si>
  <si>
    <t>דוראד אנרגיה משיכה 17 12/31 %5.5301</t>
  </si>
  <si>
    <t>97394</t>
  </si>
  <si>
    <t>28/05/2012</t>
  </si>
  <si>
    <t>דוראד אנרגיה משיכה 27 14/31(ד"ש</t>
  </si>
  <si>
    <t>973031</t>
  </si>
  <si>
    <t>25/04/2013</t>
  </si>
  <si>
    <t>דוראד אנרגיה משיכה 5 2012/2202 %5.6</t>
  </si>
  <si>
    <t>97261</t>
  </si>
  <si>
    <t>17/11/2011</t>
  </si>
  <si>
    <t>דוראד אנרגיה משיכה 6 5.681% 17/31</t>
  </si>
  <si>
    <t>29199</t>
  </si>
  <si>
    <t>26/05/2031</t>
  </si>
  <si>
    <t>דוראד אנרגיה משיכה 9 2014/31(ד"ש</t>
  </si>
  <si>
    <t>97287</t>
  </si>
  <si>
    <t>09/01/2012</t>
  </si>
  <si>
    <t>דוראד הלוו 7 14/2031 %5.5 (טכנאים</t>
  </si>
  <si>
    <t>97345</t>
  </si>
  <si>
    <t>14/12/2011</t>
  </si>
  <si>
    <t>דוראד הלוואה 28 14/2030 %5.5</t>
  </si>
  <si>
    <t>28415</t>
  </si>
  <si>
    <t>28/05/2013</t>
  </si>
  <si>
    <t>דוראד הלוואה 5.5% 14/2030</t>
  </si>
  <si>
    <t>24836</t>
  </si>
  <si>
    <t>דוראד הלוואה משיכה 14 %5.5 1302/14</t>
  </si>
  <si>
    <t>97329</t>
  </si>
  <si>
    <t>19/04/2012</t>
  </si>
  <si>
    <t>דוראד הלוואה משיכה 23 14/2030 %5.5</t>
  </si>
  <si>
    <t>24869</t>
  </si>
  <si>
    <t>26/11/2012</t>
  </si>
  <si>
    <t>דוראד מ 15</t>
  </si>
  <si>
    <t>78022</t>
  </si>
  <si>
    <t>דוראד מ 2</t>
  </si>
  <si>
    <t>78006</t>
  </si>
  <si>
    <t>דוראד משיכה 2 11/31 %5.6(מיטב ד</t>
  </si>
  <si>
    <t>97279</t>
  </si>
  <si>
    <t>24/11/2011</t>
  </si>
  <si>
    <t>דוראד משיכה 20</t>
  </si>
  <si>
    <t>28704</t>
  </si>
  <si>
    <t>דוראד משיכה 22 2030/2014 5.5%</t>
  </si>
  <si>
    <t>28548</t>
  </si>
  <si>
    <t>דוראד משיכה 24 2030/2014 5.5%</t>
  </si>
  <si>
    <t>28589</t>
  </si>
  <si>
    <t>דוראד משיכה 3 %5.662 2011/2031(מיטב</t>
  </si>
  <si>
    <t>97360</t>
  </si>
  <si>
    <t>25/10/2011</t>
  </si>
  <si>
    <t>דוראד משיכה 3 5.662% 2011/2030</t>
  </si>
  <si>
    <t>33266</t>
  </si>
  <si>
    <t>דוראד משיכה 33 %5.5 2015/2031</t>
  </si>
  <si>
    <t>28118</t>
  </si>
  <si>
    <t>14/07/2016</t>
  </si>
  <si>
    <t>דוראד משיכה 4 14/2030 %5.53</t>
  </si>
  <si>
    <t>24752</t>
  </si>
  <si>
    <t>25/01/2012</t>
  </si>
  <si>
    <t>הלוואה 12 דוראד אנרגיה 26.12.2012</t>
  </si>
  <si>
    <t>34819</t>
  </si>
  <si>
    <t>26/05/2019</t>
  </si>
  <si>
    <t>הלוואה 13 דוראד אנרגיה 24.01.2013</t>
  </si>
  <si>
    <t>34801</t>
  </si>
  <si>
    <t>24/01/2013</t>
  </si>
  <si>
    <t>הלוואה 14 דוראד אנרגיה 25.02.2013</t>
  </si>
  <si>
    <t>34843</t>
  </si>
  <si>
    <t>25/02/2013</t>
  </si>
  <si>
    <t>הלוואה 17 דוראד אנרגיה 25.06.2013</t>
  </si>
  <si>
    <t>28423</t>
  </si>
  <si>
    <t>הלוואה 18 דוראד אנרגיה 25.07.2013</t>
  </si>
  <si>
    <t>28456</t>
  </si>
  <si>
    <t>25/07/2013</t>
  </si>
  <si>
    <t>הלוואה 21 דוראד אנרגיה 24.10.2013</t>
  </si>
  <si>
    <t>28522</t>
  </si>
  <si>
    <t>24/10/2013</t>
  </si>
  <si>
    <t>הלוואה 23 דוראד אנרגיה 22.12.2013</t>
  </si>
  <si>
    <t>28563</t>
  </si>
  <si>
    <t>22/12/2013</t>
  </si>
  <si>
    <t>הלוואה 25 דוראד אנרגיה 26.02.2014</t>
  </si>
  <si>
    <t>28605</t>
  </si>
  <si>
    <t>26/02/2014</t>
  </si>
  <si>
    <t>הלוואה 26 דוראד אנרגיה 27.03.2014</t>
  </si>
  <si>
    <t>28639</t>
  </si>
  <si>
    <t>27/03/2014</t>
  </si>
  <si>
    <t>18/11/2030</t>
  </si>
  <si>
    <t>הלוואה 28 דוראד אנרגיה 28.05.2014</t>
  </si>
  <si>
    <t>28654</t>
  </si>
  <si>
    <t>28/05/2014</t>
  </si>
  <si>
    <t>הלוואה 29 דוראד אנרגיה 25.06.2014</t>
  </si>
  <si>
    <t>28670</t>
  </si>
  <si>
    <t>25/06/2014</t>
  </si>
  <si>
    <t>הלוואה 30 דוראד אנרגיה 16.07.2014</t>
  </si>
  <si>
    <t>28902</t>
  </si>
  <si>
    <t>16/07/2014</t>
  </si>
  <si>
    <t>הלוואה 31 דוראד אנרגיה 29.09.2014</t>
  </si>
  <si>
    <t>28928</t>
  </si>
  <si>
    <t>הלוואה 32 דוראד אנרגיה 29.01.2015</t>
  </si>
  <si>
    <t>28944</t>
  </si>
  <si>
    <t>29/01/2015</t>
  </si>
  <si>
    <t>הלוואה 33 דוראד אנרגיה 19.02.2015</t>
  </si>
  <si>
    <t>28969</t>
  </si>
  <si>
    <t>19/02/2015</t>
  </si>
  <si>
    <t>הלוואה 5 דוראד אנרגיה 25.03.2012</t>
  </si>
  <si>
    <t>33233</t>
  </si>
  <si>
    <t>הלוואה 6 דוראד אנרגיה 24.05.2012</t>
  </si>
  <si>
    <t>24760</t>
  </si>
  <si>
    <t>24/05/2012</t>
  </si>
  <si>
    <t>הלוואה 8 דוראד אנרגיה 25.07.2012</t>
  </si>
  <si>
    <t>24810</t>
  </si>
  <si>
    <t>25/07/2012</t>
  </si>
  <si>
    <t>הלוואה 9 דוראד אנרגיה 27.09.2012</t>
  </si>
  <si>
    <t>34330</t>
  </si>
  <si>
    <t>514038306</t>
  </si>
  <si>
    <t>ויה מאריס מתקן התפלה 2015/2028</t>
  </si>
  <si>
    <t>44446</t>
  </si>
  <si>
    <t>31/08/2023</t>
  </si>
  <si>
    <t>30/06/2028</t>
  </si>
  <si>
    <t>רכישת חוב ארוך מבנק הפועלים, שנועד במקור להקמת המתקן.</t>
  </si>
  <si>
    <t>512764408</t>
  </si>
  <si>
    <t>מניף ירושליים 2022</t>
  </si>
  <si>
    <t>50007848</t>
  </si>
  <si>
    <t>520000522</t>
  </si>
  <si>
    <t>10/01/2023 00:00:00</t>
  </si>
  <si>
    <t>N/R</t>
  </si>
  <si>
    <t>28/08/2024</t>
  </si>
  <si>
    <t>30/12/2023 00:00:00</t>
  </si>
  <si>
    <t xml:space="preserve">ממיון רכישה של חיפה כיימיקליים </t>
  </si>
  <si>
    <t>28/12/2023 00:00:00</t>
  </si>
  <si>
    <t>516705795</t>
  </si>
  <si>
    <t>נמל חיפה</t>
  </si>
  <si>
    <t>50007798</t>
  </si>
  <si>
    <t>BBB-</t>
  </si>
  <si>
    <t>10/01/2024</t>
  </si>
  <si>
    <t>11/11/2023 00:00:00</t>
  </si>
  <si>
    <t>520025271</t>
  </si>
  <si>
    <t>סינרג'י אנרגיה מתחדשת משיכה 1</t>
  </si>
  <si>
    <t>50007038</t>
  </si>
  <si>
    <t>20/10/2021</t>
  </si>
  <si>
    <t>20/10/2032</t>
  </si>
  <si>
    <t>השקעה בפרויקטים של החברה ,הגדלת האחזקה של החברה במניות חברות בנות, שימושים שוטפים של החברה.</t>
  </si>
  <si>
    <t>516432044</t>
  </si>
  <si>
    <t>עוגן- חוב רגיל א</t>
  </si>
  <si>
    <t>50007319</t>
  </si>
  <si>
    <t>31/01/2022</t>
  </si>
  <si>
    <t>15/07/2025</t>
  </si>
  <si>
    <t>עוגן- חוב רגיל ב</t>
  </si>
  <si>
    <t>50007327</t>
  </si>
  <si>
    <t>15/01/2026</t>
  </si>
  <si>
    <t>514566009</t>
  </si>
  <si>
    <t>רמת הנגב הלוואה 3.55% 19/35</t>
  </si>
  <si>
    <t>50003409</t>
  </si>
  <si>
    <t>510960586</t>
  </si>
  <si>
    <t>הלוואות עמיתים 4- השתלמות</t>
  </si>
  <si>
    <t>893300109</t>
  </si>
  <si>
    <t>10/01/2019</t>
  </si>
  <si>
    <t>AA+</t>
  </si>
  <si>
    <t>10/11/2016</t>
  </si>
  <si>
    <t>הלוואות עמיתים 2-גמל</t>
  </si>
  <si>
    <t>893100109</t>
  </si>
  <si>
    <t>PLURISTEM THERAPEUTICS</t>
  </si>
  <si>
    <t>529900OZKMF7JGZMYM81</t>
  </si>
  <si>
    <t>PLURISTEM THERA</t>
  </si>
  <si>
    <t>76553684</t>
  </si>
  <si>
    <t>04/08/2024</t>
  </si>
  <si>
    <t>12/04/2019</t>
  </si>
  <si>
    <t>שווי הוגן (בש"ח)</t>
  </si>
  <si>
    <t>Comgest</t>
  </si>
  <si>
    <t>635400JYB1RHBTRDH390</t>
  </si>
  <si>
    <t>COMGEST GROWTH PLC - EURO</t>
  </si>
  <si>
    <t>IE0004766675</t>
  </si>
  <si>
    <t>ISE </t>
  </si>
  <si>
    <t>Investec</t>
  </si>
  <si>
    <t>549300X3ENFKGMH04N42</t>
  </si>
  <si>
    <t>IGS-EMERG MKT CORP DEBT-IUSD</t>
  </si>
  <si>
    <t>LU0611395327</t>
  </si>
  <si>
    <t>Invesco investment management limited</t>
  </si>
  <si>
    <t>635400KFAN415FMIGG54</t>
  </si>
  <si>
    <t>IUSSENG LX Equity</t>
  </si>
  <si>
    <t>LU0564079282</t>
  </si>
  <si>
    <t>KBI Global Investors</t>
  </si>
  <si>
    <t>635400UCQYVGO94KDT51</t>
  </si>
  <si>
    <t>KBI FUND ICAV -KBI ENERGY SOL</t>
  </si>
  <si>
    <t>IE00BNGJJ156</t>
  </si>
  <si>
    <t>Kotak</t>
  </si>
  <si>
    <t>549300P1V22EKK1UCL34</t>
  </si>
  <si>
    <t>KOTAK FDS-INDIA MIDCAP (S) USD A</t>
  </si>
  <si>
    <t>LU2126068639</t>
  </si>
  <si>
    <t>Lombard Odier Funds-Asia Value</t>
  </si>
  <si>
    <t>5493001DJ8NYPLGGID75</t>
  </si>
  <si>
    <t>LOMBARD ODIER-ASIA INV.GR.BD(I</t>
  </si>
  <si>
    <t>LU2083909536</t>
  </si>
  <si>
    <t>LUXEMBOURG LIFE</t>
  </si>
  <si>
    <t>89900</t>
  </si>
  <si>
    <t>lu24283023721</t>
  </si>
  <si>
    <t>GZYUYYBVN9JCLNYWZ615</t>
  </si>
  <si>
    <t>MGLEUCA LX Equity</t>
  </si>
  <si>
    <t>LU1670632501</t>
  </si>
  <si>
    <t>PRINCIPAL FINANCIAL</t>
  </si>
  <si>
    <t>549300MS0GBEZOTILG43</t>
  </si>
  <si>
    <t>PRINCIPAL GLOBAL INVEST</t>
  </si>
  <si>
    <t>IE00BKDW9G15</t>
  </si>
  <si>
    <t>INVESCO GLOBAL INVESTMENT GRAD</t>
  </si>
  <si>
    <t>LU1218206339</t>
  </si>
  <si>
    <t>מגדל קרנות נאמנות בע"מ</t>
  </si>
  <si>
    <t>511303661</t>
  </si>
  <si>
    <t>מחקה תל-דיב FTM</t>
  </si>
  <si>
    <t>IL0051370133</t>
  </si>
  <si>
    <t>מניות בישראל</t>
  </si>
  <si>
    <t>MTF סל Nasdaq 100 (4D)</t>
  </si>
  <si>
    <t>IL0011813875</t>
  </si>
  <si>
    <t>מניות בחו"ל חשופות מט"ח</t>
  </si>
  <si>
    <t>MTF סל תא 125</t>
  </si>
  <si>
    <t>IL0011502833</t>
  </si>
  <si>
    <t>MTF סל תא 35</t>
  </si>
  <si>
    <t>IL0011501843</t>
  </si>
  <si>
    <t>MTF סל תא 90</t>
  </si>
  <si>
    <t>IL0011502593</t>
  </si>
  <si>
    <t>SpUSA&amp;D.MTF</t>
  </si>
  <si>
    <t>IL0011503419</t>
  </si>
  <si>
    <t>הראל קרנות נאמנות בע"מ</t>
  </si>
  <si>
    <t>511776783</t>
  </si>
  <si>
    <t>הראל סל תא 90</t>
  </si>
  <si>
    <t>IL0011489312</t>
  </si>
  <si>
    <t>הראל קרן סל תא 125</t>
  </si>
  <si>
    <t>IL0011488991</t>
  </si>
  <si>
    <t>מור ניהול קרנות נאמנות בע"מ</t>
  </si>
  <si>
    <t>514884485</t>
  </si>
  <si>
    <t>מור סל )4D(י NASDAQ 100</t>
  </si>
  <si>
    <t>IL0011658361</t>
  </si>
  <si>
    <t>סל mtf Trave l&amp; Vacation</t>
  </si>
  <si>
    <t>IL0011675845</t>
  </si>
  <si>
    <t>State Street Corp</t>
  </si>
  <si>
    <t>549300E2D1JKWI3P9D54</t>
  </si>
  <si>
    <t>.UTILITIES SELECT S</t>
  </si>
  <si>
    <t>US81369Y8865</t>
  </si>
  <si>
    <t>AINVESCO AEROSPACE &amp; DEFENSE ET</t>
  </si>
  <si>
    <t>US46137V1008</t>
  </si>
  <si>
    <t>CREDIT AGRICOLE SA</t>
  </si>
  <si>
    <t>969500TJ5KRTCJQWXH05</t>
  </si>
  <si>
    <t>AMUNDI ETF ICAV - AMUNDI MSCI</t>
  </si>
  <si>
    <t>79279501</t>
  </si>
  <si>
    <t>Amundi Asset Management</t>
  </si>
  <si>
    <t>549300W6M26WPJCWRV83</t>
  </si>
  <si>
    <t>AMUNDI INDEX MSCI EMERGING MAR</t>
  </si>
  <si>
    <t>LU1437017350</t>
  </si>
  <si>
    <t>שווקים מתעוררים</t>
  </si>
  <si>
    <t>AMUNDI MSCI EUROPE QUALITY FAC</t>
  </si>
  <si>
    <t>LU1681041890</t>
  </si>
  <si>
    <t>AMUNDI US CURVE STEEPENING 2-1</t>
  </si>
  <si>
    <t>LU2018762653</t>
  </si>
  <si>
    <t>COMMUNICATION SERVICES SELECT</t>
  </si>
  <si>
    <t>US81369Y8527</t>
  </si>
  <si>
    <t>Consumer discretionary etf</t>
  </si>
  <si>
    <t>us81369y4070</t>
  </si>
  <si>
    <t xml:space="preserve">BlackRock  Asset Managment </t>
  </si>
  <si>
    <t>549300IJBBIPXKWNXJ28</t>
  </si>
  <si>
    <t>DIVORP ERACHTLAEH .S</t>
  </si>
  <si>
    <t>US4642888287</t>
  </si>
  <si>
    <t>Financial sel sector spdr</t>
  </si>
  <si>
    <t>US81369Y6059</t>
  </si>
  <si>
    <t>First trust</t>
  </si>
  <si>
    <t>549300QT3GGKQPIIB521</t>
  </si>
  <si>
    <t>First Trust Nas</t>
  </si>
  <si>
    <t>US3373451026</t>
  </si>
  <si>
    <t>FIRSTTRUST RTUST NASDAQ CLEAN EDGE</t>
  </si>
  <si>
    <t>US33737A1088</t>
  </si>
  <si>
    <t>Van Eck ETF</t>
  </si>
  <si>
    <t>549300WSDUDKDJCJOV22</t>
  </si>
  <si>
    <t>GDX_Vaneck Gold Mineres Etf</t>
  </si>
  <si>
    <t>US92189F1066</t>
  </si>
  <si>
    <t>Global X Management Co LLc</t>
  </si>
  <si>
    <t>213800R3E823B1UBIA81</t>
  </si>
  <si>
    <t>GLOBAL X US INFRASTRUCTURE</t>
  </si>
  <si>
    <t>US37954Y6730</t>
  </si>
  <si>
    <t>Health spdr xlv</t>
  </si>
  <si>
    <t>US81369Y2090</t>
  </si>
  <si>
    <t>HORIZON</t>
  </si>
  <si>
    <t>549300UV6MMK38353F61</t>
  </si>
  <si>
    <t>HORIZON S&amp;P/TSX 60 INDEX ETF</t>
  </si>
  <si>
    <t>CA44056G1054</t>
  </si>
  <si>
    <t>TSX </t>
  </si>
  <si>
    <t>IEML LN Equity</t>
  </si>
  <si>
    <t>IE00B5M4WH52</t>
  </si>
  <si>
    <t>IHI US</t>
  </si>
  <si>
    <t>US4642888105</t>
  </si>
  <si>
    <t>Industrail select</t>
  </si>
  <si>
    <t>US81369Y7040</t>
  </si>
  <si>
    <t>INVESCO US HIGH YIELD FALLEN A</t>
  </si>
  <si>
    <t>IE0009D6K2A2</t>
  </si>
  <si>
    <t>ISF LN_ISHARES FTSE 100</t>
  </si>
  <si>
    <t>IE0005042456</t>
  </si>
  <si>
    <t>ISHARES $ HIGH YIELD CORPORATE</t>
  </si>
  <si>
    <t>IE00B4PY7Y77</t>
  </si>
  <si>
    <t>Ishares ftse china25</t>
  </si>
  <si>
    <t>US4642871846</t>
  </si>
  <si>
    <t>ISHARES JP MORGAN USE EM CORP</t>
  </si>
  <si>
    <t>IE00BFM6TD65</t>
  </si>
  <si>
    <t>ISHARES MSCI EMERGING MARKETS</t>
  </si>
  <si>
    <t>US46434G7640</t>
  </si>
  <si>
    <t>Ishares U.S. BR</t>
  </si>
  <si>
    <t>US4642887941</t>
  </si>
  <si>
    <t>ISHARES USD SHORT DURATION COR</t>
  </si>
  <si>
    <t>IE00BYXYYP94</t>
  </si>
  <si>
    <t>LYXOR ETF</t>
  </si>
  <si>
    <t>549300D36R80ZKQLJ385</t>
  </si>
  <si>
    <t>Lyxor etf cac 40</t>
  </si>
  <si>
    <t>FR0007052782</t>
  </si>
  <si>
    <t>LYXOR STOXX EUROPE 600 HEALTHC</t>
  </si>
  <si>
    <t>LU1834986900</t>
  </si>
  <si>
    <t>MATERIALS SEL SECTO</t>
  </si>
  <si>
    <t>549300N81BAQ1XPGBT65</t>
  </si>
  <si>
    <t>Materiales sel sector</t>
  </si>
  <si>
    <t>US81369Y1001</t>
  </si>
  <si>
    <t>לא מוגדר</t>
  </si>
  <si>
    <t>MCHI</t>
  </si>
  <si>
    <t>US46429B6719</t>
  </si>
  <si>
    <t>NERGY S.SECTOR SPDR</t>
  </si>
  <si>
    <t>US81369Y5069</t>
  </si>
  <si>
    <t>Powershares  QQQ NAS1</t>
  </si>
  <si>
    <t>US46090E1038</t>
  </si>
  <si>
    <t>Real Estate Select Sector SPDR</t>
  </si>
  <si>
    <t>US81369Y8600</t>
  </si>
  <si>
    <t>spdr Amex tech sel indx</t>
  </si>
  <si>
    <t>US81369Y8030</t>
  </si>
  <si>
    <t>SPDR BL00MBERG SASB U.S HIGH</t>
  </si>
  <si>
    <t>IE00B99FL386</t>
  </si>
  <si>
    <t>Real Estate Credit Investments Pcc ltd</t>
  </si>
  <si>
    <t>549300D9O5F5P2DTYB19</t>
  </si>
  <si>
    <t>SPDR BLOOMBERG BAR</t>
  </si>
  <si>
    <t>US78488R4083</t>
  </si>
  <si>
    <t>SPDR MSCI EUROPE CONSUMER DISC</t>
  </si>
  <si>
    <t>IE00BKWQ0C77</t>
  </si>
  <si>
    <t>VANECK VECTORS SEMICONDUCTOR</t>
  </si>
  <si>
    <t>US92189F6768</t>
  </si>
  <si>
    <t>Vanguard Group</t>
  </si>
  <si>
    <t>QS6WHLCJOJSYY4PYNF72</t>
  </si>
  <si>
    <t>VANGUARD S&amp;P MID-CAP 400 ETF</t>
  </si>
  <si>
    <t>US9219328856</t>
  </si>
  <si>
    <t>WisdomTree Europe ltd</t>
  </si>
  <si>
    <t>549300R6SLTQ0LZOHH17</t>
  </si>
  <si>
    <t>Wisdomtree em ex-state-owned D E</t>
  </si>
  <si>
    <t>US97717X5784</t>
  </si>
  <si>
    <t>WISDOMTREE INDI</t>
  </si>
  <si>
    <t>US97717W4226</t>
  </si>
  <si>
    <t>DB x TRACKERS</t>
  </si>
  <si>
    <t>549300GFAB28PI25Z431</t>
  </si>
  <si>
    <t>XTRXCKERS NIKKEI 225 UCITS ETF</t>
  </si>
  <si>
    <t>LU0839027447</t>
  </si>
  <si>
    <t>קסם קרנות נאמנות בע"מ</t>
  </si>
  <si>
    <t>510938608</t>
  </si>
  <si>
    <t>FTSE 100 (4D) ETF קסם</t>
  </si>
  <si>
    <t>IL0011464976</t>
  </si>
  <si>
    <t>הראל סל 4DMSCI AC World</t>
  </si>
  <si>
    <t>IL0011493355</t>
  </si>
  <si>
    <t>הראל סל NDX 100</t>
  </si>
  <si>
    <t>IL0011490385</t>
  </si>
  <si>
    <t>מור סל )4D(י S&amp;P 500</t>
  </si>
  <si>
    <t>IL0011658106</t>
  </si>
  <si>
    <t>קסם MSCI AC World (4D) ETF</t>
  </si>
  <si>
    <t>IL0011466799</t>
  </si>
  <si>
    <t>קסם S&amp;P 500 (4D) ETF</t>
  </si>
  <si>
    <t>IL0011464711</t>
  </si>
  <si>
    <t>קסםXOTS006.</t>
  </si>
  <si>
    <t>IL0011462087</t>
  </si>
  <si>
    <t>AMUNDI MSCI EMERGING MARKETS I</t>
  </si>
  <si>
    <t>LU2573967036</t>
  </si>
  <si>
    <t>Franklin FTSE South Korea ETF</t>
  </si>
  <si>
    <t>549300CQX72NL1HVMO40</t>
  </si>
  <si>
    <t>FRANKLIN FTSE SOUTH KOREA ETF</t>
  </si>
  <si>
    <t>US35473P7107</t>
  </si>
  <si>
    <t>invesco</t>
  </si>
  <si>
    <t>54930002LY1J35GNQS37</t>
  </si>
  <si>
    <t>INVESCO S&amp;P EQUAL WEIGHT I</t>
  </si>
  <si>
    <t>US46137V3244</t>
  </si>
  <si>
    <t>IVV US iShares S&amp;P 500 Index F</t>
  </si>
  <si>
    <t>US4642872000</t>
  </si>
  <si>
    <t>LYXOR CORE STOXX EUROPE 600 DR</t>
  </si>
  <si>
    <t>LU0908500753</t>
  </si>
  <si>
    <t>Lyxor S&amp;P 500 Ucits Etf - c-eu</t>
  </si>
  <si>
    <t>LU1135865084</t>
  </si>
  <si>
    <t>Guggenheim Capital LLC</t>
  </si>
  <si>
    <t>549300BDOTSNHM6LG979</t>
  </si>
  <si>
    <t>RSP US</t>
  </si>
  <si>
    <t>US46137V3574</t>
  </si>
  <si>
    <t>Source Markets plc</t>
  </si>
  <si>
    <t>12119</t>
  </si>
  <si>
    <t>SDJE50 GR Equity</t>
  </si>
  <si>
    <t>IE00B60SWX25</t>
  </si>
  <si>
    <t>SOURCE S&amp;P 500 UCITS EFT</t>
  </si>
  <si>
    <t>IE00B3YCGJ38</t>
  </si>
  <si>
    <t>VANGUARD S&amp;P 50</t>
  </si>
  <si>
    <t>us9229083632</t>
  </si>
  <si>
    <t>VANGUARD S&amp;P 500 VALUE ETF</t>
  </si>
  <si>
    <t>US9219327031</t>
  </si>
  <si>
    <t>VANGUARD TOTAL WORLD STOCK ETF</t>
  </si>
  <si>
    <t>US9220427424</t>
  </si>
  <si>
    <t>MTF סל תלבונד 60</t>
  </si>
  <si>
    <t>IL0011499964</t>
  </si>
  <si>
    <t xml:space="preserve">אג"ח בישראל - חברות והמרה  </t>
  </si>
  <si>
    <t>STX600.MTF</t>
  </si>
  <si>
    <t>IL0011502262</t>
  </si>
  <si>
    <t>הראל סל בונד שק- בנקוביט</t>
  </si>
  <si>
    <t>IL0011507477</t>
  </si>
  <si>
    <t>הראל סל תל בונד שקלי</t>
  </si>
  <si>
    <t>IL0011505232</t>
  </si>
  <si>
    <t>קסם קרן סל תא 125</t>
  </si>
  <si>
    <t>IL0011463564</t>
  </si>
  <si>
    <t>קסם תל דיב</t>
  </si>
  <si>
    <t>IL0011459117</t>
  </si>
  <si>
    <t>Ishares msci acwi index</t>
  </si>
  <si>
    <t>us4642882579</t>
  </si>
  <si>
    <t>פסגות קרנות נאמנות בע"מ</t>
  </si>
  <si>
    <t>513765339</t>
  </si>
  <si>
    <t>פסגות קרן סל SP500</t>
  </si>
  <si>
    <t>IL0011481624</t>
  </si>
  <si>
    <t>AMUNDI S&amp;P 500 UCITS ETF</t>
  </si>
  <si>
    <t>LU1681049018</t>
  </si>
  <si>
    <t>MTF סל (S&amp;P 500 (4D</t>
  </si>
  <si>
    <t>IL0011503336</t>
  </si>
  <si>
    <t>הראל סל תל בונד 60</t>
  </si>
  <si>
    <t>IL0011504730</t>
  </si>
  <si>
    <t>מור סל (A4) ת"א -125</t>
  </si>
  <si>
    <t>IL0011961534</t>
  </si>
  <si>
    <t>פסגות ETF תל בונד צמודות A</t>
  </si>
  <si>
    <t>IL0011484776</t>
  </si>
  <si>
    <t>קסם iBox $ IG30 ETF</t>
  </si>
  <si>
    <t>IL0011469199</t>
  </si>
  <si>
    <t>קסם תא 90</t>
  </si>
  <si>
    <t>IL0011463317</t>
  </si>
  <si>
    <t>Ishares Msci  Asia ex Japn</t>
  </si>
  <si>
    <t>US4642881829</t>
  </si>
  <si>
    <t>ISHARES MSCI ACWI US ETF</t>
  </si>
  <si>
    <t>US4642882405</t>
  </si>
  <si>
    <t>ISHARES STOXX ERUOPE 600 INDUS</t>
  </si>
  <si>
    <t>DE000A0H08J9</t>
  </si>
  <si>
    <t>SPDR S&amp;P 500 ETF TRUST</t>
  </si>
  <si>
    <t>US78462F1030</t>
  </si>
  <si>
    <t>VANGUARD FTSE ALL-WORLD EX-US</t>
  </si>
  <si>
    <t>US9220427754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</si>
  <si>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</si>
  <si>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</si>
  <si>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</si>
  <si>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</si>
  <si>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</si>
  <si>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</si>
  <si>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</si>
  <si>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</si>
  <si>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</si>
  <si>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</si>
  <si>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</si>
  <si>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</si>
  <si>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</si>
  <si>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</si>
  <si>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</si>
  <si>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</si>
  <si>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</si>
  <si>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</si>
  <si>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</si>
  <si>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</si>
  <si>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</si>
  <si>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</si>
  <si>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</si>
  <si>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</si>
  <si>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</si>
  <si>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</si>
  <si>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</si>
  <si>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</si>
  <si>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</si>
  <si>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</si>
  <si>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</si>
  <si>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</si>
  <si>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Energean plc</t>
  </si>
  <si>
    <t>549300RVMKU0CYUZBB05</t>
  </si>
  <si>
    <t>אנרג'יאן</t>
  </si>
  <si>
    <t>GB00BG12Y042</t>
  </si>
  <si>
    <t>אפריקה ישראל תעשיות בע"מ</t>
  </si>
  <si>
    <t>520026618</t>
  </si>
  <si>
    <t>אפריקה תעשיות</t>
  </si>
  <si>
    <t>IL0008000114</t>
  </si>
  <si>
    <t>קבוצת אשטרום</t>
  </si>
  <si>
    <t>510381601</t>
  </si>
  <si>
    <t>אשטרום קבוצה</t>
  </si>
  <si>
    <t>IL0011323156</t>
  </si>
  <si>
    <t>בוליגו קפיטל בע"מ</t>
  </si>
  <si>
    <t>514766195</t>
  </si>
  <si>
    <t>בוליגו</t>
  </si>
  <si>
    <t>IL0011805954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</si>
  <si>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</si>
  <si>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</si>
  <si>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</si>
  <si>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</si>
  <si>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</si>
  <si>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</si>
  <si>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</si>
  <si>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</si>
  <si>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</si>
  <si>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</si>
  <si>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</si>
  <si>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</si>
  <si>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</si>
  <si>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</si>
  <si>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</si>
  <si>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</si>
  <si>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בית-הזהב בע"מ</t>
  </si>
  <si>
    <t>520034562</t>
  </si>
  <si>
    <t>בית הזהב</t>
  </si>
  <si>
    <t>IL0002350101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</si>
  <si>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</si>
  <si>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</si>
  <si>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</si>
  <si>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</si>
  <si>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</si>
  <si>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</si>
  <si>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</si>
  <si>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</si>
  <si>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</si>
  <si>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</si>
  <si>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</si>
  <si>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</si>
  <si>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</si>
  <si>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</si>
  <si>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</si>
  <si>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</si>
  <si>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</si>
  <si>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</si>
  <si>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</si>
  <si>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</si>
  <si>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</si>
  <si>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</si>
  <si>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</si>
  <si>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</si>
  <si>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חלל-תקשורת בע"מ</t>
  </si>
  <si>
    <t>511396046</t>
  </si>
  <si>
    <t>חלל תקשורת</t>
  </si>
  <si>
    <t>IL0010923451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</si>
  <si>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</si>
  <si>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</si>
  <si>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</si>
  <si>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</si>
  <si>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</si>
  <si>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</si>
  <si>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</si>
  <si>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</si>
  <si>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</si>
  <si>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</si>
  <si>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</si>
  <si>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</si>
  <si>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</si>
  <si>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</si>
  <si>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</si>
  <si>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</si>
  <si>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</si>
  <si>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</si>
  <si>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</si>
  <si>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</si>
  <si>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</si>
  <si>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</si>
  <si>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</si>
  <si>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</si>
  <si>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</si>
  <si>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</si>
  <si>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</si>
  <si>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</si>
  <si>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</si>
  <si>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</si>
  <si>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</si>
  <si>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</si>
  <si>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</si>
  <si>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</si>
  <si>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</si>
  <si>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</si>
  <si>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</si>
  <si>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</si>
  <si>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</si>
  <si>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</si>
  <si>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</si>
  <si>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</si>
  <si>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</si>
  <si>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</si>
  <si>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</si>
  <si>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</si>
  <si>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</si>
  <si>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</si>
  <si>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</si>
  <si>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</si>
  <si>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</si>
  <si>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</si>
  <si>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</si>
  <si>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</si>
  <si>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</si>
  <si>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</si>
  <si>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</si>
  <si>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</si>
  <si>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סיפיה ווז'ן בע"מ</t>
  </si>
  <si>
    <t>513476010</t>
  </si>
  <si>
    <t>סיפיה וויזן</t>
  </si>
  <si>
    <t>IL0011819328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</si>
  <si>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</si>
  <si>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</si>
  <si>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</si>
  <si>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</si>
  <si>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</si>
  <si>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</si>
  <si>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</si>
  <si>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</si>
  <si>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</si>
  <si>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</si>
  <si>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</si>
  <si>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</si>
  <si>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פלסאנמור בע"מ</t>
  </si>
  <si>
    <t>515139129</t>
  </si>
  <si>
    <t>פלסאנמור</t>
  </si>
  <si>
    <t>IL0011767006</t>
  </si>
  <si>
    <t>חברת פרטנר תקשורת בע"מ</t>
  </si>
  <si>
    <t>520044314</t>
  </si>
  <si>
    <t>פרטנר</t>
  </si>
  <si>
    <t>IL0010834849</t>
  </si>
  <si>
    <t>פרידנזון שירותים לוגיסטיים בע"מ</t>
  </si>
  <si>
    <t>510712466</t>
  </si>
  <si>
    <t>פרידנזון</t>
  </si>
  <si>
    <t>IL0011022196</t>
  </si>
  <si>
    <t>פריון נטוורק בע"מ לשעבר אינקרדימייל</t>
  </si>
  <si>
    <t>512849498</t>
  </si>
  <si>
    <t>פריון נטוורק</t>
  </si>
  <si>
    <t>IL0010958192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</si>
  <si>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</si>
  <si>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</si>
  <si>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</si>
  <si>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</si>
  <si>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</si>
  <si>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</si>
  <si>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</si>
  <si>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</si>
  <si>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</si>
  <si>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</si>
  <si>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</si>
  <si>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</si>
  <si>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</si>
  <si>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</si>
  <si>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</si>
  <si>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</si>
  <si>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amazon.com</t>
  </si>
  <si>
    <t>549300LQHH5G4WPME241</t>
  </si>
  <si>
    <t>AMAZON.COM INC</t>
  </si>
  <si>
    <t>US0231351067</t>
  </si>
  <si>
    <t>AMERICAN EXPRESS</t>
  </si>
  <si>
    <t>SV60HQBVB2DXO09D8H53</t>
  </si>
  <si>
    <t>American Express co</t>
  </si>
  <si>
    <t>US0258161092</t>
  </si>
  <si>
    <t>Diversified Financial Services Financial Services</t>
  </si>
  <si>
    <t>ALIBABA COM LTD</t>
  </si>
  <si>
    <t>549300561UZND4C7B569</t>
  </si>
  <si>
    <t>BABA US Alibaba Group Holding Ltd</t>
  </si>
  <si>
    <t>US01609W1027</t>
  </si>
  <si>
    <t>BIOGEN IDEC INC</t>
  </si>
  <si>
    <t>W8J5WZB5IY3K0NDQT671</t>
  </si>
  <si>
    <t>Biogen Inc</t>
  </si>
  <si>
    <t>US09062X1037</t>
  </si>
  <si>
    <t>BOEING CO</t>
  </si>
  <si>
    <t>549300U5Y5EL6PHYLF13</t>
  </si>
  <si>
    <t>Boeing Co</t>
  </si>
  <si>
    <t>US0970231058</t>
  </si>
  <si>
    <t>Food &amp; Staples Retailing Consumer Staples Distribution &amp; Retail</t>
  </si>
  <si>
    <t>CIFC SEN.SEC.COR.LOAN ISRLPE</t>
  </si>
  <si>
    <t>XD1338857968</t>
  </si>
  <si>
    <t>Deere&amp;Company</t>
  </si>
  <si>
    <t>PWFTNG3EI0Y73OXWDH08</t>
  </si>
  <si>
    <t>DEERE &amp; CO</t>
  </si>
  <si>
    <t>US2441991054</t>
  </si>
  <si>
    <t>FLEX LTD</t>
  </si>
  <si>
    <t>549300EAQH74YHD07T53</t>
  </si>
  <si>
    <t>SG9999000020</t>
  </si>
  <si>
    <t>גאמידה סל בע"מ</t>
  </si>
  <si>
    <t>512601204</t>
  </si>
  <si>
    <t>GAMIDA CELL LTD</t>
  </si>
  <si>
    <t>IL0011552663</t>
  </si>
  <si>
    <t>ALPHABET INC</t>
  </si>
  <si>
    <t>7ZW8QJWVPR4P1J1KQY45</t>
  </si>
  <si>
    <t>Google Us Class c</t>
  </si>
  <si>
    <t>US02079K1079</t>
  </si>
  <si>
    <t>Lvmh Moet Hennessy Louis Vui</t>
  </si>
  <si>
    <t>IOG4E947OATN0KJYSD45</t>
  </si>
  <si>
    <t>LVMH MOET HENNESSY LOUIS VUITT</t>
  </si>
  <si>
    <t>FR0000121014</t>
  </si>
  <si>
    <t>ConsumerStaplesDistrib&amp;Retai</t>
  </si>
  <si>
    <t>MASTERCARD INC</t>
  </si>
  <si>
    <t>AR5L2ODV9HN37376R084</t>
  </si>
  <si>
    <t>MASTERCARD UNC</t>
  </si>
  <si>
    <t>US57636Q1040</t>
  </si>
  <si>
    <t>MERCK &amp;CO INC</t>
  </si>
  <si>
    <t>4YV9Y5M8S0BRK1RP0397</t>
  </si>
  <si>
    <t>MERCK &amp; CO INC</t>
  </si>
  <si>
    <t>US58933Y1055</t>
  </si>
  <si>
    <t>MICROSOFT CORP</t>
  </si>
  <si>
    <t>INR2EJN1ERAN0W5ZP974</t>
  </si>
  <si>
    <t>Microsoft crop</t>
  </si>
  <si>
    <t>US5949181045</t>
  </si>
  <si>
    <t>MODERNA INC</t>
  </si>
  <si>
    <t>549300EI6OKH5K5Q2G38</t>
  </si>
  <si>
    <t>US60770K1079</t>
  </si>
  <si>
    <t>NASDAQ INC</t>
  </si>
  <si>
    <t>13300</t>
  </si>
  <si>
    <t>US6311031061</t>
  </si>
  <si>
    <t>Netflix Inc</t>
  </si>
  <si>
    <t>549300Y7VHGU0I7CE873</t>
  </si>
  <si>
    <t>NETFLIX INC</t>
  </si>
  <si>
    <t>US64110L1061</t>
  </si>
  <si>
    <t>Northrop Grumman Corp</t>
  </si>
  <si>
    <t>RIMU48P07456QXSO0R61</t>
  </si>
  <si>
    <t>NORTHROP GRUMMAN CORP</t>
  </si>
  <si>
    <t>US6668071029</t>
  </si>
  <si>
    <t>Novo Nordsik</t>
  </si>
  <si>
    <t>549300DAQ1CVT6CXN342</t>
  </si>
  <si>
    <t>NOVO NORDISK A/S</t>
  </si>
  <si>
    <t>US6701002056</t>
  </si>
  <si>
    <t>NVIDIA CORP</t>
  </si>
  <si>
    <t>549300S4KLFTLO7GSQ80</t>
  </si>
  <si>
    <t>Nvidia corp</t>
  </si>
  <si>
    <t>US67066G1040</t>
  </si>
  <si>
    <t>Pluristem Therapeutics Inc</t>
  </si>
  <si>
    <t>PLURISTEM THERAPEUTICS INC</t>
  </si>
  <si>
    <t>US72942G1040</t>
  </si>
  <si>
    <t>Prologis Inc</t>
  </si>
  <si>
    <t>529900DFH19P073LZ636</t>
  </si>
  <si>
    <t xml:space="preserve">PROLOGIS INC
</t>
  </si>
  <si>
    <t>US74340W1036</t>
  </si>
  <si>
    <t>SCHLUMBERGER LIMITED</t>
  </si>
  <si>
    <t>529900IKZG65COT1D505</t>
  </si>
  <si>
    <t>Schlumberger Ltd</t>
  </si>
  <si>
    <t>AN8068571086</t>
  </si>
  <si>
    <t>SONOS INC</t>
  </si>
  <si>
    <t>549300WEPU6075I77M08</t>
  </si>
  <si>
    <t>US83570H1086</t>
  </si>
  <si>
    <t>TAIWAN Semiconductor</t>
  </si>
  <si>
    <t>549300KB6NK5SBD14S87</t>
  </si>
  <si>
    <t>TAIWAN SEMICON ADR</t>
  </si>
  <si>
    <t>US8740391003</t>
  </si>
  <si>
    <t>TESLA MOTORS INC</t>
  </si>
  <si>
    <t>54930043XZGB27CTOV49</t>
  </si>
  <si>
    <t>US88160R1014</t>
  </si>
  <si>
    <t>Vbare Iberian Properties SOCIM</t>
  </si>
  <si>
    <t>959800X1MGWGZZW5ZS47</t>
  </si>
  <si>
    <t>VBARE IBERIAN PROPERTIES SOCIM</t>
  </si>
  <si>
    <t>ES0105196002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</si>
  <si>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</si>
  <si>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</si>
  <si>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</si>
  <si>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</si>
  <si>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</si>
  <si>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</si>
  <si>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</si>
  <si>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</si>
  <si>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DANAHER CORP</t>
  </si>
  <si>
    <t>S4BKK9OTCEWQ3YHPFM11</t>
  </si>
  <si>
    <t>US2358511028</t>
  </si>
  <si>
    <t>קבוצת דלק בע"מ</t>
  </si>
  <si>
    <t>520044322</t>
  </si>
  <si>
    <t>דלק קבוצה</t>
  </si>
  <si>
    <t>IL0010841281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</si>
  <si>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</si>
  <si>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</si>
  <si>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</si>
  <si>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</si>
  <si>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</si>
  <si>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</si>
  <si>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</si>
  <si>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</si>
  <si>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נקסט ויז'ן</t>
  </si>
  <si>
    <t>514259019</t>
  </si>
  <si>
    <t>IL0011765935</t>
  </si>
  <si>
    <t>פתאל החזקות 1998 בע"מ</t>
  </si>
  <si>
    <t>512607888</t>
  </si>
  <si>
    <t>פתאל החזקות</t>
  </si>
  <si>
    <t>IL0011434292</t>
  </si>
  <si>
    <t>רשת חנויות רמי לוי שיווק השיקמה 2006 בע"מ</t>
  </si>
  <si>
    <t>513770669</t>
  </si>
  <si>
    <t>רמי לוי</t>
  </si>
  <si>
    <t>IL0011042491</t>
  </si>
  <si>
    <t>חברת הכשרת הישוב בישראל בע"מ</t>
  </si>
  <si>
    <t>520020116</t>
  </si>
  <si>
    <t>הכשרה הישוב</t>
  </si>
  <si>
    <t>IL0006120104</t>
  </si>
  <si>
    <t>מניבים קרן הריט החדשה בע"מ</t>
  </si>
  <si>
    <t>515327120</t>
  </si>
  <si>
    <t>מניבים ריט</t>
  </si>
  <si>
    <t>IL0011405730</t>
  </si>
  <si>
    <t>י.ס.פ. מטעי הדר ישראל בע"מ</t>
  </si>
  <si>
    <t>520022369</t>
  </si>
  <si>
    <t>1 מטעי הדר</t>
  </si>
  <si>
    <t>IL0007160190</t>
  </si>
  <si>
    <t>5 מטעי הדר</t>
  </si>
  <si>
    <t>IL0007160356</t>
  </si>
  <si>
    <t>מולטי ריטייל גרופ בע"מ</t>
  </si>
  <si>
    <t>515546224</t>
  </si>
  <si>
    <t>מולטי ריטייל (אייס )</t>
  </si>
  <si>
    <t>IL0011716698</t>
  </si>
  <si>
    <t>אלומיי קפיטל בע"מ</t>
  </si>
  <si>
    <t>520039868</t>
  </si>
  <si>
    <t>ELLOMAY CAPITAL LTD RESTRICTED</t>
  </si>
  <si>
    <t>IL0010826357</t>
  </si>
  <si>
    <t>Outbrain Inc</t>
  </si>
  <si>
    <t>549300TNEHRXPVGWVW07</t>
  </si>
  <si>
    <t>OUTBRAIN INC</t>
  </si>
  <si>
    <t>US69002R1032</t>
  </si>
  <si>
    <t>מג'יק תעשיות תכנה בע"מ</t>
  </si>
  <si>
    <t>520036740</t>
  </si>
  <si>
    <t>מ.אופנהיימר מג'יק</t>
  </si>
  <si>
    <t>IL0010823123</t>
  </si>
  <si>
    <t>פי אס טי אי - חסום ניתן למכור (אופנהיימר)</t>
  </si>
  <si>
    <t>US72940R1023</t>
  </si>
  <si>
    <t>דנאל (אדיר יהושע) בע"מ</t>
  </si>
  <si>
    <t>520037565</t>
  </si>
  <si>
    <t>דנאל כא</t>
  </si>
  <si>
    <t>IL0003140139</t>
  </si>
  <si>
    <t>סאמיט אחזקות נדל"ן בע"מ</t>
  </si>
  <si>
    <t>520043720</t>
  </si>
  <si>
    <t>סאמיט</t>
  </si>
  <si>
    <t>IL0010816861</t>
  </si>
  <si>
    <t>פז בית זיקוק לנפט-אשדוד בע"מ</t>
  </si>
  <si>
    <t>513775163</t>
  </si>
  <si>
    <t>פז בית זיקוק אשדוד</t>
  </si>
  <si>
    <t>IL0011989105</t>
  </si>
  <si>
    <t>רבל אי.סי.אס. בע"מ</t>
  </si>
  <si>
    <t>513506329</t>
  </si>
  <si>
    <t>רבל</t>
  </si>
  <si>
    <t>IL0011038788</t>
  </si>
  <si>
    <t>תדיראן גרופ בע"מ</t>
  </si>
  <si>
    <t>520036732</t>
  </si>
  <si>
    <t>תדיראן גרופ</t>
  </si>
  <si>
    <t>IL0002580129</t>
  </si>
  <si>
    <t>CHECK CAP LTD</t>
  </si>
  <si>
    <t>514259811</t>
  </si>
  <si>
    <t>IL0011336851</t>
  </si>
  <si>
    <t>SAFRAN SA</t>
  </si>
  <si>
    <t>969500UIC89GT3UL7L24</t>
  </si>
  <si>
    <t>FR0000073272</t>
  </si>
  <si>
    <t>אדגר השקעות ופיתוח בע"מ</t>
  </si>
  <si>
    <t>520035171</t>
  </si>
  <si>
    <t>אדגר אגח ט</t>
  </si>
  <si>
    <t>IL0018201900</t>
  </si>
  <si>
    <t>A2</t>
  </si>
  <si>
    <t>01/07/2025</t>
  </si>
  <si>
    <t>אדמה פתרונות לחקלאות בע"מ</t>
  </si>
  <si>
    <t>520043605</t>
  </si>
  <si>
    <t>אדמה אגח ב</t>
  </si>
  <si>
    <t>IL0011109159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</si>
  <si>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</si>
  <si>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</si>
  <si>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</si>
  <si>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</si>
  <si>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</si>
  <si>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</si>
  <si>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</si>
  <si>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</si>
  <si>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</si>
  <si>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31/08/2030</t>
  </si>
  <si>
    <t>אזורים-חברה להשקעות בפתוח ובבנין בע"מ</t>
  </si>
  <si>
    <t>520025990</t>
  </si>
  <si>
    <t>אזורים סדרה 14</t>
  </si>
  <si>
    <t>IL0071504448</t>
  </si>
  <si>
    <t>31/12/2028</t>
  </si>
  <si>
    <t>איי.די.איי. הנפקות (2010) בע"מ</t>
  </si>
  <si>
    <t>514486042</t>
  </si>
  <si>
    <t>איידיאיי הנפקות אגח ו</t>
  </si>
  <si>
    <t>IL0011830374</t>
  </si>
  <si>
    <t>15/12/2028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</si>
  <si>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</si>
  <si>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</si>
  <si>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</si>
  <si>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</si>
  <si>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</si>
  <si>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</si>
  <si>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</si>
  <si>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</si>
  <si>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</si>
  <si>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</si>
  <si>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</si>
  <si>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</si>
  <si>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</si>
  <si>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אגח ה</t>
  </si>
  <si>
    <t>IL0073902228</t>
  </si>
  <si>
    <t>A+</t>
  </si>
  <si>
    <t>10/01/2031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</si>
  <si>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</si>
  <si>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</si>
  <si>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</si>
  <si>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</si>
  <si>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</si>
  <si>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</si>
  <si>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</si>
  <si>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</si>
  <si>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אשטרום נכסים בע"מ</t>
  </si>
  <si>
    <t>520036617</t>
  </si>
  <si>
    <t>אשטרום נכ אגח 14</t>
  </si>
  <si>
    <t>IL0012018961</t>
  </si>
  <si>
    <t>A</t>
  </si>
  <si>
    <t>01/01/2034</t>
  </si>
  <si>
    <t>אשטרום נכסים אגח 10</t>
  </si>
  <si>
    <t>IL0025102042</t>
  </si>
  <si>
    <t>02/01/2028</t>
  </si>
  <si>
    <t>בזן אגח י</t>
  </si>
  <si>
    <t>IL0025905113</t>
  </si>
  <si>
    <t>25/09/2031</t>
  </si>
  <si>
    <t>בי קומיוניקיישנס בע"מ לשעבר סמייל 012</t>
  </si>
  <si>
    <t>512832742</t>
  </si>
  <si>
    <t>בי קומיוניקיישנס אגח ו</t>
  </si>
  <si>
    <t>IL0011781510</t>
  </si>
  <si>
    <t>A3</t>
  </si>
  <si>
    <t>30/11/2026</t>
  </si>
  <si>
    <t>ביג אגח טו</t>
  </si>
  <si>
    <t>IL0011622219</t>
  </si>
  <si>
    <t>31/01/2030</t>
  </si>
  <si>
    <t>ביג אגח יח</t>
  </si>
  <si>
    <t>IL0011742264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</si>
  <si>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</si>
  <si>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</si>
  <si>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</si>
  <si>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</si>
  <si>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</si>
  <si>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</si>
  <si>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</si>
  <si>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</si>
  <si>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</si>
  <si>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</si>
  <si>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</si>
  <si>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</si>
  <si>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</si>
  <si>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</si>
  <si>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סד' ו'</t>
  </si>
  <si>
    <t>IL0075901285</t>
  </si>
  <si>
    <t>31/03/2026</t>
  </si>
  <si>
    <t>ג'י סיטי בע"מ</t>
  </si>
  <si>
    <t>520033234</t>
  </si>
  <si>
    <t>ג'י סיטי  אגח יא</t>
  </si>
  <si>
    <t>IL0012605460</t>
  </si>
  <si>
    <t>30/09/2024</t>
  </si>
  <si>
    <t>ג'נריישן קפיטל בע"מ</t>
  </si>
  <si>
    <t>515846558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</si>
  <si>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</si>
  <si>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</si>
  <si>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</si>
  <si>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</si>
  <si>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</si>
  <si>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</si>
  <si>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</si>
  <si>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</si>
  <si>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חברת השקעות דיסקונט בע"מ</t>
  </si>
  <si>
    <t>520023896</t>
  </si>
  <si>
    <t>דיסקונט השקעות אגח ו</t>
  </si>
  <si>
    <t>IL0063902071</t>
  </si>
  <si>
    <t>31/12/2025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</si>
  <si>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</si>
  <si>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</si>
  <si>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</si>
  <si>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</si>
  <si>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</si>
  <si>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</si>
  <si>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</si>
  <si>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</si>
  <si>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</si>
  <si>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</si>
  <si>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</si>
  <si>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הכשרת הישוב אגח 24</t>
  </si>
  <si>
    <t>IL0011915191</t>
  </si>
  <si>
    <t>הכשרת ישוב אגח 21</t>
  </si>
  <si>
    <t>IL0061202243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</si>
  <si>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</si>
  <si>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</si>
  <si>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</si>
  <si>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</si>
  <si>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</si>
  <si>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הנפקות אגח יט</t>
  </si>
  <si>
    <t>IL0011927725</t>
  </si>
  <si>
    <t>31/12/2029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</si>
  <si>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</si>
  <si>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</si>
  <si>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</si>
  <si>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</si>
  <si>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</si>
  <si>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</si>
  <si>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</si>
  <si>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</si>
  <si>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</si>
  <si>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</si>
  <si>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כלל ביטוח אגח א</t>
  </si>
  <si>
    <t>IL0011934812</t>
  </si>
  <si>
    <t>28/02/2028</t>
  </si>
  <si>
    <t>לאומי   אגח 179</t>
  </si>
  <si>
    <t>IL0060403727</t>
  </si>
  <si>
    <t>30/06/2026</t>
  </si>
  <si>
    <t>לאומי אגח סד 183</t>
  </si>
  <si>
    <t>IL0060405474</t>
  </si>
  <si>
    <t>25/11/2029</t>
  </si>
  <si>
    <t>מבנה אגח כה</t>
  </si>
  <si>
    <t>IL0022606367</t>
  </si>
  <si>
    <t>Aa2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</si>
  <si>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</si>
  <si>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</si>
  <si>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</si>
  <si>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</si>
  <si>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</si>
  <si>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</si>
  <si>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</si>
  <si>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</si>
  <si>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</si>
  <si>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</si>
  <si>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מזרחי טפ הנפק התח 69</t>
  </si>
  <si>
    <t>IL0012021593</t>
  </si>
  <si>
    <t>25/06/2029</t>
  </si>
  <si>
    <t>מזרחי טפחות הנפ 9/24</t>
  </si>
  <si>
    <t>IL0023102176</t>
  </si>
  <si>
    <t>29/09/2024</t>
  </si>
  <si>
    <t>מזרחי טפחות הנפקות אגח 42</t>
  </si>
  <si>
    <t>IL0023101830</t>
  </si>
  <si>
    <t>09/06/2030</t>
  </si>
  <si>
    <t>מליסרון  אגח כא</t>
  </si>
  <si>
    <t>IL0011946386</t>
  </si>
  <si>
    <t>01/01/2037</t>
  </si>
  <si>
    <t>מניף אגח א</t>
  </si>
  <si>
    <t>IL0011858839</t>
  </si>
  <si>
    <t>30/09/2026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</si>
  <si>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</si>
  <si>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</si>
  <si>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</si>
  <si>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</si>
  <si>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</si>
  <si>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</si>
  <si>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</si>
  <si>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</si>
  <si>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</si>
  <si>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</si>
  <si>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</si>
  <si>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</si>
  <si>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</si>
  <si>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נאוויטס פטרוליום, שותפות מוגבלת</t>
  </si>
  <si>
    <t>550263107</t>
  </si>
  <si>
    <t>נאוויטס פטרו אגח ו</t>
  </si>
  <si>
    <t>IL0012048257</t>
  </si>
  <si>
    <t>TASE </t>
  </si>
  <si>
    <t>30/09/2029</t>
  </si>
  <si>
    <t>ע.י נופר אנרגי' בע"מ</t>
  </si>
  <si>
    <t>514599943</t>
  </si>
  <si>
    <t>נופר אנרג אגח א</t>
  </si>
  <si>
    <t>IL0011793408</t>
  </si>
  <si>
    <t>נופר אנרג אגח ג</t>
  </si>
  <si>
    <t>IL0011980435</t>
  </si>
  <si>
    <t>30/06/2030</t>
  </si>
  <si>
    <t>SILVERSTEIN PROPERTIES LTD</t>
  </si>
  <si>
    <t>1970336</t>
  </si>
  <si>
    <t>סילברסטין אגח ב</t>
  </si>
  <si>
    <t>IL0011605974</t>
  </si>
  <si>
    <t>סלקום אגח יג</t>
  </si>
  <si>
    <t>IL0011891905</t>
  </si>
  <si>
    <t>06/01/2030</t>
  </si>
  <si>
    <t>עזריאלי אגח ה</t>
  </si>
  <si>
    <t>IL0011566036</t>
  </si>
  <si>
    <t>Aa1</t>
  </si>
  <si>
    <t>עזריאלי אגח ח</t>
  </si>
  <si>
    <t>IL0011786808</t>
  </si>
  <si>
    <t>02/01/2041</t>
  </si>
  <si>
    <t>פועלים התח נד יא</t>
  </si>
  <si>
    <t>IL0012014663</t>
  </si>
  <si>
    <t>07/12/2029</t>
  </si>
  <si>
    <t>הפניקס גיוסי הון (2009) בע"מ</t>
  </si>
  <si>
    <t>514290345</t>
  </si>
  <si>
    <t>פניקס הון אגח טו</t>
  </si>
  <si>
    <t>IL0012019530</t>
  </si>
  <si>
    <t>פתאל נכסים(אירופה)בע"מ</t>
  </si>
  <si>
    <t>515328250</t>
  </si>
  <si>
    <t>פתאל אירופה אגח ג</t>
  </si>
  <si>
    <t>IL0011418527</t>
  </si>
  <si>
    <t>30/08/2027</t>
  </si>
  <si>
    <t>AAPL</t>
  </si>
  <si>
    <t>549300S9XF92D1X8ME43</t>
  </si>
  <si>
    <t>AAPL 3.2 05/25</t>
  </si>
  <si>
    <t>US037833BG48</t>
  </si>
  <si>
    <t>13/05/2025</t>
  </si>
  <si>
    <t>Bank of America</t>
  </si>
  <si>
    <t>5493006QMFDDMYWIAM13</t>
  </si>
  <si>
    <t>BAC 4 01/22/25</t>
  </si>
  <si>
    <t>US06051GFM69</t>
  </si>
  <si>
    <t>BBB+</t>
  </si>
  <si>
    <t>22/01/2025</t>
  </si>
  <si>
    <t>MOTOROLA INC</t>
  </si>
  <si>
    <t>6S552MUG6KGJVEBSEC55</t>
  </si>
  <si>
    <t>MSI 7 1/2 05/15/25</t>
  </si>
  <si>
    <t>US620076AH21</t>
  </si>
  <si>
    <t>BBB</t>
  </si>
  <si>
    <t>15/05/2025</t>
  </si>
  <si>
    <t>TEVA 4.375% 09/05/30</t>
  </si>
  <si>
    <t>XS2406607171</t>
  </si>
  <si>
    <t>BB-</t>
  </si>
  <si>
    <t>09/05/2030</t>
  </si>
  <si>
    <t>Chamoss International Limited</t>
  </si>
  <si>
    <t>633896</t>
  </si>
  <si>
    <t>שמוס אגח א</t>
  </si>
  <si>
    <t>IL0011559510</t>
  </si>
  <si>
    <t>10/07/2028</t>
  </si>
  <si>
    <t>אשטרום קב אגח ג</t>
  </si>
  <si>
    <t>IL0011401028</t>
  </si>
  <si>
    <t>15/01/2029</t>
  </si>
  <si>
    <t>ביג אגח כ</t>
  </si>
  <si>
    <t>IL0011861882</t>
  </si>
  <si>
    <t>01/05/2033</t>
  </si>
  <si>
    <t>הראל הנפק אגח יח</t>
  </si>
  <si>
    <t>IL0011826661</t>
  </si>
  <si>
    <t>31/12/2032</t>
  </si>
  <si>
    <t>מז  הנפק    46 1.22% 9/2027</t>
  </si>
  <si>
    <t>IL0023102259</t>
  </si>
  <si>
    <t>28/09/2027</t>
  </si>
  <si>
    <t>מליסרון אגח יא</t>
  </si>
  <si>
    <t>IL0032302080</t>
  </si>
  <si>
    <t>10/07/2025</t>
  </si>
  <si>
    <t>אייסיאל   אגח ז</t>
  </si>
  <si>
    <t>IL0028103724</t>
  </si>
  <si>
    <t>31/12/2034</t>
  </si>
  <si>
    <t>אלוני חץ  אגח ט</t>
  </si>
  <si>
    <t>IL0039003541</t>
  </si>
  <si>
    <t>28/02/2027</t>
  </si>
  <si>
    <t>אפי נכסים אגח י</t>
  </si>
  <si>
    <t>IL0011608788</t>
  </si>
  <si>
    <t>30/03/2029</t>
  </si>
  <si>
    <t>ארזים השקעות בע"מ</t>
  </si>
  <si>
    <t>520034281</t>
  </si>
  <si>
    <t>ארזים 2</t>
  </si>
  <si>
    <t>IL0013800474</t>
  </si>
  <si>
    <t>D</t>
  </si>
  <si>
    <t>30/04/2027</t>
  </si>
  <si>
    <t>הראל הנפק אגח ז</t>
  </si>
  <si>
    <t>IL0011260770</t>
  </si>
  <si>
    <t>31/05/2024</t>
  </si>
  <si>
    <t>הראל הנפקות אגח י</t>
  </si>
  <si>
    <t>IL0011340481</t>
  </si>
  <si>
    <t>מגדל ביטוח גיוס הון בע"מ</t>
  </si>
  <si>
    <t>513230029</t>
  </si>
  <si>
    <t>מגדל הון אגח ז</t>
  </si>
  <si>
    <t>IL0011560419</t>
  </si>
  <si>
    <t>מזרחי הנפקות 40</t>
  </si>
  <si>
    <t>IL0023101673</t>
  </si>
  <si>
    <t>08/06/2025</t>
  </si>
  <si>
    <t>חברת נמלי ישראל - פיתוח נכסים בע"מ</t>
  </si>
  <si>
    <t>513569780</t>
  </si>
  <si>
    <t>נמלי ישראל אגח א</t>
  </si>
  <si>
    <t>IL0011455644</t>
  </si>
  <si>
    <t>פז חברת הנפט בע"מ</t>
  </si>
  <si>
    <t>510216054</t>
  </si>
  <si>
    <t>פז נפט אגח ד</t>
  </si>
  <si>
    <t>IL0011325052</t>
  </si>
  <si>
    <t>פרטנר אגח ז</t>
  </si>
  <si>
    <t>IL0011563975</t>
  </si>
  <si>
    <t>25/06/2027</t>
  </si>
  <si>
    <t>ני"ע זרים בחו"ל</t>
  </si>
  <si>
    <t>549300W384M3RI3VXU42</t>
  </si>
  <si>
    <t>42/5%303.5MITIT</t>
  </si>
  <si>
    <t>US87927YAB83</t>
  </si>
  <si>
    <t>B+</t>
  </si>
  <si>
    <t>30/05/2024</t>
  </si>
  <si>
    <t>Allianz</t>
  </si>
  <si>
    <t>515527968</t>
  </si>
  <si>
    <t>ALVGR 3 3/8 PERP</t>
  </si>
  <si>
    <t>DE000A13R7Z7</t>
  </si>
  <si>
    <t>18/09/2024</t>
  </si>
  <si>
    <t>Bayer AG</t>
  </si>
  <si>
    <t>YEH5ZCD6E441RHVHD759</t>
  </si>
  <si>
    <t>BAYNGY 4 1/2 03/25/2082</t>
  </si>
  <si>
    <t>XS2451802768</t>
  </si>
  <si>
    <t>Ba1</t>
  </si>
  <si>
    <t>25/03/2082</t>
  </si>
  <si>
    <t>CITIGROUP INC</t>
  </si>
  <si>
    <t>6SHGI4ZSSLCXXQSBB395</t>
  </si>
  <si>
    <t>C 3.875% 03/26/25</t>
  </si>
  <si>
    <t>US172967JL61</t>
  </si>
  <si>
    <t>Baa2</t>
  </si>
  <si>
    <t>26/03/2025</t>
  </si>
  <si>
    <t>GOODYEAR TIRE &amp; RUBBER CO</t>
  </si>
  <si>
    <t>5493002BI0S2ZQUY3437</t>
  </si>
  <si>
    <t>GT 5 05/31/26</t>
  </si>
  <si>
    <t>US382550BF73</t>
  </si>
  <si>
    <t>B2</t>
  </si>
  <si>
    <t>HEWLETT-PACKARD CO</t>
  </si>
  <si>
    <t>WHKXQACZ14C5XRO8LW03</t>
  </si>
  <si>
    <t>HPE 4.9 10/15/25</t>
  </si>
  <si>
    <t>US42824CAW91</t>
  </si>
  <si>
    <t>15/10/2025</t>
  </si>
  <si>
    <t>Sydney Airport</t>
  </si>
  <si>
    <t>549300MJAANHLHOVTO40</t>
  </si>
  <si>
    <t>SYDAU 3 5/8 04/28/26</t>
  </si>
  <si>
    <t>USQ8809VAH26</t>
  </si>
  <si>
    <t>28/04/2026</t>
  </si>
  <si>
    <t>WALGREENS BOOTS ALLIANCE</t>
  </si>
  <si>
    <t>549300RPTUOIXG4LIH86</t>
  </si>
  <si>
    <t>WBA 3.45 06/01/26</t>
  </si>
  <si>
    <t>US931427AQ19</t>
  </si>
  <si>
    <t>Ba2</t>
  </si>
  <si>
    <t>01/06/2026</t>
  </si>
  <si>
    <t>אזורים אגח 13</t>
  </si>
  <si>
    <t>IL0071504109</t>
  </si>
  <si>
    <t>אמות השקעות בע"מ</t>
  </si>
  <si>
    <t>520026683</t>
  </si>
  <si>
    <t>אמות אגח ד</t>
  </si>
  <si>
    <t>IL0011331498</t>
  </si>
  <si>
    <t>02/07/2028</t>
  </si>
  <si>
    <t>אמות אגח ה</t>
  </si>
  <si>
    <t>IL0011381147</t>
  </si>
  <si>
    <t>04/01/2026</t>
  </si>
  <si>
    <t>ביג מרכזי קניות יב</t>
  </si>
  <si>
    <t>IL0011562316</t>
  </si>
  <si>
    <t>25/02/2028</t>
  </si>
  <si>
    <t>מניבים ריט אגח ב</t>
  </si>
  <si>
    <t>IL0011559288</t>
  </si>
  <si>
    <t>רבוע כחול נדל"ן בע"מ</t>
  </si>
  <si>
    <t>513765859</t>
  </si>
  <si>
    <t>רבוע נדלן אגח ו</t>
  </si>
  <si>
    <t>IL0011406076</t>
  </si>
  <si>
    <t>הראל הנפ אג יז</t>
  </si>
  <si>
    <t>IL0011614547</t>
  </si>
  <si>
    <t>לאומי   אגח 180</t>
  </si>
  <si>
    <t>IL0060404220</t>
  </si>
  <si>
    <t>28/02/2025</t>
  </si>
  <si>
    <t>מז טפ הנפ אגח60</t>
  </si>
  <si>
    <t>IL0023104560</t>
  </si>
  <si>
    <t>05/09/2024</t>
  </si>
  <si>
    <t>מזרחי טפחות הנפק 49</t>
  </si>
  <si>
    <t>IL0023102820</t>
  </si>
  <si>
    <t>23/06/2026</t>
  </si>
  <si>
    <t>מליסרון אגח יד</t>
  </si>
  <si>
    <t>IL0032302320</t>
  </si>
  <si>
    <t>27/04/2026</t>
  </si>
  <si>
    <t>פועלים אגח 203</t>
  </si>
  <si>
    <t>IL0011998684</t>
  </si>
  <si>
    <t>02/12/2030</t>
  </si>
  <si>
    <t>קיסטון ריט בע"מ</t>
  </si>
  <si>
    <t>515983476</t>
  </si>
  <si>
    <t>קיסטון ריט אגח א</t>
  </si>
  <si>
    <t>IL0011821878</t>
  </si>
  <si>
    <t>אשטרום קב אגח ב</t>
  </si>
  <si>
    <t>IL0011323313</t>
  </si>
  <si>
    <t>11/05/2025</t>
  </si>
  <si>
    <t>חוזים עתידיים בחול</t>
  </si>
  <si>
    <t>10527</t>
  </si>
  <si>
    <t>ESM4_S&amp;P 500 EMINI FUT JUN24</t>
  </si>
  <si>
    <t>ESM4</t>
  </si>
  <si>
    <t>NASDAQD </t>
  </si>
  <si>
    <t>NQM4_NASDAQ 100 E-MINI JUN24</t>
  </si>
  <si>
    <t>NQM4</t>
  </si>
  <si>
    <t>US 10 YR ULTRA FUT JUN24</t>
  </si>
  <si>
    <t>UXYM4</t>
  </si>
  <si>
    <t>סיפיה אופציה 1</t>
  </si>
  <si>
    <t>IL0011820052</t>
  </si>
  <si>
    <t>18/11/2024</t>
  </si>
  <si>
    <t>ריט אזורים אפ 1</t>
  </si>
  <si>
    <t>IL0012010117</t>
  </si>
  <si>
    <t>31/12/2024</t>
  </si>
  <si>
    <t>NAV
(במטבע הדיווח של קרן ההשקעה)</t>
  </si>
  <si>
    <t>JTLV III FUND, LIMITED PARTNERSHIP</t>
  </si>
  <si>
    <t>540316908</t>
  </si>
  <si>
    <t>3 JTLV</t>
  </si>
  <si>
    <t>06/06/2022</t>
  </si>
  <si>
    <t>FIMI OPPORTUNITY FUND , L.P</t>
  </si>
  <si>
    <t>530278548</t>
  </si>
  <si>
    <t>FIMI ISRAEL OPPORTUNITY FOUND 7</t>
  </si>
  <si>
    <t>24/05/2021</t>
  </si>
  <si>
    <t>Firstime Ventures General Partner L.P.</t>
  </si>
  <si>
    <t>27986</t>
  </si>
  <si>
    <t>FIRST TIME</t>
  </si>
  <si>
    <t>02/07/2015</t>
  </si>
  <si>
    <t>FIRSTIME III</t>
  </si>
  <si>
    <t>18/11/2021</t>
  </si>
  <si>
    <t>FIRSTIME VENTURES II L.P</t>
  </si>
  <si>
    <t>12/02/2017</t>
  </si>
  <si>
    <t>ION ISRAEL FEEDER FUND LTD</t>
  </si>
  <si>
    <t>27177</t>
  </si>
  <si>
    <t>ION ISR. FEEDER 2013( USA ) 07  ׁ</t>
  </si>
  <si>
    <t>18/02/2021</t>
  </si>
  <si>
    <t>ISRAEL INFRASTRUCTURE FUND III, L.P.</t>
  </si>
  <si>
    <t>530274141</t>
  </si>
  <si>
    <t>ISRAEL INFR III</t>
  </si>
  <si>
    <t>13/10/2016</t>
  </si>
  <si>
    <t>ISRAEL INFRASTRUCTURE FUND IV, LP</t>
  </si>
  <si>
    <t>540294725</t>
  </si>
  <si>
    <t>Israel Infrastructure Fund IV</t>
  </si>
  <si>
    <t>13/10/2020</t>
  </si>
  <si>
    <t>Israel secondary fund</t>
  </si>
  <si>
    <t>12962</t>
  </si>
  <si>
    <t>ISRAEL SECONDARY FUND II L.P</t>
  </si>
  <si>
    <t>06/04/2017</t>
  </si>
  <si>
    <t>JVP VII OPPORTUNITY LP</t>
  </si>
  <si>
    <t>500452859</t>
  </si>
  <si>
    <t>28/02/2016</t>
  </si>
  <si>
    <t xml:space="preserve">Klirmark Opportunity Fund </t>
  </si>
  <si>
    <t>CO-101523</t>
  </si>
  <si>
    <t>KLIRMARK III</t>
  </si>
  <si>
    <t>06/11/2019</t>
  </si>
  <si>
    <t>Klirmark IV</t>
  </si>
  <si>
    <t>17/04/2023</t>
  </si>
  <si>
    <t>NEXTIME VENTURES I L.P</t>
  </si>
  <si>
    <t>01/07/2019</t>
  </si>
  <si>
    <t>QUMRA CAPITAL MANAGEMENT LTD</t>
  </si>
  <si>
    <t>514915941</t>
  </si>
  <si>
    <t>QUMRA CAPITAL I</t>
  </si>
  <si>
    <t>30/12/2014</t>
  </si>
  <si>
    <t>QUMRA CAPITAL II LP</t>
  </si>
  <si>
    <t>13/08/2017</t>
  </si>
  <si>
    <t>Qumra Capital III</t>
  </si>
  <si>
    <t>17/02/2021</t>
  </si>
  <si>
    <t>Qumra Opportunity Fund</t>
  </si>
  <si>
    <t>05/05/2021</t>
  </si>
  <si>
    <t>RAFARMA INVESTMENTS 2020, LP</t>
  </si>
  <si>
    <t>540300902</t>
  </si>
  <si>
    <t>RACAH NANO VENTURE FUND</t>
  </si>
  <si>
    <t>09/07/2019</t>
  </si>
  <si>
    <t>31/12/2023</t>
  </si>
  <si>
    <t>RACAH NANO VENTURE FUND, LP</t>
  </si>
  <si>
    <t>540286820</t>
  </si>
  <si>
    <t>RAFARMA INVESTMENTS2020 LP</t>
  </si>
  <si>
    <t>21/12/2020</t>
  </si>
  <si>
    <t>SKY IV</t>
  </si>
  <si>
    <t>89839</t>
  </si>
  <si>
    <t>20/03/2022</t>
  </si>
  <si>
    <t>TERRA VENTURE PARTNERS</t>
  </si>
  <si>
    <t>222100FKDNQA51J4LR95</t>
  </si>
  <si>
    <t>TERRA VENTURES 3</t>
  </si>
  <si>
    <t>13/06/2019</t>
  </si>
  <si>
    <t>Vintage Fund of Funds IV (Israel), L.P.</t>
  </si>
  <si>
    <t>500450531</t>
  </si>
  <si>
    <t>Vintage FOF IV</t>
  </si>
  <si>
    <t>22/05/2016</t>
  </si>
  <si>
    <t>Vintage Fund of Funds V (Access), L.P.</t>
  </si>
  <si>
    <t>500458815</t>
  </si>
  <si>
    <t>Vintage FOF V Access</t>
  </si>
  <si>
    <t>17/09/2018</t>
  </si>
  <si>
    <t>Vintage Fund of Funds V (Israel), L.P.</t>
  </si>
  <si>
    <t>500461652</t>
  </si>
  <si>
    <t>VINTAGE FOF V ISRAEL</t>
  </si>
  <si>
    <t>23/01/2020</t>
  </si>
  <si>
    <t>Vintage Fund of Funds VI (Access), L.P.</t>
  </si>
  <si>
    <t>500466123</t>
  </si>
  <si>
    <t>VINTAGE FOF VI ACCESS</t>
  </si>
  <si>
    <t>Vintage Fund of Funds VI (Israel), L.P.</t>
  </si>
  <si>
    <t>500469325</t>
  </si>
  <si>
    <t>Vintage FOF VI Israel</t>
  </si>
  <si>
    <t>23/12/2021</t>
  </si>
  <si>
    <t>Vintage Fund of Funds VII (Access) L.P.</t>
  </si>
  <si>
    <t>500472543</t>
  </si>
  <si>
    <t>Vintage FOF VII Access</t>
  </si>
  <si>
    <t>15/08/2022</t>
  </si>
  <si>
    <t>וינטג'</t>
  </si>
  <si>
    <t>Vintage Growth Fund III, L.P</t>
  </si>
  <si>
    <t>06/01/2020</t>
  </si>
  <si>
    <t>Vintage Secondary Fund IV</t>
  </si>
  <si>
    <t>29/05/2018</t>
  </si>
  <si>
    <t>Vintage Secondary Fund V L.P.</t>
  </si>
  <si>
    <t>500471925</t>
  </si>
  <si>
    <t>Vintage Secondary Fund V</t>
  </si>
  <si>
    <t>אלפא לונג ביאס ג'י פי בע"מ</t>
  </si>
  <si>
    <t>514517267</t>
  </si>
  <si>
    <t>אלפא קרן השקעות 1 - השתלמות</t>
  </si>
  <si>
    <t>03/09/2020</t>
  </si>
  <si>
    <t>קרן ארבל פאנד בע"מ</t>
  </si>
  <si>
    <t>540307832</t>
  </si>
  <si>
    <t>ארבל פאנד 2</t>
  </si>
  <si>
    <t>20/09/2021</t>
  </si>
  <si>
    <t>גיזה חוב</t>
  </si>
  <si>
    <t>513540757</t>
  </si>
  <si>
    <t>14/02/2022</t>
  </si>
  <si>
    <t>פימי 6</t>
  </si>
  <si>
    <t>12/07/2016</t>
  </si>
  <si>
    <t>12/12/2017</t>
  </si>
  <si>
    <t>רגנאר 1 השקעות שותפות מוגבלת</t>
  </si>
  <si>
    <t>540304573</t>
  </si>
  <si>
    <t>קרן רגנאר 1</t>
  </si>
  <si>
    <t>08/12/2021</t>
  </si>
  <si>
    <t>ARCLIGHT</t>
  </si>
  <si>
    <t>89940</t>
  </si>
  <si>
    <t>ARCLIGHT 3C SPV</t>
  </si>
  <si>
    <t>25/07/2022</t>
  </si>
  <si>
    <t>ARDIAN Infrastructure Fund VI</t>
  </si>
  <si>
    <t>98450046FF9E70CFBA37</t>
  </si>
  <si>
    <t>04/09/2023</t>
  </si>
  <si>
    <t>ASF IX</t>
  </si>
  <si>
    <t>SL35491</t>
  </si>
  <si>
    <t>האי ג'רזי</t>
  </si>
  <si>
    <t>06/10/2022</t>
  </si>
  <si>
    <t>ASF VIII INFRASTRUCTURE L.P</t>
  </si>
  <si>
    <t>984500641D7574IF1B24</t>
  </si>
  <si>
    <t>07/12/2021</t>
  </si>
  <si>
    <t>Axiom Asia Co-investment Fund II, L.P.</t>
  </si>
  <si>
    <t>1840974</t>
  </si>
  <si>
    <t>Axiom Asia Co-investment II</t>
  </si>
  <si>
    <t>22/11/2021</t>
  </si>
  <si>
    <t>Blue Atlantic Partners III Cayman Feeder I, LP</t>
  </si>
  <si>
    <t>1683231</t>
  </si>
  <si>
    <t>BLUE ATLANTIC PARTNERS 3</t>
  </si>
  <si>
    <t>03/12/2019</t>
  </si>
  <si>
    <t>COLCHIS INCOME FUND, LTD.</t>
  </si>
  <si>
    <t>618052</t>
  </si>
  <si>
    <t>COLCHIS INCOME FUND</t>
  </si>
  <si>
    <t>18/07/2019</t>
  </si>
  <si>
    <t>DOVER STREET IX CAYMAN FUND L.P.</t>
  </si>
  <si>
    <t>1665355</t>
  </si>
  <si>
    <t>DOVER IX (9)</t>
  </si>
  <si>
    <t>06/12/2016</t>
  </si>
  <si>
    <t>Dover Street X Feeder Fund L.P.</t>
  </si>
  <si>
    <t>1661612</t>
  </si>
  <si>
    <t>DOVER STREET X LP</t>
  </si>
  <si>
    <t>03/06/2020</t>
  </si>
  <si>
    <t>HarbourVest Dover Street XI Investment L.P.</t>
  </si>
  <si>
    <t>5493000HZUGEZTOJVX02</t>
  </si>
  <si>
    <t>DOVER XI  ׁ(11ׂ)</t>
  </si>
  <si>
    <t>21/06/2023</t>
  </si>
  <si>
    <t>ECP CAPITAL LP</t>
  </si>
  <si>
    <t>254900IUTAAOKV09RE87</t>
  </si>
  <si>
    <t>ECP Terra Gen Growth Fund</t>
  </si>
  <si>
    <t>25/03/2021</t>
  </si>
  <si>
    <t>ECP V</t>
  </si>
  <si>
    <t>30/08/2023</t>
  </si>
  <si>
    <t>EQT INFRASTRUCTURE V</t>
  </si>
  <si>
    <t>RCS B243992</t>
  </si>
  <si>
    <t>EQT Infrastructure V</t>
  </si>
  <si>
    <t>11/08/2021</t>
  </si>
  <si>
    <t>FRG IX GP, LLC</t>
  </si>
  <si>
    <t>32070953933</t>
  </si>
  <si>
    <t>Faropoint FRG-IX</t>
  </si>
  <si>
    <t>25/08/2020</t>
  </si>
  <si>
    <t>FRG-X (F-3), LP</t>
  </si>
  <si>
    <t>86-2068644</t>
  </si>
  <si>
    <t>Faropoint FRG-X</t>
  </si>
  <si>
    <t>12/10/2021</t>
  </si>
  <si>
    <t>Faropoint Industrial Value Fund III, LP</t>
  </si>
  <si>
    <t>2549003W8AQ5VTFC8J25</t>
  </si>
  <si>
    <t>Faropoint Industrial Value Fund III</t>
  </si>
  <si>
    <t>25/10/2022</t>
  </si>
  <si>
    <t>FORTISSIMO CAPITA FUND</t>
  </si>
  <si>
    <t>530278498</t>
  </si>
  <si>
    <t>Fortissimo VI</t>
  </si>
  <si>
    <t>25/10/2023</t>
  </si>
  <si>
    <t>HARBOURVEST PARTNERS, LLC</t>
  </si>
  <si>
    <t>5493001MCDH7I6NIXC24</t>
  </si>
  <si>
    <t>HARBOURVEST 2017 GLOBAL FUND</t>
  </si>
  <si>
    <t>29/10/2017</t>
  </si>
  <si>
    <t>Harbourvest 2018 Global Fund L.P</t>
  </si>
  <si>
    <t>Harbourvest 2019 Global Fund L.P</t>
  </si>
  <si>
    <t>09/12/2019</t>
  </si>
  <si>
    <t>HARBOURVEST 2021 GLOBAL</t>
  </si>
  <si>
    <t>Harbourvest Access COI VI</t>
  </si>
  <si>
    <t>02/05/2022</t>
  </si>
  <si>
    <t>HARBOURVEST COF II</t>
  </si>
  <si>
    <t>02/12/2020</t>
  </si>
  <si>
    <t>HarbourVest Direct Lending</t>
  </si>
  <si>
    <t>30/08/2021</t>
  </si>
  <si>
    <t>KREOS CAPITAL VII (EXPERT FUND) L.P.</t>
  </si>
  <si>
    <t>213800QMGP7NR5KCTN63</t>
  </si>
  <si>
    <t>Kreos Capital VII</t>
  </si>
  <si>
    <t>LCN CAPITAL MANAGEMENT, L.P.</t>
  </si>
  <si>
    <t>801-78069</t>
  </si>
  <si>
    <t>LCN NA FUND 3</t>
  </si>
  <si>
    <t>22/12/2020</t>
  </si>
  <si>
    <t>Carlisle Management Company S.C.A.</t>
  </si>
  <si>
    <t>213800BMFRCLOWO3JI85</t>
  </si>
  <si>
    <t>LUXEMBOURG LIFE FUND II - ABSO</t>
  </si>
  <si>
    <t>18/05/2021</t>
  </si>
  <si>
    <t>Macquarie Infrastructure Partners V, L.P.</t>
  </si>
  <si>
    <t>1798259</t>
  </si>
  <si>
    <t>MIP V</t>
  </si>
  <si>
    <t>24/08/2021</t>
  </si>
  <si>
    <t>MIRA Infrastructure Global Solution GP LLC</t>
  </si>
  <si>
    <t>5990281</t>
  </si>
  <si>
    <t>MIRA INFRASTRUCTURE GLOBAL</t>
  </si>
  <si>
    <t>23/04/2018</t>
  </si>
  <si>
    <t>MONARCH CAPITAL PARTNERS OFFSHORE V LP</t>
  </si>
  <si>
    <t>1633461</t>
  </si>
  <si>
    <t>MONARCH V</t>
  </si>
  <si>
    <t>25/11/2020</t>
  </si>
  <si>
    <t>MONARCH CAPITAL PARTNERS OFFSHORE VI LP</t>
  </si>
  <si>
    <t>1962850</t>
  </si>
  <si>
    <t>MONARCH VI</t>
  </si>
  <si>
    <t>22/03/2023</t>
  </si>
  <si>
    <t>MONETA CAPITAL II, L.P.</t>
  </si>
  <si>
    <t>1999686</t>
  </si>
  <si>
    <t>Moneta Capital II</t>
  </si>
  <si>
    <t>02/11/2022</t>
  </si>
  <si>
    <t>ONE EQUITY PARTNERS VIII-A, L.P.</t>
  </si>
  <si>
    <t>1852026</t>
  </si>
  <si>
    <t>ONE EQUITY VIII</t>
  </si>
  <si>
    <t>27/04/2022</t>
  </si>
  <si>
    <t>Pagaya Auto Loans Fund, LP</t>
  </si>
  <si>
    <t>1787921</t>
  </si>
  <si>
    <t>Pagaya Auto Loans SPV I</t>
  </si>
  <si>
    <t>20/08/2023</t>
  </si>
  <si>
    <t>Pagaya Opportunity Offshore Feeder Fund I, LP</t>
  </si>
  <si>
    <t>1762395</t>
  </si>
  <si>
    <t>Pagaya Opportunity SPV I</t>
  </si>
  <si>
    <t>PANTHEON PRIVATE DEBT GP S.À R.L.</t>
  </si>
  <si>
    <t>5493000INET6WNGZYT52</t>
  </si>
  <si>
    <t>Pantheon Debt PSD II EUR</t>
  </si>
  <si>
    <t>07/03/2024</t>
  </si>
  <si>
    <t>Pantheon Private Debt PSD II USD Feeder (Luxembourg) SCSp</t>
  </si>
  <si>
    <t>B238099</t>
  </si>
  <si>
    <t>Pantheon Debt PSD II USD</t>
  </si>
  <si>
    <t>15/12/2021</t>
  </si>
  <si>
    <t>PGCO IV Co-mingled Fund SCSp</t>
  </si>
  <si>
    <t>B238127</t>
  </si>
  <si>
    <t>PANTHEON GCO IV</t>
  </si>
  <si>
    <t>09/10/2018</t>
  </si>
  <si>
    <t>PANTHEON GLOBAL CO-INVESTMENT OPPORTUNITIES FUND V FEEDER (LUXEMBOURG) SCSP</t>
  </si>
  <si>
    <t>B245806</t>
  </si>
  <si>
    <t>Pantheon GCO V</t>
  </si>
  <si>
    <t>PGIF IV FEEDER (LUXEMBOURG) SCSP</t>
  </si>
  <si>
    <t>Pantheon Global Infrastructure Fund IV</t>
  </si>
  <si>
    <t>21/06/2022</t>
  </si>
  <si>
    <t>PANTHEON GLOBAL SECONDARY FUND VII FEEDER (LUX) SCSP</t>
  </si>
  <si>
    <t>B252073</t>
  </si>
  <si>
    <t>Pantheon Global Secondary Fund VII</t>
  </si>
  <si>
    <t>06/09/2022</t>
  </si>
  <si>
    <t>PANTHEON GLOBAL SECONDARY FUND VI FEEDER (LUXEMBOURG) SCSP</t>
  </si>
  <si>
    <t>B220010</t>
  </si>
  <si>
    <t>PANTHEON GSF VI</t>
  </si>
  <si>
    <t>12/12/2018</t>
  </si>
  <si>
    <t>PONTIFAX (ISRAEL) V L.P.</t>
  </si>
  <si>
    <t>540279270</t>
  </si>
  <si>
    <t>PONTIFAX (ISRAEL) VL.P</t>
  </si>
  <si>
    <t>29/03/2018</t>
  </si>
  <si>
    <t>PRIMAVERA CAPITAL FUND IV L.P.</t>
  </si>
  <si>
    <t>1861591</t>
  </si>
  <si>
    <t>Primavera Capital Fund IV</t>
  </si>
  <si>
    <t>26/05/2021</t>
  </si>
  <si>
    <t>SCHRODER ADVEQ ASIA V S.C.S.</t>
  </si>
  <si>
    <t>875500GMXE50PC37SF90 </t>
  </si>
  <si>
    <t>SCHRODERS CAPITAL PRIVATE EQUITY ASIA V L.P</t>
  </si>
  <si>
    <t>08/07/2021</t>
  </si>
  <si>
    <t>Schroders Capital Private Equity Secondaries IV S.C.S.</t>
  </si>
  <si>
    <t>875500IALY0CK2QA6W30 </t>
  </si>
  <si>
    <t>Schroders Secondary IV</t>
  </si>
  <si>
    <t>07/02/2022</t>
  </si>
  <si>
    <t>Vintage Fund of Funds VII (Breakout), L.P.</t>
  </si>
  <si>
    <t>500472568</t>
  </si>
  <si>
    <t>Vintage FOF VII Breakout</t>
  </si>
  <si>
    <t>14/11/2022</t>
  </si>
  <si>
    <t>די פרטנרס 2 (ישראל) , שותפות מוגבלת</t>
  </si>
  <si>
    <t>550218457</t>
  </si>
  <si>
    <t>(2) די פרטנרס</t>
  </si>
  <si>
    <t>DELTA FUND I (ISRAEL) L.P.</t>
  </si>
  <si>
    <t>550019020</t>
  </si>
  <si>
    <t>1 דלתא קרן הון סיכון</t>
  </si>
  <si>
    <t>FIMI V</t>
  </si>
  <si>
    <t>IIF FUND II LP</t>
  </si>
  <si>
    <t>28266</t>
  </si>
  <si>
    <t>ISRAEL INFRASTRUCTURE FUND II L.P</t>
  </si>
  <si>
    <t>JVP IV ANNEX LP</t>
  </si>
  <si>
    <t>500438064</t>
  </si>
  <si>
    <t>JVP IV ANNEX</t>
  </si>
  <si>
    <t>JVP VII LP</t>
  </si>
  <si>
    <t>500446158</t>
  </si>
  <si>
    <t>JVP VII</t>
  </si>
  <si>
    <t>JVP VIII L.P</t>
  </si>
  <si>
    <t>27916</t>
  </si>
  <si>
    <t>18/03/2019</t>
  </si>
  <si>
    <t>TENE GROWTH CAPITAL 3</t>
  </si>
  <si>
    <t>550249536</t>
  </si>
  <si>
    <t>TENE GRW CAPIII</t>
  </si>
  <si>
    <t>TERRA VENTURII</t>
  </si>
  <si>
    <t>10/03/2015</t>
  </si>
  <si>
    <t>Vintage Growth Fund I (Israel), L.P.</t>
  </si>
  <si>
    <t>500442751</t>
  </si>
  <si>
    <t>Vintage Secondary Fund III (Israel), L.P.</t>
  </si>
  <si>
    <t>500442769</t>
  </si>
  <si>
    <t>Vintage Secondary Fund III</t>
  </si>
  <si>
    <t>28/05/2018</t>
  </si>
  <si>
    <t>אורגרין</t>
  </si>
  <si>
    <t>530223684</t>
  </si>
  <si>
    <t>אוורגרין 5 קרן הון ס</t>
  </si>
  <si>
    <t>אלפא קרן השקעות 1</t>
  </si>
  <si>
    <t>27/02/2022</t>
  </si>
  <si>
    <t>מנוף אוריגו 2 שותפות מוגבלת</t>
  </si>
  <si>
    <t>550234843</t>
  </si>
  <si>
    <t>מנוף אוריגו 1 בע"מ</t>
  </si>
  <si>
    <t>פימי 2 קרן הון סיכון</t>
  </si>
  <si>
    <t>פימי 4</t>
  </si>
  <si>
    <t>פלנוס טכנולוגיות בע"מ</t>
  </si>
  <si>
    <t>512912775</t>
  </si>
  <si>
    <t>פלאנוס 2 L.P קרן השקעה</t>
  </si>
  <si>
    <t>פלנוס</t>
  </si>
  <si>
    <t>פלנוס מזנין קרן השקעה</t>
  </si>
  <si>
    <t>AVIV VENTURES I PARTNERS , L.P</t>
  </si>
  <si>
    <t>550205660</t>
  </si>
  <si>
    <t>קרן אביב 2 קרן הון סיכון</t>
  </si>
  <si>
    <t>JVP V LP</t>
  </si>
  <si>
    <t>500438023</t>
  </si>
  <si>
    <t>קרן הון סיכון PVJ 5</t>
  </si>
  <si>
    <t>קרן תשתיות ישראל I</t>
  </si>
  <si>
    <t>550224729</t>
  </si>
  <si>
    <t>קרן תשתיות ישראל</t>
  </si>
  <si>
    <t>10/08/2021</t>
  </si>
  <si>
    <t>26/10/2017</t>
  </si>
  <si>
    <t>ICG STRATEGIC SECONDARIES FUND II (OFFSHORE) LP</t>
  </si>
  <si>
    <t>1660341</t>
  </si>
  <si>
    <t>ICG STRATEGIC SECONDARIES II</t>
  </si>
  <si>
    <t>06/06/2017</t>
  </si>
  <si>
    <t>LLCP Partners VI GP, L.P.</t>
  </si>
  <si>
    <t>820734071</t>
  </si>
  <si>
    <t>LEVINE LEICHTMAN CAPITAL PARTN</t>
  </si>
  <si>
    <t>31/07/2018</t>
  </si>
  <si>
    <t>11/04/2019</t>
  </si>
  <si>
    <t>21/02/2019</t>
  </si>
  <si>
    <t>11/10/2018</t>
  </si>
  <si>
    <t>14/05/2019</t>
  </si>
  <si>
    <t>10/12/2018</t>
  </si>
  <si>
    <t>05/04/2019</t>
  </si>
  <si>
    <t>16/04/2019</t>
  </si>
  <si>
    <t>19/07/2018</t>
  </si>
  <si>
    <t>ATERA NETWORKS LTD</t>
  </si>
  <si>
    <t>27702</t>
  </si>
  <si>
    <t>60353513</t>
  </si>
  <si>
    <t>24/12/2019</t>
  </si>
  <si>
    <t>CIVAN ADVANCED TECHNOGIES</t>
  </si>
  <si>
    <t>62021290</t>
  </si>
  <si>
    <t>07/08/2023</t>
  </si>
  <si>
    <t>GEMMACERT LTD</t>
  </si>
  <si>
    <t>27994</t>
  </si>
  <si>
    <t>62013677</t>
  </si>
  <si>
    <t>24/07/2019</t>
  </si>
  <si>
    <t>IMM- VX L.P. (Velox</t>
  </si>
  <si>
    <t>89500</t>
  </si>
  <si>
    <t>62018924</t>
  </si>
  <si>
    <t>12/08/2021</t>
  </si>
  <si>
    <t>וואן זירו הבנק הדיגיטלי בעמ</t>
  </si>
  <si>
    <t>515981728</t>
  </si>
  <si>
    <t>ONE ZERO DIGITAL BANK LTD</t>
  </si>
  <si>
    <t>62020045</t>
  </si>
  <si>
    <t>03/01/2022</t>
  </si>
  <si>
    <t>89735</t>
  </si>
  <si>
    <t>ONE ZERO SAFE</t>
  </si>
  <si>
    <t>62021506</t>
  </si>
  <si>
    <t>05/12/2023</t>
  </si>
  <si>
    <t xml:space="preserve">QUANTUM </t>
  </si>
  <si>
    <t>28588</t>
  </si>
  <si>
    <t>Quantum Machines</t>
  </si>
  <si>
    <t>62020714</t>
  </si>
  <si>
    <t>01/08/2022</t>
  </si>
  <si>
    <t>RESONAI</t>
  </si>
  <si>
    <t>89849</t>
  </si>
  <si>
    <t>62020383</t>
  </si>
  <si>
    <t>03/04/2022</t>
  </si>
  <si>
    <t>Rewire</t>
  </si>
  <si>
    <t>89738</t>
  </si>
  <si>
    <t>62020060</t>
  </si>
  <si>
    <t>silentium</t>
  </si>
  <si>
    <t>89338</t>
  </si>
  <si>
    <t>Silentium LTD</t>
  </si>
  <si>
    <t>62018429</t>
  </si>
  <si>
    <t>08/06/2021</t>
  </si>
  <si>
    <t>TIPA CORP LTD</t>
  </si>
  <si>
    <t>514420660</t>
  </si>
  <si>
    <t>62020102</t>
  </si>
  <si>
    <t>12/01/2022</t>
  </si>
  <si>
    <t>TWINE</t>
  </si>
  <si>
    <t>13286</t>
  </si>
  <si>
    <t>TWINE SOLUTIONS LTD</t>
  </si>
  <si>
    <t>62018296</t>
  </si>
  <si>
    <t>19/05/2021</t>
  </si>
  <si>
    <t>UVEYE LTD</t>
  </si>
  <si>
    <t>514234202</t>
  </si>
  <si>
    <t>62018304</t>
  </si>
  <si>
    <t>ויולה ג'נריישן ניהול בע"מ(אוניברסי</t>
  </si>
  <si>
    <t>56200</t>
  </si>
  <si>
    <t>30/08/2018</t>
  </si>
  <si>
    <t>קרופס גארד בע"מ</t>
  </si>
  <si>
    <t>516186301</t>
  </si>
  <si>
    <t>62016738</t>
  </si>
  <si>
    <t>15/06/2020</t>
  </si>
  <si>
    <t>Straffan Asset Management Ltd</t>
  </si>
  <si>
    <t>28068</t>
  </si>
  <si>
    <t>BRIGHTON SPC - KIJANI COMMODIT</t>
  </si>
  <si>
    <t>KYG1367R1083</t>
  </si>
  <si>
    <t>27/09/2018</t>
  </si>
  <si>
    <t>EMERALD SIDEPOC</t>
  </si>
  <si>
    <t>27703</t>
  </si>
  <si>
    <t>XXX133661328</t>
  </si>
  <si>
    <t>Silk Technologies INC</t>
  </si>
  <si>
    <t>28307</t>
  </si>
  <si>
    <t>SILK</t>
  </si>
  <si>
    <t>62018056</t>
  </si>
  <si>
    <t>INTEGRA HOLDING</t>
  </si>
  <si>
    <t>27771</t>
  </si>
  <si>
    <t>60314101</t>
  </si>
  <si>
    <t>אספרו</t>
  </si>
  <si>
    <t>513868380</t>
  </si>
  <si>
    <t>אספרו מ"ר</t>
  </si>
  <si>
    <t>62406</t>
  </si>
  <si>
    <t>15/03/2018</t>
  </si>
  <si>
    <t xml:space="preserve">גת אנרגיה בע"מ </t>
  </si>
  <si>
    <t>514293380</t>
  </si>
  <si>
    <t>גת אנרגיה ג'</t>
  </si>
  <si>
    <t>50000298</t>
  </si>
  <si>
    <t>31/12/2018</t>
  </si>
  <si>
    <t>גת אנרגיה מניה לא סחירה</t>
  </si>
  <si>
    <t>26211</t>
  </si>
  <si>
    <t>חפציבה גלובל בע"מ</t>
  </si>
  <si>
    <t>511963183</t>
  </si>
  <si>
    <t>חפציבה גלובל</t>
  </si>
  <si>
    <t>1085489</t>
  </si>
  <si>
    <t>ENLIVEX THERAPEUTICS LTD</t>
  </si>
  <si>
    <t>28078</t>
  </si>
  <si>
    <t>IL009A4Z4OU8</t>
  </si>
  <si>
    <t>07/07/2020</t>
  </si>
  <si>
    <t>מור תעשיות פלסטיק בע"מ</t>
  </si>
  <si>
    <t>520042284</t>
  </si>
  <si>
    <t>MOR KEREN B</t>
  </si>
  <si>
    <t>XS0025555XXX</t>
  </si>
  <si>
    <t>08/12/2019</t>
  </si>
  <si>
    <t>Supercom Ltd</t>
  </si>
  <si>
    <t>520044074</t>
  </si>
  <si>
    <t>מ.אופנהימר אס.פי.סי.בי</t>
  </si>
  <si>
    <t>IL0010830961</t>
  </si>
  <si>
    <t>24/11/2022</t>
  </si>
  <si>
    <t>תאת טכנולוגיות בע"מ</t>
  </si>
  <si>
    <t>520035791</t>
  </si>
  <si>
    <t>מ.אופנהימר תאת</t>
  </si>
  <si>
    <t>IL0010827264</t>
  </si>
  <si>
    <t>מור קרן נדל"ן בינלאומי מניה A</t>
  </si>
  <si>
    <t>10000495</t>
  </si>
  <si>
    <t>מור קרן נדל"ן בינלאומי מניה רגילה</t>
  </si>
  <si>
    <t>9840879</t>
  </si>
  <si>
    <t>דוראה השקעות ופיתוח בע"מ</t>
  </si>
  <si>
    <t>520038282</t>
  </si>
  <si>
    <t>5.15% 2015 'דוראה סדרה ד</t>
  </si>
  <si>
    <t>IL0037201170</t>
  </si>
  <si>
    <t>28/02/2015</t>
  </si>
  <si>
    <t>31/03/2020</t>
  </si>
  <si>
    <t>אאורה השקעות בע"מ</t>
  </si>
  <si>
    <t>520038274</t>
  </si>
  <si>
    <t>אאורה סדרה 1 21/12 %6 (החלפת א-ד)חש</t>
  </si>
  <si>
    <t>IL0037302986</t>
  </si>
  <si>
    <t>29/06/2023</t>
  </si>
  <si>
    <t>24/09/2015</t>
  </si>
  <si>
    <t>אולימפיה החזקות נדל"ן בע"מ</t>
  </si>
  <si>
    <t>520035155</t>
  </si>
  <si>
    <t>אולימפיה אג"ח ב'</t>
  </si>
  <si>
    <t>IL0017900544</t>
  </si>
  <si>
    <t>31/12/2021</t>
  </si>
  <si>
    <t>30/06/2021</t>
  </si>
  <si>
    <t>ב.ס.ר אירופה בע"מ</t>
  </si>
  <si>
    <t>520033838</t>
  </si>
  <si>
    <t>בסר אירופה אגח ח</t>
  </si>
  <si>
    <t>IL0011701419</t>
  </si>
  <si>
    <t>30/11/2023</t>
  </si>
  <si>
    <t>30/12/2021</t>
  </si>
  <si>
    <t>גב-ים נגב בע"מ</t>
  </si>
  <si>
    <t>514189596</t>
  </si>
  <si>
    <t>גב-ים נגב אגח א רמ</t>
  </si>
  <si>
    <t>IL0011511412</t>
  </si>
  <si>
    <t>29/07/2018</t>
  </si>
  <si>
    <t>20/10/2027</t>
  </si>
  <si>
    <t>אי תלות</t>
  </si>
  <si>
    <t>דוראה אגח ב</t>
  </si>
  <si>
    <t>IL0037200750</t>
  </si>
  <si>
    <t>03/12/2012</t>
  </si>
  <si>
    <t>30/04/2014</t>
  </si>
  <si>
    <t>חבס השקעות (1960) בע"מ</t>
  </si>
  <si>
    <t>520039017</t>
  </si>
  <si>
    <t>חבס אגח 12</t>
  </si>
  <si>
    <t>IL0041500906</t>
  </si>
  <si>
    <t>25/05/2015</t>
  </si>
  <si>
    <t>29/05/2014</t>
  </si>
  <si>
    <t>עוגן- אגח חברתיות 1 בעמ</t>
  </si>
  <si>
    <t>עוגן חלצ אגחב-רמ</t>
  </si>
  <si>
    <t>IL0011968497</t>
  </si>
  <si>
    <t>19/06/2023</t>
  </si>
  <si>
    <t>15/06/2027</t>
  </si>
  <si>
    <t>קמור בע"מ</t>
  </si>
  <si>
    <t>520034117</t>
  </si>
  <si>
    <t>קמור אגח ו</t>
  </si>
  <si>
    <t>IL0013201186</t>
  </si>
  <si>
    <t>C</t>
  </si>
  <si>
    <t>27/09/2026</t>
  </si>
  <si>
    <t>09/01/2024</t>
  </si>
  <si>
    <t>א.פ.ס.ק. תעשיות בע"מ(פירוק)</t>
  </si>
  <si>
    <t>520042441</t>
  </si>
  <si>
    <t>אפסק אגח א</t>
  </si>
  <si>
    <t>IL0010910326</t>
  </si>
  <si>
    <t>29/12/2013</t>
  </si>
  <si>
    <t>05/08/2012</t>
  </si>
  <si>
    <t>29/06/2021</t>
  </si>
  <si>
    <t>גמול חברה להשקעות בע"מ</t>
  </si>
  <si>
    <t>520018136</t>
  </si>
  <si>
    <t>גמול השקע ב</t>
  </si>
  <si>
    <t>IL0011167553</t>
  </si>
  <si>
    <t>07/09/2017</t>
  </si>
  <si>
    <t>30/09/2021</t>
  </si>
  <si>
    <t>וי.אי.די. התפלת מי אשקלון</t>
  </si>
  <si>
    <t>513102384</t>
  </si>
  <si>
    <t>התפלת מי אשקלון VID</t>
  </si>
  <si>
    <t>IL0010876832</t>
  </si>
  <si>
    <t>22/10/2025</t>
  </si>
  <si>
    <t>וורלד גרופ קפיטל בע"מ</t>
  </si>
  <si>
    <t>520033614</t>
  </si>
  <si>
    <t>וורלד קפיטל אגח ב</t>
  </si>
  <si>
    <t>IL0013501072</t>
  </si>
  <si>
    <t>30/09/2011</t>
  </si>
  <si>
    <t>03/11/2021</t>
  </si>
  <si>
    <t>חפציבה ג'רוזלם גולד בע"מ</t>
  </si>
  <si>
    <t>510404460</t>
  </si>
  <si>
    <t>חפציבה גרוזלם אגח 1</t>
  </si>
  <si>
    <t>IL0010999444</t>
  </si>
  <si>
    <t>26/08/2009</t>
  </si>
  <si>
    <t>23/01/2023</t>
  </si>
  <si>
    <t>חפציבה גרוזלם אגח 2</t>
  </si>
  <si>
    <t>IL0010999519</t>
  </si>
  <si>
    <t>30/11/2016</t>
  </si>
  <si>
    <t>חפציבה גרוזלם אגח 3</t>
  </si>
  <si>
    <t>IL0010999691</t>
  </si>
  <si>
    <t>25/02/2019</t>
  </si>
  <si>
    <t>חפציבה חופים בע"מ</t>
  </si>
  <si>
    <t>513718734</t>
  </si>
  <si>
    <t>חפציבה חופים אג"ח א' חש 2/09</t>
  </si>
  <si>
    <t>11113562</t>
  </si>
  <si>
    <t>18/05/2020</t>
  </si>
  <si>
    <t>28/02/2012</t>
  </si>
  <si>
    <t>20/05/2020</t>
  </si>
  <si>
    <t>חפציבה חופים אגח 1</t>
  </si>
  <si>
    <t>IL0010959422</t>
  </si>
  <si>
    <t>31/08/2006</t>
  </si>
  <si>
    <t>נתיבים אגרות חוב בע"מ</t>
  </si>
  <si>
    <t>513502229</t>
  </si>
  <si>
    <t>נתיבים אגח א רמ</t>
  </si>
  <si>
    <t>IL0010902810</t>
  </si>
  <si>
    <t>02/07/2027</t>
  </si>
  <si>
    <t>SYBIL EUROPE LIMITED</t>
  </si>
  <si>
    <t>513948265</t>
  </si>
  <si>
    <t>סיביל יורופ אגח א (חברה מחוקה)</t>
  </si>
  <si>
    <t>IL0011052466</t>
  </si>
  <si>
    <t>31/12/2014</t>
  </si>
  <si>
    <t>סינרג'י כבלים בע"מ</t>
  </si>
  <si>
    <t>סינרג'יכב אגח ג</t>
  </si>
  <si>
    <t>IL0077802812</t>
  </si>
  <si>
    <t>05/01/2025</t>
  </si>
  <si>
    <t>01/06/2015</t>
  </si>
  <si>
    <t>אמפל-אמריקן ישראל קורפוריישן</t>
  </si>
  <si>
    <t>130435685</t>
  </si>
  <si>
    <t>אמפל אמריקן ישראל ב'12/16 %6.6(חש)</t>
  </si>
  <si>
    <t>11256240</t>
  </si>
  <si>
    <t>31/12/2012</t>
  </si>
  <si>
    <t>31/05/2021</t>
  </si>
  <si>
    <t>אולימפיה אגח ג (מחוקה)</t>
  </si>
  <si>
    <t>IL0017900627</t>
  </si>
  <si>
    <t>01/01/2018</t>
  </si>
  <si>
    <t>31/08/2015</t>
  </si>
  <si>
    <t>10/11/2021</t>
  </si>
  <si>
    <t>דוראה אגח א</t>
  </si>
  <si>
    <t>IL0037200347</t>
  </si>
  <si>
    <t>01/05/2019</t>
  </si>
  <si>
    <t>31/05/2012</t>
  </si>
  <si>
    <t>31/08/2020</t>
  </si>
  <si>
    <t>ארלוזורוב י-ם</t>
  </si>
  <si>
    <t>דניאל רובינזון</t>
  </si>
  <si>
    <t>בית השנהב</t>
  </si>
  <si>
    <t>בן יהודה 191</t>
  </si>
  <si>
    <t>ישראליס 16</t>
  </si>
  <si>
    <t>ישראליס 18</t>
  </si>
  <si>
    <t>לבונטין 15</t>
  </si>
  <si>
    <t>מזא"ה 1</t>
  </si>
  <si>
    <t>מזא"ה 59</t>
  </si>
  <si>
    <t>מרחביה 21</t>
  </si>
  <si>
    <t>מרמורק 24</t>
  </si>
  <si>
    <t>נחלת בנימין 115</t>
  </si>
  <si>
    <t>פינס 36</t>
  </si>
  <si>
    <t>צייטלין 19</t>
  </si>
  <si>
    <t>שד' חן 13</t>
  </si>
  <si>
    <t>שינקין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</si>
</sst>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0.000"/>
    <numFmt numFmtId="165" formatCode="0.000%"/>
    <numFmt numFmtId="166" formatCode="_ * #,##0_ ;_ * \-#,##0_ ;_ * &quot;-&quot;??_ ;_ @_ 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0"/>
      <color theme="1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8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9" fontId="2" fillId="0" borderId="0"/>
    <xf numFmtId="43" fontId="2" fillId="0" borderId="0"/>
    <xf numFmtId="0" fontId="2" fillId="0" borderId="0"/>
  </cellStyleXfs>
  <cellXfs count="19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3" fillId="0" borderId="0" xfId="0" applyFont="1" applyProtection="1">
      <protection locked="0"/>
    </xf>
    <xf numFmtId="0" fontId="12" fillId="5" borderId="0" xfId="2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4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8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0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2" applyFont="1" applyFill="1" applyBorder="1" applyAlignment="1" applyProtection="1">
      <alignment horizontal="right" vertical="center" wrapText="1"/>
      <protection locked="0"/>
    </xf>
    <xf numFmtId="0" fontId="12" fillId="5" borderId="12" xfId="2" applyFont="1" applyFill="1" applyBorder="1" applyAlignment="1">
      <alignment horizontal="right" vertical="center" wrapText="1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12" fillId="5" borderId="12" xfId="2" applyFont="1" applyFill="1" applyBorder="1" applyAlignment="1" applyProtection="1">
      <alignment vertical="center" wrapText="1"/>
      <protection locked="0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 readingOrder="2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8" fillId="0" borderId="0" xfId="0" applyFont="1"/>
    <xf numFmtId="0" fontId="2" fillId="2" borderId="4" xfId="0" applyFont="1" applyFill="1" applyBorder="1" applyAlignment="1">
      <alignment horizontal="right"/>
    </xf>
    <xf numFmtId="17" fontId="0" fillId="0" borderId="0" xfId="0" applyNumberFormat="1"/>
    <xf numFmtId="0" fontId="23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25" fillId="0" borderId="0" xfId="0" applyFont="1" applyProtection="1">
      <protection locked="0"/>
    </xf>
    <xf numFmtId="0" fontId="25" fillId="0" borderId="0" xfId="0" applyFont="1"/>
    <xf numFmtId="43" fontId="7" fillId="3" borderId="11" xfId="1" applyFont="1" applyFill="1" applyBorder="1" applyAlignment="1">
      <alignment horizontal="center" vertical="center" wrapText="1"/>
    </xf>
    <xf numFmtId="43" fontId="8" fillId="0" borderId="11" xfId="1" applyFont="1" applyBorder="1" applyAlignment="1">
      <alignment horizontal="center" vertical="center" wrapText="1"/>
    </xf>
    <xf numFmtId="43" fontId="15" fillId="0" borderId="11" xfId="1" applyFont="1" applyBorder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43" fontId="7" fillId="3" borderId="14" xfId="1" applyFont="1" applyFill="1" applyBorder="1" applyAlignment="1">
      <alignment horizontal="center" vertical="center"/>
    </xf>
    <xf numFmtId="9" fontId="7" fillId="3" borderId="11" xfId="4" applyFont="1" applyFill="1" applyBorder="1" applyAlignment="1">
      <alignment horizontal="center" vertical="center" wrapText="1"/>
    </xf>
    <xf numFmtId="9" fontId="8" fillId="0" borderId="11" xfId="4" applyFont="1" applyBorder="1" applyAlignment="1">
      <alignment horizontal="center" vertical="center" wrapText="1"/>
    </xf>
    <xf numFmtId="9" fontId="15" fillId="0" borderId="11" xfId="4" applyFont="1" applyBorder="1" applyAlignment="1">
      <alignment horizontal="center" vertical="center" wrapText="1"/>
    </xf>
    <xf numFmtId="9" fontId="8" fillId="0" borderId="0" xfId="4" applyFont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/>
    <xf numFmtId="10" fontId="4" fillId="0" borderId="0" xfId="4" applyNumberFormat="1" applyFont="1"/>
    <xf numFmtId="10" fontId="3" fillId="0" borderId="0" xfId="4" applyNumberFormat="1" applyFont="1"/>
    <xf numFmtId="10" fontId="3" fillId="0" borderId="0" xfId="4" applyNumberFormat="1" applyFont="1" applyProtection="1">
      <protection locked="0"/>
    </xf>
    <xf numFmtId="10" fontId="4" fillId="0" borderId="0" xfId="4" applyNumberFormat="1" applyFont="1" applyProtection="1">
      <protection locked="0"/>
    </xf>
    <xf numFmtId="4" fontId="0" fillId="0" borderId="0" xfId="0" applyNumberFormat="1" applyAlignment="1">
      <alignment horizontal="center"/>
    </xf>
    <xf numFmtId="4" fontId="4" fillId="0" borderId="0" xfId="0" applyNumberFormat="1" applyFont="1"/>
    <xf numFmtId="4" fontId="4" fillId="0" borderId="0" xfId="4" applyNumberFormat="1" applyFont="1"/>
    <xf numFmtId="4" fontId="3" fillId="0" borderId="0" xfId="0" applyNumberFormat="1" applyFont="1"/>
    <xf numFmtId="4" fontId="4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4" fontId="25" fillId="0" borderId="0" xfId="0" applyNumberFormat="1" applyFont="1"/>
    <xf numFmtId="4" fontId="2" fillId="0" borderId="0" xfId="0" applyNumberFormat="1" applyFont="1" applyProtection="1">
      <protection locked="0"/>
    </xf>
    <xf numFmtId="4" fontId="2" fillId="0" borderId="0" xfId="0" applyNumberFormat="1" applyFont="1" applyAlignment="1">
      <alignment horizontal="center"/>
    </xf>
    <xf numFmtId="4" fontId="2" fillId="0" borderId="0" xfId="0" applyNumberFormat="1" applyFont="1"/>
    <xf numFmtId="165" fontId="7" fillId="3" borderId="3" xfId="4" applyNumberFormat="1" applyFont="1" applyFill="1" applyBorder="1" applyAlignment="1">
      <alignment horizontal="center" vertical="center" wrapText="1"/>
    </xf>
    <xf numFmtId="165" fontId="26" fillId="0" borderId="0" xfId="4" applyNumberFormat="1" applyFont="1" applyAlignment="1">
      <alignment horizontal="center"/>
    </xf>
    <xf numFmtId="165" fontId="0" fillId="0" borderId="0" xfId="4" applyNumberFormat="1" applyFont="1"/>
    <xf numFmtId="165" fontId="4" fillId="0" borderId="0" xfId="4" applyNumberFormat="1" applyFont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/>
    <xf numFmtId="165" fontId="3" fillId="0" borderId="0" xfId="4" applyNumberFormat="1" applyFont="1"/>
    <xf numFmtId="165" fontId="3" fillId="0" borderId="0" xfId="0" applyNumberFormat="1" applyFont="1"/>
    <xf numFmtId="165" fontId="4" fillId="0" borderId="0" xfId="4" applyNumberFormat="1" applyFont="1" applyProtection="1">
      <protection locked="0"/>
    </xf>
    <xf numFmtId="165" fontId="4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Protection="1">
      <protection locked="0"/>
    </xf>
    <xf numFmtId="2" fontId="4" fillId="0" borderId="0" xfId="0" applyNumberFormat="1" applyFont="1"/>
    <xf numFmtId="165" fontId="2" fillId="0" borderId="0" xfId="4" applyNumberFormat="1" applyFont="1"/>
    <xf numFmtId="14" fontId="7" fillId="3" borderId="3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Protection="1">
      <protection locked="0"/>
    </xf>
    <xf numFmtId="14" fontId="4" fillId="0" borderId="0" xfId="0" applyNumberFormat="1" applyFont="1" applyProtection="1">
      <protection locked="0"/>
    </xf>
    <xf numFmtId="14" fontId="4" fillId="0" borderId="0" xfId="0" applyNumberFormat="1" applyFont="1"/>
    <xf numFmtId="14" fontId="2" fillId="0" borderId="0" xfId="0" applyNumberFormat="1" applyFont="1"/>
    <xf numFmtId="166" fontId="9" fillId="0" borderId="0" xfId="1" applyNumberFormat="1"/>
    <xf numFmtId="10" fontId="9" fillId="0" borderId="0" xfId="4" applyNumberFormat="1"/>
    <xf numFmtId="0" fontId="7" fillId="3" borderId="21" xfId="0" applyFont="1" applyFill="1" applyBorder="1" applyAlignment="1">
      <alignment horizontal="center" wrapText="1"/>
    </xf>
    <xf numFmtId="0" fontId="7" fillId="3" borderId="21" xfId="0" applyFont="1" applyFill="1" applyBorder="1" applyAlignment="1">
      <alignment horizontal="center" vertical="center" wrapText="1"/>
    </xf>
    <xf numFmtId="2" fontId="7" fillId="3" borderId="21" xfId="0" applyNumberFormat="1" applyFont="1" applyFill="1" applyBorder="1" applyAlignment="1">
      <alignment horizontal="center" vertical="center" wrapText="1"/>
    </xf>
    <xf numFmtId="0" fontId="28" fillId="0" borderId="0" xfId="0" applyFont="1"/>
    <xf numFmtId="10" fontId="2" fillId="0" borderId="0" xfId="5" applyNumberFormat="1"/>
    <xf numFmtId="17" fontId="28" fillId="0" borderId="0" xfId="0" applyNumberFormat="1" applyFont="1"/>
    <xf numFmtId="166" fontId="2" fillId="0" borderId="0" xfId="6" applyNumberFormat="1"/>
    <xf numFmtId="10" fontId="2" fillId="0" borderId="0" xfId="5" applyNumberFormat="1" applyProtection="1">
      <protection locked="0"/>
    </xf>
    <xf numFmtId="0" fontId="2" fillId="0" borderId="0" xfId="7" applyAlignment="1">
      <alignment horizontal="right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/>
  </cellXfs>
  <cellStyles count="8">
    <cellStyle name="Comma" xfId="1" builtinId="3"/>
    <cellStyle name="Comma 2" xfId="6" xr:uid="{329E05A1-5446-43AE-9370-B4C6C5A825F3}"/>
    <cellStyle name="Normal" xfId="0" builtinId="0"/>
    <cellStyle name="Normal 2" xfId="7" xr:uid="{1B4BAFEA-FDAE-42F4-A3CC-6642D8C99EDD}"/>
    <cellStyle name="Normal 3" xfId="2" xr:uid="{00000000-0005-0000-0000-000002000000}"/>
    <cellStyle name="Normal 9" xfId="3" xr:uid="{00000000-0005-0000-0000-000003000000}"/>
    <cellStyle name="Percent" xfId="4" builtinId="5"/>
    <cellStyle name="Percent 2" xfId="5" xr:uid="{1E072BE9-528E-4124-8DF6-49B177839B33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3" sqref="D3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2" t="s">
        <v>224</v>
      </c>
      <c r="B1" s="33"/>
      <c r="C1" s="33"/>
      <c r="D1" s="33"/>
    </row>
    <row r="3" spans="1:8">
      <c r="A3" t="s">
        <v>225</v>
      </c>
      <c r="D3" s="101" t="s">
        <v>226</v>
      </c>
    </row>
    <row r="5" spans="1:8">
      <c r="A5" t="s">
        <v>227</v>
      </c>
      <c r="D5" s="101"/>
    </row>
    <row r="7" spans="1:8">
      <c r="A7" t="s">
        <v>228</v>
      </c>
      <c r="D7" s="101"/>
    </row>
    <row r="8" spans="1:8">
      <c r="D8" s="31"/>
      <c r="E8" s="31"/>
      <c r="F8" s="31"/>
      <c r="G8" s="31"/>
      <c r="H8" s="31"/>
    </row>
    <row r="9" spans="1:8">
      <c r="A9" t="s">
        <v>229</v>
      </c>
      <c r="D9" s="101"/>
    </row>
    <row r="11" spans="1:8">
      <c r="A11" t="s">
        <v>230</v>
      </c>
      <c r="D11" s="101"/>
    </row>
    <row r="13" spans="1:8">
      <c r="A13" t="s">
        <v>231</v>
      </c>
      <c r="D13" s="102" t="str">
        <f>IFERROR(VLOOKUP(D11,'File Name Info'!A35:B121,2,0),"תא מחושב")</f>
        <v>תא מחושב</v>
      </c>
    </row>
    <row r="15" spans="1:8" ht="15">
      <c r="A15" s="17" t="s">
        <v>232</v>
      </c>
      <c r="D15" s="10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שם קובץ לשמירה</v>
      </c>
    </row>
    <row r="16" spans="1:8" ht="15">
      <c r="A16" s="17"/>
      <c r="D16" s="31"/>
      <c r="E16" s="31"/>
      <c r="F16" s="31"/>
      <c r="G16" s="31"/>
      <c r="H16" s="31"/>
    </row>
    <row r="17" spans="1:8" ht="15">
      <c r="A17" s="17" t="s">
        <v>233</v>
      </c>
      <c r="B17" s="15" t="s">
        <v>234</v>
      </c>
      <c r="C17" s="15"/>
      <c r="D17" s="103"/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235</v>
      </c>
      <c r="C19" s="15"/>
      <c r="D19" s="103"/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236</v>
      </c>
      <c r="C21" s="15"/>
      <c r="D21" s="104"/>
    </row>
    <row r="22" spans="1:8">
      <c r="A22" s="13"/>
      <c r="B22" s="14"/>
      <c r="C22" s="14"/>
    </row>
    <row r="23" spans="1:8" ht="15">
      <c r="A23" s="17" t="s">
        <v>237</v>
      </c>
      <c r="D23" t="s">
        <v>238</v>
      </c>
    </row>
    <row r="25" spans="1:8">
      <c r="D25" s="1"/>
    </row>
    <row r="28" spans="1:8" ht="14.1" customHeight="1">
      <c r="A28" s="25"/>
      <c r="D28" s="26"/>
      <c r="E28" s="28"/>
      <c r="F28" s="28"/>
      <c r="G28" s="28"/>
      <c r="H28" s="28"/>
    </row>
    <row r="29" spans="1:8">
      <c r="D29" s="15"/>
      <c r="E29" s="15"/>
      <c r="F29" s="15"/>
      <c r="G29" s="15"/>
      <c r="H29" s="15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E28" sqref="E28"/>
    </sheetView>
  </sheetViews>
  <sheetFormatPr defaultColWidth="9" defaultRowHeight="12.75"/>
  <cols>
    <col min="1" max="1" width="42.75" style="9" customWidth="1"/>
    <col min="2" max="2" width="13" style="137" customWidth="1"/>
    <col min="3" max="3" width="13" style="10" customWidth="1"/>
    <col min="4" max="4" width="13" style="137" customWidth="1"/>
    <col min="5" max="5" width="13" style="142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4"/>
      <c r="B1" s="134"/>
      <c r="C1" s="105" t="s">
        <v>1215</v>
      </c>
      <c r="D1" s="138"/>
      <c r="E1" s="139"/>
    </row>
    <row r="2" spans="1:5" ht="39.75" customHeight="1">
      <c r="A2" s="44"/>
      <c r="B2" s="134" t="s">
        <v>37</v>
      </c>
      <c r="C2" s="45" t="s">
        <v>942</v>
      </c>
      <c r="D2" s="134" t="s">
        <v>22</v>
      </c>
      <c r="E2" s="139" t="s">
        <v>1216</v>
      </c>
    </row>
    <row r="3" spans="1:5">
      <c r="A3" s="47" t="s">
        <v>995</v>
      </c>
      <c r="B3" s="135">
        <f>SUM('מזומנים ושווי מזומנים'!O:O)</f>
        <v>56141.256000000008</v>
      </c>
      <c r="C3" s="48"/>
      <c r="D3" s="135">
        <f>B3+C3</f>
        <v>56141.256000000008</v>
      </c>
      <c r="E3" s="140">
        <f>SUM('מזומנים ושווי מזומנים'!O:O)/B30</f>
        <v>1.8831201071209076E-2</v>
      </c>
    </row>
    <row r="4" spans="1:5">
      <c r="A4" s="47" t="s">
        <v>1005</v>
      </c>
      <c r="B4" s="135">
        <f>SUM('איגרות חוב ממשלתיות'!U:U)</f>
        <v>377040.49299999996</v>
      </c>
      <c r="C4" s="48"/>
      <c r="D4" s="135">
        <f t="shared" ref="D4:D29" si="0">B4+C4</f>
        <v>377040.49299999996</v>
      </c>
      <c r="E4" s="140">
        <f>SUM('איגרות חוב ממשלתיות'!U:U)/B30</f>
        <v>0.12646894354609373</v>
      </c>
    </row>
    <row r="5" spans="1:5">
      <c r="A5" s="47" t="s">
        <v>1009</v>
      </c>
      <c r="B5" s="135">
        <f>SUM('ניירות ערך מסחריים'!AD:AD)</f>
        <v>0</v>
      </c>
      <c r="C5" s="48"/>
      <c r="D5" s="135">
        <f t="shared" si="0"/>
        <v>0</v>
      </c>
      <c r="E5" s="140">
        <f>SUM('ניירות ערך מסחריים'!AD:AD)/B30</f>
        <v>0</v>
      </c>
    </row>
    <row r="6" spans="1:5">
      <c r="A6" s="47" t="s">
        <v>1010</v>
      </c>
      <c r="B6" s="135">
        <f>SUM('איגרות חוב'!AD:AD)</f>
        <v>184393.96299999999</v>
      </c>
      <c r="C6" s="48"/>
      <c r="D6" s="135">
        <f t="shared" si="0"/>
        <v>184393.96299999999</v>
      </c>
      <c r="E6" s="140">
        <f>SUM('איגרות חוב'!AD:AD)/B30</f>
        <v>6.1850411639705491E-2</v>
      </c>
    </row>
    <row r="7" spans="1:5">
      <c r="A7" s="47" t="s">
        <v>1017</v>
      </c>
      <c r="B7" s="135">
        <f>SUM('מניות מבכ ויהש'!U:U)</f>
        <v>353483.03899999952</v>
      </c>
      <c r="C7" s="48"/>
      <c r="D7" s="135">
        <f t="shared" si="0"/>
        <v>353483.03899999952</v>
      </c>
      <c r="E7" s="140">
        <f>SUM('מניות מבכ ויהש'!U:U)/B30</f>
        <v>0.11856717602953216</v>
      </c>
    </row>
    <row r="8" spans="1:5">
      <c r="A8" s="47" t="s">
        <v>517</v>
      </c>
      <c r="B8" s="135">
        <f>SUM('קרנות סל'!T:T)</f>
        <v>717037.2899999998</v>
      </c>
      <c r="C8" s="48"/>
      <c r="D8" s="135">
        <f t="shared" si="0"/>
        <v>717037.2899999998</v>
      </c>
      <c r="E8" s="140">
        <f>SUM('קרנות סל'!T:T)/B30</f>
        <v>0.2405124919817406</v>
      </c>
    </row>
    <row r="9" spans="1:5">
      <c r="A9" s="47" t="s">
        <v>1030</v>
      </c>
      <c r="B9" s="135">
        <f>SUM('קרנות נאמנות'!T:T)</f>
        <v>121588.33900000002</v>
      </c>
      <c r="C9" s="48"/>
      <c r="D9" s="135">
        <f t="shared" si="0"/>
        <v>121588.33900000002</v>
      </c>
      <c r="E9" s="140">
        <f>SUM('קרנות נאמנות'!T:T)/B30</f>
        <v>4.0783812525023166E-2</v>
      </c>
    </row>
    <row r="10" spans="1:5">
      <c r="A10" s="47" t="s">
        <v>1160</v>
      </c>
      <c r="B10" s="135">
        <f>SUM('כתבי אופציה'!W:W)</f>
        <v>36.539999999999992</v>
      </c>
      <c r="C10" s="48"/>
      <c r="D10" s="135">
        <f t="shared" si="0"/>
        <v>36.539999999999992</v>
      </c>
      <c r="E10" s="140">
        <f>SUM('כתבי אופציה'!W:W)/B30</f>
        <v>1.2256442697719113E-5</v>
      </c>
    </row>
    <row r="11" spans="1:5">
      <c r="A11" s="47" t="s">
        <v>1033</v>
      </c>
      <c r="B11" s="135">
        <f>SUM(אופציות!V:V)</f>
        <v>0</v>
      </c>
      <c r="C11" s="48"/>
      <c r="D11" s="135">
        <f t="shared" si="0"/>
        <v>0</v>
      </c>
      <c r="E11" s="140">
        <f>SUM(אופציות!V:V)/B30</f>
        <v>0</v>
      </c>
    </row>
    <row r="12" spans="1:5">
      <c r="A12" s="47" t="s">
        <v>1165</v>
      </c>
      <c r="B12" s="135">
        <f>SUM('חוזים עתידיים'!R:R)</f>
        <v>6828.0439999999999</v>
      </c>
      <c r="C12" s="48"/>
      <c r="D12" s="135">
        <f t="shared" si="0"/>
        <v>6828.0439999999999</v>
      </c>
      <c r="E12" s="140">
        <f>SUM('חוזים עתידיים'!R:R)/B30</f>
        <v>2.2902991248906629E-3</v>
      </c>
    </row>
    <row r="13" spans="1:5">
      <c r="A13" s="47" t="s">
        <v>1038</v>
      </c>
      <c r="B13" s="135">
        <f>SUM('מוצרים מובנים'!Z:Z)</f>
        <v>0</v>
      </c>
      <c r="C13" s="48"/>
      <c r="D13" s="135">
        <f t="shared" si="0"/>
        <v>0</v>
      </c>
      <c r="E13" s="140">
        <f>SUM('מוצרים מובנים'!Z:Z)/B30</f>
        <v>0</v>
      </c>
    </row>
    <row r="14" spans="1:5">
      <c r="A14" s="47" t="s">
        <v>1045</v>
      </c>
      <c r="B14" s="135">
        <f>SUM('לא סחיר איגרות חוב ממשלתיות'!U:U)</f>
        <v>0</v>
      </c>
      <c r="C14" s="48"/>
      <c r="D14" s="135">
        <f t="shared" si="0"/>
        <v>0</v>
      </c>
      <c r="E14" s="140">
        <f>SUM('לא סחיר איגרות חוב ממשלתיות'!U:U)/B30</f>
        <v>0</v>
      </c>
    </row>
    <row r="15" spans="1:5">
      <c r="A15" s="47" t="s">
        <v>1046</v>
      </c>
      <c r="B15" s="135">
        <f>SUM('לא סחיר איגרות חוב מיועדות'!N:N)</f>
        <v>0</v>
      </c>
      <c r="C15" s="48"/>
      <c r="D15" s="135">
        <f t="shared" si="0"/>
        <v>0</v>
      </c>
      <c r="E15" s="140">
        <f>SUM('לא סחיר איגרות חוב מיועדות'!N:N)/B30</f>
        <v>0</v>
      </c>
    </row>
    <row r="16" spans="1:5">
      <c r="A16" s="47" t="s">
        <v>1052</v>
      </c>
      <c r="B16" s="135">
        <f>SUM('אפיק השקעה מובטח תשואה'!F:F)</f>
        <v>0</v>
      </c>
      <c r="C16" s="48"/>
      <c r="D16" s="135">
        <f t="shared" si="0"/>
        <v>0</v>
      </c>
      <c r="E16" s="140">
        <f>SUM('אפיק השקעה מובטח תשואה'!F:F)/B30</f>
        <v>0</v>
      </c>
    </row>
    <row r="17" spans="1:5">
      <c r="A17" s="47" t="s">
        <v>1056</v>
      </c>
      <c r="B17" s="135">
        <f>SUM('לא סחיר ניירות ערך מסחריים'!AI:AI)</f>
        <v>0</v>
      </c>
      <c r="C17" s="48"/>
      <c r="D17" s="135">
        <f t="shared" si="0"/>
        <v>0</v>
      </c>
      <c r="E17" s="140">
        <f>SUM('לא סחיר ניירות ערך מסחריים'!AI:AI)/B30</f>
        <v>0</v>
      </c>
    </row>
    <row r="18" spans="1:5">
      <c r="A18" s="47" t="s">
        <v>1058</v>
      </c>
      <c r="B18" s="135">
        <f>SUM('לא סחיר איגרות חוב'!AG:AG)</f>
        <v>8513.3399999999983</v>
      </c>
      <c r="C18" s="48"/>
      <c r="D18" s="135">
        <f t="shared" si="0"/>
        <v>8513.3399999999983</v>
      </c>
      <c r="E18" s="140">
        <f>SUM('לא סחיר איגרות חוב'!AG:AG)/B30</f>
        <v>2.8555901443951845E-3</v>
      </c>
    </row>
    <row r="19" spans="1:5">
      <c r="A19" s="47" t="s">
        <v>1061</v>
      </c>
      <c r="B19" s="135">
        <f>SUM('לא סחיר מניות מבכ ויהש'!X:X)</f>
        <v>88966.840999999986</v>
      </c>
      <c r="C19" s="48"/>
      <c r="D19" s="135">
        <f t="shared" si="0"/>
        <v>88966.840999999986</v>
      </c>
      <c r="E19" s="140">
        <f>SUM('לא סחיר מניות מבכ ויהש'!X:X)/B30</f>
        <v>2.9841734775960246E-2</v>
      </c>
    </row>
    <row r="20" spans="1:5">
      <c r="A20" s="47" t="s">
        <v>819</v>
      </c>
      <c r="B20" s="135">
        <f>SUM('קרנות השקעה'!W:W)</f>
        <v>523732.14000000007</v>
      </c>
      <c r="C20" s="48"/>
      <c r="D20" s="135">
        <f t="shared" si="0"/>
        <v>523732.14000000007</v>
      </c>
      <c r="E20" s="140">
        <f>SUM('קרנות השקעה'!W:W)/B30</f>
        <v>0.17567304222396843</v>
      </c>
    </row>
    <row r="21" spans="1:5">
      <c r="A21" s="47" t="s">
        <v>1176</v>
      </c>
      <c r="B21" s="135">
        <f>SUM('לא סחיר כתבי אופציה'!Z:Z)</f>
        <v>0.26800000000000002</v>
      </c>
      <c r="C21" s="48"/>
      <c r="D21" s="135">
        <f t="shared" si="0"/>
        <v>0.26800000000000002</v>
      </c>
      <c r="E21" s="140">
        <f>SUM('לא סחיר כתבי אופציה'!Z:Z)/B30</f>
        <v>8.9893996797720935E-8</v>
      </c>
    </row>
    <row r="22" spans="1:5">
      <c r="A22" s="47" t="s">
        <v>1076</v>
      </c>
      <c r="B22" s="135">
        <f>SUM('לא סחיר אופציות'!Z:Z)</f>
        <v>0</v>
      </c>
      <c r="C22" s="48"/>
      <c r="D22" s="135">
        <f t="shared" si="0"/>
        <v>0</v>
      </c>
      <c r="E22" s="140">
        <f>SUM('לא סחיר אופציות'!Z:Z)/B30</f>
        <v>0</v>
      </c>
    </row>
    <row r="23" spans="1:5">
      <c r="A23" s="47" t="s">
        <v>1085</v>
      </c>
      <c r="B23" s="135">
        <f>SUM('לא סחיר נגזרים אחרים'!R:R)</f>
        <v>-285.98499999999967</v>
      </c>
      <c r="C23" s="48"/>
      <c r="D23" s="135">
        <f t="shared" si="0"/>
        <v>-285.98499999999967</v>
      </c>
      <c r="E23" s="140">
        <f>SUM('לא סחיר נגזרים אחרים'!R:R)/B30</f>
        <v>-9.592662191864251E-5</v>
      </c>
    </row>
    <row r="24" spans="1:5">
      <c r="A24" s="47" t="s">
        <v>1078</v>
      </c>
      <c r="B24" s="135">
        <f>SUM(הלוואות!AT:AT)</f>
        <v>65265.219999999965</v>
      </c>
      <c r="C24" s="48"/>
      <c r="D24" s="135">
        <f t="shared" si="0"/>
        <v>65265.219999999965</v>
      </c>
      <c r="E24" s="140">
        <f>SUM(הלוואות!AT:AT)/B30</f>
        <v>2.1891609991352794E-2</v>
      </c>
    </row>
    <row r="25" spans="1:5">
      <c r="A25" s="47" t="s">
        <v>1097</v>
      </c>
      <c r="B25" s="135">
        <f>SUM('לא סחיר מוצרים מובנים'!AB:AB)</f>
        <v>0</v>
      </c>
      <c r="C25" s="48"/>
      <c r="D25" s="135">
        <f t="shared" si="0"/>
        <v>0</v>
      </c>
      <c r="E25" s="140">
        <f>SUM('לא סחיר מוצרים מובנים'!AB:AB)/B30</f>
        <v>0</v>
      </c>
    </row>
    <row r="26" spans="1:5">
      <c r="A26" s="47" t="s">
        <v>1102</v>
      </c>
      <c r="B26" s="135">
        <f>SUM('פיקדונות מעל 3 חודשים'!T:T)</f>
        <v>58489.991999999998</v>
      </c>
      <c r="C26" s="48"/>
      <c r="D26" s="135">
        <f t="shared" si="0"/>
        <v>58489.991999999998</v>
      </c>
      <c r="E26" s="140">
        <f>SUM('פיקדונות מעל 3 חודשים'!T:T)/B30</f>
        <v>1.9619026692338518E-2</v>
      </c>
    </row>
    <row r="27" spans="1:5">
      <c r="A27" s="47" t="s">
        <v>1105</v>
      </c>
      <c r="B27" s="135">
        <f>SUM('זכויות מקרקעין'!S:S)</f>
        <v>419529.71299999993</v>
      </c>
      <c r="C27" s="48"/>
      <c r="D27" s="135">
        <f t="shared" si="0"/>
        <v>419529.71299999993</v>
      </c>
      <c r="E27" s="140">
        <f>SUM('זכויות מקרקעין'!S:S)/$B$30</f>
        <v>0.14072090551108499</v>
      </c>
    </row>
    <row r="28" spans="1:5">
      <c r="A28" s="47" t="s">
        <v>1138</v>
      </c>
      <c r="B28" s="135">
        <f>SUM('השקעה בחברות מוחזקות'!U:U)</f>
        <v>0</v>
      </c>
      <c r="C28" s="48"/>
      <c r="D28" s="135">
        <f t="shared" si="0"/>
        <v>0</v>
      </c>
      <c r="E28" s="140">
        <f>SUM('השקעה בחברות מוחזקות'!U:U)/B30</f>
        <v>0</v>
      </c>
    </row>
    <row r="29" spans="1:5">
      <c r="A29" s="47" t="s">
        <v>1107</v>
      </c>
      <c r="B29" s="135">
        <f>SUM('נכסים אחרים'!N:N)</f>
        <v>528.68700000000001</v>
      </c>
      <c r="C29" s="48"/>
      <c r="D29" s="135">
        <f t="shared" si="0"/>
        <v>528.68700000000001</v>
      </c>
      <c r="E29" s="140">
        <f>SUM('נכסים אחרים'!N:N)/B30</f>
        <v>1.7733502792909213E-4</v>
      </c>
    </row>
    <row r="30" spans="1:5">
      <c r="A30" s="46" t="s">
        <v>1217</v>
      </c>
      <c r="B30" s="136">
        <f>IF(SUM(B3:B29)=0,0.0001,SUM(B3:B29))</f>
        <v>2981289.1799999992</v>
      </c>
      <c r="C30" s="49">
        <f t="shared" ref="C30:E30" si="1">SUM(C3:C29)</f>
        <v>0</v>
      </c>
      <c r="D30" s="136">
        <f t="shared" si="1"/>
        <v>2981289.1799999992</v>
      </c>
      <c r="E30" s="141">
        <f t="shared" si="1"/>
        <v>0.99999999999999989</v>
      </c>
    </row>
    <row r="31" spans="1:5">
      <c r="A31" s="47" t="s">
        <v>1214</v>
      </c>
      <c r="B31" s="135"/>
      <c r="C31" s="48"/>
      <c r="D31" s="135"/>
      <c r="E31" s="140"/>
    </row>
    <row r="32" spans="1:5">
      <c r="A32" s="47" t="s">
        <v>1218</v>
      </c>
      <c r="B32" s="135">
        <f>SUM('יתרות התחייבות להשקעה'!O:O)</f>
        <v>210392.99004633402</v>
      </c>
      <c r="C32" s="48"/>
      <c r="D32" s="135"/>
      <c r="E32" s="14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65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5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19" t="s">
        <v>0</v>
      </c>
      <c r="B1" s="19" t="s">
        <v>1</v>
      </c>
      <c r="C1" s="19" t="s">
        <v>205</v>
      </c>
      <c r="D1" s="19" t="s">
        <v>206</v>
      </c>
      <c r="E1" s="19" t="s">
        <v>207</v>
      </c>
      <c r="F1" s="19" t="s">
        <v>5</v>
      </c>
      <c r="G1" s="19" t="s">
        <v>6</v>
      </c>
      <c r="H1" s="19" t="s">
        <v>150</v>
      </c>
      <c r="I1" s="19" t="s">
        <v>209</v>
      </c>
      <c r="J1" s="19" t="s">
        <v>10</v>
      </c>
      <c r="K1" s="19" t="s">
        <v>11</v>
      </c>
      <c r="L1" s="19" t="s">
        <v>160</v>
      </c>
      <c r="M1" s="19" t="s">
        <v>18</v>
      </c>
      <c r="N1" s="159" t="s">
        <v>14</v>
      </c>
      <c r="O1" s="19" t="s">
        <v>20</v>
      </c>
      <c r="P1" s="163" t="s">
        <v>24</v>
      </c>
      <c r="Q1" s="163" t="s">
        <v>25</v>
      </c>
    </row>
    <row r="2" spans="1:17">
      <c r="A2" s="2" t="s">
        <v>26</v>
      </c>
      <c r="B2" s="2">
        <v>1182</v>
      </c>
      <c r="C2" s="2" t="s">
        <v>1219</v>
      </c>
      <c r="D2" s="2" t="s">
        <v>1220</v>
      </c>
      <c r="E2" s="4" t="s">
        <v>213</v>
      </c>
      <c r="F2" s="2" t="s">
        <v>996</v>
      </c>
      <c r="G2" s="2" t="s">
        <v>31</v>
      </c>
      <c r="H2" s="2" t="s">
        <v>164</v>
      </c>
      <c r="I2" s="2" t="s">
        <v>216</v>
      </c>
      <c r="J2" s="2" t="s">
        <v>217</v>
      </c>
      <c r="K2" s="2" t="s">
        <v>35</v>
      </c>
      <c r="L2" s="149">
        <v>0</v>
      </c>
      <c r="M2" s="150">
        <v>1</v>
      </c>
      <c r="N2" s="160">
        <v>4.0300000000000002E-2</v>
      </c>
      <c r="O2" s="150">
        <v>341.66300000000001</v>
      </c>
      <c r="P2" s="164">
        <v>2.3583540682297201E-2</v>
      </c>
      <c r="Q2" s="164">
        <v>8.9948587622808E-4</v>
      </c>
    </row>
    <row r="3" spans="1:17">
      <c r="A3" s="2" t="s">
        <v>26</v>
      </c>
      <c r="B3" s="2">
        <v>1182</v>
      </c>
      <c r="C3" s="2" t="s">
        <v>1219</v>
      </c>
      <c r="D3" s="2" t="s">
        <v>1220</v>
      </c>
      <c r="E3" s="18" t="s">
        <v>213</v>
      </c>
      <c r="F3" s="2" t="s">
        <v>996</v>
      </c>
      <c r="G3" s="2" t="s">
        <v>31</v>
      </c>
      <c r="H3" s="2" t="s">
        <v>164</v>
      </c>
      <c r="I3" s="2" t="s">
        <v>216</v>
      </c>
      <c r="J3" s="2" t="s">
        <v>217</v>
      </c>
      <c r="K3" s="2" t="s">
        <v>35</v>
      </c>
      <c r="L3" s="150">
        <v>0</v>
      </c>
      <c r="M3" s="150">
        <v>1</v>
      </c>
      <c r="N3" s="161">
        <v>4.0300000000000002E-2</v>
      </c>
      <c r="O3" s="150">
        <v>1993.559</v>
      </c>
      <c r="P3" s="164">
        <v>0.137606976275577</v>
      </c>
      <c r="Q3" s="164">
        <v>5.24838629185334E-3</v>
      </c>
    </row>
    <row r="4" spans="1:17">
      <c r="A4" s="2" t="s">
        <v>26</v>
      </c>
      <c r="B4" s="2">
        <v>1182</v>
      </c>
      <c r="C4" s="2" t="s">
        <v>1219</v>
      </c>
      <c r="D4" s="2" t="s">
        <v>1220</v>
      </c>
      <c r="E4" s="18" t="s">
        <v>213</v>
      </c>
      <c r="F4" s="2" t="s">
        <v>996</v>
      </c>
      <c r="G4" s="2" t="s">
        <v>31</v>
      </c>
      <c r="H4" s="2" t="s">
        <v>164</v>
      </c>
      <c r="I4" s="2" t="s">
        <v>216</v>
      </c>
      <c r="J4" s="2" t="s">
        <v>217</v>
      </c>
      <c r="K4" s="2" t="s">
        <v>35</v>
      </c>
      <c r="L4" s="150">
        <v>0</v>
      </c>
      <c r="M4" s="150">
        <v>1</v>
      </c>
      <c r="N4" s="161">
        <v>4.0300000000000002E-2</v>
      </c>
      <c r="O4" s="150">
        <v>0.01</v>
      </c>
      <c r="P4" s="164">
        <v>6.9025798491603599E-7</v>
      </c>
      <c r="Q4" s="164">
        <v>2.6326721536418198E-8</v>
      </c>
    </row>
    <row r="5" spans="1:17">
      <c r="A5" s="2" t="s">
        <v>26</v>
      </c>
      <c r="B5" s="2">
        <v>1182</v>
      </c>
      <c r="C5" s="2" t="s">
        <v>211</v>
      </c>
      <c r="D5" s="2" t="s">
        <v>212</v>
      </c>
      <c r="E5" s="18" t="s">
        <v>213</v>
      </c>
      <c r="F5" s="2" t="s">
        <v>998</v>
      </c>
      <c r="G5" s="2" t="s">
        <v>100</v>
      </c>
      <c r="H5" s="2" t="s">
        <v>164</v>
      </c>
      <c r="I5" s="2" t="s">
        <v>216</v>
      </c>
      <c r="J5" s="2" t="s">
        <v>217</v>
      </c>
      <c r="K5" s="2" t="s">
        <v>105</v>
      </c>
      <c r="L5" s="150">
        <v>47.03</v>
      </c>
      <c r="M5" s="150">
        <v>3.681</v>
      </c>
      <c r="N5" s="161">
        <v>3.8399999999999997E-2</v>
      </c>
      <c r="O5" s="150">
        <v>173.11699999999999</v>
      </c>
      <c r="P5" s="164">
        <v>1.1949510399252501E-2</v>
      </c>
      <c r="Q5" s="164">
        <v>4.5575920837181202E-4</v>
      </c>
    </row>
    <row r="6" spans="1:17">
      <c r="A6" s="2" t="s">
        <v>26</v>
      </c>
      <c r="B6" s="2">
        <v>1182</v>
      </c>
      <c r="C6" s="2" t="s">
        <v>211</v>
      </c>
      <c r="D6" s="2" t="s">
        <v>212</v>
      </c>
      <c r="E6" s="18" t="s">
        <v>213</v>
      </c>
      <c r="F6" s="2" t="s">
        <v>998</v>
      </c>
      <c r="G6" s="2" t="s">
        <v>100</v>
      </c>
      <c r="H6" s="2" t="s">
        <v>164</v>
      </c>
      <c r="I6" s="2" t="s">
        <v>216</v>
      </c>
      <c r="J6" s="2" t="s">
        <v>217</v>
      </c>
      <c r="K6" s="2" t="s">
        <v>1221</v>
      </c>
      <c r="L6" s="150">
        <v>849.47299999999996</v>
      </c>
      <c r="M6" s="150">
        <v>2.7120000000000002</v>
      </c>
      <c r="N6" s="161">
        <v>0</v>
      </c>
      <c r="O6" s="150">
        <v>2303.9409999999998</v>
      </c>
      <c r="P6" s="164">
        <v>0.15903135195391599</v>
      </c>
      <c r="Q6" s="164">
        <v>6.0655207327448201E-3</v>
      </c>
    </row>
    <row r="7" spans="1:17">
      <c r="A7" s="2" t="s">
        <v>26</v>
      </c>
      <c r="B7" s="2">
        <v>1182</v>
      </c>
      <c r="C7" s="2" t="s">
        <v>211</v>
      </c>
      <c r="D7" s="2" t="s">
        <v>212</v>
      </c>
      <c r="E7" s="18" t="s">
        <v>213</v>
      </c>
      <c r="F7" s="2" t="s">
        <v>998</v>
      </c>
      <c r="G7" s="2" t="s">
        <v>100</v>
      </c>
      <c r="H7" s="2" t="s">
        <v>164</v>
      </c>
      <c r="I7" s="2" t="s">
        <v>216</v>
      </c>
      <c r="J7" s="2" t="s">
        <v>217</v>
      </c>
      <c r="K7" s="2" t="s">
        <v>1222</v>
      </c>
      <c r="L7" s="150">
        <v>2544.1170000000002</v>
      </c>
      <c r="M7" s="150">
        <v>2.4329999999999998</v>
      </c>
      <c r="N7" s="161">
        <v>0</v>
      </c>
      <c r="O7" s="150">
        <v>61.908999999999999</v>
      </c>
      <c r="P7" s="164">
        <v>4.2732873080770402E-3</v>
      </c>
      <c r="Q7" s="164">
        <v>1.62984923699998E-4</v>
      </c>
    </row>
    <row r="8" spans="1:17">
      <c r="A8" s="2" t="s">
        <v>26</v>
      </c>
      <c r="B8" s="2">
        <v>1182</v>
      </c>
      <c r="C8" s="2" t="s">
        <v>211</v>
      </c>
      <c r="D8" s="2" t="s">
        <v>212</v>
      </c>
      <c r="E8" s="18" t="s">
        <v>213</v>
      </c>
      <c r="F8" s="2" t="s">
        <v>998</v>
      </c>
      <c r="G8" s="2" t="s">
        <v>100</v>
      </c>
      <c r="H8" s="2" t="s">
        <v>164</v>
      </c>
      <c r="I8" s="2" t="s">
        <v>216</v>
      </c>
      <c r="J8" s="2" t="s">
        <v>217</v>
      </c>
      <c r="K8" s="2" t="s">
        <v>1223</v>
      </c>
      <c r="L8" s="150">
        <v>6.71</v>
      </c>
      <c r="M8" s="150">
        <v>4.6539999999999999</v>
      </c>
      <c r="N8" s="161">
        <v>0</v>
      </c>
      <c r="O8" s="150">
        <v>31.222999999999999</v>
      </c>
      <c r="P8" s="164">
        <v>2.1552042500075602E-3</v>
      </c>
      <c r="Q8" s="164">
        <v>8.22003705628354E-5</v>
      </c>
    </row>
    <row r="9" spans="1:17">
      <c r="A9" s="2" t="s">
        <v>26</v>
      </c>
      <c r="B9" s="2">
        <v>1182</v>
      </c>
      <c r="C9" s="2" t="s">
        <v>211</v>
      </c>
      <c r="D9" s="2" t="s">
        <v>212</v>
      </c>
      <c r="E9" s="18" t="s">
        <v>213</v>
      </c>
      <c r="F9" s="2" t="s">
        <v>996</v>
      </c>
      <c r="G9" s="2" t="s">
        <v>31</v>
      </c>
      <c r="H9" s="2" t="s">
        <v>164</v>
      </c>
      <c r="I9" s="2" t="s">
        <v>216</v>
      </c>
      <c r="J9" s="2" t="s">
        <v>217</v>
      </c>
      <c r="K9" s="2" t="s">
        <v>35</v>
      </c>
      <c r="L9" s="150">
        <v>0</v>
      </c>
      <c r="M9" s="150">
        <v>1</v>
      </c>
      <c r="N9" s="161">
        <v>4.0300000000000002E-2</v>
      </c>
      <c r="O9" s="150">
        <v>9581.9169999999995</v>
      </c>
      <c r="P9" s="164">
        <v>0.66139943887288699</v>
      </c>
      <c r="Q9" s="164">
        <v>2.52260448007245E-2</v>
      </c>
    </row>
    <row r="10" spans="1:17">
      <c r="A10" s="2" t="s">
        <v>26</v>
      </c>
      <c r="B10" s="2">
        <v>14769</v>
      </c>
      <c r="C10" s="2" t="s">
        <v>1219</v>
      </c>
      <c r="D10" s="2" t="s">
        <v>1220</v>
      </c>
      <c r="E10" s="18" t="s">
        <v>213</v>
      </c>
      <c r="F10" s="2" t="s">
        <v>996</v>
      </c>
      <c r="G10" s="2" t="s">
        <v>31</v>
      </c>
      <c r="H10" s="2" t="s">
        <v>164</v>
      </c>
      <c r="I10" s="2" t="s">
        <v>216</v>
      </c>
      <c r="J10" s="2" t="s">
        <v>217</v>
      </c>
      <c r="K10" s="2" t="s">
        <v>35</v>
      </c>
      <c r="L10" s="150">
        <v>0</v>
      </c>
      <c r="M10" s="150">
        <v>1</v>
      </c>
      <c r="N10" s="161">
        <v>4.0300000000000002E-2</v>
      </c>
      <c r="O10" s="150">
        <v>96.614000000000004</v>
      </c>
      <c r="P10" s="164">
        <v>0.13536992373499601</v>
      </c>
      <c r="Q10" s="164">
        <v>1.2384550186491299E-2</v>
      </c>
    </row>
    <row r="11" spans="1:17">
      <c r="A11" s="2" t="s">
        <v>26</v>
      </c>
      <c r="B11" s="2">
        <v>14769</v>
      </c>
      <c r="C11" s="2" t="s">
        <v>211</v>
      </c>
      <c r="D11" s="2" t="s">
        <v>212</v>
      </c>
      <c r="E11" s="18" t="s">
        <v>213</v>
      </c>
      <c r="F11" s="2" t="s">
        <v>998</v>
      </c>
      <c r="G11" s="2" t="s">
        <v>100</v>
      </c>
      <c r="H11" s="2" t="s">
        <v>164</v>
      </c>
      <c r="I11" s="2" t="s">
        <v>216</v>
      </c>
      <c r="J11" s="2" t="s">
        <v>217</v>
      </c>
      <c r="K11" s="2" t="s">
        <v>105</v>
      </c>
      <c r="L11" s="150">
        <v>34.435000000000002</v>
      </c>
      <c r="M11" s="150">
        <v>3.681</v>
      </c>
      <c r="N11" s="161">
        <v>3.8399999999999997E-2</v>
      </c>
      <c r="O11" s="150">
        <v>126.756</v>
      </c>
      <c r="P11" s="164">
        <v>0.17760182191029</v>
      </c>
      <c r="Q11" s="164">
        <v>1.6248207991652001E-2</v>
      </c>
    </row>
    <row r="12" spans="1:17">
      <c r="A12" s="2" t="s">
        <v>26</v>
      </c>
      <c r="B12" s="2">
        <v>14769</v>
      </c>
      <c r="C12" s="2" t="s">
        <v>211</v>
      </c>
      <c r="D12" s="2" t="s">
        <v>212</v>
      </c>
      <c r="E12" s="18" t="s">
        <v>213</v>
      </c>
      <c r="F12" s="2" t="s">
        <v>998</v>
      </c>
      <c r="G12" s="2" t="s">
        <v>100</v>
      </c>
      <c r="H12" s="2" t="s">
        <v>164</v>
      </c>
      <c r="I12" s="2" t="s">
        <v>216</v>
      </c>
      <c r="J12" s="2" t="s">
        <v>217</v>
      </c>
      <c r="K12" s="2" t="s">
        <v>1221</v>
      </c>
      <c r="L12" s="150">
        <v>-0.9</v>
      </c>
      <c r="M12" s="150">
        <v>2.7120000000000002</v>
      </c>
      <c r="N12" s="161">
        <v>0</v>
      </c>
      <c r="O12" s="150">
        <v>-2.44</v>
      </c>
      <c r="P12" s="164">
        <v>-3.4188545608977699E-3</v>
      </c>
      <c r="Q12" s="164">
        <v>-3.1277978683537502E-4</v>
      </c>
    </row>
    <row r="13" spans="1:17">
      <c r="A13" s="2" t="s">
        <v>26</v>
      </c>
      <c r="B13" s="2">
        <v>14769</v>
      </c>
      <c r="C13" s="2" t="s">
        <v>211</v>
      </c>
      <c r="D13" s="2" t="s">
        <v>212</v>
      </c>
      <c r="E13" s="18" t="s">
        <v>213</v>
      </c>
      <c r="F13" s="2" t="s">
        <v>998</v>
      </c>
      <c r="G13" s="2" t="s">
        <v>100</v>
      </c>
      <c r="H13" s="2" t="s">
        <v>164</v>
      </c>
      <c r="I13" s="2" t="s">
        <v>216</v>
      </c>
      <c r="J13" s="2" t="s">
        <v>217</v>
      </c>
      <c r="K13" s="2" t="s">
        <v>1224</v>
      </c>
      <c r="L13" s="150">
        <v>2.3220000000000001</v>
      </c>
      <c r="M13" s="150">
        <v>3.9790000000000001</v>
      </c>
      <c r="N13" s="161">
        <v>0</v>
      </c>
      <c r="O13" s="150">
        <v>9.2390000000000008</v>
      </c>
      <c r="P13" s="164">
        <v>1.29455376023526E-2</v>
      </c>
      <c r="Q13" s="164">
        <v>1.18434476214452E-3</v>
      </c>
    </row>
    <row r="14" spans="1:17">
      <c r="A14" s="2" t="s">
        <v>26</v>
      </c>
      <c r="B14" s="2">
        <v>14769</v>
      </c>
      <c r="C14" s="2" t="s">
        <v>211</v>
      </c>
      <c r="D14" s="2" t="s">
        <v>212</v>
      </c>
      <c r="E14" s="18" t="s">
        <v>213</v>
      </c>
      <c r="F14" s="2" t="s">
        <v>998</v>
      </c>
      <c r="G14" s="2" t="s">
        <v>100</v>
      </c>
      <c r="H14" s="2" t="s">
        <v>164</v>
      </c>
      <c r="I14" s="2" t="s">
        <v>216</v>
      </c>
      <c r="J14" s="2" t="s">
        <v>217</v>
      </c>
      <c r="K14" s="2" t="s">
        <v>1222</v>
      </c>
      <c r="L14" s="150">
        <v>34.628999999999998</v>
      </c>
      <c r="M14" s="150">
        <v>2.4329999999999998</v>
      </c>
      <c r="N14" s="161">
        <v>0</v>
      </c>
      <c r="O14" s="150">
        <v>0.84299999999999997</v>
      </c>
      <c r="P14" s="164">
        <v>1.1806983967277999E-3</v>
      </c>
      <c r="Q14" s="164">
        <v>1.08018222555924E-4</v>
      </c>
    </row>
    <row r="15" spans="1:17">
      <c r="A15" s="2" t="s">
        <v>26</v>
      </c>
      <c r="B15" s="2">
        <v>14769</v>
      </c>
      <c r="C15" s="2" t="s">
        <v>211</v>
      </c>
      <c r="D15" s="2" t="s">
        <v>212</v>
      </c>
      <c r="E15" s="18" t="s">
        <v>213</v>
      </c>
      <c r="F15" s="2" t="s">
        <v>998</v>
      </c>
      <c r="G15" s="2" t="s">
        <v>100</v>
      </c>
      <c r="H15" s="2" t="s">
        <v>164</v>
      </c>
      <c r="I15" s="2" t="s">
        <v>216</v>
      </c>
      <c r="J15" s="2" t="s">
        <v>217</v>
      </c>
      <c r="K15" s="2" t="s">
        <v>1223</v>
      </c>
      <c r="L15" s="150">
        <v>0.23300000000000001</v>
      </c>
      <c r="M15" s="150">
        <v>4.6539999999999999</v>
      </c>
      <c r="N15" s="161">
        <v>0</v>
      </c>
      <c r="O15" s="150">
        <v>1.085</v>
      </c>
      <c r="P15" s="164">
        <v>1.5198561832578299E-3</v>
      </c>
      <c r="Q15" s="164">
        <v>1.3904665570066801E-4</v>
      </c>
    </row>
    <row r="16" spans="1:17">
      <c r="A16" s="2" t="s">
        <v>26</v>
      </c>
      <c r="B16" s="2">
        <v>14769</v>
      </c>
      <c r="C16" s="2" t="s">
        <v>211</v>
      </c>
      <c r="D16" s="2" t="s">
        <v>212</v>
      </c>
      <c r="E16" s="18" t="s">
        <v>213</v>
      </c>
      <c r="F16" s="2" t="s">
        <v>996</v>
      </c>
      <c r="G16" s="2" t="s">
        <v>31</v>
      </c>
      <c r="H16" s="2" t="s">
        <v>164</v>
      </c>
      <c r="I16" s="2" t="s">
        <v>216</v>
      </c>
      <c r="J16" s="2" t="s">
        <v>217</v>
      </c>
      <c r="K16" s="2" t="s">
        <v>35</v>
      </c>
      <c r="L16" s="150">
        <v>0</v>
      </c>
      <c r="M16" s="150">
        <v>1</v>
      </c>
      <c r="N16" s="161">
        <v>4.0300000000000002E-2</v>
      </c>
      <c r="O16" s="150">
        <v>481.61</v>
      </c>
      <c r="P16" s="164">
        <v>0.67480101673327297</v>
      </c>
      <c r="Q16" s="164">
        <v>6.1735331062080498E-2</v>
      </c>
    </row>
    <row r="17" spans="1:17">
      <c r="A17" s="2" t="s">
        <v>119</v>
      </c>
      <c r="B17" s="2">
        <v>12905</v>
      </c>
      <c r="C17" s="2" t="s">
        <v>1219</v>
      </c>
      <c r="D17" s="2" t="s">
        <v>1220</v>
      </c>
      <c r="E17" s="18" t="s">
        <v>213</v>
      </c>
      <c r="F17" s="2" t="s">
        <v>996</v>
      </c>
      <c r="G17" s="2" t="s">
        <v>31</v>
      </c>
      <c r="H17" s="2" t="s">
        <v>164</v>
      </c>
      <c r="I17" s="2" t="s">
        <v>216</v>
      </c>
      <c r="J17" s="2" t="s">
        <v>217</v>
      </c>
      <c r="K17" s="2" t="s">
        <v>35</v>
      </c>
      <c r="L17" s="150">
        <v>0</v>
      </c>
      <c r="M17" s="150">
        <v>1</v>
      </c>
      <c r="N17" s="161">
        <v>4.0300000000000002E-2</v>
      </c>
      <c r="O17" s="150">
        <v>341.53199999999998</v>
      </c>
      <c r="P17" s="164">
        <v>0.241630058457071</v>
      </c>
      <c r="Q17" s="164">
        <v>1.17964947131485E-2</v>
      </c>
    </row>
    <row r="18" spans="1:17">
      <c r="A18" s="2" t="s">
        <v>119</v>
      </c>
      <c r="B18" s="2">
        <v>12905</v>
      </c>
      <c r="C18" s="2" t="s">
        <v>211</v>
      </c>
      <c r="D18" s="2" t="s">
        <v>212</v>
      </c>
      <c r="E18" s="18" t="s">
        <v>213</v>
      </c>
      <c r="F18" s="2" t="s">
        <v>998</v>
      </c>
      <c r="G18" s="2" t="s">
        <v>100</v>
      </c>
      <c r="H18" s="2" t="s">
        <v>164</v>
      </c>
      <c r="I18" s="2" t="s">
        <v>216</v>
      </c>
      <c r="J18" s="2" t="s">
        <v>217</v>
      </c>
      <c r="K18" s="2" t="s">
        <v>105</v>
      </c>
      <c r="L18" s="150">
        <v>-7.0970000000000004</v>
      </c>
      <c r="M18" s="150">
        <v>3.681</v>
      </c>
      <c r="N18" s="161">
        <v>3.8399999999999997E-2</v>
      </c>
      <c r="O18" s="150">
        <v>-26.123000000000001</v>
      </c>
      <c r="P18" s="164">
        <v>-1.8481943882506801E-2</v>
      </c>
      <c r="Q18" s="164">
        <v>-9.0229731636403201E-4</v>
      </c>
    </row>
    <row r="19" spans="1:17">
      <c r="A19" s="2" t="s">
        <v>119</v>
      </c>
      <c r="B19" s="2">
        <v>12905</v>
      </c>
      <c r="C19" s="2" t="s">
        <v>211</v>
      </c>
      <c r="D19" s="2" t="s">
        <v>212</v>
      </c>
      <c r="E19" s="18" t="s">
        <v>213</v>
      </c>
      <c r="F19" s="2" t="s">
        <v>998</v>
      </c>
      <c r="G19" s="2" t="s">
        <v>100</v>
      </c>
      <c r="H19" s="2" t="s">
        <v>164</v>
      </c>
      <c r="I19" s="2" t="s">
        <v>216</v>
      </c>
      <c r="J19" s="2" t="s">
        <v>217</v>
      </c>
      <c r="K19" s="2" t="s">
        <v>1221</v>
      </c>
      <c r="L19" s="150">
        <v>25.146999999999998</v>
      </c>
      <c r="M19" s="150">
        <v>2.7120000000000002</v>
      </c>
      <c r="N19" s="161">
        <v>0</v>
      </c>
      <c r="O19" s="150">
        <v>68.203000000000003</v>
      </c>
      <c r="P19" s="164">
        <v>4.8252730835581098E-2</v>
      </c>
      <c r="Q19" s="164">
        <v>2.35572133629243E-3</v>
      </c>
    </row>
    <row r="20" spans="1:17">
      <c r="A20" s="2" t="s">
        <v>119</v>
      </c>
      <c r="B20" s="2">
        <v>12905</v>
      </c>
      <c r="C20" s="2" t="s">
        <v>211</v>
      </c>
      <c r="D20" s="2" t="s">
        <v>212</v>
      </c>
      <c r="E20" s="18" t="s">
        <v>213</v>
      </c>
      <c r="F20" s="2" t="s">
        <v>998</v>
      </c>
      <c r="G20" s="2" t="s">
        <v>100</v>
      </c>
      <c r="H20" s="2" t="s">
        <v>164</v>
      </c>
      <c r="I20" s="2" t="s">
        <v>216</v>
      </c>
      <c r="J20" s="2" t="s">
        <v>217</v>
      </c>
      <c r="K20" s="2" t="s">
        <v>1224</v>
      </c>
      <c r="L20" s="150">
        <v>3.0000000000000001E-3</v>
      </c>
      <c r="M20" s="150">
        <v>3.9790000000000001</v>
      </c>
      <c r="N20" s="161">
        <v>0</v>
      </c>
      <c r="O20" s="150">
        <v>1.2999999999999999E-2</v>
      </c>
      <c r="P20" s="164">
        <v>9.5434285726177308E-6</v>
      </c>
      <c r="Q20" s="164">
        <v>4.6591473519920801E-7</v>
      </c>
    </row>
    <row r="21" spans="1:17">
      <c r="A21" s="2" t="s">
        <v>119</v>
      </c>
      <c r="B21" s="2">
        <v>12905</v>
      </c>
      <c r="C21" s="2" t="s">
        <v>211</v>
      </c>
      <c r="D21" s="2" t="s">
        <v>212</v>
      </c>
      <c r="E21" s="4" t="s">
        <v>213</v>
      </c>
      <c r="F21" s="2" t="s">
        <v>998</v>
      </c>
      <c r="G21" s="2" t="s">
        <v>100</v>
      </c>
      <c r="H21" s="2" t="s">
        <v>164</v>
      </c>
      <c r="I21" s="2" t="s">
        <v>216</v>
      </c>
      <c r="J21" s="2" t="s">
        <v>217</v>
      </c>
      <c r="K21" s="2" t="s">
        <v>1222</v>
      </c>
      <c r="L21" s="150">
        <v>251.41399999999999</v>
      </c>
      <c r="M21" s="150">
        <v>2.4329999999999998</v>
      </c>
      <c r="N21" s="162">
        <v>0</v>
      </c>
      <c r="O21" s="150">
        <v>6.1180000000000003</v>
      </c>
      <c r="P21" s="164">
        <v>4.3283572210746201E-3</v>
      </c>
      <c r="Q21" s="164">
        <v>2.11312464190362E-4</v>
      </c>
    </row>
    <row r="22" spans="1:17">
      <c r="A22" s="2" t="s">
        <v>119</v>
      </c>
      <c r="B22" s="2">
        <v>12905</v>
      </c>
      <c r="C22" s="2" t="s">
        <v>211</v>
      </c>
      <c r="D22" s="2" t="s">
        <v>212</v>
      </c>
      <c r="E22" s="4" t="s">
        <v>213</v>
      </c>
      <c r="F22" s="2" t="s">
        <v>998</v>
      </c>
      <c r="G22" s="2" t="s">
        <v>100</v>
      </c>
      <c r="H22" s="2" t="s">
        <v>164</v>
      </c>
      <c r="I22" s="2" t="s">
        <v>216</v>
      </c>
      <c r="J22" s="2" t="s">
        <v>217</v>
      </c>
      <c r="K22" s="2" t="s">
        <v>1223</v>
      </c>
      <c r="L22" s="150">
        <v>0.28000000000000003</v>
      </c>
      <c r="M22" s="150">
        <v>4.6539999999999999</v>
      </c>
      <c r="N22" s="162">
        <v>0</v>
      </c>
      <c r="O22" s="150">
        <v>1.3009999999999999</v>
      </c>
      <c r="P22" s="164">
        <v>9.2059333250019203E-4</v>
      </c>
      <c r="Q22" s="164">
        <v>4.4943805622294603E-5</v>
      </c>
    </row>
    <row r="23" spans="1:17">
      <c r="A23" s="2" t="s">
        <v>119</v>
      </c>
      <c r="B23" s="2">
        <v>12905</v>
      </c>
      <c r="C23" s="2" t="s">
        <v>211</v>
      </c>
      <c r="D23" s="2" t="s">
        <v>212</v>
      </c>
      <c r="E23" s="4" t="s">
        <v>213</v>
      </c>
      <c r="F23" s="2" t="s">
        <v>996</v>
      </c>
      <c r="G23" s="2" t="s">
        <v>31</v>
      </c>
      <c r="H23" s="2" t="s">
        <v>164</v>
      </c>
      <c r="I23" s="2" t="s">
        <v>216</v>
      </c>
      <c r="J23" s="2" t="s">
        <v>217</v>
      </c>
      <c r="K23" s="2" t="s">
        <v>35</v>
      </c>
      <c r="L23" s="150">
        <v>0</v>
      </c>
      <c r="M23" s="150">
        <v>1</v>
      </c>
      <c r="N23" s="162">
        <v>4.0300000000000002E-2</v>
      </c>
      <c r="O23" s="150">
        <v>1022.405</v>
      </c>
      <c r="P23" s="164">
        <v>0.72334066060770796</v>
      </c>
      <c r="Q23" s="164">
        <v>3.5313836089561498E-2</v>
      </c>
    </row>
    <row r="24" spans="1:17">
      <c r="A24" s="2" t="s">
        <v>119</v>
      </c>
      <c r="B24" s="2">
        <v>13680</v>
      </c>
      <c r="C24" s="2" t="s">
        <v>1219</v>
      </c>
      <c r="D24" s="2" t="s">
        <v>1220</v>
      </c>
      <c r="E24" s="4" t="s">
        <v>213</v>
      </c>
      <c r="F24" s="2" t="s">
        <v>996</v>
      </c>
      <c r="G24" s="2" t="s">
        <v>31</v>
      </c>
      <c r="H24" s="2" t="s">
        <v>164</v>
      </c>
      <c r="I24" s="2" t="s">
        <v>216</v>
      </c>
      <c r="J24" s="2" t="s">
        <v>217</v>
      </c>
      <c r="K24" s="2" t="s">
        <v>35</v>
      </c>
      <c r="L24" s="150">
        <v>0</v>
      </c>
      <c r="M24" s="150">
        <v>1</v>
      </c>
      <c r="N24" s="162">
        <v>4.0300000000000002E-2</v>
      </c>
      <c r="O24" s="150">
        <v>203.27199999999999</v>
      </c>
      <c r="P24" s="164">
        <v>0.26310531761143002</v>
      </c>
      <c r="Q24" s="164">
        <v>6.9494255721360204E-3</v>
      </c>
    </row>
    <row r="25" spans="1:17">
      <c r="A25" s="2" t="s">
        <v>119</v>
      </c>
      <c r="B25" s="2">
        <v>13680</v>
      </c>
      <c r="C25" s="2" t="s">
        <v>211</v>
      </c>
      <c r="D25" s="2" t="s">
        <v>212</v>
      </c>
      <c r="E25" s="4" t="s">
        <v>213</v>
      </c>
      <c r="F25" s="2" t="s">
        <v>998</v>
      </c>
      <c r="G25" s="2" t="s">
        <v>100</v>
      </c>
      <c r="H25" s="2" t="s">
        <v>164</v>
      </c>
      <c r="I25" s="2" t="s">
        <v>216</v>
      </c>
      <c r="J25" s="2" t="s">
        <v>217</v>
      </c>
      <c r="K25" s="2" t="s">
        <v>105</v>
      </c>
      <c r="L25" s="150">
        <v>-29.552</v>
      </c>
      <c r="M25" s="150">
        <v>3.681</v>
      </c>
      <c r="N25" s="162">
        <v>3.8399999999999997E-2</v>
      </c>
      <c r="O25" s="150">
        <v>-108.78100000000001</v>
      </c>
      <c r="P25" s="164">
        <v>-0.14080071662950799</v>
      </c>
      <c r="Q25" s="164">
        <v>-3.7189826097139898E-3</v>
      </c>
    </row>
    <row r="26" spans="1:17">
      <c r="A26" s="2" t="s">
        <v>119</v>
      </c>
      <c r="B26" s="2">
        <v>13680</v>
      </c>
      <c r="C26" s="2" t="s">
        <v>211</v>
      </c>
      <c r="D26" s="2" t="s">
        <v>212</v>
      </c>
      <c r="E26" s="4" t="s">
        <v>213</v>
      </c>
      <c r="F26" s="2" t="s">
        <v>998</v>
      </c>
      <c r="G26" s="2" t="s">
        <v>100</v>
      </c>
      <c r="H26" s="2" t="s">
        <v>164</v>
      </c>
      <c r="I26" s="2" t="s">
        <v>216</v>
      </c>
      <c r="J26" s="2" t="s">
        <v>217</v>
      </c>
      <c r="K26" s="2" t="s">
        <v>1221</v>
      </c>
      <c r="L26" s="150">
        <v>10.458</v>
      </c>
      <c r="M26" s="150">
        <v>2.7120000000000002</v>
      </c>
      <c r="N26" s="162">
        <v>0</v>
      </c>
      <c r="O26" s="150">
        <v>28.364000000000001</v>
      </c>
      <c r="P26" s="164">
        <v>3.6713597290246099E-2</v>
      </c>
      <c r="Q26" s="164">
        <v>9.6971970832890602E-4</v>
      </c>
    </row>
    <row r="27" spans="1:17">
      <c r="A27" s="2" t="s">
        <v>119</v>
      </c>
      <c r="B27" s="2">
        <v>13680</v>
      </c>
      <c r="C27" s="2" t="s">
        <v>211</v>
      </c>
      <c r="D27" s="2" t="s">
        <v>212</v>
      </c>
      <c r="E27" s="4" t="s">
        <v>213</v>
      </c>
      <c r="F27" s="2" t="s">
        <v>998</v>
      </c>
      <c r="G27" s="2" t="s">
        <v>100</v>
      </c>
      <c r="H27" s="2" t="s">
        <v>164</v>
      </c>
      <c r="I27" s="2" t="s">
        <v>216</v>
      </c>
      <c r="J27" s="2" t="s">
        <v>217</v>
      </c>
      <c r="K27" s="2" t="s">
        <v>1224</v>
      </c>
      <c r="L27" s="150">
        <v>2.1880000000000002</v>
      </c>
      <c r="M27" s="150">
        <v>3.9790000000000001</v>
      </c>
      <c r="N27" s="162">
        <v>0</v>
      </c>
      <c r="O27" s="150">
        <v>8.7050000000000001</v>
      </c>
      <c r="P27" s="164">
        <v>1.12678876824639E-2</v>
      </c>
      <c r="Q27" s="164">
        <v>2.9761978022853E-4</v>
      </c>
    </row>
    <row r="28" spans="1:17">
      <c r="A28" s="2" t="s">
        <v>119</v>
      </c>
      <c r="B28" s="2">
        <v>13680</v>
      </c>
      <c r="C28" s="2" t="s">
        <v>211</v>
      </c>
      <c r="D28" s="2" t="s">
        <v>212</v>
      </c>
      <c r="E28" s="4" t="s">
        <v>213</v>
      </c>
      <c r="F28" s="2" t="s">
        <v>998</v>
      </c>
      <c r="G28" s="2" t="s">
        <v>100</v>
      </c>
      <c r="H28" s="2" t="s">
        <v>164</v>
      </c>
      <c r="I28" s="2" t="s">
        <v>216</v>
      </c>
      <c r="J28" s="2" t="s">
        <v>217</v>
      </c>
      <c r="K28" s="2" t="s">
        <v>1222</v>
      </c>
      <c r="L28" s="150">
        <v>468.56599999999997</v>
      </c>
      <c r="M28" s="150">
        <v>2.4329999999999998</v>
      </c>
      <c r="N28" s="162">
        <v>0</v>
      </c>
      <c r="O28" s="150">
        <v>11.401999999999999</v>
      </c>
      <c r="P28" s="164">
        <v>1.47583072947445E-2</v>
      </c>
      <c r="Q28" s="164">
        <v>3.8981256269023302E-4</v>
      </c>
    </row>
    <row r="29" spans="1:17">
      <c r="A29" s="2" t="s">
        <v>119</v>
      </c>
      <c r="B29" s="2">
        <v>13680</v>
      </c>
      <c r="C29" s="2" t="s">
        <v>211</v>
      </c>
      <c r="D29" s="2" t="s">
        <v>212</v>
      </c>
      <c r="E29" s="4" t="s">
        <v>213</v>
      </c>
      <c r="F29" s="2" t="s">
        <v>998</v>
      </c>
      <c r="G29" s="2" t="s">
        <v>100</v>
      </c>
      <c r="H29" s="2" t="s">
        <v>164</v>
      </c>
      <c r="I29" s="2" t="s">
        <v>216</v>
      </c>
      <c r="J29" s="2" t="s">
        <v>217</v>
      </c>
      <c r="K29" s="2" t="s">
        <v>1223</v>
      </c>
      <c r="L29" s="150">
        <v>0.61699999999999999</v>
      </c>
      <c r="M29" s="150">
        <v>4.6539999999999999</v>
      </c>
      <c r="N29" s="162">
        <v>0</v>
      </c>
      <c r="O29" s="150">
        <v>2.8719999999999999</v>
      </c>
      <c r="P29" s="164">
        <v>3.7177378881924801E-3</v>
      </c>
      <c r="Q29" s="164">
        <v>9.8196961525727399E-5</v>
      </c>
    </row>
    <row r="30" spans="1:17">
      <c r="A30" s="2" t="s">
        <v>119</v>
      </c>
      <c r="B30" s="2">
        <v>13680</v>
      </c>
      <c r="C30" s="2" t="s">
        <v>211</v>
      </c>
      <c r="D30" s="2" t="s">
        <v>212</v>
      </c>
      <c r="E30" s="4" t="s">
        <v>213</v>
      </c>
      <c r="F30" s="2" t="s">
        <v>996</v>
      </c>
      <c r="G30" s="2" t="s">
        <v>31</v>
      </c>
      <c r="H30" s="2" t="s">
        <v>164</v>
      </c>
      <c r="I30" s="2" t="s">
        <v>216</v>
      </c>
      <c r="J30" s="2" t="s">
        <v>217</v>
      </c>
      <c r="K30" s="2" t="s">
        <v>35</v>
      </c>
      <c r="L30" s="150">
        <v>0</v>
      </c>
      <c r="M30" s="150">
        <v>1</v>
      </c>
      <c r="N30" s="162">
        <v>4.0300000000000002E-2</v>
      </c>
      <c r="O30" s="150">
        <v>626.75300000000004</v>
      </c>
      <c r="P30" s="164">
        <v>0.81123786886243199</v>
      </c>
      <c r="Q30" s="164">
        <v>2.14273023522988E-2</v>
      </c>
    </row>
    <row r="31" spans="1:17">
      <c r="A31" s="2" t="s">
        <v>128</v>
      </c>
      <c r="B31" s="2">
        <v>7228</v>
      </c>
      <c r="C31" s="2" t="s">
        <v>1219</v>
      </c>
      <c r="D31" s="2" t="s">
        <v>1220</v>
      </c>
      <c r="E31" s="4" t="s">
        <v>213</v>
      </c>
      <c r="F31" s="2" t="s">
        <v>996</v>
      </c>
      <c r="G31" s="2" t="s">
        <v>31</v>
      </c>
      <c r="H31" s="2" t="s">
        <v>164</v>
      </c>
      <c r="I31" s="2" t="s">
        <v>216</v>
      </c>
      <c r="J31" s="2" t="s">
        <v>217</v>
      </c>
      <c r="K31" s="2" t="s">
        <v>35</v>
      </c>
      <c r="L31" s="150">
        <v>0</v>
      </c>
      <c r="M31" s="150">
        <v>1</v>
      </c>
      <c r="N31" s="162">
        <v>4.0300000000000002E-2</v>
      </c>
      <c r="O31" s="150">
        <v>1.2999999999999999E-2</v>
      </c>
      <c r="P31" s="164">
        <v>4.1285157109548102E-7</v>
      </c>
      <c r="Q31" s="164">
        <v>5.5966021859046002E-9</v>
      </c>
    </row>
    <row r="32" spans="1:17">
      <c r="A32" s="2" t="s">
        <v>128</v>
      </c>
      <c r="B32" s="2">
        <v>7228</v>
      </c>
      <c r="C32" s="2" t="s">
        <v>1219</v>
      </c>
      <c r="D32" s="2" t="s">
        <v>1220</v>
      </c>
      <c r="E32" s="4" t="s">
        <v>213</v>
      </c>
      <c r="F32" s="2" t="s">
        <v>996</v>
      </c>
      <c r="G32" s="2" t="s">
        <v>31</v>
      </c>
      <c r="H32" s="2" t="s">
        <v>164</v>
      </c>
      <c r="I32" s="2" t="s">
        <v>216</v>
      </c>
      <c r="J32" s="2" t="s">
        <v>217</v>
      </c>
      <c r="K32" s="2" t="s">
        <v>35</v>
      </c>
      <c r="L32" s="150">
        <v>0</v>
      </c>
      <c r="M32" s="150">
        <v>1</v>
      </c>
      <c r="N32" s="162">
        <v>4.0300000000000002E-2</v>
      </c>
      <c r="O32" s="150">
        <v>4901.9440000000004</v>
      </c>
      <c r="P32" s="164">
        <v>0.156035112234197</v>
      </c>
      <c r="Q32" s="164">
        <v>2.1152067991181702E-3</v>
      </c>
    </row>
    <row r="33" spans="1:17">
      <c r="A33" s="2" t="s">
        <v>128</v>
      </c>
      <c r="B33" s="2">
        <v>7228</v>
      </c>
      <c r="C33" s="2" t="s">
        <v>1219</v>
      </c>
      <c r="D33" s="2" t="s">
        <v>1220</v>
      </c>
      <c r="E33" s="4" t="s">
        <v>213</v>
      </c>
      <c r="F33" s="2" t="s">
        <v>996</v>
      </c>
      <c r="G33" s="2" t="s">
        <v>31</v>
      </c>
      <c r="H33" s="2" t="s">
        <v>164</v>
      </c>
      <c r="I33" s="2" t="s">
        <v>216</v>
      </c>
      <c r="J33" s="2" t="s">
        <v>217</v>
      </c>
      <c r="K33" s="2" t="s">
        <v>35</v>
      </c>
      <c r="L33" s="150">
        <v>0</v>
      </c>
      <c r="M33" s="150">
        <v>1</v>
      </c>
      <c r="N33" s="162">
        <v>4.0300000000000002E-2</v>
      </c>
      <c r="O33" s="150">
        <v>1522.836</v>
      </c>
      <c r="P33" s="164">
        <v>4.8473797739318397E-2</v>
      </c>
      <c r="Q33" s="164">
        <v>6.5710919221432596E-4</v>
      </c>
    </row>
    <row r="34" spans="1:17">
      <c r="A34" s="2" t="s">
        <v>128</v>
      </c>
      <c r="B34" s="2">
        <v>7228</v>
      </c>
      <c r="C34" s="2" t="s">
        <v>1219</v>
      </c>
      <c r="D34" s="2" t="s">
        <v>1220</v>
      </c>
      <c r="E34" s="4" t="s">
        <v>213</v>
      </c>
      <c r="F34" s="2" t="s">
        <v>996</v>
      </c>
      <c r="G34" s="2" t="s">
        <v>31</v>
      </c>
      <c r="H34" s="2" t="s">
        <v>164</v>
      </c>
      <c r="I34" s="2" t="s">
        <v>216</v>
      </c>
      <c r="J34" s="2" t="s">
        <v>217</v>
      </c>
      <c r="K34" s="2" t="s">
        <v>35</v>
      </c>
      <c r="L34" s="150">
        <v>0</v>
      </c>
      <c r="M34" s="150">
        <v>1</v>
      </c>
      <c r="N34" s="162">
        <v>4.0300000000000002E-2</v>
      </c>
      <c r="O34" s="150">
        <v>23.449000000000002</v>
      </c>
      <c r="P34" s="164">
        <v>7.46425772846948E-4</v>
      </c>
      <c r="Q34" s="164">
        <v>1.0118522985987699E-5</v>
      </c>
    </row>
    <row r="35" spans="1:17">
      <c r="A35" s="2" t="s">
        <v>128</v>
      </c>
      <c r="B35" s="2">
        <v>7228</v>
      </c>
      <c r="C35" s="2" t="s">
        <v>211</v>
      </c>
      <c r="D35" s="2" t="s">
        <v>212</v>
      </c>
      <c r="E35" s="4" t="s">
        <v>213</v>
      </c>
      <c r="F35" s="2" t="s">
        <v>998</v>
      </c>
      <c r="G35" s="2" t="s">
        <v>100</v>
      </c>
      <c r="H35" s="2" t="s">
        <v>164</v>
      </c>
      <c r="I35" s="2" t="s">
        <v>216</v>
      </c>
      <c r="J35" s="2" t="s">
        <v>217</v>
      </c>
      <c r="K35" s="2" t="s">
        <v>1225</v>
      </c>
      <c r="L35" s="150">
        <v>-0.02</v>
      </c>
      <c r="M35" s="150">
        <v>2.3959999999999999</v>
      </c>
      <c r="N35" s="162">
        <v>0</v>
      </c>
      <c r="O35" s="150">
        <v>-4.8000000000000001E-2</v>
      </c>
      <c r="P35" s="164">
        <v>-1.5254817805073101E-6</v>
      </c>
      <c r="Q35" s="164">
        <v>-2.06793803513718E-8</v>
      </c>
    </row>
    <row r="36" spans="1:17">
      <c r="A36" s="2" t="s">
        <v>128</v>
      </c>
      <c r="B36" s="2">
        <v>7228</v>
      </c>
      <c r="C36" s="2" t="s">
        <v>211</v>
      </c>
      <c r="D36" s="2" t="s">
        <v>212</v>
      </c>
      <c r="E36" s="4" t="s">
        <v>213</v>
      </c>
      <c r="F36" s="2" t="s">
        <v>998</v>
      </c>
      <c r="G36" s="2" t="s">
        <v>100</v>
      </c>
      <c r="H36" s="2" t="s">
        <v>164</v>
      </c>
      <c r="I36" s="2" t="s">
        <v>216</v>
      </c>
      <c r="J36" s="2" t="s">
        <v>217</v>
      </c>
      <c r="K36" s="2" t="s">
        <v>105</v>
      </c>
      <c r="L36" s="150">
        <v>695.75699999999995</v>
      </c>
      <c r="M36" s="150">
        <v>3.681</v>
      </c>
      <c r="N36" s="162">
        <v>3.8399999999999997E-2</v>
      </c>
      <c r="O36" s="150">
        <v>2561.08</v>
      </c>
      <c r="P36" s="164">
        <v>8.15224243738676E-2</v>
      </c>
      <c r="Q36" s="164">
        <v>1.1051152772421299E-3</v>
      </c>
    </row>
    <row r="37" spans="1:17">
      <c r="A37" s="2" t="s">
        <v>128</v>
      </c>
      <c r="B37" s="2">
        <v>7228</v>
      </c>
      <c r="C37" s="2" t="s">
        <v>211</v>
      </c>
      <c r="D37" s="2" t="s">
        <v>212</v>
      </c>
      <c r="E37" s="4" t="s">
        <v>213</v>
      </c>
      <c r="F37" s="2" t="s">
        <v>998</v>
      </c>
      <c r="G37" s="2" t="s">
        <v>100</v>
      </c>
      <c r="H37" s="2" t="s">
        <v>164</v>
      </c>
      <c r="I37" s="2" t="s">
        <v>216</v>
      </c>
      <c r="J37" s="2" t="s">
        <v>217</v>
      </c>
      <c r="K37" s="2" t="s">
        <v>1221</v>
      </c>
      <c r="L37" s="150">
        <v>1E-3</v>
      </c>
      <c r="M37" s="150">
        <v>2.7120000000000002</v>
      </c>
      <c r="N37" s="162">
        <v>0</v>
      </c>
      <c r="O37" s="150">
        <v>2E-3</v>
      </c>
      <c r="P37" s="164">
        <v>6.1296266931292602E-8</v>
      </c>
      <c r="Q37" s="164">
        <v>8.3093015871344901E-10</v>
      </c>
    </row>
    <row r="38" spans="1:17">
      <c r="A38" s="2" t="s">
        <v>128</v>
      </c>
      <c r="B38" s="2">
        <v>7228</v>
      </c>
      <c r="C38" s="2" t="s">
        <v>211</v>
      </c>
      <c r="D38" s="2" t="s">
        <v>212</v>
      </c>
      <c r="E38" s="4" t="s">
        <v>213</v>
      </c>
      <c r="F38" s="2" t="s">
        <v>998</v>
      </c>
      <c r="G38" s="2" t="s">
        <v>100</v>
      </c>
      <c r="H38" s="2" t="s">
        <v>164</v>
      </c>
      <c r="I38" s="2" t="s">
        <v>216</v>
      </c>
      <c r="J38" s="2" t="s">
        <v>217</v>
      </c>
      <c r="K38" s="2" t="s">
        <v>1224</v>
      </c>
      <c r="L38" s="150">
        <v>57.527000000000001</v>
      </c>
      <c r="M38" s="150">
        <v>3.9790000000000001</v>
      </c>
      <c r="N38" s="162">
        <v>0</v>
      </c>
      <c r="O38" s="150">
        <v>228.90700000000001</v>
      </c>
      <c r="P38" s="164">
        <v>7.2864131355696599E-3</v>
      </c>
      <c r="Q38" s="164">
        <v>9.8774374465204897E-5</v>
      </c>
    </row>
    <row r="39" spans="1:17">
      <c r="A39" s="2" t="s">
        <v>128</v>
      </c>
      <c r="B39" s="2">
        <v>7228</v>
      </c>
      <c r="C39" s="2" t="s">
        <v>211</v>
      </c>
      <c r="D39" s="2" t="s">
        <v>212</v>
      </c>
      <c r="E39" s="4" t="s">
        <v>213</v>
      </c>
      <c r="F39" s="2" t="s">
        <v>998</v>
      </c>
      <c r="G39" s="2" t="s">
        <v>100</v>
      </c>
      <c r="H39" s="2" t="s">
        <v>164</v>
      </c>
      <c r="I39" s="2" t="s">
        <v>216</v>
      </c>
      <c r="J39" s="2" t="s">
        <v>217</v>
      </c>
      <c r="K39" s="2" t="s">
        <v>1222</v>
      </c>
      <c r="L39" s="150">
        <v>8117.7979999999998</v>
      </c>
      <c r="M39" s="150">
        <v>2.4329999999999998</v>
      </c>
      <c r="N39" s="162">
        <v>0</v>
      </c>
      <c r="O39" s="150">
        <v>197.53800000000001</v>
      </c>
      <c r="P39" s="164">
        <v>6.2879012914550296E-3</v>
      </c>
      <c r="Q39" s="164">
        <v>8.5238581069541197E-5</v>
      </c>
    </row>
    <row r="40" spans="1:17">
      <c r="A40" s="2" t="s">
        <v>128</v>
      </c>
      <c r="B40" s="2">
        <v>7228</v>
      </c>
      <c r="C40" s="2" t="s">
        <v>211</v>
      </c>
      <c r="D40" s="2" t="s">
        <v>212</v>
      </c>
      <c r="E40" s="4" t="s">
        <v>213</v>
      </c>
      <c r="F40" s="2" t="s">
        <v>998</v>
      </c>
      <c r="G40" s="2" t="s">
        <v>100</v>
      </c>
      <c r="H40" s="2" t="s">
        <v>164</v>
      </c>
      <c r="I40" s="2" t="s">
        <v>216</v>
      </c>
      <c r="J40" s="2" t="s">
        <v>217</v>
      </c>
      <c r="K40" s="2" t="s">
        <v>1226</v>
      </c>
      <c r="L40" s="150">
        <v>0</v>
      </c>
      <c r="M40" s="150">
        <v>0.34</v>
      </c>
      <c r="N40" s="162">
        <v>0</v>
      </c>
      <c r="O40" s="150">
        <v>0</v>
      </c>
      <c r="P40" s="164">
        <v>1.1904894956801102E-9</v>
      </c>
      <c r="Q40" s="164">
        <v>1.6138236064212197E-11</v>
      </c>
    </row>
    <row r="41" spans="1:17">
      <c r="A41" s="2" t="s">
        <v>128</v>
      </c>
      <c r="B41" s="2">
        <v>7228</v>
      </c>
      <c r="C41" s="2" t="s">
        <v>211</v>
      </c>
      <c r="D41" s="2" t="s">
        <v>212</v>
      </c>
      <c r="E41" s="4" t="s">
        <v>213</v>
      </c>
      <c r="F41" s="2" t="s">
        <v>998</v>
      </c>
      <c r="G41" s="2" t="s">
        <v>100</v>
      </c>
      <c r="H41" s="2" t="s">
        <v>164</v>
      </c>
      <c r="I41" s="2" t="s">
        <v>216</v>
      </c>
      <c r="J41" s="2" t="s">
        <v>217</v>
      </c>
      <c r="K41" s="2" t="s">
        <v>1223</v>
      </c>
      <c r="L41" s="150">
        <v>42.497999999999998</v>
      </c>
      <c r="M41" s="150">
        <v>4.6539999999999999</v>
      </c>
      <c r="N41" s="162">
        <v>0</v>
      </c>
      <c r="O41" s="150">
        <v>197.76400000000001</v>
      </c>
      <c r="P41" s="164">
        <v>6.2950726315113802E-3</v>
      </c>
      <c r="Q41" s="164">
        <v>8.5335795517166405E-5</v>
      </c>
    </row>
    <row r="42" spans="1:17">
      <c r="A42" s="2" t="s">
        <v>128</v>
      </c>
      <c r="B42" s="2">
        <v>7228</v>
      </c>
      <c r="C42" s="2" t="s">
        <v>211</v>
      </c>
      <c r="D42" s="2" t="s">
        <v>212</v>
      </c>
      <c r="E42" s="4" t="s">
        <v>213</v>
      </c>
      <c r="F42" s="2" t="s">
        <v>996</v>
      </c>
      <c r="G42" s="2" t="s">
        <v>31</v>
      </c>
      <c r="H42" s="2" t="s">
        <v>164</v>
      </c>
      <c r="I42" s="2" t="s">
        <v>216</v>
      </c>
      <c r="J42" s="2" t="s">
        <v>217</v>
      </c>
      <c r="K42" s="2" t="s">
        <v>35</v>
      </c>
      <c r="L42" s="150">
        <v>0</v>
      </c>
      <c r="M42" s="150">
        <v>1</v>
      </c>
      <c r="N42" s="162">
        <v>4.0300000000000002E-2</v>
      </c>
      <c r="O42" s="150">
        <v>21782.163</v>
      </c>
      <c r="P42" s="164">
        <v>0.69335390296468702</v>
      </c>
      <c r="Q42" s="164">
        <v>9.39908248051749E-3</v>
      </c>
    </row>
    <row r="43" spans="1:17">
      <c r="A43" s="2" t="s">
        <v>128</v>
      </c>
      <c r="B43" s="2">
        <v>7229</v>
      </c>
      <c r="C43" s="2" t="s">
        <v>1219</v>
      </c>
      <c r="D43" s="2" t="s">
        <v>1220</v>
      </c>
      <c r="E43" s="4" t="s">
        <v>213</v>
      </c>
      <c r="F43" s="2" t="s">
        <v>996</v>
      </c>
      <c r="G43" s="2" t="s">
        <v>31</v>
      </c>
      <c r="H43" s="2" t="s">
        <v>164</v>
      </c>
      <c r="I43" s="2" t="s">
        <v>216</v>
      </c>
      <c r="J43" s="2" t="s">
        <v>217</v>
      </c>
      <c r="K43" s="2" t="s">
        <v>35</v>
      </c>
      <c r="L43" s="150">
        <v>0</v>
      </c>
      <c r="M43" s="150">
        <v>1</v>
      </c>
      <c r="N43" s="162">
        <v>4.0300000000000002E-2</v>
      </c>
      <c r="O43" s="150">
        <v>55.095999999999997</v>
      </c>
      <c r="P43" s="164">
        <v>1.11258037090869E-2</v>
      </c>
      <c r="Q43" s="164">
        <v>3.8433316529355802E-4</v>
      </c>
    </row>
    <row r="44" spans="1:17">
      <c r="A44" s="2" t="s">
        <v>128</v>
      </c>
      <c r="B44" s="2">
        <v>7229</v>
      </c>
      <c r="C44" s="2" t="s">
        <v>211</v>
      </c>
      <c r="D44" s="2" t="s">
        <v>212</v>
      </c>
      <c r="E44" s="4" t="s">
        <v>213</v>
      </c>
      <c r="F44" s="2" t="s">
        <v>998</v>
      </c>
      <c r="G44" s="2" t="s">
        <v>100</v>
      </c>
      <c r="H44" s="2" t="s">
        <v>164</v>
      </c>
      <c r="I44" s="2" t="s">
        <v>216</v>
      </c>
      <c r="J44" s="2" t="s">
        <v>217</v>
      </c>
      <c r="K44" s="2" t="s">
        <v>105</v>
      </c>
      <c r="L44" s="150">
        <v>3.117</v>
      </c>
      <c r="M44" s="150">
        <v>3.681</v>
      </c>
      <c r="N44" s="162">
        <v>3.8399999999999997E-2</v>
      </c>
      <c r="O44" s="150">
        <v>11.474</v>
      </c>
      <c r="P44" s="164">
        <v>2.3170955161163202E-3</v>
      </c>
      <c r="Q44" s="164">
        <v>8.0042456013237103E-5</v>
      </c>
    </row>
    <row r="45" spans="1:17">
      <c r="A45" s="2" t="s">
        <v>128</v>
      </c>
      <c r="B45" s="2">
        <v>7229</v>
      </c>
      <c r="C45" s="2" t="s">
        <v>211</v>
      </c>
      <c r="D45" s="2" t="s">
        <v>212</v>
      </c>
      <c r="E45" s="4" t="s">
        <v>213</v>
      </c>
      <c r="F45" s="2" t="s">
        <v>998</v>
      </c>
      <c r="G45" s="2" t="s">
        <v>100</v>
      </c>
      <c r="H45" s="2" t="s">
        <v>164</v>
      </c>
      <c r="I45" s="2" t="s">
        <v>216</v>
      </c>
      <c r="J45" s="2" t="s">
        <v>217</v>
      </c>
      <c r="K45" s="2" t="s">
        <v>1227</v>
      </c>
      <c r="L45" s="150">
        <v>0</v>
      </c>
      <c r="M45" s="150">
        <v>0.47</v>
      </c>
      <c r="N45" s="162">
        <v>0</v>
      </c>
      <c r="O45" s="150">
        <v>0</v>
      </c>
      <c r="P45" s="164">
        <v>3.7996251722262104E-9</v>
      </c>
      <c r="Q45" s="164">
        <v>1.3125541377096901E-10</v>
      </c>
    </row>
    <row r="46" spans="1:17">
      <c r="A46" s="2" t="s">
        <v>128</v>
      </c>
      <c r="B46" s="2">
        <v>7229</v>
      </c>
      <c r="C46" s="2" t="s">
        <v>211</v>
      </c>
      <c r="D46" s="2" t="s">
        <v>212</v>
      </c>
      <c r="E46" s="4" t="s">
        <v>213</v>
      </c>
      <c r="F46" s="2" t="s">
        <v>998</v>
      </c>
      <c r="G46" s="2" t="s">
        <v>100</v>
      </c>
      <c r="H46" s="2" t="s">
        <v>164</v>
      </c>
      <c r="I46" s="2" t="s">
        <v>216</v>
      </c>
      <c r="J46" s="2" t="s">
        <v>217</v>
      </c>
      <c r="K46" s="2" t="s">
        <v>1221</v>
      </c>
      <c r="L46" s="150">
        <v>0</v>
      </c>
      <c r="M46" s="150">
        <v>2.7120000000000002</v>
      </c>
      <c r="N46" s="162">
        <v>0</v>
      </c>
      <c r="O46" s="150">
        <v>0</v>
      </c>
      <c r="P46" s="164">
        <v>4.9292139949514997E-8</v>
      </c>
      <c r="Q46" s="164">
        <v>1.7027627546059702E-9</v>
      </c>
    </row>
    <row r="47" spans="1:17">
      <c r="A47" s="2" t="s">
        <v>128</v>
      </c>
      <c r="B47" s="2">
        <v>7229</v>
      </c>
      <c r="C47" s="2" t="s">
        <v>211</v>
      </c>
      <c r="D47" s="2" t="s">
        <v>212</v>
      </c>
      <c r="E47" s="4" t="s">
        <v>213</v>
      </c>
      <c r="F47" s="2" t="s">
        <v>998</v>
      </c>
      <c r="G47" s="2" t="s">
        <v>100</v>
      </c>
      <c r="H47" s="2" t="s">
        <v>164</v>
      </c>
      <c r="I47" s="2" t="s">
        <v>216</v>
      </c>
      <c r="J47" s="2" t="s">
        <v>217</v>
      </c>
      <c r="K47" s="2" t="s">
        <v>1222</v>
      </c>
      <c r="L47" s="150">
        <v>497.49200000000002</v>
      </c>
      <c r="M47" s="150">
        <v>2.4329999999999998</v>
      </c>
      <c r="N47" s="162">
        <v>0</v>
      </c>
      <c r="O47" s="150">
        <v>12.106</v>
      </c>
      <c r="P47" s="164">
        <v>2.4446316619008502E-3</v>
      </c>
      <c r="Q47" s="164">
        <v>8.4448103630287296E-5</v>
      </c>
    </row>
    <row r="48" spans="1:17">
      <c r="A48" s="2" t="s">
        <v>128</v>
      </c>
      <c r="B48" s="2">
        <v>7229</v>
      </c>
      <c r="C48" s="2" t="s">
        <v>211</v>
      </c>
      <c r="D48" s="2" t="s">
        <v>212</v>
      </c>
      <c r="E48" s="4" t="s">
        <v>213</v>
      </c>
      <c r="F48" s="2" t="s">
        <v>998</v>
      </c>
      <c r="G48" s="2" t="s">
        <v>100</v>
      </c>
      <c r="H48" s="2" t="s">
        <v>164</v>
      </c>
      <c r="I48" s="2" t="s">
        <v>216</v>
      </c>
      <c r="J48" s="2" t="s">
        <v>217</v>
      </c>
      <c r="K48" s="2" t="s">
        <v>1226</v>
      </c>
      <c r="L48" s="150">
        <v>14.944000000000001</v>
      </c>
      <c r="M48" s="150">
        <v>0.34</v>
      </c>
      <c r="N48" s="162">
        <v>0</v>
      </c>
      <c r="O48" s="150">
        <v>5.0810000000000004</v>
      </c>
      <c r="P48" s="164">
        <v>1.0260623645489901E-3</v>
      </c>
      <c r="Q48" s="164">
        <v>3.5444612062823298E-5</v>
      </c>
    </row>
    <row r="49" spans="1:17">
      <c r="A49" s="2" t="s">
        <v>128</v>
      </c>
      <c r="B49" s="2">
        <v>7229</v>
      </c>
      <c r="C49" s="2" t="s">
        <v>211</v>
      </c>
      <c r="D49" s="2" t="s">
        <v>212</v>
      </c>
      <c r="E49" s="4" t="s">
        <v>213</v>
      </c>
      <c r="F49" s="2" t="s">
        <v>998</v>
      </c>
      <c r="G49" s="2" t="s">
        <v>100</v>
      </c>
      <c r="H49" s="2" t="s">
        <v>164</v>
      </c>
      <c r="I49" s="2" t="s">
        <v>216</v>
      </c>
      <c r="J49" s="2" t="s">
        <v>217</v>
      </c>
      <c r="K49" s="2" t="s">
        <v>1223</v>
      </c>
      <c r="L49" s="150">
        <v>1.33</v>
      </c>
      <c r="M49" s="150">
        <v>4.6539999999999999</v>
      </c>
      <c r="N49" s="162">
        <v>0</v>
      </c>
      <c r="O49" s="150">
        <v>6.19</v>
      </c>
      <c r="P49" s="164">
        <v>1.2499157155580901E-3</v>
      </c>
      <c r="Q49" s="164">
        <v>4.3177470668321602E-5</v>
      </c>
    </row>
    <row r="50" spans="1:17">
      <c r="A50" s="2" t="s">
        <v>128</v>
      </c>
      <c r="B50" s="2">
        <v>7229</v>
      </c>
      <c r="C50" s="2" t="s">
        <v>211</v>
      </c>
      <c r="D50" s="2" t="s">
        <v>212</v>
      </c>
      <c r="E50" s="4" t="s">
        <v>213</v>
      </c>
      <c r="F50" s="2" t="s">
        <v>996</v>
      </c>
      <c r="G50" s="2" t="s">
        <v>31</v>
      </c>
      <c r="H50" s="2" t="s">
        <v>164</v>
      </c>
      <c r="I50" s="2" t="s">
        <v>216</v>
      </c>
      <c r="J50" s="2" t="s">
        <v>217</v>
      </c>
      <c r="K50" s="2" t="s">
        <v>35</v>
      </c>
      <c r="L50" s="150">
        <v>0</v>
      </c>
      <c r="M50" s="150">
        <v>1</v>
      </c>
      <c r="N50" s="162">
        <v>4.0300000000000002E-2</v>
      </c>
      <c r="O50" s="150">
        <v>4862.12</v>
      </c>
      <c r="P50" s="164">
        <v>0.98183643794102404</v>
      </c>
      <c r="Q50" s="164">
        <v>3.3916858130997499E-2</v>
      </c>
    </row>
    <row r="51" spans="1:17">
      <c r="A51" s="2" t="s">
        <v>128</v>
      </c>
      <c r="B51" s="2">
        <v>9817</v>
      </c>
      <c r="C51" s="2" t="s">
        <v>1219</v>
      </c>
      <c r="D51" s="2" t="s">
        <v>1220</v>
      </c>
      <c r="E51" s="4" t="s">
        <v>213</v>
      </c>
      <c r="F51" s="2" t="s">
        <v>996</v>
      </c>
      <c r="G51" s="2" t="s">
        <v>31</v>
      </c>
      <c r="H51" s="2" t="s">
        <v>164</v>
      </c>
      <c r="I51" s="2" t="s">
        <v>216</v>
      </c>
      <c r="J51" s="2" t="s">
        <v>217</v>
      </c>
      <c r="K51" s="2" t="s">
        <v>35</v>
      </c>
      <c r="L51" s="150">
        <v>0</v>
      </c>
      <c r="M51" s="150">
        <v>1</v>
      </c>
      <c r="N51" s="162">
        <v>4.0300000000000002E-2</v>
      </c>
      <c r="O51" s="150">
        <v>0.01</v>
      </c>
      <c r="P51" s="164">
        <v>8.4406583454138794E-5</v>
      </c>
      <c r="Q51" s="164">
        <v>6.96259124250245E-6</v>
      </c>
    </row>
    <row r="52" spans="1:17">
      <c r="A52" s="2" t="s">
        <v>128</v>
      </c>
      <c r="B52" s="2">
        <v>9817</v>
      </c>
      <c r="C52" s="2" t="s">
        <v>1219</v>
      </c>
      <c r="D52" s="2" t="s">
        <v>1220</v>
      </c>
      <c r="E52" s="4" t="s">
        <v>213</v>
      </c>
      <c r="F52" s="2" t="s">
        <v>996</v>
      </c>
      <c r="G52" s="2" t="s">
        <v>31</v>
      </c>
      <c r="H52" s="2" t="s">
        <v>164</v>
      </c>
      <c r="I52" s="2" t="s">
        <v>216</v>
      </c>
      <c r="J52" s="2" t="s">
        <v>217</v>
      </c>
      <c r="K52" s="2" t="s">
        <v>35</v>
      </c>
      <c r="L52" s="150">
        <v>0</v>
      </c>
      <c r="M52" s="150">
        <v>1</v>
      </c>
      <c r="N52" s="162">
        <v>4.0300000000000002E-2</v>
      </c>
      <c r="O52" s="150">
        <v>3.12</v>
      </c>
      <c r="P52" s="164">
        <v>2.60779571688418E-2</v>
      </c>
      <c r="Q52" s="164">
        <v>2.1511373731266498E-3</v>
      </c>
    </row>
    <row r="53" spans="1:17">
      <c r="A53" s="2" t="s">
        <v>128</v>
      </c>
      <c r="B53" s="2">
        <v>9817</v>
      </c>
      <c r="C53" s="2" t="s">
        <v>211</v>
      </c>
      <c r="D53" s="2" t="s">
        <v>212</v>
      </c>
      <c r="E53" s="4" t="s">
        <v>213</v>
      </c>
      <c r="F53" s="2" t="s">
        <v>998</v>
      </c>
      <c r="G53" s="2" t="s">
        <v>100</v>
      </c>
      <c r="H53" s="2" t="s">
        <v>164</v>
      </c>
      <c r="I53" s="2" t="s">
        <v>216</v>
      </c>
      <c r="J53" s="2" t="s">
        <v>217</v>
      </c>
      <c r="K53" s="2" t="s">
        <v>105</v>
      </c>
      <c r="L53" s="150">
        <v>1.4999999999999999E-2</v>
      </c>
      <c r="M53" s="150">
        <v>3.681</v>
      </c>
      <c r="N53" s="162">
        <v>3.8399999999999997E-2</v>
      </c>
      <c r="O53" s="150">
        <v>5.7000000000000002E-2</v>
      </c>
      <c r="P53" s="164">
        <v>4.7527968223592899E-4</v>
      </c>
      <c r="Q53" s="164">
        <v>3.9205213833506499E-5</v>
      </c>
    </row>
    <row r="54" spans="1:17">
      <c r="A54" s="2" t="s">
        <v>128</v>
      </c>
      <c r="B54" s="2">
        <v>9817</v>
      </c>
      <c r="C54" s="2" t="s">
        <v>211</v>
      </c>
      <c r="D54" s="2" t="s">
        <v>212</v>
      </c>
      <c r="E54" s="4" t="s">
        <v>213</v>
      </c>
      <c r="F54" s="2" t="s">
        <v>998</v>
      </c>
      <c r="G54" s="2" t="s">
        <v>100</v>
      </c>
      <c r="H54" s="2" t="s">
        <v>164</v>
      </c>
      <c r="I54" s="2" t="s">
        <v>216</v>
      </c>
      <c r="J54" s="2" t="s">
        <v>217</v>
      </c>
      <c r="K54" s="2" t="s">
        <v>1223</v>
      </c>
      <c r="L54" s="150">
        <v>5.8999999999999997E-2</v>
      </c>
      <c r="M54" s="150">
        <v>4.6539999999999999</v>
      </c>
      <c r="N54" s="162">
        <v>0</v>
      </c>
      <c r="O54" s="150">
        <v>0.27300000000000002</v>
      </c>
      <c r="P54" s="164">
        <v>2.2804923917949401E-3</v>
      </c>
      <c r="Q54" s="164">
        <v>1.8811490414526801E-4</v>
      </c>
    </row>
    <row r="55" spans="1:17">
      <c r="A55" s="2" t="s">
        <v>128</v>
      </c>
      <c r="B55" s="2">
        <v>9817</v>
      </c>
      <c r="C55" s="2" t="s">
        <v>211</v>
      </c>
      <c r="D55" s="2" t="s">
        <v>212</v>
      </c>
      <c r="E55" s="4" t="s">
        <v>213</v>
      </c>
      <c r="F55" s="2" t="s">
        <v>996</v>
      </c>
      <c r="G55" s="2" t="s">
        <v>31</v>
      </c>
      <c r="H55" s="2" t="s">
        <v>164</v>
      </c>
      <c r="I55" s="2" t="s">
        <v>216</v>
      </c>
      <c r="J55" s="2" t="s">
        <v>217</v>
      </c>
      <c r="K55" s="2" t="s">
        <v>35</v>
      </c>
      <c r="L55" s="150">
        <v>0</v>
      </c>
      <c r="M55" s="150">
        <v>1</v>
      </c>
      <c r="N55" s="162">
        <v>4.0300000000000002E-2</v>
      </c>
      <c r="O55" s="150">
        <v>116.199</v>
      </c>
      <c r="P55" s="164">
        <v>0.97108186417367304</v>
      </c>
      <c r="Q55" s="164">
        <v>8.0103302450598504E-2</v>
      </c>
    </row>
    <row r="56" spans="1:17">
      <c r="A56" s="2" t="s">
        <v>144</v>
      </c>
      <c r="B56" s="2">
        <v>969</v>
      </c>
      <c r="C56" s="2" t="s">
        <v>1219</v>
      </c>
      <c r="D56" s="2" t="s">
        <v>1220</v>
      </c>
      <c r="E56" s="4" t="s">
        <v>213</v>
      </c>
      <c r="F56" s="2" t="s">
        <v>996</v>
      </c>
      <c r="G56" s="2" t="s">
        <v>31</v>
      </c>
      <c r="H56" s="2" t="s">
        <v>164</v>
      </c>
      <c r="I56" s="2" t="s">
        <v>216</v>
      </c>
      <c r="J56" s="2" t="s">
        <v>217</v>
      </c>
      <c r="K56" s="2" t="s">
        <v>35</v>
      </c>
      <c r="L56" s="150">
        <v>0</v>
      </c>
      <c r="M56" s="150">
        <v>1</v>
      </c>
      <c r="N56" s="162">
        <v>4.0300000000000002E-2</v>
      </c>
      <c r="O56" s="150">
        <v>4.0000000000000001E-3</v>
      </c>
      <c r="P56" s="164">
        <v>1.81754041865572E-6</v>
      </c>
      <c r="Q56" s="164">
        <v>5.6094632458780403E-8</v>
      </c>
    </row>
    <row r="57" spans="1:17">
      <c r="A57" s="2" t="s">
        <v>144</v>
      </c>
      <c r="B57" s="2">
        <v>969</v>
      </c>
      <c r="C57" s="2" t="s">
        <v>1219</v>
      </c>
      <c r="D57" s="2" t="s">
        <v>1220</v>
      </c>
      <c r="E57" s="4" t="s">
        <v>213</v>
      </c>
      <c r="F57" s="2" t="s">
        <v>996</v>
      </c>
      <c r="G57" s="2" t="s">
        <v>31</v>
      </c>
      <c r="H57" s="2" t="s">
        <v>164</v>
      </c>
      <c r="I57" s="2" t="s">
        <v>216</v>
      </c>
      <c r="J57" s="2" t="s">
        <v>217</v>
      </c>
      <c r="K57" s="2" t="s">
        <v>35</v>
      </c>
      <c r="L57" s="150">
        <v>0</v>
      </c>
      <c r="M57" s="150">
        <v>1</v>
      </c>
      <c r="N57" s="162">
        <v>4.0300000000000002E-2</v>
      </c>
      <c r="O57" s="150">
        <v>457.33</v>
      </c>
      <c r="P57" s="164">
        <v>0.201751261219973</v>
      </c>
      <c r="Q57" s="164">
        <v>6.2266361342325103E-3</v>
      </c>
    </row>
    <row r="58" spans="1:17">
      <c r="A58" s="2" t="s">
        <v>144</v>
      </c>
      <c r="B58" s="2">
        <v>969</v>
      </c>
      <c r="C58" s="2" t="s">
        <v>211</v>
      </c>
      <c r="D58" s="2" t="s">
        <v>212</v>
      </c>
      <c r="E58" s="4" t="s">
        <v>213</v>
      </c>
      <c r="F58" s="2" t="s">
        <v>998</v>
      </c>
      <c r="G58" s="2" t="s">
        <v>100</v>
      </c>
      <c r="H58" s="2" t="s">
        <v>164</v>
      </c>
      <c r="I58" s="2" t="s">
        <v>216</v>
      </c>
      <c r="J58" s="2" t="s">
        <v>217</v>
      </c>
      <c r="K58" s="2" t="s">
        <v>105</v>
      </c>
      <c r="L58" s="150">
        <v>13.163</v>
      </c>
      <c r="M58" s="150">
        <v>3.681</v>
      </c>
      <c r="N58" s="162">
        <v>3.8399999999999997E-2</v>
      </c>
      <c r="O58" s="150">
        <v>48.451000000000001</v>
      </c>
      <c r="P58" s="164">
        <v>2.1374323735256599E-2</v>
      </c>
      <c r="Q58" s="164">
        <v>6.5967437184753005E-4</v>
      </c>
    </row>
    <row r="59" spans="1:17">
      <c r="A59" s="2" t="s">
        <v>144</v>
      </c>
      <c r="B59" s="2">
        <v>969</v>
      </c>
      <c r="C59" s="2" t="s">
        <v>211</v>
      </c>
      <c r="D59" s="2" t="s">
        <v>212</v>
      </c>
      <c r="E59" s="4" t="s">
        <v>213</v>
      </c>
      <c r="F59" s="2" t="s">
        <v>998</v>
      </c>
      <c r="G59" s="2" t="s">
        <v>100</v>
      </c>
      <c r="H59" s="2" t="s">
        <v>164</v>
      </c>
      <c r="I59" s="2" t="s">
        <v>216</v>
      </c>
      <c r="J59" s="2" t="s">
        <v>217</v>
      </c>
      <c r="K59" s="2" t="s">
        <v>1227</v>
      </c>
      <c r="L59" s="150">
        <v>0</v>
      </c>
      <c r="M59" s="150">
        <v>0.47</v>
      </c>
      <c r="N59" s="162">
        <v>0</v>
      </c>
      <c r="O59" s="150">
        <v>0</v>
      </c>
      <c r="P59" s="164">
        <v>-6.2255170844828806E-9</v>
      </c>
      <c r="Q59" s="164">
        <v>-1.92137731373376E-10</v>
      </c>
    </row>
    <row r="60" spans="1:17">
      <c r="A60" s="2" t="s">
        <v>144</v>
      </c>
      <c r="B60" s="2">
        <v>969</v>
      </c>
      <c r="C60" s="2" t="s">
        <v>211</v>
      </c>
      <c r="D60" s="2" t="s">
        <v>212</v>
      </c>
      <c r="E60" s="4" t="s">
        <v>213</v>
      </c>
      <c r="F60" s="2" t="s">
        <v>998</v>
      </c>
      <c r="G60" s="2" t="s">
        <v>100</v>
      </c>
      <c r="H60" s="2" t="s">
        <v>164</v>
      </c>
      <c r="I60" s="2" t="s">
        <v>216</v>
      </c>
      <c r="J60" s="2" t="s">
        <v>217</v>
      </c>
      <c r="K60" s="2" t="s">
        <v>1221</v>
      </c>
      <c r="L60" s="150">
        <v>376.91800000000001</v>
      </c>
      <c r="M60" s="150">
        <v>2.7120000000000002</v>
      </c>
      <c r="N60" s="162">
        <v>0</v>
      </c>
      <c r="O60" s="150">
        <v>1022.278</v>
      </c>
      <c r="P60" s="164">
        <v>0.45097846941513597</v>
      </c>
      <c r="Q60" s="164">
        <v>1.3918519351209699E-2</v>
      </c>
    </row>
    <row r="61" spans="1:17">
      <c r="A61" s="2" t="s">
        <v>144</v>
      </c>
      <c r="B61" s="2">
        <v>969</v>
      </c>
      <c r="C61" s="2" t="s">
        <v>211</v>
      </c>
      <c r="D61" s="2" t="s">
        <v>212</v>
      </c>
      <c r="E61" s="4" t="s">
        <v>213</v>
      </c>
      <c r="F61" s="2" t="s">
        <v>998</v>
      </c>
      <c r="G61" s="2" t="s">
        <v>100</v>
      </c>
      <c r="H61" s="2" t="s">
        <v>164</v>
      </c>
      <c r="I61" s="2" t="s">
        <v>216</v>
      </c>
      <c r="J61" s="2" t="s">
        <v>217</v>
      </c>
      <c r="K61" s="2" t="s">
        <v>1222</v>
      </c>
      <c r="L61" s="150">
        <v>456.89699999999999</v>
      </c>
      <c r="M61" s="150">
        <v>2.4329999999999998</v>
      </c>
      <c r="N61" s="162">
        <v>0</v>
      </c>
      <c r="O61" s="150">
        <v>11.118</v>
      </c>
      <c r="P61" s="164">
        <v>4.90476716824514E-3</v>
      </c>
      <c r="Q61" s="164">
        <v>1.5137551207917299E-4</v>
      </c>
    </row>
    <row r="62" spans="1:17">
      <c r="A62" s="2" t="s">
        <v>144</v>
      </c>
      <c r="B62" s="2">
        <v>969</v>
      </c>
      <c r="C62" s="2" t="s">
        <v>211</v>
      </c>
      <c r="D62" s="2" t="s">
        <v>212</v>
      </c>
      <c r="E62" s="4" t="s">
        <v>213</v>
      </c>
      <c r="F62" s="2" t="s">
        <v>998</v>
      </c>
      <c r="G62" s="2" t="s">
        <v>100</v>
      </c>
      <c r="H62" s="2" t="s">
        <v>164</v>
      </c>
      <c r="I62" s="2" t="s">
        <v>216</v>
      </c>
      <c r="J62" s="2" t="s">
        <v>217</v>
      </c>
      <c r="K62" s="2" t="s">
        <v>1228</v>
      </c>
      <c r="L62" s="150">
        <v>0</v>
      </c>
      <c r="M62" s="150">
        <v>0.53300000000000003</v>
      </c>
      <c r="N62" s="162">
        <v>0</v>
      </c>
      <c r="O62" s="150">
        <v>0</v>
      </c>
      <c r="P62" s="164">
        <v>-2.3535383819243302E-9</v>
      </c>
      <c r="Q62" s="164">
        <v>-7.2637102953299291E-11</v>
      </c>
    </row>
    <row r="63" spans="1:17">
      <c r="A63" s="2" t="s">
        <v>144</v>
      </c>
      <c r="B63" s="2">
        <v>969</v>
      </c>
      <c r="C63" s="2" t="s">
        <v>211</v>
      </c>
      <c r="D63" s="2" t="s">
        <v>212</v>
      </c>
      <c r="E63" s="4" t="s">
        <v>213</v>
      </c>
      <c r="F63" s="2" t="s">
        <v>998</v>
      </c>
      <c r="G63" s="2" t="s">
        <v>100</v>
      </c>
      <c r="H63" s="2" t="s">
        <v>164</v>
      </c>
      <c r="I63" s="2" t="s">
        <v>216</v>
      </c>
      <c r="J63" s="2" t="s">
        <v>217</v>
      </c>
      <c r="K63" s="2" t="s">
        <v>1226</v>
      </c>
      <c r="L63" s="150">
        <v>6.75</v>
      </c>
      <c r="M63" s="150">
        <v>0.34</v>
      </c>
      <c r="N63" s="162">
        <v>0</v>
      </c>
      <c r="O63" s="150">
        <v>2.2949999999999999</v>
      </c>
      <c r="P63" s="164">
        <v>1.01244059728516E-3</v>
      </c>
      <c r="Q63" s="164">
        <v>3.1246888711869197E-5</v>
      </c>
    </row>
    <row r="64" spans="1:17">
      <c r="A64" s="2" t="s">
        <v>144</v>
      </c>
      <c r="B64" s="2">
        <v>969</v>
      </c>
      <c r="C64" s="2" t="s">
        <v>211</v>
      </c>
      <c r="D64" s="2" t="s">
        <v>212</v>
      </c>
      <c r="E64" s="4" t="s">
        <v>213</v>
      </c>
      <c r="F64" s="2" t="s">
        <v>998</v>
      </c>
      <c r="G64" s="2" t="s">
        <v>100</v>
      </c>
      <c r="H64" s="2" t="s">
        <v>164</v>
      </c>
      <c r="I64" s="2" t="s">
        <v>216</v>
      </c>
      <c r="J64" s="2" t="s">
        <v>217</v>
      </c>
      <c r="K64" s="2" t="s">
        <v>1223</v>
      </c>
      <c r="L64" s="150">
        <v>3.2410000000000001</v>
      </c>
      <c r="M64" s="150">
        <v>4.6539999999999999</v>
      </c>
      <c r="N64" s="162">
        <v>0</v>
      </c>
      <c r="O64" s="150">
        <v>15.083</v>
      </c>
      <c r="P64" s="164">
        <v>6.6536992155925003E-3</v>
      </c>
      <c r="Q64" s="164">
        <v>2.05352688808972E-4</v>
      </c>
    </row>
    <row r="65" spans="1:17">
      <c r="A65" s="2" t="s">
        <v>144</v>
      </c>
      <c r="B65" s="2">
        <v>969</v>
      </c>
      <c r="C65" s="2" t="s">
        <v>211</v>
      </c>
      <c r="D65" s="2" t="s">
        <v>212</v>
      </c>
      <c r="E65" s="4" t="s">
        <v>213</v>
      </c>
      <c r="F65" s="2" t="s">
        <v>996</v>
      </c>
      <c r="G65" s="2" t="s">
        <v>31</v>
      </c>
      <c r="H65" s="2" t="s">
        <v>164</v>
      </c>
      <c r="I65" s="2" t="s">
        <v>216</v>
      </c>
      <c r="J65" s="2" t="s">
        <v>217</v>
      </c>
      <c r="K65" s="2" t="s">
        <v>35</v>
      </c>
      <c r="L65" s="150">
        <v>0</v>
      </c>
      <c r="M65" s="150">
        <v>1</v>
      </c>
      <c r="N65" s="162">
        <v>4.0300000000000002E-2</v>
      </c>
      <c r="O65" s="150">
        <v>710.24099999999999</v>
      </c>
      <c r="P65" s="164">
        <v>0.31332322968714799</v>
      </c>
      <c r="Q65" s="164">
        <v>9.6700745852452193E-3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99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6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59" t="s">
        <v>14</v>
      </c>
      <c r="P1" s="163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63" t="s">
        <v>23</v>
      </c>
      <c r="Y1" s="163" t="s">
        <v>24</v>
      </c>
      <c r="Z1" s="163" t="s">
        <v>25</v>
      </c>
    </row>
    <row r="2" spans="1:26">
      <c r="A2" s="18" t="s">
        <v>26</v>
      </c>
      <c r="B2" s="18">
        <v>1182</v>
      </c>
      <c r="C2" s="18" t="s">
        <v>27</v>
      </c>
      <c r="D2" s="18" t="s">
        <v>28</v>
      </c>
      <c r="E2" s="18" t="s">
        <v>29</v>
      </c>
      <c r="F2" s="18" t="s">
        <v>30</v>
      </c>
      <c r="G2" s="18" t="s">
        <v>31</v>
      </c>
      <c r="H2" s="18" t="s">
        <v>31</v>
      </c>
      <c r="I2" s="18" t="s">
        <v>32</v>
      </c>
      <c r="J2" s="18" t="s">
        <v>33</v>
      </c>
      <c r="K2" s="18" t="s">
        <v>34</v>
      </c>
      <c r="L2" s="4" t="s">
        <v>35</v>
      </c>
      <c r="M2" s="152">
        <v>5.0000000000000001E-3</v>
      </c>
      <c r="N2" s="4" t="s">
        <v>36</v>
      </c>
      <c r="O2" s="161">
        <v>0</v>
      </c>
      <c r="P2" s="166">
        <v>5.629E-2</v>
      </c>
      <c r="R2" s="152">
        <v>3718013</v>
      </c>
      <c r="S2" s="152">
        <v>1</v>
      </c>
      <c r="T2" s="152">
        <v>99.97</v>
      </c>
      <c r="U2" s="152">
        <v>3716.8980000000001</v>
      </c>
      <c r="W2" s="18" t="s">
        <v>37</v>
      </c>
      <c r="X2" s="166">
        <v>1.8599999999999999E-4</v>
      </c>
      <c r="Y2" s="166">
        <v>5.9153817958911399E-2</v>
      </c>
      <c r="Z2" s="166">
        <v>9.7853727991906898E-3</v>
      </c>
    </row>
    <row r="3" spans="1:26">
      <c r="A3" s="18" t="s">
        <v>26</v>
      </c>
      <c r="B3" s="18">
        <v>1182</v>
      </c>
      <c r="C3" s="18" t="s">
        <v>27</v>
      </c>
      <c r="D3" s="18" t="s">
        <v>38</v>
      </c>
      <c r="E3" s="18" t="s">
        <v>39</v>
      </c>
      <c r="F3" s="18" t="s">
        <v>30</v>
      </c>
      <c r="G3" s="18" t="s">
        <v>31</v>
      </c>
      <c r="H3" s="18" t="s">
        <v>31</v>
      </c>
      <c r="I3" s="18" t="s">
        <v>32</v>
      </c>
      <c r="J3" s="18" t="s">
        <v>33</v>
      </c>
      <c r="K3" s="18" t="s">
        <v>34</v>
      </c>
      <c r="L3" s="4" t="s">
        <v>35</v>
      </c>
      <c r="M3" s="152">
        <v>0.504</v>
      </c>
      <c r="N3" s="4" t="s">
        <v>40</v>
      </c>
      <c r="O3" s="161">
        <v>0</v>
      </c>
      <c r="P3" s="166">
        <v>4.258E-2</v>
      </c>
      <c r="R3" s="152">
        <v>307125</v>
      </c>
      <c r="S3" s="152">
        <v>1</v>
      </c>
      <c r="T3" s="152">
        <v>97.93</v>
      </c>
      <c r="U3" s="152">
        <v>300.76799999999997</v>
      </c>
      <c r="W3" s="18" t="s">
        <v>37</v>
      </c>
      <c r="X3" s="166">
        <v>0</v>
      </c>
      <c r="Y3" s="166">
        <v>4.7866658207230701E-3</v>
      </c>
      <c r="Z3" s="166">
        <v>7.9182225487886798E-4</v>
      </c>
    </row>
    <row r="4" spans="1:26">
      <c r="A4" s="18" t="s">
        <v>26</v>
      </c>
      <c r="B4" s="18">
        <v>1182</v>
      </c>
      <c r="C4" s="18" t="s">
        <v>27</v>
      </c>
      <c r="D4" s="18" t="s">
        <v>41</v>
      </c>
      <c r="E4" s="18" t="s">
        <v>42</v>
      </c>
      <c r="F4" s="18" t="s">
        <v>30</v>
      </c>
      <c r="G4" s="18" t="s">
        <v>31</v>
      </c>
      <c r="H4" s="18" t="s">
        <v>31</v>
      </c>
      <c r="I4" s="18" t="s">
        <v>32</v>
      </c>
      <c r="J4" s="18" t="s">
        <v>33</v>
      </c>
      <c r="K4" s="18" t="s">
        <v>34</v>
      </c>
      <c r="L4" s="4" t="s">
        <v>35</v>
      </c>
      <c r="M4" s="152">
        <v>0.67700000000000005</v>
      </c>
      <c r="N4" s="4" t="s">
        <v>43</v>
      </c>
      <c r="O4" s="161">
        <v>0</v>
      </c>
      <c r="P4" s="166">
        <v>4.2380000000000001E-2</v>
      </c>
      <c r="R4" s="152">
        <v>5000000</v>
      </c>
      <c r="S4" s="152">
        <v>1</v>
      </c>
      <c r="T4" s="152">
        <v>97.22</v>
      </c>
      <c r="U4" s="152">
        <v>4861</v>
      </c>
      <c r="W4" s="18" t="s">
        <v>37</v>
      </c>
      <c r="X4" s="166">
        <v>3.57E-4</v>
      </c>
      <c r="Y4" s="166">
        <v>7.7362020788514604E-2</v>
      </c>
      <c r="Z4" s="166">
        <v>1.27974193388529E-2</v>
      </c>
    </row>
    <row r="5" spans="1:26">
      <c r="A5" s="18" t="s">
        <v>26</v>
      </c>
      <c r="B5" s="18">
        <v>1182</v>
      </c>
      <c r="C5" s="18" t="s">
        <v>44</v>
      </c>
      <c r="D5" s="18" t="s">
        <v>45</v>
      </c>
      <c r="E5" s="18" t="s">
        <v>46</v>
      </c>
      <c r="F5" s="18" t="s">
        <v>47</v>
      </c>
      <c r="G5" s="18" t="s">
        <v>31</v>
      </c>
      <c r="H5" s="18" t="s">
        <v>31</v>
      </c>
      <c r="I5" s="18" t="s">
        <v>32</v>
      </c>
      <c r="J5" s="18" t="s">
        <v>33</v>
      </c>
      <c r="K5" s="18" t="s">
        <v>34</v>
      </c>
      <c r="L5" s="4" t="s">
        <v>35</v>
      </c>
      <c r="M5" s="152">
        <v>3.1190000000000002</v>
      </c>
      <c r="N5" s="4" t="s">
        <v>48</v>
      </c>
      <c r="O5" s="161">
        <v>7.4999999999999997E-3</v>
      </c>
      <c r="P5" s="166">
        <v>1.1520000000000001E-2</v>
      </c>
      <c r="R5" s="152">
        <v>1171463</v>
      </c>
      <c r="S5" s="152">
        <v>1</v>
      </c>
      <c r="T5" s="152">
        <v>111.88</v>
      </c>
      <c r="U5" s="152">
        <v>1310.633</v>
      </c>
      <c r="W5" s="18" t="s">
        <v>37</v>
      </c>
      <c r="X5" s="166">
        <v>5.5999999999999999E-5</v>
      </c>
      <c r="Y5" s="166">
        <v>2.0858506945093998E-2</v>
      </c>
      <c r="Z5" s="166">
        <v>3.4504664877933701E-3</v>
      </c>
    </row>
    <row r="6" spans="1:26">
      <c r="A6" s="18" t="s">
        <v>26</v>
      </c>
      <c r="B6" s="18">
        <v>1182</v>
      </c>
      <c r="C6" s="18" t="s">
        <v>44</v>
      </c>
      <c r="D6" s="18" t="s">
        <v>49</v>
      </c>
      <c r="E6" s="18" t="s">
        <v>50</v>
      </c>
      <c r="F6" s="18" t="s">
        <v>47</v>
      </c>
      <c r="G6" s="18" t="s">
        <v>31</v>
      </c>
      <c r="H6" s="18" t="s">
        <v>31</v>
      </c>
      <c r="I6" s="18" t="s">
        <v>32</v>
      </c>
      <c r="J6" s="18" t="s">
        <v>33</v>
      </c>
      <c r="K6" s="18" t="s">
        <v>34</v>
      </c>
      <c r="L6" s="4" t="s">
        <v>35</v>
      </c>
      <c r="M6" s="152">
        <v>18.8</v>
      </c>
      <c r="N6" s="4" t="s">
        <v>51</v>
      </c>
      <c r="O6" s="161">
        <v>0.01</v>
      </c>
      <c r="P6" s="166">
        <v>1.8530000000000001E-2</v>
      </c>
      <c r="R6" s="152">
        <v>1670758</v>
      </c>
      <c r="S6" s="152">
        <v>1</v>
      </c>
      <c r="T6" s="152">
        <v>96.44</v>
      </c>
      <c r="U6" s="152">
        <v>1611.279</v>
      </c>
      <c r="W6" s="18" t="s">
        <v>37</v>
      </c>
      <c r="X6" s="166">
        <v>9.2E-5</v>
      </c>
      <c r="Y6" s="166">
        <v>2.56432422690804E-2</v>
      </c>
      <c r="Z6" s="166">
        <v>4.2419693950644603E-3</v>
      </c>
    </row>
    <row r="7" spans="1:26">
      <c r="A7" s="18" t="s">
        <v>26</v>
      </c>
      <c r="B7" s="18">
        <v>1182</v>
      </c>
      <c r="C7" s="18" t="s">
        <v>44</v>
      </c>
      <c r="D7" s="18" t="s">
        <v>52</v>
      </c>
      <c r="E7" s="18" t="s">
        <v>53</v>
      </c>
      <c r="F7" s="18" t="s">
        <v>47</v>
      </c>
      <c r="G7" s="18" t="s">
        <v>31</v>
      </c>
      <c r="H7" s="18" t="s">
        <v>31</v>
      </c>
      <c r="I7" s="18" t="s">
        <v>32</v>
      </c>
      <c r="J7" s="18" t="s">
        <v>33</v>
      </c>
      <c r="K7" s="18" t="s">
        <v>34</v>
      </c>
      <c r="L7" s="4" t="s">
        <v>35</v>
      </c>
      <c r="M7" s="152">
        <v>1.5760000000000001</v>
      </c>
      <c r="N7" s="4" t="s">
        <v>54</v>
      </c>
      <c r="O7" s="161">
        <v>7.4999999999999997E-3</v>
      </c>
      <c r="P7" s="166">
        <v>7.9699999999999997E-3</v>
      </c>
      <c r="R7" s="152">
        <v>1346811</v>
      </c>
      <c r="S7" s="152">
        <v>1</v>
      </c>
      <c r="T7" s="152">
        <v>112.14</v>
      </c>
      <c r="U7" s="152">
        <v>1510.3140000000001</v>
      </c>
      <c r="W7" s="18" t="s">
        <v>37</v>
      </c>
      <c r="X7" s="166">
        <v>6.2000000000000003E-5</v>
      </c>
      <c r="Y7" s="166">
        <v>2.40363982469937E-2</v>
      </c>
      <c r="Z7" s="166">
        <v>3.9761612303709998E-3</v>
      </c>
    </row>
    <row r="8" spans="1:26">
      <c r="A8" s="18" t="s">
        <v>26</v>
      </c>
      <c r="B8" s="18">
        <v>1182</v>
      </c>
      <c r="C8" s="18" t="s">
        <v>44</v>
      </c>
      <c r="D8" s="18" t="s">
        <v>55</v>
      </c>
      <c r="E8" s="18" t="s">
        <v>56</v>
      </c>
      <c r="F8" s="18" t="s">
        <v>47</v>
      </c>
      <c r="G8" s="18" t="s">
        <v>31</v>
      </c>
      <c r="H8" s="18" t="s">
        <v>31</v>
      </c>
      <c r="I8" s="18" t="s">
        <v>32</v>
      </c>
      <c r="J8" s="18" t="s">
        <v>33</v>
      </c>
      <c r="K8" s="18" t="s">
        <v>34</v>
      </c>
      <c r="L8" s="4" t="s">
        <v>35</v>
      </c>
      <c r="M8" s="152">
        <v>7.6379999999999999</v>
      </c>
      <c r="N8" s="4" t="s">
        <v>57</v>
      </c>
      <c r="O8" s="161">
        <v>1E-3</v>
      </c>
      <c r="P8" s="166">
        <v>1.5559999999999999E-2</v>
      </c>
      <c r="R8" s="152">
        <v>202224</v>
      </c>
      <c r="S8" s="152">
        <v>1</v>
      </c>
      <c r="T8" s="152">
        <v>99.81</v>
      </c>
      <c r="U8" s="152">
        <v>201.84</v>
      </c>
      <c r="W8" s="18" t="s">
        <v>37</v>
      </c>
      <c r="X8" s="166">
        <v>7.9999999999999996E-6</v>
      </c>
      <c r="Y8" s="166">
        <v>3.21224703210901E-3</v>
      </c>
      <c r="Z8" s="166">
        <v>5.3137795356022696E-4</v>
      </c>
    </row>
    <row r="9" spans="1:26">
      <c r="A9" s="18" t="s">
        <v>26</v>
      </c>
      <c r="B9" s="18">
        <v>1182</v>
      </c>
      <c r="C9" s="18" t="s">
        <v>58</v>
      </c>
      <c r="D9" s="18" t="s">
        <v>59</v>
      </c>
      <c r="E9" s="18" t="s">
        <v>60</v>
      </c>
      <c r="F9" s="18" t="s">
        <v>61</v>
      </c>
      <c r="G9" s="18" t="s">
        <v>31</v>
      </c>
      <c r="H9" s="18" t="s">
        <v>31</v>
      </c>
      <c r="I9" s="18" t="s">
        <v>32</v>
      </c>
      <c r="J9" s="18" t="s">
        <v>33</v>
      </c>
      <c r="K9" s="18" t="s">
        <v>34</v>
      </c>
      <c r="L9" s="4" t="s">
        <v>35</v>
      </c>
      <c r="M9" s="152">
        <v>4.2690000000000001</v>
      </c>
      <c r="N9" s="4" t="s">
        <v>62</v>
      </c>
      <c r="O9" s="161">
        <v>2.2499999999999999E-2</v>
      </c>
      <c r="P9" s="166">
        <v>4.0719999999999999E-2</v>
      </c>
      <c r="R9" s="152">
        <v>266042</v>
      </c>
      <c r="S9" s="152">
        <v>1</v>
      </c>
      <c r="T9" s="152">
        <v>93.79</v>
      </c>
      <c r="U9" s="152">
        <v>249.52099999999999</v>
      </c>
      <c r="W9" s="18" t="s">
        <v>37</v>
      </c>
      <c r="X9" s="166">
        <v>1.0000000000000001E-5</v>
      </c>
      <c r="Y9" s="166">
        <v>3.9710826336964104E-3</v>
      </c>
      <c r="Z9" s="166">
        <v>6.5690644032651805E-4</v>
      </c>
    </row>
    <row r="10" spans="1:26">
      <c r="A10" s="18" t="s">
        <v>26</v>
      </c>
      <c r="B10" s="18">
        <v>1182</v>
      </c>
      <c r="C10" s="18" t="s">
        <v>58</v>
      </c>
      <c r="D10" s="18" t="s">
        <v>63</v>
      </c>
      <c r="E10" s="18" t="s">
        <v>64</v>
      </c>
      <c r="F10" s="18" t="s">
        <v>61</v>
      </c>
      <c r="G10" s="18" t="s">
        <v>31</v>
      </c>
      <c r="H10" s="18" t="s">
        <v>31</v>
      </c>
      <c r="I10" s="18" t="s">
        <v>32</v>
      </c>
      <c r="J10" s="18" t="s">
        <v>33</v>
      </c>
      <c r="K10" s="18" t="s">
        <v>34</v>
      </c>
      <c r="L10" s="4" t="s">
        <v>35</v>
      </c>
      <c r="M10" s="152">
        <v>4.5629999999999997</v>
      </c>
      <c r="N10" s="4" t="s">
        <v>65</v>
      </c>
      <c r="O10" s="161">
        <v>3.7499999999999999E-2</v>
      </c>
      <c r="P10" s="166">
        <v>4.0939999999999997E-2</v>
      </c>
      <c r="R10" s="152">
        <v>1799925</v>
      </c>
      <c r="S10" s="152">
        <v>1</v>
      </c>
      <c r="T10" s="152">
        <v>98.83</v>
      </c>
      <c r="U10" s="152">
        <v>1778.866</v>
      </c>
      <c r="W10" s="18" t="s">
        <v>37</v>
      </c>
      <c r="X10" s="166">
        <v>1.4100000000000001E-4</v>
      </c>
      <c r="Y10" s="166">
        <v>2.8310359801508801E-2</v>
      </c>
      <c r="Z10" s="166">
        <v>4.6831706607578698E-3</v>
      </c>
    </row>
    <row r="11" spans="1:26">
      <c r="A11" s="18" t="s">
        <v>26</v>
      </c>
      <c r="B11" s="18">
        <v>1182</v>
      </c>
      <c r="C11" s="18" t="s">
        <v>58</v>
      </c>
      <c r="D11" s="18" t="s">
        <v>66</v>
      </c>
      <c r="E11" s="18" t="s">
        <v>67</v>
      </c>
      <c r="F11" s="18" t="s">
        <v>61</v>
      </c>
      <c r="G11" s="18" t="s">
        <v>31</v>
      </c>
      <c r="H11" s="18" t="s">
        <v>31</v>
      </c>
      <c r="I11" s="18" t="s">
        <v>32</v>
      </c>
      <c r="J11" s="18" t="s">
        <v>33</v>
      </c>
      <c r="K11" s="18" t="s">
        <v>34</v>
      </c>
      <c r="L11" s="4" t="s">
        <v>35</v>
      </c>
      <c r="M11" s="152">
        <v>2.9369999999999998</v>
      </c>
      <c r="N11" s="4" t="s">
        <v>68</v>
      </c>
      <c r="O11" s="161">
        <v>0.02</v>
      </c>
      <c r="P11" s="166">
        <v>4.0149999999999998E-2</v>
      </c>
      <c r="R11" s="152">
        <v>528276</v>
      </c>
      <c r="S11" s="152">
        <v>1</v>
      </c>
      <c r="T11" s="152">
        <v>94.43</v>
      </c>
      <c r="U11" s="152">
        <v>498.851</v>
      </c>
      <c r="W11" s="18" t="s">
        <v>37</v>
      </c>
      <c r="X11" s="166">
        <v>2.4000000000000001E-5</v>
      </c>
      <c r="Y11" s="166">
        <v>7.9391325870548195E-3</v>
      </c>
      <c r="Z11" s="166">
        <v>1.3133112070719899E-3</v>
      </c>
    </row>
    <row r="12" spans="1:26">
      <c r="A12" s="18" t="s">
        <v>26</v>
      </c>
      <c r="B12" s="18">
        <v>1182</v>
      </c>
      <c r="C12" s="18" t="s">
        <v>58</v>
      </c>
      <c r="D12" s="18" t="s">
        <v>69</v>
      </c>
      <c r="E12" s="18" t="s">
        <v>70</v>
      </c>
      <c r="F12" s="18" t="s">
        <v>61</v>
      </c>
      <c r="G12" s="18" t="s">
        <v>31</v>
      </c>
      <c r="H12" s="18" t="s">
        <v>31</v>
      </c>
      <c r="I12" s="18" t="s">
        <v>32</v>
      </c>
      <c r="J12" s="18" t="s">
        <v>33</v>
      </c>
      <c r="K12" s="18" t="s">
        <v>34</v>
      </c>
      <c r="L12" s="4" t="s">
        <v>35</v>
      </c>
      <c r="M12" s="152">
        <v>15.141</v>
      </c>
      <c r="N12" s="4" t="s">
        <v>71</v>
      </c>
      <c r="O12" s="161">
        <v>3.7499999999999999E-2</v>
      </c>
      <c r="P12" s="166">
        <v>4.8259999999999997E-2</v>
      </c>
      <c r="R12" s="152">
        <v>1302268</v>
      </c>
      <c r="S12" s="152">
        <v>1</v>
      </c>
      <c r="T12" s="152">
        <v>85.26</v>
      </c>
      <c r="U12" s="152">
        <v>1110.3140000000001</v>
      </c>
      <c r="W12" s="18" t="s">
        <v>37</v>
      </c>
      <c r="X12" s="166">
        <v>5.1999999999999997E-5</v>
      </c>
      <c r="Y12" s="166">
        <v>1.76704610766538E-2</v>
      </c>
      <c r="Z12" s="166">
        <v>2.92309195137247E-3</v>
      </c>
    </row>
    <row r="13" spans="1:26">
      <c r="A13" s="18" t="s">
        <v>26</v>
      </c>
      <c r="B13" s="18">
        <v>1182</v>
      </c>
      <c r="C13" s="18" t="s">
        <v>44</v>
      </c>
      <c r="D13" s="18" t="s">
        <v>72</v>
      </c>
      <c r="E13" s="18" t="s">
        <v>73</v>
      </c>
      <c r="F13" s="18" t="s">
        <v>47</v>
      </c>
      <c r="G13" s="18" t="s">
        <v>31</v>
      </c>
      <c r="H13" s="18" t="s">
        <v>31</v>
      </c>
      <c r="I13" s="18" t="s">
        <v>32</v>
      </c>
      <c r="J13" s="18" t="s">
        <v>33</v>
      </c>
      <c r="K13" s="18" t="s">
        <v>34</v>
      </c>
      <c r="L13" s="4" t="s">
        <v>35</v>
      </c>
      <c r="M13" s="152">
        <v>14.135</v>
      </c>
      <c r="N13" s="4" t="s">
        <v>74</v>
      </c>
      <c r="O13" s="161">
        <v>2.75E-2</v>
      </c>
      <c r="P13" s="166">
        <v>1.7819999999999999E-2</v>
      </c>
      <c r="R13" s="152">
        <v>68189</v>
      </c>
      <c r="S13" s="152">
        <v>1</v>
      </c>
      <c r="T13" s="152">
        <v>138.12</v>
      </c>
      <c r="U13" s="152">
        <v>94.183000000000007</v>
      </c>
      <c r="W13" s="18" t="s">
        <v>37</v>
      </c>
      <c r="X13" s="166">
        <v>3.9999999999999998E-6</v>
      </c>
      <c r="Y13" s="166">
        <v>1.4989014358483699E-3</v>
      </c>
      <c r="Z13" s="166">
        <v>2.4795203158664298E-4</v>
      </c>
    </row>
    <row r="14" spans="1:26">
      <c r="A14" s="18" t="s">
        <v>26</v>
      </c>
      <c r="B14" s="18">
        <v>1182</v>
      </c>
      <c r="C14" s="18" t="s">
        <v>44</v>
      </c>
      <c r="D14" s="18" t="s">
        <v>75</v>
      </c>
      <c r="E14" s="18" t="s">
        <v>76</v>
      </c>
      <c r="F14" s="18" t="s">
        <v>47</v>
      </c>
      <c r="G14" s="18" t="s">
        <v>31</v>
      </c>
      <c r="H14" s="18" t="s">
        <v>31</v>
      </c>
      <c r="I14" s="18" t="s">
        <v>32</v>
      </c>
      <c r="J14" s="18" t="s">
        <v>33</v>
      </c>
      <c r="K14" s="18" t="s">
        <v>34</v>
      </c>
      <c r="L14" s="4" t="s">
        <v>35</v>
      </c>
      <c r="M14" s="152">
        <v>5.0910000000000002</v>
      </c>
      <c r="N14" s="4" t="s">
        <v>77</v>
      </c>
      <c r="O14" s="161">
        <v>5.0000000000000001E-3</v>
      </c>
      <c r="P14" s="166">
        <v>1.34E-2</v>
      </c>
      <c r="R14" s="152">
        <v>2545316</v>
      </c>
      <c r="S14" s="152">
        <v>1</v>
      </c>
      <c r="T14" s="152">
        <v>107.2</v>
      </c>
      <c r="U14" s="152">
        <v>2728.5790000000002</v>
      </c>
      <c r="W14" s="18" t="s">
        <v>37</v>
      </c>
      <c r="X14" s="166">
        <v>1.25E-4</v>
      </c>
      <c r="Y14" s="166">
        <v>4.3424885030924398E-2</v>
      </c>
      <c r="Z14" s="166">
        <v>7.1834532994091496E-3</v>
      </c>
    </row>
    <row r="15" spans="1:26">
      <c r="A15" s="18" t="s">
        <v>26</v>
      </c>
      <c r="B15" s="18">
        <v>1182</v>
      </c>
      <c r="C15" s="18" t="s">
        <v>44</v>
      </c>
      <c r="D15" s="18" t="s">
        <v>78</v>
      </c>
      <c r="E15" s="18" t="s">
        <v>79</v>
      </c>
      <c r="F15" s="18" t="s">
        <v>47</v>
      </c>
      <c r="G15" s="18" t="s">
        <v>31</v>
      </c>
      <c r="H15" s="18" t="s">
        <v>31</v>
      </c>
      <c r="I15" s="18" t="s">
        <v>32</v>
      </c>
      <c r="J15" s="18" t="s">
        <v>33</v>
      </c>
      <c r="K15" s="18" t="s">
        <v>34</v>
      </c>
      <c r="L15" s="4" t="s">
        <v>35</v>
      </c>
      <c r="M15" s="152">
        <v>2.3279999999999998</v>
      </c>
      <c r="N15" s="4" t="s">
        <v>80</v>
      </c>
      <c r="O15" s="161">
        <v>1E-3</v>
      </c>
      <c r="P15" s="166">
        <v>1.0410000000000001E-2</v>
      </c>
      <c r="R15" s="152">
        <v>5857939</v>
      </c>
      <c r="S15" s="152">
        <v>1</v>
      </c>
      <c r="T15" s="152">
        <v>109.23</v>
      </c>
      <c r="U15" s="152">
        <v>6398.6270000000004</v>
      </c>
      <c r="W15" s="18" t="s">
        <v>37</v>
      </c>
      <c r="X15" s="166">
        <v>2.92E-4</v>
      </c>
      <c r="Y15" s="166">
        <v>0.101833099604089</v>
      </c>
      <c r="Z15" s="166">
        <v>1.6845486518136301E-2</v>
      </c>
    </row>
    <row r="16" spans="1:26">
      <c r="A16" s="18" t="s">
        <v>26</v>
      </c>
      <c r="B16" s="18">
        <v>1182</v>
      </c>
      <c r="C16" s="18" t="s">
        <v>44</v>
      </c>
      <c r="D16" s="18" t="s">
        <v>81</v>
      </c>
      <c r="E16" s="18" t="s">
        <v>82</v>
      </c>
      <c r="F16" s="18" t="s">
        <v>47</v>
      </c>
      <c r="G16" s="18" t="s">
        <v>31</v>
      </c>
      <c r="H16" s="18" t="s">
        <v>31</v>
      </c>
      <c r="I16" s="18" t="s">
        <v>32</v>
      </c>
      <c r="J16" s="18" t="s">
        <v>33</v>
      </c>
      <c r="K16" s="18" t="s">
        <v>34</v>
      </c>
      <c r="L16" s="4" t="s">
        <v>35</v>
      </c>
      <c r="M16" s="152">
        <v>4.4779999999999998</v>
      </c>
      <c r="N16" s="4" t="s">
        <v>83</v>
      </c>
      <c r="O16" s="161">
        <v>1.0999999999999999E-2</v>
      </c>
      <c r="P16" s="166">
        <v>1.302E-2</v>
      </c>
      <c r="R16" s="152">
        <v>4462520</v>
      </c>
      <c r="S16" s="152">
        <v>1</v>
      </c>
      <c r="T16" s="152">
        <v>100.29</v>
      </c>
      <c r="U16" s="152">
        <v>4475.4610000000002</v>
      </c>
      <c r="W16" s="18" t="s">
        <v>37</v>
      </c>
      <c r="X16" s="166">
        <v>0</v>
      </c>
      <c r="Y16" s="166">
        <v>7.1226235496335902E-2</v>
      </c>
      <c r="Z16" s="166">
        <v>1.1782422360273E-2</v>
      </c>
    </row>
    <row r="17" spans="1:26">
      <c r="A17" s="18" t="s">
        <v>26</v>
      </c>
      <c r="B17" s="18">
        <v>1182</v>
      </c>
      <c r="C17" s="18" t="s">
        <v>58</v>
      </c>
      <c r="D17" s="18" t="s">
        <v>84</v>
      </c>
      <c r="E17" s="18" t="s">
        <v>85</v>
      </c>
      <c r="F17" s="18" t="s">
        <v>61</v>
      </c>
      <c r="G17" s="18" t="s">
        <v>31</v>
      </c>
      <c r="H17" s="18" t="s">
        <v>31</v>
      </c>
      <c r="I17" s="18" t="s">
        <v>32</v>
      </c>
      <c r="J17" s="18" t="s">
        <v>33</v>
      </c>
      <c r="K17" s="18" t="s">
        <v>34</v>
      </c>
      <c r="L17" s="4" t="s">
        <v>35</v>
      </c>
      <c r="M17" s="152">
        <v>7.56</v>
      </c>
      <c r="N17" s="4" t="s">
        <v>86</v>
      </c>
      <c r="O17" s="161">
        <v>1.2999999999999999E-2</v>
      </c>
      <c r="P17" s="166">
        <v>4.3119999999999999E-2</v>
      </c>
      <c r="R17" s="152">
        <v>3708519</v>
      </c>
      <c r="S17" s="152">
        <v>1</v>
      </c>
      <c r="T17" s="152">
        <v>81.010000000000005</v>
      </c>
      <c r="U17" s="152">
        <v>3004.2710000000002</v>
      </c>
      <c r="W17" s="18" t="s">
        <v>37</v>
      </c>
      <c r="X17" s="166">
        <v>1.7200000000000001E-4</v>
      </c>
      <c r="Y17" s="166">
        <v>4.7812485963835499E-2</v>
      </c>
      <c r="Z17" s="166">
        <v>7.9092612405370598E-3</v>
      </c>
    </row>
    <row r="18" spans="1:26">
      <c r="A18" s="18" t="s">
        <v>26</v>
      </c>
      <c r="B18" s="18">
        <v>1182</v>
      </c>
      <c r="C18" s="18" t="s">
        <v>58</v>
      </c>
      <c r="D18" s="18" t="s">
        <v>87</v>
      </c>
      <c r="E18" s="18" t="s">
        <v>88</v>
      </c>
      <c r="F18" s="18" t="s">
        <v>61</v>
      </c>
      <c r="G18" s="18" t="s">
        <v>31</v>
      </c>
      <c r="H18" s="18" t="s">
        <v>31</v>
      </c>
      <c r="I18" s="18" t="s">
        <v>32</v>
      </c>
      <c r="J18" s="18" t="s">
        <v>33</v>
      </c>
      <c r="K18" s="18" t="s">
        <v>34</v>
      </c>
      <c r="L18" s="4" t="s">
        <v>35</v>
      </c>
      <c r="M18" s="152">
        <v>11.561</v>
      </c>
      <c r="N18" s="4" t="s">
        <v>89</v>
      </c>
      <c r="O18" s="161">
        <v>1.4999999999999999E-2</v>
      </c>
      <c r="P18" s="166">
        <v>4.6260000000000003E-2</v>
      </c>
      <c r="R18" s="152">
        <v>1638924</v>
      </c>
      <c r="S18" s="152">
        <v>1</v>
      </c>
      <c r="T18" s="152">
        <v>70.930000000000007</v>
      </c>
      <c r="U18" s="152">
        <v>1162.489</v>
      </c>
      <c r="W18" s="18" t="s">
        <v>37</v>
      </c>
      <c r="X18" s="166">
        <v>6.4999999999999994E-5</v>
      </c>
      <c r="Y18" s="166">
        <v>1.85008192112639E-2</v>
      </c>
      <c r="Z18" s="166">
        <v>3.0604518747783301E-3</v>
      </c>
    </row>
    <row r="19" spans="1:26">
      <c r="A19" s="18" t="s">
        <v>26</v>
      </c>
      <c r="B19" s="18">
        <v>1182</v>
      </c>
      <c r="C19" s="18" t="s">
        <v>27</v>
      </c>
      <c r="D19" s="18" t="s">
        <v>90</v>
      </c>
      <c r="E19" s="18" t="s">
        <v>91</v>
      </c>
      <c r="F19" s="18" t="s">
        <v>30</v>
      </c>
      <c r="G19" s="18" t="s">
        <v>31</v>
      </c>
      <c r="H19" s="18" t="s">
        <v>31</v>
      </c>
      <c r="I19" s="18" t="s">
        <v>32</v>
      </c>
      <c r="J19" s="18" t="s">
        <v>33</v>
      </c>
      <c r="K19" s="18" t="s">
        <v>34</v>
      </c>
      <c r="L19" s="4" t="s">
        <v>35</v>
      </c>
      <c r="M19" s="152">
        <v>0.10100000000000001</v>
      </c>
      <c r="N19" s="4" t="s">
        <v>92</v>
      </c>
      <c r="O19" s="161">
        <v>0</v>
      </c>
      <c r="P19" s="166">
        <v>4.3430000000000003E-2</v>
      </c>
      <c r="R19" s="152">
        <v>2512300</v>
      </c>
      <c r="S19" s="152">
        <v>1</v>
      </c>
      <c r="T19" s="152">
        <v>99.58</v>
      </c>
      <c r="U19" s="152">
        <v>2501.748</v>
      </c>
      <c r="W19" s="18" t="s">
        <v>37</v>
      </c>
      <c r="X19" s="166">
        <v>1.3999999999999999E-4</v>
      </c>
      <c r="Y19" s="166">
        <v>3.9814916084491198E-2</v>
      </c>
      <c r="Z19" s="166">
        <v>6.5862831901376496E-3</v>
      </c>
    </row>
    <row r="20" spans="1:26">
      <c r="A20" s="4" t="s">
        <v>26</v>
      </c>
      <c r="B20" s="4">
        <v>1182</v>
      </c>
      <c r="C20" s="4" t="s">
        <v>27</v>
      </c>
      <c r="D20" s="4" t="s">
        <v>93</v>
      </c>
      <c r="E20" s="4" t="s">
        <v>94</v>
      </c>
      <c r="F20" s="18" t="s">
        <v>30</v>
      </c>
      <c r="G20" s="18" t="s">
        <v>31</v>
      </c>
      <c r="H20" s="18" t="s">
        <v>31</v>
      </c>
      <c r="I20" s="18" t="s">
        <v>32</v>
      </c>
      <c r="J20" s="4" t="s">
        <v>33</v>
      </c>
      <c r="K20" s="18" t="s">
        <v>34</v>
      </c>
      <c r="L20" s="4" t="s">
        <v>35</v>
      </c>
      <c r="M20" s="152">
        <v>0.17799999999999999</v>
      </c>
      <c r="N20" s="4" t="s">
        <v>95</v>
      </c>
      <c r="O20" s="161">
        <v>0</v>
      </c>
      <c r="P20" s="166">
        <v>4.3180000000000003E-2</v>
      </c>
      <c r="R20" s="152">
        <v>1417400</v>
      </c>
      <c r="S20" s="152">
        <v>1</v>
      </c>
      <c r="T20" s="152">
        <v>99.26</v>
      </c>
      <c r="U20" s="152">
        <v>1406.9110000000001</v>
      </c>
      <c r="W20" s="18" t="s">
        <v>37</v>
      </c>
      <c r="X20" s="166">
        <v>7.8999999999999996E-5</v>
      </c>
      <c r="Y20" s="166">
        <v>2.23907625172752E-2</v>
      </c>
      <c r="Z20" s="166">
        <v>3.7039360441936801E-3</v>
      </c>
    </row>
    <row r="21" spans="1:26">
      <c r="A21" s="4" t="s">
        <v>26</v>
      </c>
      <c r="B21" s="4">
        <v>1182</v>
      </c>
      <c r="C21" s="4" t="s">
        <v>96</v>
      </c>
      <c r="D21" s="4" t="s">
        <v>97</v>
      </c>
      <c r="E21" s="4" t="s">
        <v>98</v>
      </c>
      <c r="F21" s="4" t="s">
        <v>99</v>
      </c>
      <c r="G21" s="4" t="s">
        <v>100</v>
      </c>
      <c r="H21" s="4" t="s">
        <v>101</v>
      </c>
      <c r="I21" s="4" t="s">
        <v>102</v>
      </c>
      <c r="J21" s="4" t="s">
        <v>103</v>
      </c>
      <c r="K21" s="4" t="s">
        <v>104</v>
      </c>
      <c r="L21" s="18" t="s">
        <v>105</v>
      </c>
      <c r="M21" s="152">
        <v>0.55000000000000004</v>
      </c>
      <c r="N21" s="4" t="s">
        <v>106</v>
      </c>
      <c r="O21" s="165">
        <v>0</v>
      </c>
      <c r="P21" s="166">
        <v>5.1659999999999998E-2</v>
      </c>
      <c r="R21" s="152">
        <v>550000</v>
      </c>
      <c r="S21" s="152">
        <v>3.681</v>
      </c>
      <c r="T21" s="152">
        <v>97.096999999999994</v>
      </c>
      <c r="U21" s="152">
        <v>1965.779</v>
      </c>
      <c r="W21" s="4" t="s">
        <v>37</v>
      </c>
      <c r="X21" s="166">
        <v>0</v>
      </c>
      <c r="Y21" s="166">
        <v>3.1285056987421699E-2</v>
      </c>
      <c r="Z21" s="166">
        <v>5.1752525234886899E-3</v>
      </c>
    </row>
    <row r="22" spans="1:26">
      <c r="A22" s="4" t="s">
        <v>26</v>
      </c>
      <c r="B22" s="4">
        <v>1182</v>
      </c>
      <c r="C22" s="4" t="s">
        <v>107</v>
      </c>
      <c r="D22" s="4" t="s">
        <v>108</v>
      </c>
      <c r="E22" s="4" t="s">
        <v>109</v>
      </c>
      <c r="F22" s="4" t="s">
        <v>99</v>
      </c>
      <c r="G22" s="4" t="s">
        <v>100</v>
      </c>
      <c r="H22" s="4" t="s">
        <v>101</v>
      </c>
      <c r="I22" s="4" t="s">
        <v>110</v>
      </c>
      <c r="J22" s="4" t="s">
        <v>103</v>
      </c>
      <c r="K22" s="4" t="s">
        <v>111</v>
      </c>
      <c r="L22" s="18" t="s">
        <v>105</v>
      </c>
      <c r="M22" s="152">
        <v>7.68</v>
      </c>
      <c r="N22" s="4" t="s">
        <v>112</v>
      </c>
      <c r="O22" s="165">
        <v>3.875E-2</v>
      </c>
      <c r="P22" s="166">
        <v>4.4130000000000003E-2</v>
      </c>
      <c r="R22" s="152">
        <v>1894000</v>
      </c>
      <c r="S22" s="152">
        <v>3.681</v>
      </c>
      <c r="T22" s="152">
        <v>97.903999999999996</v>
      </c>
      <c r="U22" s="152">
        <v>6825.6639999999998</v>
      </c>
      <c r="W22" s="4" t="s">
        <v>37</v>
      </c>
      <c r="X22" s="166">
        <v>0</v>
      </c>
      <c r="Y22" s="166">
        <v>0.10862932517464501</v>
      </c>
      <c r="Z22" s="166">
        <v>1.796973518255E-2</v>
      </c>
    </row>
    <row r="23" spans="1:26">
      <c r="A23" s="4" t="s">
        <v>26</v>
      </c>
      <c r="B23" s="4">
        <v>1182</v>
      </c>
      <c r="C23" s="4" t="s">
        <v>107</v>
      </c>
      <c r="D23" s="4" t="s">
        <v>113</v>
      </c>
      <c r="E23" s="4" t="s">
        <v>114</v>
      </c>
      <c r="F23" s="4" t="s">
        <v>99</v>
      </c>
      <c r="G23" s="4" t="s">
        <v>100</v>
      </c>
      <c r="H23" s="4" t="s">
        <v>101</v>
      </c>
      <c r="I23" s="4" t="s">
        <v>102</v>
      </c>
      <c r="J23" s="4" t="s">
        <v>103</v>
      </c>
      <c r="K23" s="4" t="s">
        <v>111</v>
      </c>
      <c r="L23" s="18" t="s">
        <v>105</v>
      </c>
      <c r="M23" s="152">
        <v>7.6</v>
      </c>
      <c r="N23" s="4" t="s">
        <v>115</v>
      </c>
      <c r="O23" s="165">
        <v>4.4999999999999998E-2</v>
      </c>
      <c r="P23" s="166">
        <v>4.4110000000000003E-2</v>
      </c>
      <c r="R23" s="152">
        <v>1158000</v>
      </c>
      <c r="S23" s="152">
        <v>3.681</v>
      </c>
      <c r="T23" s="152">
        <v>103.979</v>
      </c>
      <c r="U23" s="152">
        <v>4432.2240000000002</v>
      </c>
      <c r="W23" s="4" t="s">
        <v>37</v>
      </c>
      <c r="X23" s="166">
        <v>0</v>
      </c>
      <c r="Y23" s="166">
        <v>7.0538118015728402E-2</v>
      </c>
      <c r="Z23" s="166">
        <v>1.16685922422904E-2</v>
      </c>
    </row>
    <row r="24" spans="1:26">
      <c r="A24" s="4" t="s">
        <v>26</v>
      </c>
      <c r="B24" s="4">
        <v>1182</v>
      </c>
      <c r="C24" s="4" t="s">
        <v>107</v>
      </c>
      <c r="D24" s="4" t="s">
        <v>116</v>
      </c>
      <c r="E24" s="4" t="s">
        <v>117</v>
      </c>
      <c r="F24" s="4" t="s">
        <v>99</v>
      </c>
      <c r="G24" s="4" t="s">
        <v>100</v>
      </c>
      <c r="H24" s="4" t="s">
        <v>101</v>
      </c>
      <c r="I24" s="4" t="s">
        <v>102</v>
      </c>
      <c r="J24" s="4" t="s">
        <v>103</v>
      </c>
      <c r="K24" s="4" t="s">
        <v>111</v>
      </c>
      <c r="L24" s="18" t="s">
        <v>105</v>
      </c>
      <c r="M24" s="152">
        <v>7.57</v>
      </c>
      <c r="N24" s="4" t="s">
        <v>118</v>
      </c>
      <c r="O24" s="165">
        <v>3.3750000000000002E-2</v>
      </c>
      <c r="P24" s="166">
        <v>4.4089999999999997E-2</v>
      </c>
      <c r="R24" s="152">
        <v>3056000</v>
      </c>
      <c r="S24" s="152">
        <v>3.681</v>
      </c>
      <c r="T24" s="152">
        <v>95.013999999999996</v>
      </c>
      <c r="U24" s="152">
        <v>10688.232</v>
      </c>
      <c r="W24" s="4" t="s">
        <v>37</v>
      </c>
      <c r="X24" s="166">
        <v>2.8E-5</v>
      </c>
      <c r="Y24" s="166">
        <v>0.17010145931780099</v>
      </c>
      <c r="Z24" s="166">
        <v>2.8138609654363E-2</v>
      </c>
    </row>
    <row r="25" spans="1:26">
      <c r="A25" s="4" t="s">
        <v>26</v>
      </c>
      <c r="B25" s="4">
        <v>14769</v>
      </c>
      <c r="C25" s="4" t="s">
        <v>107</v>
      </c>
      <c r="D25" s="4" t="s">
        <v>108</v>
      </c>
      <c r="E25" s="4" t="s">
        <v>109</v>
      </c>
      <c r="F25" s="4" t="s">
        <v>99</v>
      </c>
      <c r="G25" s="4" t="s">
        <v>100</v>
      </c>
      <c r="H25" s="4" t="s">
        <v>101</v>
      </c>
      <c r="I25" s="4" t="s">
        <v>110</v>
      </c>
      <c r="J25" s="4" t="s">
        <v>103</v>
      </c>
      <c r="K25" s="4" t="s">
        <v>111</v>
      </c>
      <c r="L25" s="18" t="s">
        <v>105</v>
      </c>
      <c r="M25" s="152">
        <v>7.68</v>
      </c>
      <c r="N25" s="4" t="s">
        <v>112</v>
      </c>
      <c r="O25" s="165">
        <v>3.875E-2</v>
      </c>
      <c r="P25" s="166">
        <v>4.4130000000000003E-2</v>
      </c>
      <c r="R25" s="152">
        <v>25700</v>
      </c>
      <c r="S25" s="152">
        <v>3.681</v>
      </c>
      <c r="T25" s="152">
        <v>97.903999999999996</v>
      </c>
      <c r="U25" s="152">
        <v>92.619</v>
      </c>
      <c r="W25" s="4" t="s">
        <v>37</v>
      </c>
      <c r="X25" s="166">
        <v>0</v>
      </c>
      <c r="Y25" s="166">
        <v>0.34969504084911202</v>
      </c>
      <c r="Z25" s="166">
        <v>1.18723475581686E-2</v>
      </c>
    </row>
    <row r="26" spans="1:26">
      <c r="A26" s="4" t="s">
        <v>26</v>
      </c>
      <c r="B26" s="4">
        <v>14769</v>
      </c>
      <c r="C26" s="4" t="s">
        <v>107</v>
      </c>
      <c r="D26" s="4" t="s">
        <v>113</v>
      </c>
      <c r="E26" s="4" t="s">
        <v>114</v>
      </c>
      <c r="F26" s="4" t="s">
        <v>99</v>
      </c>
      <c r="G26" s="4" t="s">
        <v>100</v>
      </c>
      <c r="H26" s="4" t="s">
        <v>101</v>
      </c>
      <c r="I26" s="4" t="s">
        <v>102</v>
      </c>
      <c r="J26" s="4" t="s">
        <v>103</v>
      </c>
      <c r="K26" s="4" t="s">
        <v>111</v>
      </c>
      <c r="L26" s="18" t="s">
        <v>105</v>
      </c>
      <c r="M26" s="152">
        <v>7.6</v>
      </c>
      <c r="N26" s="4" t="s">
        <v>115</v>
      </c>
      <c r="O26" s="165">
        <v>4.4999999999999998E-2</v>
      </c>
      <c r="P26" s="166">
        <v>4.4110000000000003E-2</v>
      </c>
      <c r="R26" s="152">
        <v>45000</v>
      </c>
      <c r="S26" s="152">
        <v>3.681</v>
      </c>
      <c r="T26" s="152">
        <v>103.979</v>
      </c>
      <c r="U26" s="152">
        <v>172.23699999999999</v>
      </c>
      <c r="W26" s="4" t="s">
        <v>37</v>
      </c>
      <c r="X26" s="166">
        <v>0</v>
      </c>
      <c r="Y26" s="166">
        <v>0.65030495915088804</v>
      </c>
      <c r="Z26" s="166">
        <v>2.2078227003428701E-2</v>
      </c>
    </row>
    <row r="27" spans="1:26">
      <c r="A27" s="4" t="s">
        <v>119</v>
      </c>
      <c r="B27" s="4">
        <v>12905</v>
      </c>
      <c r="C27" s="4" t="s">
        <v>27</v>
      </c>
      <c r="D27" s="4" t="s">
        <v>28</v>
      </c>
      <c r="E27" s="4" t="s">
        <v>29</v>
      </c>
      <c r="F27" s="4" t="s">
        <v>30</v>
      </c>
      <c r="G27" s="4" t="s">
        <v>31</v>
      </c>
      <c r="H27" s="4" t="s">
        <v>31</v>
      </c>
      <c r="I27" s="4" t="s">
        <v>32</v>
      </c>
      <c r="J27" s="4" t="s">
        <v>33</v>
      </c>
      <c r="K27" s="4" t="s">
        <v>34</v>
      </c>
      <c r="L27" s="4" t="s">
        <v>35</v>
      </c>
      <c r="M27" s="152">
        <v>5.0000000000000001E-3</v>
      </c>
      <c r="N27" s="4" t="s">
        <v>36</v>
      </c>
      <c r="O27" s="165">
        <v>0</v>
      </c>
      <c r="P27" s="166">
        <v>5.629E-2</v>
      </c>
      <c r="R27" s="152">
        <v>531567</v>
      </c>
      <c r="S27" s="152">
        <v>1</v>
      </c>
      <c r="T27" s="152">
        <v>99.97</v>
      </c>
      <c r="U27" s="152">
        <v>531.40800000000002</v>
      </c>
      <c r="W27" s="4" t="s">
        <v>37</v>
      </c>
      <c r="X27" s="166">
        <v>2.6999999999999999E-5</v>
      </c>
      <c r="Y27" s="166">
        <v>8.9014967784325993E-2</v>
      </c>
      <c r="Z27" s="166">
        <v>1.8354797517339601E-2</v>
      </c>
    </row>
    <row r="28" spans="1:26">
      <c r="A28" s="4" t="s">
        <v>119</v>
      </c>
      <c r="B28" s="4">
        <v>12905</v>
      </c>
      <c r="C28" s="4" t="s">
        <v>27</v>
      </c>
      <c r="D28" s="4" t="s">
        <v>120</v>
      </c>
      <c r="E28" s="4" t="s">
        <v>121</v>
      </c>
      <c r="F28" s="4" t="s">
        <v>30</v>
      </c>
      <c r="G28" s="4" t="s">
        <v>31</v>
      </c>
      <c r="H28" s="4" t="s">
        <v>31</v>
      </c>
      <c r="I28" s="4" t="s">
        <v>32</v>
      </c>
      <c r="J28" s="4" t="s">
        <v>33</v>
      </c>
      <c r="K28" s="4" t="s">
        <v>34</v>
      </c>
      <c r="L28" s="4" t="s">
        <v>35</v>
      </c>
      <c r="M28" s="152">
        <v>0.6</v>
      </c>
      <c r="N28" s="4" t="s">
        <v>122</v>
      </c>
      <c r="O28" s="165">
        <v>0</v>
      </c>
      <c r="P28" s="166">
        <v>4.274E-2</v>
      </c>
      <c r="R28" s="152">
        <v>370000</v>
      </c>
      <c r="S28" s="152">
        <v>1</v>
      </c>
      <c r="T28" s="152">
        <v>97.52</v>
      </c>
      <c r="U28" s="152">
        <v>360.82400000000001</v>
      </c>
      <c r="W28" s="4" t="s">
        <v>37</v>
      </c>
      <c r="X28" s="166">
        <v>0</v>
      </c>
      <c r="Y28" s="166">
        <v>6.0440876217647301E-2</v>
      </c>
      <c r="Z28" s="166">
        <v>1.24628483541489E-2</v>
      </c>
    </row>
    <row r="29" spans="1:26">
      <c r="A29" s="4" t="s">
        <v>119</v>
      </c>
      <c r="B29" s="4">
        <v>12905</v>
      </c>
      <c r="C29" s="4" t="s">
        <v>44</v>
      </c>
      <c r="D29" s="4" t="s">
        <v>49</v>
      </c>
      <c r="E29" s="4" t="s">
        <v>50</v>
      </c>
      <c r="F29" s="4" t="s">
        <v>47</v>
      </c>
      <c r="G29" s="4" t="s">
        <v>31</v>
      </c>
      <c r="H29" s="4" t="s">
        <v>31</v>
      </c>
      <c r="I29" s="4" t="s">
        <v>32</v>
      </c>
      <c r="J29" s="4" t="s">
        <v>33</v>
      </c>
      <c r="K29" s="4" t="s">
        <v>34</v>
      </c>
      <c r="L29" s="4" t="s">
        <v>35</v>
      </c>
      <c r="M29" s="152">
        <v>18.8</v>
      </c>
      <c r="N29" s="4" t="s">
        <v>51</v>
      </c>
      <c r="O29" s="165">
        <v>0.01</v>
      </c>
      <c r="P29" s="166">
        <v>1.8530000000000001E-2</v>
      </c>
      <c r="R29" s="152">
        <v>76170</v>
      </c>
      <c r="S29" s="152">
        <v>1</v>
      </c>
      <c r="T29" s="152">
        <v>96.44</v>
      </c>
      <c r="U29" s="152">
        <v>73.457999999999998</v>
      </c>
      <c r="W29" s="4" t="s">
        <v>37</v>
      </c>
      <c r="X29" s="166">
        <v>3.9999999999999998E-6</v>
      </c>
      <c r="Y29" s="166">
        <v>1.23048547730219E-2</v>
      </c>
      <c r="Z29" s="166">
        <v>2.5372487735580099E-3</v>
      </c>
    </row>
    <row r="30" spans="1:26">
      <c r="A30" s="4" t="s">
        <v>119</v>
      </c>
      <c r="B30" s="4">
        <v>12905</v>
      </c>
      <c r="C30" s="4" t="s">
        <v>44</v>
      </c>
      <c r="D30" s="4" t="s">
        <v>52</v>
      </c>
      <c r="E30" s="4" t="s">
        <v>53</v>
      </c>
      <c r="F30" s="4" t="s">
        <v>47</v>
      </c>
      <c r="G30" s="4" t="s">
        <v>31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35</v>
      </c>
      <c r="M30" s="152">
        <v>1.5760000000000001</v>
      </c>
      <c r="N30" s="4" t="s">
        <v>54</v>
      </c>
      <c r="O30" s="165">
        <v>7.4999999999999997E-3</v>
      </c>
      <c r="P30" s="166">
        <v>7.9699999999999997E-3</v>
      </c>
      <c r="R30" s="152">
        <v>509082</v>
      </c>
      <c r="S30" s="152">
        <v>1</v>
      </c>
      <c r="T30" s="152">
        <v>112.14</v>
      </c>
      <c r="U30" s="152">
        <v>570.88499999999999</v>
      </c>
      <c r="W30" s="4" t="s">
        <v>37</v>
      </c>
      <c r="X30" s="166">
        <v>2.3E-5</v>
      </c>
      <c r="Y30" s="166">
        <v>9.5627681948078594E-2</v>
      </c>
      <c r="Z30" s="166">
        <v>1.9718332578204899E-2</v>
      </c>
    </row>
    <row r="31" spans="1:26">
      <c r="A31" s="4" t="s">
        <v>119</v>
      </c>
      <c r="B31" s="4">
        <v>12905</v>
      </c>
      <c r="C31" s="4" t="s">
        <v>44</v>
      </c>
      <c r="D31" s="4" t="s">
        <v>55</v>
      </c>
      <c r="E31" s="4" t="s">
        <v>56</v>
      </c>
      <c r="F31" s="4" t="s">
        <v>47</v>
      </c>
      <c r="G31" s="4" t="s">
        <v>31</v>
      </c>
      <c r="H31" s="4" t="s">
        <v>31</v>
      </c>
      <c r="I31" s="4" t="s">
        <v>32</v>
      </c>
      <c r="J31" s="4" t="s">
        <v>33</v>
      </c>
      <c r="K31" s="4" t="s">
        <v>34</v>
      </c>
      <c r="L31" s="4" t="s">
        <v>35</v>
      </c>
      <c r="M31" s="152">
        <v>7.6379999999999999</v>
      </c>
      <c r="N31" s="4" t="s">
        <v>57</v>
      </c>
      <c r="O31" s="165">
        <v>1E-3</v>
      </c>
      <c r="P31" s="166">
        <v>1.5559999999999999E-2</v>
      </c>
      <c r="R31" s="152">
        <v>141557</v>
      </c>
      <c r="S31" s="152">
        <v>1</v>
      </c>
      <c r="T31" s="152">
        <v>99.81</v>
      </c>
      <c r="U31" s="152">
        <v>141.28800000000001</v>
      </c>
      <c r="W31" s="4" t="s">
        <v>37</v>
      </c>
      <c r="X31" s="166">
        <v>5.0000000000000004E-6</v>
      </c>
      <c r="Y31" s="166">
        <v>2.36668653953825E-2</v>
      </c>
      <c r="Z31" s="166">
        <v>4.88008402423831E-3</v>
      </c>
    </row>
    <row r="32" spans="1:26">
      <c r="A32" s="4" t="s">
        <v>119</v>
      </c>
      <c r="B32" s="4">
        <v>12905</v>
      </c>
      <c r="C32" s="4" t="s">
        <v>58</v>
      </c>
      <c r="D32" s="4" t="s">
        <v>63</v>
      </c>
      <c r="E32" s="4" t="s">
        <v>64</v>
      </c>
      <c r="F32" s="4" t="s">
        <v>61</v>
      </c>
      <c r="G32" s="4" t="s">
        <v>31</v>
      </c>
      <c r="H32" s="4" t="s">
        <v>31</v>
      </c>
      <c r="I32" s="4" t="s">
        <v>32</v>
      </c>
      <c r="J32" s="4" t="s">
        <v>33</v>
      </c>
      <c r="K32" s="4" t="s">
        <v>34</v>
      </c>
      <c r="L32" s="4" t="s">
        <v>35</v>
      </c>
      <c r="M32" s="152">
        <v>4.5629999999999997</v>
      </c>
      <c r="N32" s="4" t="s">
        <v>65</v>
      </c>
      <c r="O32" s="165">
        <v>3.7499999999999999E-2</v>
      </c>
      <c r="P32" s="166">
        <v>4.0939999999999997E-2</v>
      </c>
      <c r="R32" s="152">
        <v>411439</v>
      </c>
      <c r="S32" s="152">
        <v>1</v>
      </c>
      <c r="T32" s="152">
        <v>98.83</v>
      </c>
      <c r="U32" s="152">
        <v>406.625</v>
      </c>
      <c r="W32" s="4" t="s">
        <v>37</v>
      </c>
      <c r="X32" s="166">
        <v>3.1999999999999999E-5</v>
      </c>
      <c r="Y32" s="166">
        <v>6.8112933691141103E-2</v>
      </c>
      <c r="Z32" s="166">
        <v>1.4044818948224199E-2</v>
      </c>
    </row>
    <row r="33" spans="1:26">
      <c r="A33" s="4" t="s">
        <v>119</v>
      </c>
      <c r="B33" s="4">
        <v>12905</v>
      </c>
      <c r="C33" s="4" t="s">
        <v>58</v>
      </c>
      <c r="D33" s="4" t="s">
        <v>66</v>
      </c>
      <c r="E33" s="4" t="s">
        <v>67</v>
      </c>
      <c r="F33" s="4" t="s">
        <v>61</v>
      </c>
      <c r="G33" s="4" t="s">
        <v>31</v>
      </c>
      <c r="H33" s="4" t="s">
        <v>31</v>
      </c>
      <c r="I33" s="4" t="s">
        <v>32</v>
      </c>
      <c r="J33" s="4" t="s">
        <v>33</v>
      </c>
      <c r="K33" s="4" t="s">
        <v>34</v>
      </c>
      <c r="L33" s="4" t="s">
        <v>35</v>
      </c>
      <c r="M33" s="152">
        <v>2.9369999999999998</v>
      </c>
      <c r="N33" s="4" t="s">
        <v>68</v>
      </c>
      <c r="O33" s="165">
        <v>0.02</v>
      </c>
      <c r="P33" s="166">
        <v>4.0149999999999998E-2</v>
      </c>
      <c r="R33" s="152">
        <v>32343</v>
      </c>
      <c r="S33" s="152">
        <v>1</v>
      </c>
      <c r="T33" s="152">
        <v>94.43</v>
      </c>
      <c r="U33" s="152">
        <v>30.541</v>
      </c>
      <c r="W33" s="4" t="s">
        <v>37</v>
      </c>
      <c r="X33" s="166">
        <v>9.9999999999999995E-7</v>
      </c>
      <c r="Y33" s="166">
        <v>5.1159421567102204E-3</v>
      </c>
      <c r="Z33" s="166">
        <v>1.0549021668395399E-3</v>
      </c>
    </row>
    <row r="34" spans="1:26">
      <c r="A34" s="4" t="s">
        <v>119</v>
      </c>
      <c r="B34" s="4">
        <v>12905</v>
      </c>
      <c r="C34" s="4" t="s">
        <v>58</v>
      </c>
      <c r="D34" s="4" t="s">
        <v>69</v>
      </c>
      <c r="E34" s="4" t="s">
        <v>70</v>
      </c>
      <c r="F34" s="4" t="s">
        <v>61</v>
      </c>
      <c r="G34" s="4" t="s">
        <v>31</v>
      </c>
      <c r="H34" s="4" t="s">
        <v>31</v>
      </c>
      <c r="I34" s="4" t="s">
        <v>32</v>
      </c>
      <c r="J34" s="4" t="s">
        <v>33</v>
      </c>
      <c r="K34" s="4" t="s">
        <v>34</v>
      </c>
      <c r="L34" s="4" t="s">
        <v>35</v>
      </c>
      <c r="M34" s="152">
        <v>15.141</v>
      </c>
      <c r="N34" s="4" t="s">
        <v>71</v>
      </c>
      <c r="O34" s="165">
        <v>3.7499999999999999E-2</v>
      </c>
      <c r="P34" s="166">
        <v>4.8259999999999997E-2</v>
      </c>
      <c r="R34" s="152">
        <v>172543</v>
      </c>
      <c r="S34" s="152">
        <v>1</v>
      </c>
      <c r="T34" s="152">
        <v>85.26</v>
      </c>
      <c r="U34" s="152">
        <v>147.11000000000001</v>
      </c>
      <c r="W34" s="4" t="s">
        <v>37</v>
      </c>
      <c r="X34" s="166">
        <v>6.9999999999999999E-6</v>
      </c>
      <c r="Y34" s="166">
        <v>2.4642116598984201E-2</v>
      </c>
      <c r="Z34" s="166">
        <v>5.0811798490890498E-3</v>
      </c>
    </row>
    <row r="35" spans="1:26">
      <c r="A35" s="4" t="s">
        <v>119</v>
      </c>
      <c r="B35" s="4">
        <v>12905</v>
      </c>
      <c r="C35" s="4" t="s">
        <v>44</v>
      </c>
      <c r="D35" s="4" t="s">
        <v>72</v>
      </c>
      <c r="E35" s="4" t="s">
        <v>73</v>
      </c>
      <c r="F35" s="4" t="s">
        <v>47</v>
      </c>
      <c r="G35" s="4" t="s">
        <v>31</v>
      </c>
      <c r="H35" s="4" t="s">
        <v>31</v>
      </c>
      <c r="I35" s="4" t="s">
        <v>32</v>
      </c>
      <c r="J35" s="4" t="s">
        <v>33</v>
      </c>
      <c r="K35" s="4" t="s">
        <v>34</v>
      </c>
      <c r="L35" s="4" t="s">
        <v>35</v>
      </c>
      <c r="M35" s="152">
        <v>14.135</v>
      </c>
      <c r="N35" s="4" t="s">
        <v>74</v>
      </c>
      <c r="O35" s="165">
        <v>2.75E-2</v>
      </c>
      <c r="P35" s="166">
        <v>1.7819999999999999E-2</v>
      </c>
      <c r="R35" s="152">
        <v>44168</v>
      </c>
      <c r="S35" s="152">
        <v>1</v>
      </c>
      <c r="T35" s="152">
        <v>138.12</v>
      </c>
      <c r="U35" s="152">
        <v>61.005000000000003</v>
      </c>
      <c r="W35" s="4" t="s">
        <v>37</v>
      </c>
      <c r="X35" s="166">
        <v>1.9999999999999999E-6</v>
      </c>
      <c r="Y35" s="166">
        <v>1.02187938713134E-2</v>
      </c>
      <c r="Z35" s="166">
        <v>2.10710509758129E-3</v>
      </c>
    </row>
    <row r="36" spans="1:26">
      <c r="A36" s="4" t="s">
        <v>119</v>
      </c>
      <c r="B36" s="4">
        <v>12905</v>
      </c>
      <c r="C36" s="4" t="s">
        <v>123</v>
      </c>
      <c r="D36" s="4" t="s">
        <v>124</v>
      </c>
      <c r="E36" s="4" t="s">
        <v>125</v>
      </c>
      <c r="F36" s="4" t="s">
        <v>126</v>
      </c>
      <c r="G36" s="4" t="s">
        <v>31</v>
      </c>
      <c r="H36" s="4" t="s">
        <v>31</v>
      </c>
      <c r="I36" s="4" t="s">
        <v>32</v>
      </c>
      <c r="J36" s="4" t="s">
        <v>33</v>
      </c>
      <c r="K36" s="4" t="s">
        <v>34</v>
      </c>
      <c r="L36" s="4" t="s">
        <v>35</v>
      </c>
      <c r="M36" s="152">
        <v>2.0720000000000001</v>
      </c>
      <c r="N36" s="4" t="s">
        <v>127</v>
      </c>
      <c r="O36" s="165">
        <v>3.9399999999999998E-2</v>
      </c>
      <c r="P36" s="166">
        <v>4.743E-2</v>
      </c>
      <c r="R36" s="152">
        <v>330309</v>
      </c>
      <c r="S36" s="152">
        <v>1</v>
      </c>
      <c r="T36" s="152">
        <v>99.22</v>
      </c>
      <c r="U36" s="152">
        <v>327.733</v>
      </c>
      <c r="W36" s="4" t="s">
        <v>37</v>
      </c>
      <c r="X36" s="166">
        <v>1.5999999999999999E-5</v>
      </c>
      <c r="Y36" s="166">
        <v>5.4897803063517901E-2</v>
      </c>
      <c r="Z36" s="166">
        <v>1.13198722019319E-2</v>
      </c>
    </row>
    <row r="37" spans="1:26">
      <c r="A37" s="4" t="s">
        <v>119</v>
      </c>
      <c r="B37" s="4">
        <v>12905</v>
      </c>
      <c r="C37" s="4" t="s">
        <v>44</v>
      </c>
      <c r="D37" s="4" t="s">
        <v>75</v>
      </c>
      <c r="E37" s="4" t="s">
        <v>76</v>
      </c>
      <c r="F37" s="4" t="s">
        <v>47</v>
      </c>
      <c r="G37" s="4" t="s">
        <v>31</v>
      </c>
      <c r="H37" s="4" t="s">
        <v>31</v>
      </c>
      <c r="I37" s="4" t="s">
        <v>32</v>
      </c>
      <c r="J37" s="4" t="s">
        <v>33</v>
      </c>
      <c r="K37" s="4" t="s">
        <v>34</v>
      </c>
      <c r="L37" s="4" t="s">
        <v>35</v>
      </c>
      <c r="M37" s="152">
        <v>5.0910000000000002</v>
      </c>
      <c r="N37" s="4" t="s">
        <v>77</v>
      </c>
      <c r="O37" s="165">
        <v>5.0000000000000001E-3</v>
      </c>
      <c r="P37" s="166">
        <v>1.34E-2</v>
      </c>
      <c r="R37" s="152">
        <v>352583</v>
      </c>
      <c r="S37" s="152">
        <v>1</v>
      </c>
      <c r="T37" s="152">
        <v>107.2</v>
      </c>
      <c r="U37" s="152">
        <v>377.96899999999999</v>
      </c>
      <c r="W37" s="4" t="s">
        <v>37</v>
      </c>
      <c r="X37" s="166">
        <v>1.7E-5</v>
      </c>
      <c r="Y37" s="166">
        <v>6.3312795414182305E-2</v>
      </c>
      <c r="Z37" s="166">
        <v>1.3055035226207099E-2</v>
      </c>
    </row>
    <row r="38" spans="1:26">
      <c r="A38" s="4" t="s">
        <v>119</v>
      </c>
      <c r="B38" s="4">
        <v>12905</v>
      </c>
      <c r="C38" s="4" t="s">
        <v>44</v>
      </c>
      <c r="D38" s="4" t="s">
        <v>78</v>
      </c>
      <c r="E38" s="4" t="s">
        <v>79</v>
      </c>
      <c r="F38" s="4" t="s">
        <v>47</v>
      </c>
      <c r="G38" s="4" t="s">
        <v>31</v>
      </c>
      <c r="H38" s="4" t="s">
        <v>31</v>
      </c>
      <c r="I38" s="4" t="s">
        <v>32</v>
      </c>
      <c r="J38" s="4" t="s">
        <v>33</v>
      </c>
      <c r="K38" s="4" t="s">
        <v>34</v>
      </c>
      <c r="L38" s="4" t="s">
        <v>35</v>
      </c>
      <c r="M38" s="152">
        <v>2.3279999999999998</v>
      </c>
      <c r="N38" s="4" t="s">
        <v>80</v>
      </c>
      <c r="O38" s="165">
        <v>1E-3</v>
      </c>
      <c r="P38" s="166">
        <v>1.0410000000000001E-2</v>
      </c>
      <c r="R38" s="152">
        <v>279189</v>
      </c>
      <c r="S38" s="152">
        <v>1</v>
      </c>
      <c r="T38" s="152">
        <v>109.23</v>
      </c>
      <c r="U38" s="152">
        <v>304.95800000000003</v>
      </c>
      <c r="W38" s="4" t="s">
        <v>37</v>
      </c>
      <c r="X38" s="166">
        <v>1.4E-5</v>
      </c>
      <c r="Y38" s="166">
        <v>5.10829032308718E-2</v>
      </c>
      <c r="Z38" s="166">
        <v>1.0533243663832501E-2</v>
      </c>
    </row>
    <row r="39" spans="1:26">
      <c r="A39" s="4" t="s">
        <v>119</v>
      </c>
      <c r="B39" s="4">
        <v>12905</v>
      </c>
      <c r="C39" s="4" t="s">
        <v>44</v>
      </c>
      <c r="D39" s="4" t="s">
        <v>81</v>
      </c>
      <c r="E39" s="4" t="s">
        <v>82</v>
      </c>
      <c r="F39" s="4" t="s">
        <v>47</v>
      </c>
      <c r="G39" s="4" t="s">
        <v>31</v>
      </c>
      <c r="H39" s="4" t="s">
        <v>31</v>
      </c>
      <c r="I39" s="4" t="s">
        <v>32</v>
      </c>
      <c r="J39" s="4" t="s">
        <v>33</v>
      </c>
      <c r="K39" s="4" t="s">
        <v>34</v>
      </c>
      <c r="L39" s="4" t="s">
        <v>35</v>
      </c>
      <c r="M39" s="152">
        <v>4.4779999999999998</v>
      </c>
      <c r="N39" s="4" t="s">
        <v>83</v>
      </c>
      <c r="O39" s="165">
        <v>1.0999999999999999E-2</v>
      </c>
      <c r="P39" s="166">
        <v>1.302E-2</v>
      </c>
      <c r="R39" s="152">
        <v>843316</v>
      </c>
      <c r="S39" s="152">
        <v>1</v>
      </c>
      <c r="T39" s="152">
        <v>100.29</v>
      </c>
      <c r="U39" s="152">
        <v>845.76199999999994</v>
      </c>
      <c r="W39" s="4" t="s">
        <v>37</v>
      </c>
      <c r="X39" s="166">
        <v>0</v>
      </c>
      <c r="Y39" s="166">
        <v>0.14167176564327699</v>
      </c>
      <c r="Z39" s="166">
        <v>2.9212576682684701E-2</v>
      </c>
    </row>
    <row r="40" spans="1:26">
      <c r="A40" s="4" t="s">
        <v>119</v>
      </c>
      <c r="B40" s="4">
        <v>12905</v>
      </c>
      <c r="C40" s="4" t="s">
        <v>58</v>
      </c>
      <c r="D40" s="4" t="s">
        <v>84</v>
      </c>
      <c r="E40" s="4" t="s">
        <v>85</v>
      </c>
      <c r="F40" s="4" t="s">
        <v>61</v>
      </c>
      <c r="G40" s="4" t="s">
        <v>31</v>
      </c>
      <c r="H40" s="4" t="s">
        <v>31</v>
      </c>
      <c r="I40" s="4" t="s">
        <v>32</v>
      </c>
      <c r="J40" s="4" t="s">
        <v>33</v>
      </c>
      <c r="K40" s="4" t="s">
        <v>34</v>
      </c>
      <c r="L40" s="4" t="s">
        <v>35</v>
      </c>
      <c r="M40" s="152">
        <v>7.56</v>
      </c>
      <c r="N40" s="4" t="s">
        <v>86</v>
      </c>
      <c r="O40" s="165">
        <v>1.2999999999999999E-2</v>
      </c>
      <c r="P40" s="166">
        <v>4.3119999999999999E-2</v>
      </c>
      <c r="R40" s="152">
        <v>123403</v>
      </c>
      <c r="S40" s="152">
        <v>1</v>
      </c>
      <c r="T40" s="152">
        <v>81.010000000000005</v>
      </c>
      <c r="U40" s="152">
        <v>99.968999999999994</v>
      </c>
      <c r="W40" s="4" t="s">
        <v>37</v>
      </c>
      <c r="X40" s="166">
        <v>6.0000000000000002E-6</v>
      </c>
      <c r="Y40" s="166">
        <v>1.6745560359989101E-2</v>
      </c>
      <c r="Z40" s="166">
        <v>3.4529178336242701E-3</v>
      </c>
    </row>
    <row r="41" spans="1:26">
      <c r="A41" s="4" t="s">
        <v>119</v>
      </c>
      <c r="B41" s="4">
        <v>12905</v>
      </c>
      <c r="C41" s="4" t="s">
        <v>58</v>
      </c>
      <c r="D41" s="4" t="s">
        <v>87</v>
      </c>
      <c r="E41" s="4" t="s">
        <v>88</v>
      </c>
      <c r="F41" s="4" t="s">
        <v>61</v>
      </c>
      <c r="G41" s="4" t="s">
        <v>31</v>
      </c>
      <c r="H41" s="4" t="s">
        <v>31</v>
      </c>
      <c r="I41" s="4" t="s">
        <v>32</v>
      </c>
      <c r="J41" s="4" t="s">
        <v>33</v>
      </c>
      <c r="K41" s="4" t="s">
        <v>34</v>
      </c>
      <c r="L41" s="4" t="s">
        <v>35</v>
      </c>
      <c r="M41" s="152">
        <v>11.561</v>
      </c>
      <c r="N41" s="4" t="s">
        <v>89</v>
      </c>
      <c r="O41" s="165">
        <v>1.4999999999999999E-2</v>
      </c>
      <c r="P41" s="166">
        <v>4.6260000000000003E-2</v>
      </c>
      <c r="R41" s="152">
        <v>161681</v>
      </c>
      <c r="S41" s="152">
        <v>1</v>
      </c>
      <c r="T41" s="152">
        <v>70.930000000000007</v>
      </c>
      <c r="U41" s="152">
        <v>114.68</v>
      </c>
      <c r="W41" s="4" t="s">
        <v>37</v>
      </c>
      <c r="X41" s="166">
        <v>6.0000000000000002E-6</v>
      </c>
      <c r="Y41" s="166">
        <v>1.9209863616566101E-2</v>
      </c>
      <c r="Z41" s="166">
        <v>3.9610547056768697E-3</v>
      </c>
    </row>
    <row r="42" spans="1:26">
      <c r="A42" s="4" t="s">
        <v>119</v>
      </c>
      <c r="B42" s="4">
        <v>12905</v>
      </c>
      <c r="C42" s="4" t="s">
        <v>27</v>
      </c>
      <c r="D42" s="4" t="s">
        <v>93</v>
      </c>
      <c r="E42" s="4" t="s">
        <v>94</v>
      </c>
      <c r="F42" s="4" t="s">
        <v>30</v>
      </c>
      <c r="G42" s="4" t="s">
        <v>31</v>
      </c>
      <c r="H42" s="4" t="s">
        <v>31</v>
      </c>
      <c r="I42" s="4" t="s">
        <v>32</v>
      </c>
      <c r="J42" s="4" t="s">
        <v>33</v>
      </c>
      <c r="K42" s="4" t="s">
        <v>34</v>
      </c>
      <c r="L42" s="4" t="s">
        <v>35</v>
      </c>
      <c r="M42" s="152">
        <v>0.17799999999999999</v>
      </c>
      <c r="N42" s="4" t="s">
        <v>95</v>
      </c>
      <c r="O42" s="165">
        <v>0</v>
      </c>
      <c r="P42" s="166">
        <v>4.3180000000000003E-2</v>
      </c>
      <c r="R42" s="152">
        <v>447600</v>
      </c>
      <c r="S42" s="152">
        <v>1</v>
      </c>
      <c r="T42" s="152">
        <v>99.26</v>
      </c>
      <c r="U42" s="152">
        <v>444.28800000000001</v>
      </c>
      <c r="W42" s="4" t="s">
        <v>37</v>
      </c>
      <c r="X42" s="166">
        <v>2.5000000000000001E-5</v>
      </c>
      <c r="Y42" s="166">
        <v>7.4421716701704402E-2</v>
      </c>
      <c r="Z42" s="166">
        <v>1.53456837086349E-2</v>
      </c>
    </row>
    <row r="43" spans="1:26">
      <c r="A43" s="4" t="s">
        <v>119</v>
      </c>
      <c r="B43" s="4">
        <v>12905</v>
      </c>
      <c r="C43" s="4" t="s">
        <v>107</v>
      </c>
      <c r="D43" s="4" t="s">
        <v>108</v>
      </c>
      <c r="E43" s="4" t="s">
        <v>109</v>
      </c>
      <c r="F43" s="4" t="s">
        <v>99</v>
      </c>
      <c r="G43" s="4" t="s">
        <v>100</v>
      </c>
      <c r="H43" s="4" t="s">
        <v>101</v>
      </c>
      <c r="I43" s="4" t="s">
        <v>110</v>
      </c>
      <c r="J43" s="4" t="s">
        <v>103</v>
      </c>
      <c r="K43" s="4" t="s">
        <v>111</v>
      </c>
      <c r="L43" s="4" t="s">
        <v>105</v>
      </c>
      <c r="M43" s="152">
        <v>7.68</v>
      </c>
      <c r="N43" s="4" t="s">
        <v>112</v>
      </c>
      <c r="O43" s="165">
        <v>3.875E-2</v>
      </c>
      <c r="P43" s="166">
        <v>4.4130000000000003E-2</v>
      </c>
      <c r="R43" s="152">
        <v>125000</v>
      </c>
      <c r="S43" s="152">
        <v>3.681</v>
      </c>
      <c r="T43" s="152">
        <v>97.903999999999996</v>
      </c>
      <c r="U43" s="152">
        <v>450.47899999999998</v>
      </c>
      <c r="W43" s="4" t="s">
        <v>37</v>
      </c>
      <c r="X43" s="166">
        <v>0</v>
      </c>
      <c r="Y43" s="166">
        <v>7.5458865350793505E-2</v>
      </c>
      <c r="Z43" s="166">
        <v>1.55595427249695E-2</v>
      </c>
    </row>
    <row r="44" spans="1:26">
      <c r="A44" s="4" t="s">
        <v>119</v>
      </c>
      <c r="B44" s="4">
        <v>12905</v>
      </c>
      <c r="C44" s="4" t="s">
        <v>107</v>
      </c>
      <c r="D44" s="4" t="s">
        <v>113</v>
      </c>
      <c r="E44" s="4" t="s">
        <v>114</v>
      </c>
      <c r="F44" s="4" t="s">
        <v>99</v>
      </c>
      <c r="G44" s="4" t="s">
        <v>100</v>
      </c>
      <c r="H44" s="4" t="s">
        <v>101</v>
      </c>
      <c r="I44" s="4" t="s">
        <v>102</v>
      </c>
      <c r="J44" s="4" t="s">
        <v>103</v>
      </c>
      <c r="K44" s="4" t="s">
        <v>111</v>
      </c>
      <c r="L44" s="4" t="s">
        <v>105</v>
      </c>
      <c r="M44" s="152">
        <v>7.6</v>
      </c>
      <c r="N44" s="4" t="s">
        <v>115</v>
      </c>
      <c r="O44" s="165">
        <v>4.4999999999999998E-2</v>
      </c>
      <c r="P44" s="166">
        <v>4.4110000000000003E-2</v>
      </c>
      <c r="R44" s="152">
        <v>39000</v>
      </c>
      <c r="S44" s="152">
        <v>3.681</v>
      </c>
      <c r="T44" s="152">
        <v>103.979</v>
      </c>
      <c r="U44" s="152">
        <v>149.27199999999999</v>
      </c>
      <c r="W44" s="4" t="s">
        <v>37</v>
      </c>
      <c r="X44" s="166">
        <v>0</v>
      </c>
      <c r="Y44" s="166">
        <v>2.5004205905222801E-2</v>
      </c>
      <c r="Z44" s="166">
        <v>5.1558423026587304E-3</v>
      </c>
    </row>
    <row r="45" spans="1:26">
      <c r="A45" s="4" t="s">
        <v>119</v>
      </c>
      <c r="B45" s="4">
        <v>12905</v>
      </c>
      <c r="C45" s="4" t="s">
        <v>107</v>
      </c>
      <c r="D45" s="4" t="s">
        <v>116</v>
      </c>
      <c r="E45" s="4" t="s">
        <v>117</v>
      </c>
      <c r="F45" s="4" t="s">
        <v>99</v>
      </c>
      <c r="G45" s="4" t="s">
        <v>100</v>
      </c>
      <c r="H45" s="4" t="s">
        <v>101</v>
      </c>
      <c r="I45" s="4" t="s">
        <v>102</v>
      </c>
      <c r="J45" s="4" t="s">
        <v>103</v>
      </c>
      <c r="K45" s="4" t="s">
        <v>111</v>
      </c>
      <c r="L45" s="4" t="s">
        <v>105</v>
      </c>
      <c r="M45" s="152">
        <v>7.57</v>
      </c>
      <c r="N45" s="4" t="s">
        <v>118</v>
      </c>
      <c r="O45" s="165">
        <v>3.3750000000000002E-2</v>
      </c>
      <c r="P45" s="166">
        <v>4.4089999999999997E-2</v>
      </c>
      <c r="R45" s="152">
        <v>152000</v>
      </c>
      <c r="S45" s="152">
        <v>3.681</v>
      </c>
      <c r="T45" s="152">
        <v>95.013999999999996</v>
      </c>
      <c r="U45" s="152">
        <v>531.61400000000003</v>
      </c>
      <c r="W45" s="4" t="s">
        <v>37</v>
      </c>
      <c r="X45" s="166">
        <v>9.9999999999999995E-7</v>
      </c>
      <c r="Y45" s="166">
        <v>8.9049488277269898E-2</v>
      </c>
      <c r="Z45" s="166">
        <v>1.8361915608532099E-2</v>
      </c>
    </row>
    <row r="46" spans="1:26">
      <c r="A46" s="4" t="s">
        <v>119</v>
      </c>
      <c r="B46" s="4">
        <v>13680</v>
      </c>
      <c r="C46" s="4" t="s">
        <v>107</v>
      </c>
      <c r="D46" s="4" t="s">
        <v>108</v>
      </c>
      <c r="E46" s="4" t="s">
        <v>109</v>
      </c>
      <c r="F46" s="4" t="s">
        <v>99</v>
      </c>
      <c r="G46" s="4" t="s">
        <v>100</v>
      </c>
      <c r="H46" s="4" t="s">
        <v>101</v>
      </c>
      <c r="I46" s="4" t="s">
        <v>110</v>
      </c>
      <c r="J46" s="4" t="s">
        <v>103</v>
      </c>
      <c r="K46" s="4" t="s">
        <v>111</v>
      </c>
      <c r="L46" s="4" t="s">
        <v>105</v>
      </c>
      <c r="M46" s="152">
        <v>7.68</v>
      </c>
      <c r="N46" s="4" t="s">
        <v>112</v>
      </c>
      <c r="O46" s="165">
        <v>3.875E-2</v>
      </c>
      <c r="P46" s="166">
        <v>4.4130000000000003E-2</v>
      </c>
      <c r="R46" s="152">
        <v>134000</v>
      </c>
      <c r="S46" s="152">
        <v>3.681</v>
      </c>
      <c r="T46" s="152">
        <v>97.903999999999996</v>
      </c>
      <c r="U46" s="152">
        <v>482.91399999999999</v>
      </c>
      <c r="W46" s="4" t="s">
        <v>37</v>
      </c>
      <c r="X46" s="166">
        <v>0</v>
      </c>
      <c r="Y46" s="166">
        <v>0.420598334159349</v>
      </c>
      <c r="Z46" s="166">
        <v>1.6509770108825698E-2</v>
      </c>
    </row>
    <row r="47" spans="1:26">
      <c r="A47" s="4" t="s">
        <v>119</v>
      </c>
      <c r="B47" s="4">
        <v>13680</v>
      </c>
      <c r="C47" s="4" t="s">
        <v>107</v>
      </c>
      <c r="D47" s="4" t="s">
        <v>113</v>
      </c>
      <c r="E47" s="4" t="s">
        <v>114</v>
      </c>
      <c r="F47" s="4" t="s">
        <v>99</v>
      </c>
      <c r="G47" s="4" t="s">
        <v>100</v>
      </c>
      <c r="H47" s="4" t="s">
        <v>101</v>
      </c>
      <c r="I47" s="4" t="s">
        <v>102</v>
      </c>
      <c r="J47" s="4" t="s">
        <v>103</v>
      </c>
      <c r="K47" s="4" t="s">
        <v>111</v>
      </c>
      <c r="L47" s="4" t="s">
        <v>105</v>
      </c>
      <c r="M47" s="152">
        <v>7.6</v>
      </c>
      <c r="N47" s="4" t="s">
        <v>115</v>
      </c>
      <c r="O47" s="165">
        <v>4.4999999999999998E-2</v>
      </c>
      <c r="P47" s="166">
        <v>4.4110000000000003E-2</v>
      </c>
      <c r="R47" s="152">
        <v>34000</v>
      </c>
      <c r="S47" s="152">
        <v>3.681</v>
      </c>
      <c r="T47" s="152">
        <v>103.979</v>
      </c>
      <c r="U47" s="152">
        <v>130.13399999999999</v>
      </c>
      <c r="W47" s="4" t="s">
        <v>37</v>
      </c>
      <c r="X47" s="166">
        <v>0</v>
      </c>
      <c r="Y47" s="166">
        <v>0.113341738270881</v>
      </c>
      <c r="Z47" s="166">
        <v>4.4490096384404397E-3</v>
      </c>
    </row>
    <row r="48" spans="1:26">
      <c r="A48" s="4" t="s">
        <v>119</v>
      </c>
      <c r="B48" s="4">
        <v>13680</v>
      </c>
      <c r="C48" s="4" t="s">
        <v>107</v>
      </c>
      <c r="D48" s="4" t="s">
        <v>116</v>
      </c>
      <c r="E48" s="4" t="s">
        <v>117</v>
      </c>
      <c r="F48" s="4" t="s">
        <v>99</v>
      </c>
      <c r="G48" s="4" t="s">
        <v>100</v>
      </c>
      <c r="H48" s="4" t="s">
        <v>101</v>
      </c>
      <c r="I48" s="4" t="s">
        <v>102</v>
      </c>
      <c r="J48" s="4" t="s">
        <v>103</v>
      </c>
      <c r="K48" s="4" t="s">
        <v>111</v>
      </c>
      <c r="L48" s="4" t="s">
        <v>105</v>
      </c>
      <c r="M48" s="152">
        <v>7.57</v>
      </c>
      <c r="N48" s="4" t="s">
        <v>118</v>
      </c>
      <c r="O48" s="165">
        <v>3.3750000000000002E-2</v>
      </c>
      <c r="P48" s="166">
        <v>4.4089999999999997E-2</v>
      </c>
      <c r="R48" s="152">
        <v>153000</v>
      </c>
      <c r="S48" s="152">
        <v>3.681</v>
      </c>
      <c r="T48" s="152">
        <v>95.013999999999996</v>
      </c>
      <c r="U48" s="152">
        <v>535.11099999999999</v>
      </c>
      <c r="W48" s="4" t="s">
        <v>37</v>
      </c>
      <c r="X48" s="166">
        <v>9.9999999999999995E-7</v>
      </c>
      <c r="Y48" s="166">
        <v>0.46605992756976999</v>
      </c>
      <c r="Z48" s="166">
        <v>1.8294276596439601E-2</v>
      </c>
    </row>
    <row r="49" spans="1:26">
      <c r="A49" s="4" t="s">
        <v>128</v>
      </c>
      <c r="B49" s="4">
        <v>7228</v>
      </c>
      <c r="C49" s="4" t="s">
        <v>27</v>
      </c>
      <c r="D49" s="4" t="s">
        <v>28</v>
      </c>
      <c r="E49" s="4" t="s">
        <v>29</v>
      </c>
      <c r="F49" s="4" t="s">
        <v>30</v>
      </c>
      <c r="G49" s="4" t="s">
        <v>31</v>
      </c>
      <c r="H49" s="4" t="s">
        <v>31</v>
      </c>
      <c r="I49" s="4" t="s">
        <v>32</v>
      </c>
      <c r="J49" s="4" t="s">
        <v>33</v>
      </c>
      <c r="K49" s="4" t="s">
        <v>34</v>
      </c>
      <c r="L49" s="4" t="s">
        <v>35</v>
      </c>
      <c r="M49" s="152">
        <v>5.0000000000000001E-3</v>
      </c>
      <c r="N49" s="4" t="s">
        <v>36</v>
      </c>
      <c r="O49" s="165">
        <v>0</v>
      </c>
      <c r="P49" s="166">
        <v>5.629E-2</v>
      </c>
      <c r="R49" s="152">
        <v>43397320</v>
      </c>
      <c r="S49" s="152">
        <v>1</v>
      </c>
      <c r="T49" s="152">
        <v>99.97</v>
      </c>
      <c r="U49" s="152">
        <v>43384.300999999999</v>
      </c>
      <c r="W49" s="4" t="s">
        <v>37</v>
      </c>
      <c r="X49" s="166">
        <v>2.1700000000000001E-3</v>
      </c>
      <c r="Y49" s="166">
        <v>0.166126535356661</v>
      </c>
      <c r="Z49" s="166">
        <v>1.8720483632506502E-2</v>
      </c>
    </row>
    <row r="50" spans="1:26">
      <c r="A50" s="4" t="s">
        <v>128</v>
      </c>
      <c r="B50" s="4">
        <v>7228</v>
      </c>
      <c r="C50" s="4" t="s">
        <v>44</v>
      </c>
      <c r="D50" s="4" t="s">
        <v>49</v>
      </c>
      <c r="E50" s="4" t="s">
        <v>50</v>
      </c>
      <c r="F50" s="4" t="s">
        <v>47</v>
      </c>
      <c r="G50" s="4" t="s">
        <v>31</v>
      </c>
      <c r="H50" s="4" t="s">
        <v>31</v>
      </c>
      <c r="I50" s="4" t="s">
        <v>32</v>
      </c>
      <c r="J50" s="4" t="s">
        <v>33</v>
      </c>
      <c r="K50" s="4" t="s">
        <v>34</v>
      </c>
      <c r="L50" s="4" t="s">
        <v>35</v>
      </c>
      <c r="M50" s="152">
        <v>18.8</v>
      </c>
      <c r="N50" s="4" t="s">
        <v>51</v>
      </c>
      <c r="O50" s="165">
        <v>0.01</v>
      </c>
      <c r="P50" s="166">
        <v>1.8530000000000001E-2</v>
      </c>
      <c r="R50" s="152">
        <v>8240437</v>
      </c>
      <c r="S50" s="152">
        <v>1</v>
      </c>
      <c r="T50" s="152">
        <v>96.44</v>
      </c>
      <c r="U50" s="152">
        <v>7947.0770000000002</v>
      </c>
      <c r="W50" s="4" t="s">
        <v>37</v>
      </c>
      <c r="X50" s="166">
        <v>4.55E-4</v>
      </c>
      <c r="Y50" s="166">
        <v>3.0430833672942598E-2</v>
      </c>
      <c r="Z50" s="166">
        <v>3.42919282867599E-3</v>
      </c>
    </row>
    <row r="51" spans="1:26">
      <c r="A51" s="4" t="s">
        <v>128</v>
      </c>
      <c r="B51" s="4">
        <v>7228</v>
      </c>
      <c r="C51" s="4" t="s">
        <v>44</v>
      </c>
      <c r="D51" s="4" t="s">
        <v>52</v>
      </c>
      <c r="E51" s="4" t="s">
        <v>53</v>
      </c>
      <c r="F51" s="4" t="s">
        <v>47</v>
      </c>
      <c r="G51" s="4" t="s">
        <v>31</v>
      </c>
      <c r="H51" s="4" t="s">
        <v>31</v>
      </c>
      <c r="I51" s="4" t="s">
        <v>32</v>
      </c>
      <c r="J51" s="4" t="s">
        <v>33</v>
      </c>
      <c r="K51" s="4" t="s">
        <v>34</v>
      </c>
      <c r="L51" s="4" t="s">
        <v>35</v>
      </c>
      <c r="M51" s="152">
        <v>1.5760000000000001</v>
      </c>
      <c r="N51" s="4" t="s">
        <v>54</v>
      </c>
      <c r="O51" s="165">
        <v>7.4999999999999997E-3</v>
      </c>
      <c r="P51" s="166">
        <v>7.9699999999999997E-3</v>
      </c>
      <c r="R51" s="152">
        <v>3645174</v>
      </c>
      <c r="S51" s="152">
        <v>1</v>
      </c>
      <c r="T51" s="152">
        <v>112.14</v>
      </c>
      <c r="U51" s="152">
        <v>4087.6979999999999</v>
      </c>
      <c r="W51" s="4" t="s">
        <v>37</v>
      </c>
      <c r="X51" s="166">
        <v>1.6799999999999999E-4</v>
      </c>
      <c r="Y51" s="166">
        <v>1.5652554363512601E-2</v>
      </c>
      <c r="Z51" s="166">
        <v>1.7638566117083999E-3</v>
      </c>
    </row>
    <row r="52" spans="1:26">
      <c r="A52" s="4" t="s">
        <v>128</v>
      </c>
      <c r="B52" s="4">
        <v>7228</v>
      </c>
      <c r="C52" s="4" t="s">
        <v>58</v>
      </c>
      <c r="D52" s="4" t="s">
        <v>66</v>
      </c>
      <c r="E52" s="4" t="s">
        <v>67</v>
      </c>
      <c r="F52" s="4" t="s">
        <v>61</v>
      </c>
      <c r="G52" s="4" t="s">
        <v>31</v>
      </c>
      <c r="H52" s="4" t="s">
        <v>31</v>
      </c>
      <c r="I52" s="4" t="s">
        <v>32</v>
      </c>
      <c r="J52" s="4" t="s">
        <v>33</v>
      </c>
      <c r="K52" s="4" t="s">
        <v>34</v>
      </c>
      <c r="L52" s="4" t="s">
        <v>35</v>
      </c>
      <c r="M52" s="152">
        <v>2.9369999999999998</v>
      </c>
      <c r="N52" s="4" t="s">
        <v>68</v>
      </c>
      <c r="O52" s="165">
        <v>0.02</v>
      </c>
      <c r="P52" s="166">
        <v>4.0149999999999998E-2</v>
      </c>
      <c r="R52" s="152">
        <v>4286562</v>
      </c>
      <c r="S52" s="152">
        <v>1</v>
      </c>
      <c r="T52" s="152">
        <v>94.43</v>
      </c>
      <c r="U52" s="152">
        <v>4047.8</v>
      </c>
      <c r="W52" s="4" t="s">
        <v>37</v>
      </c>
      <c r="X52" s="166">
        <v>1.9699999999999999E-4</v>
      </c>
      <c r="Y52" s="166">
        <v>1.5499778948912499E-2</v>
      </c>
      <c r="Z52" s="166">
        <v>1.74664064050712E-3</v>
      </c>
    </row>
    <row r="53" spans="1:26">
      <c r="A53" s="4" t="s">
        <v>128</v>
      </c>
      <c r="B53" s="4">
        <v>7228</v>
      </c>
      <c r="C53" s="4" t="s">
        <v>44</v>
      </c>
      <c r="D53" s="4" t="s">
        <v>72</v>
      </c>
      <c r="E53" s="4" t="s">
        <v>73</v>
      </c>
      <c r="F53" s="4" t="s">
        <v>47</v>
      </c>
      <c r="G53" s="4" t="s">
        <v>31</v>
      </c>
      <c r="H53" s="4" t="s">
        <v>31</v>
      </c>
      <c r="I53" s="4" t="s">
        <v>32</v>
      </c>
      <c r="J53" s="4" t="s">
        <v>33</v>
      </c>
      <c r="K53" s="4" t="s">
        <v>34</v>
      </c>
      <c r="L53" s="4" t="s">
        <v>35</v>
      </c>
      <c r="M53" s="152">
        <v>14.135</v>
      </c>
      <c r="N53" s="4" t="s">
        <v>74</v>
      </c>
      <c r="O53" s="165">
        <v>2.75E-2</v>
      </c>
      <c r="P53" s="166">
        <v>1.7819999999999999E-2</v>
      </c>
      <c r="R53" s="152">
        <v>1271754</v>
      </c>
      <c r="S53" s="152">
        <v>1</v>
      </c>
      <c r="T53" s="152">
        <v>138.12</v>
      </c>
      <c r="U53" s="152">
        <v>1756.547</v>
      </c>
      <c r="W53" s="4" t="s">
        <v>37</v>
      </c>
      <c r="X53" s="166">
        <v>6.9999999999999994E-5</v>
      </c>
      <c r="Y53" s="166">
        <v>6.7261428572696E-3</v>
      </c>
      <c r="Z53" s="166">
        <v>7.5795625905929296E-4</v>
      </c>
    </row>
    <row r="54" spans="1:26">
      <c r="A54" s="4" t="s">
        <v>128</v>
      </c>
      <c r="B54" s="4">
        <v>7228</v>
      </c>
      <c r="C54" s="4" t="s">
        <v>44</v>
      </c>
      <c r="D54" s="4" t="s">
        <v>75</v>
      </c>
      <c r="E54" s="4" t="s">
        <v>76</v>
      </c>
      <c r="F54" s="4" t="s">
        <v>47</v>
      </c>
      <c r="G54" s="4" t="s">
        <v>31</v>
      </c>
      <c r="H54" s="4" t="s">
        <v>31</v>
      </c>
      <c r="I54" s="4" t="s">
        <v>32</v>
      </c>
      <c r="J54" s="4" t="s">
        <v>33</v>
      </c>
      <c r="K54" s="4" t="s">
        <v>34</v>
      </c>
      <c r="L54" s="4" t="s">
        <v>35</v>
      </c>
      <c r="M54" s="152">
        <v>5.0910000000000002</v>
      </c>
      <c r="N54" s="4" t="s">
        <v>77</v>
      </c>
      <c r="O54" s="165">
        <v>5.0000000000000001E-3</v>
      </c>
      <c r="P54" s="166">
        <v>1.34E-2</v>
      </c>
      <c r="R54" s="152">
        <v>11262819</v>
      </c>
      <c r="S54" s="152">
        <v>1</v>
      </c>
      <c r="T54" s="152">
        <v>107.2</v>
      </c>
      <c r="U54" s="152">
        <v>12073.742</v>
      </c>
      <c r="W54" s="4" t="s">
        <v>37</v>
      </c>
      <c r="X54" s="166">
        <v>5.5400000000000002E-4</v>
      </c>
      <c r="Y54" s="166">
        <v>4.62325976162608E-2</v>
      </c>
      <c r="Z54" s="166">
        <v>5.2098635844377E-3</v>
      </c>
    </row>
    <row r="55" spans="1:26">
      <c r="A55" s="4" t="s">
        <v>128</v>
      </c>
      <c r="B55" s="4">
        <v>7228</v>
      </c>
      <c r="C55" s="4" t="s">
        <v>44</v>
      </c>
      <c r="D55" s="4" t="s">
        <v>78</v>
      </c>
      <c r="E55" s="4" t="s">
        <v>79</v>
      </c>
      <c r="F55" s="4" t="s">
        <v>47</v>
      </c>
      <c r="G55" s="4" t="s">
        <v>31</v>
      </c>
      <c r="H55" s="4" t="s">
        <v>31</v>
      </c>
      <c r="I55" s="4" t="s">
        <v>32</v>
      </c>
      <c r="J55" s="4" t="s">
        <v>33</v>
      </c>
      <c r="K55" s="4" t="s">
        <v>34</v>
      </c>
      <c r="L55" s="4" t="s">
        <v>35</v>
      </c>
      <c r="M55" s="152">
        <v>2.3279999999999998</v>
      </c>
      <c r="N55" s="4" t="s">
        <v>80</v>
      </c>
      <c r="O55" s="165">
        <v>1E-3</v>
      </c>
      <c r="P55" s="166">
        <v>1.0410000000000001E-2</v>
      </c>
      <c r="R55" s="152">
        <v>26880802</v>
      </c>
      <c r="S55" s="152">
        <v>1</v>
      </c>
      <c r="T55" s="152">
        <v>109.23</v>
      </c>
      <c r="U55" s="152">
        <v>29361.9</v>
      </c>
      <c r="W55" s="4" t="s">
        <v>37</v>
      </c>
      <c r="X55" s="166">
        <v>1.3389999999999999E-3</v>
      </c>
      <c r="Y55" s="166">
        <v>0.112432161684757</v>
      </c>
      <c r="Z55" s="166">
        <v>1.2669766681571999E-2</v>
      </c>
    </row>
    <row r="56" spans="1:26">
      <c r="A56" s="4" t="s">
        <v>128</v>
      </c>
      <c r="B56" s="4">
        <v>7228</v>
      </c>
      <c r="C56" s="4" t="s">
        <v>44</v>
      </c>
      <c r="D56" s="4" t="s">
        <v>81</v>
      </c>
      <c r="E56" s="4" t="s">
        <v>82</v>
      </c>
      <c r="F56" s="4" t="s">
        <v>47</v>
      </c>
      <c r="G56" s="4" t="s">
        <v>31</v>
      </c>
      <c r="H56" s="4" t="s">
        <v>31</v>
      </c>
      <c r="I56" s="4" t="s">
        <v>32</v>
      </c>
      <c r="J56" s="4" t="s">
        <v>33</v>
      </c>
      <c r="K56" s="4" t="s">
        <v>34</v>
      </c>
      <c r="L56" s="4" t="s">
        <v>35</v>
      </c>
      <c r="M56" s="152">
        <v>4.4779999999999998</v>
      </c>
      <c r="N56" s="4" t="s">
        <v>83</v>
      </c>
      <c r="O56" s="165">
        <v>1.0999999999999999E-2</v>
      </c>
      <c r="P56" s="166">
        <v>1.302E-2</v>
      </c>
      <c r="R56" s="152">
        <v>21621669</v>
      </c>
      <c r="S56" s="152">
        <v>1</v>
      </c>
      <c r="T56" s="152">
        <v>100.29</v>
      </c>
      <c r="U56" s="152">
        <v>21684.371999999999</v>
      </c>
      <c r="W56" s="4" t="s">
        <v>37</v>
      </c>
      <c r="X56" s="166">
        <v>0</v>
      </c>
      <c r="Y56" s="166">
        <v>8.3033482121929597E-2</v>
      </c>
      <c r="Z56" s="166">
        <v>9.3568853384943598E-3</v>
      </c>
    </row>
    <row r="57" spans="1:26">
      <c r="A57" s="4" t="s">
        <v>128</v>
      </c>
      <c r="B57" s="4">
        <v>7228</v>
      </c>
      <c r="C57" s="4" t="s">
        <v>58</v>
      </c>
      <c r="D57" s="4" t="s">
        <v>84</v>
      </c>
      <c r="E57" s="4" t="s">
        <v>85</v>
      </c>
      <c r="F57" s="4" t="s">
        <v>61</v>
      </c>
      <c r="G57" s="4" t="s">
        <v>31</v>
      </c>
      <c r="H57" s="4" t="s">
        <v>31</v>
      </c>
      <c r="I57" s="4" t="s">
        <v>32</v>
      </c>
      <c r="J57" s="4" t="s">
        <v>33</v>
      </c>
      <c r="K57" s="4" t="s">
        <v>34</v>
      </c>
      <c r="L57" s="4" t="s">
        <v>35</v>
      </c>
      <c r="M57" s="152">
        <v>7.56</v>
      </c>
      <c r="N57" s="4" t="s">
        <v>86</v>
      </c>
      <c r="O57" s="165">
        <v>1.2999999999999999E-2</v>
      </c>
      <c r="P57" s="166">
        <v>4.3119999999999999E-2</v>
      </c>
      <c r="R57" s="152">
        <v>11784318</v>
      </c>
      <c r="S57" s="152">
        <v>1</v>
      </c>
      <c r="T57" s="152">
        <v>81.010000000000005</v>
      </c>
      <c r="U57" s="152">
        <v>9546.4760000000006</v>
      </c>
      <c r="W57" s="4" t="s">
        <v>37</v>
      </c>
      <c r="X57" s="166">
        <v>5.4699999999999996E-4</v>
      </c>
      <c r="Y57" s="166">
        <v>3.6555227474349097E-2</v>
      </c>
      <c r="Z57" s="166">
        <v>4.1193391299403003E-3</v>
      </c>
    </row>
    <row r="58" spans="1:26">
      <c r="A58" s="4" t="s">
        <v>128</v>
      </c>
      <c r="B58" s="4">
        <v>7228</v>
      </c>
      <c r="C58" s="4" t="s">
        <v>96</v>
      </c>
      <c r="D58" s="4" t="s">
        <v>97</v>
      </c>
      <c r="E58" s="4" t="s">
        <v>98</v>
      </c>
      <c r="F58" s="4" t="s">
        <v>99</v>
      </c>
      <c r="G58" s="4" t="s">
        <v>100</v>
      </c>
      <c r="H58" s="4" t="s">
        <v>101</v>
      </c>
      <c r="I58" s="4" t="s">
        <v>102</v>
      </c>
      <c r="J58" s="4" t="s">
        <v>103</v>
      </c>
      <c r="K58" s="4" t="s">
        <v>104</v>
      </c>
      <c r="L58" s="4" t="s">
        <v>105</v>
      </c>
      <c r="M58" s="152">
        <v>0.55000000000000004</v>
      </c>
      <c r="N58" s="4" t="s">
        <v>106</v>
      </c>
      <c r="O58" s="165">
        <v>0</v>
      </c>
      <c r="P58" s="166">
        <v>5.1659999999999998E-2</v>
      </c>
      <c r="R58" s="152">
        <v>4200000</v>
      </c>
      <c r="S58" s="152">
        <v>3.681</v>
      </c>
      <c r="T58" s="152">
        <v>97.096999999999994</v>
      </c>
      <c r="U58" s="152">
        <v>15011.406000000001</v>
      </c>
      <c r="W58" s="4" t="s">
        <v>37</v>
      </c>
      <c r="X58" s="166">
        <v>0</v>
      </c>
      <c r="Y58" s="166">
        <v>5.7481457558975199E-2</v>
      </c>
      <c r="Z58" s="166">
        <v>6.4774762387908198E-3</v>
      </c>
    </row>
    <row r="59" spans="1:26">
      <c r="A59" s="4" t="s">
        <v>128</v>
      </c>
      <c r="B59" s="4">
        <v>7228</v>
      </c>
      <c r="C59" s="4" t="s">
        <v>107</v>
      </c>
      <c r="D59" s="4" t="s">
        <v>108</v>
      </c>
      <c r="E59" s="4" t="s">
        <v>109</v>
      </c>
      <c r="F59" s="4" t="s">
        <v>99</v>
      </c>
      <c r="G59" s="4" t="s">
        <v>100</v>
      </c>
      <c r="H59" s="4" t="s">
        <v>101</v>
      </c>
      <c r="I59" s="4" t="s">
        <v>110</v>
      </c>
      <c r="J59" s="4" t="s">
        <v>103</v>
      </c>
      <c r="K59" s="4" t="s">
        <v>111</v>
      </c>
      <c r="L59" s="4" t="s">
        <v>105</v>
      </c>
      <c r="M59" s="152">
        <v>7.68</v>
      </c>
      <c r="N59" s="4" t="s">
        <v>112</v>
      </c>
      <c r="O59" s="165">
        <v>3.875E-2</v>
      </c>
      <c r="P59" s="166">
        <v>4.4130000000000003E-2</v>
      </c>
      <c r="R59" s="152">
        <v>12865000</v>
      </c>
      <c r="S59" s="152">
        <v>3.681</v>
      </c>
      <c r="T59" s="152">
        <v>97.903999999999996</v>
      </c>
      <c r="U59" s="152">
        <v>46363.34</v>
      </c>
      <c r="W59" s="4" t="s">
        <v>37</v>
      </c>
      <c r="X59" s="166">
        <v>0</v>
      </c>
      <c r="Y59" s="166">
        <v>0.177533828305696</v>
      </c>
      <c r="Z59" s="166">
        <v>2.0005949801322601E-2</v>
      </c>
    </row>
    <row r="60" spans="1:26">
      <c r="A60" s="4" t="s">
        <v>128</v>
      </c>
      <c r="B60" s="4">
        <v>7228</v>
      </c>
      <c r="C60" s="4" t="s">
        <v>107</v>
      </c>
      <c r="D60" s="4" t="s">
        <v>113</v>
      </c>
      <c r="E60" s="4" t="s">
        <v>114</v>
      </c>
      <c r="F60" s="4" t="s">
        <v>99</v>
      </c>
      <c r="G60" s="4" t="s">
        <v>100</v>
      </c>
      <c r="H60" s="4" t="s">
        <v>101</v>
      </c>
      <c r="I60" s="4" t="s">
        <v>102</v>
      </c>
      <c r="J60" s="4" t="s">
        <v>103</v>
      </c>
      <c r="K60" s="4" t="s">
        <v>111</v>
      </c>
      <c r="L60" s="4" t="s">
        <v>105</v>
      </c>
      <c r="M60" s="152">
        <v>7.6</v>
      </c>
      <c r="N60" s="4" t="s">
        <v>115</v>
      </c>
      <c r="O60" s="165">
        <v>4.4999999999999998E-2</v>
      </c>
      <c r="P60" s="166">
        <v>4.4110000000000003E-2</v>
      </c>
      <c r="R60" s="152">
        <v>6991000</v>
      </c>
      <c r="S60" s="152">
        <v>3.681</v>
      </c>
      <c r="T60" s="152">
        <v>103.979</v>
      </c>
      <c r="U60" s="152">
        <v>26757.924999999999</v>
      </c>
      <c r="W60" s="4" t="s">
        <v>37</v>
      </c>
      <c r="X60" s="166">
        <v>0</v>
      </c>
      <c r="Y60" s="166">
        <v>0.102461056998713</v>
      </c>
      <c r="Z60" s="166">
        <v>1.1546141839385699E-2</v>
      </c>
    </row>
    <row r="61" spans="1:26">
      <c r="A61" s="4" t="s">
        <v>128</v>
      </c>
      <c r="B61" s="4">
        <v>7228</v>
      </c>
      <c r="C61" s="4" t="s">
        <v>107</v>
      </c>
      <c r="D61" s="4" t="s">
        <v>116</v>
      </c>
      <c r="E61" s="4" t="s">
        <v>117</v>
      </c>
      <c r="F61" s="4" t="s">
        <v>99</v>
      </c>
      <c r="G61" s="4" t="s">
        <v>100</v>
      </c>
      <c r="H61" s="4" t="s">
        <v>101</v>
      </c>
      <c r="I61" s="4" t="s">
        <v>102</v>
      </c>
      <c r="J61" s="4" t="s">
        <v>103</v>
      </c>
      <c r="K61" s="4" t="s">
        <v>111</v>
      </c>
      <c r="L61" s="4" t="s">
        <v>105</v>
      </c>
      <c r="M61" s="152">
        <v>7.57</v>
      </c>
      <c r="N61" s="4" t="s">
        <v>118</v>
      </c>
      <c r="O61" s="165">
        <v>3.3750000000000002E-2</v>
      </c>
      <c r="P61" s="166">
        <v>4.4089999999999997E-2</v>
      </c>
      <c r="R61" s="152">
        <v>11188000</v>
      </c>
      <c r="S61" s="152">
        <v>3.681</v>
      </c>
      <c r="T61" s="152">
        <v>95.013999999999996</v>
      </c>
      <c r="U61" s="152">
        <v>39129.56</v>
      </c>
      <c r="W61" s="4" t="s">
        <v>37</v>
      </c>
      <c r="X61" s="166">
        <v>1.03E-4</v>
      </c>
      <c r="Y61" s="166">
        <v>0.14983434304002199</v>
      </c>
      <c r="Z61" s="166">
        <v>1.68845474351586E-2</v>
      </c>
    </row>
    <row r="62" spans="1:26">
      <c r="A62" s="4" t="s">
        <v>128</v>
      </c>
      <c r="B62" s="4">
        <v>7229</v>
      </c>
      <c r="C62" s="4" t="s">
        <v>27</v>
      </c>
      <c r="D62" s="4" t="s">
        <v>129</v>
      </c>
      <c r="E62" s="4" t="s">
        <v>130</v>
      </c>
      <c r="F62" s="4" t="s">
        <v>30</v>
      </c>
      <c r="G62" s="4" t="s">
        <v>31</v>
      </c>
      <c r="H62" s="4" t="s">
        <v>31</v>
      </c>
      <c r="I62" s="4" t="s">
        <v>32</v>
      </c>
      <c r="J62" s="4" t="s">
        <v>33</v>
      </c>
      <c r="K62" s="4" t="s">
        <v>34</v>
      </c>
      <c r="L62" s="4" t="s">
        <v>35</v>
      </c>
      <c r="M62" s="152">
        <v>0.255</v>
      </c>
      <c r="N62" s="4" t="s">
        <v>131</v>
      </c>
      <c r="O62" s="165">
        <v>0</v>
      </c>
      <c r="P62" s="166">
        <v>4.3119999999999999E-2</v>
      </c>
      <c r="R62" s="152">
        <v>1300000</v>
      </c>
      <c r="S62" s="152">
        <v>1</v>
      </c>
      <c r="T62" s="152">
        <v>98.95</v>
      </c>
      <c r="U62" s="152">
        <v>1286.3499999999999</v>
      </c>
      <c r="W62" s="4" t="s">
        <v>37</v>
      </c>
      <c r="X62" s="166">
        <v>7.2000000000000002E-5</v>
      </c>
      <c r="Y62" s="166">
        <v>4.4322218611476998E-2</v>
      </c>
      <c r="Z62" s="166">
        <v>8.97323562416486E-3</v>
      </c>
    </row>
    <row r="63" spans="1:26">
      <c r="A63" s="4" t="s">
        <v>128</v>
      </c>
      <c r="B63" s="4">
        <v>7229</v>
      </c>
      <c r="C63" s="4" t="s">
        <v>27</v>
      </c>
      <c r="D63" s="4" t="s">
        <v>132</v>
      </c>
      <c r="E63" s="4" t="s">
        <v>133</v>
      </c>
      <c r="F63" s="4" t="s">
        <v>30</v>
      </c>
      <c r="G63" s="4" t="s">
        <v>31</v>
      </c>
      <c r="H63" s="4" t="s">
        <v>31</v>
      </c>
      <c r="I63" s="4" t="s">
        <v>32</v>
      </c>
      <c r="J63" s="4" t="s">
        <v>33</v>
      </c>
      <c r="K63" s="4" t="s">
        <v>34</v>
      </c>
      <c r="L63" s="4" t="s">
        <v>35</v>
      </c>
      <c r="M63" s="152">
        <v>0.35099999999999998</v>
      </c>
      <c r="N63" s="4" t="s">
        <v>134</v>
      </c>
      <c r="O63" s="165">
        <v>0</v>
      </c>
      <c r="P63" s="166">
        <v>4.283E-2</v>
      </c>
      <c r="R63" s="152">
        <v>1300000</v>
      </c>
      <c r="S63" s="152">
        <v>1</v>
      </c>
      <c r="T63" s="152">
        <v>98.55</v>
      </c>
      <c r="U63" s="152">
        <v>1281.1500000000001</v>
      </c>
      <c r="W63" s="4" t="s">
        <v>37</v>
      </c>
      <c r="X63" s="166">
        <v>7.2000000000000002E-5</v>
      </c>
      <c r="Y63" s="166">
        <v>4.4143048450339097E-2</v>
      </c>
      <c r="Z63" s="166">
        <v>8.9369618065836005E-3</v>
      </c>
    </row>
    <row r="64" spans="1:26">
      <c r="A64" s="4" t="s">
        <v>128</v>
      </c>
      <c r="B64" s="4">
        <v>7229</v>
      </c>
      <c r="C64" s="4" t="s">
        <v>44</v>
      </c>
      <c r="D64" s="4" t="s">
        <v>45</v>
      </c>
      <c r="E64" s="4" t="s">
        <v>46</v>
      </c>
      <c r="F64" s="4" t="s">
        <v>47</v>
      </c>
      <c r="G64" s="4" t="s">
        <v>31</v>
      </c>
      <c r="H64" s="4" t="s">
        <v>31</v>
      </c>
      <c r="I64" s="4" t="s">
        <v>32</v>
      </c>
      <c r="J64" s="4" t="s">
        <v>33</v>
      </c>
      <c r="K64" s="4" t="s">
        <v>34</v>
      </c>
      <c r="L64" s="4" t="s">
        <v>35</v>
      </c>
      <c r="M64" s="152">
        <v>3.1190000000000002</v>
      </c>
      <c r="N64" s="4" t="s">
        <v>48</v>
      </c>
      <c r="O64" s="165">
        <v>7.4999999999999997E-3</v>
      </c>
      <c r="P64" s="166">
        <v>1.1520000000000001E-2</v>
      </c>
      <c r="R64" s="152">
        <v>1629125</v>
      </c>
      <c r="S64" s="152">
        <v>1</v>
      </c>
      <c r="T64" s="152">
        <v>111.88</v>
      </c>
      <c r="U64" s="152">
        <v>1822.665</v>
      </c>
      <c r="W64" s="4" t="s">
        <v>37</v>
      </c>
      <c r="X64" s="166">
        <v>7.7999999999999999E-5</v>
      </c>
      <c r="Y64" s="166">
        <v>6.2801382828622507E-2</v>
      </c>
      <c r="Z64" s="166">
        <v>1.2714426833739001E-2</v>
      </c>
    </row>
    <row r="65" spans="1:26">
      <c r="A65" s="4" t="s">
        <v>128</v>
      </c>
      <c r="B65" s="4">
        <v>7229</v>
      </c>
      <c r="C65" s="4" t="s">
        <v>44</v>
      </c>
      <c r="D65" s="4" t="s">
        <v>49</v>
      </c>
      <c r="E65" s="4" t="s">
        <v>50</v>
      </c>
      <c r="F65" s="4" t="s">
        <v>47</v>
      </c>
      <c r="G65" s="4" t="s">
        <v>31</v>
      </c>
      <c r="H65" s="4" t="s">
        <v>31</v>
      </c>
      <c r="I65" s="4" t="s">
        <v>32</v>
      </c>
      <c r="J65" s="4" t="s">
        <v>33</v>
      </c>
      <c r="K65" s="4" t="s">
        <v>34</v>
      </c>
      <c r="L65" s="4" t="s">
        <v>35</v>
      </c>
      <c r="M65" s="152">
        <v>18.8</v>
      </c>
      <c r="N65" s="4" t="s">
        <v>51</v>
      </c>
      <c r="O65" s="165">
        <v>0.01</v>
      </c>
      <c r="P65" s="166">
        <v>1.8530000000000001E-2</v>
      </c>
      <c r="R65" s="152">
        <v>1266800</v>
      </c>
      <c r="S65" s="152">
        <v>1</v>
      </c>
      <c r="T65" s="152">
        <v>96.44</v>
      </c>
      <c r="U65" s="152">
        <v>1221.702</v>
      </c>
      <c r="W65" s="4" t="s">
        <v>37</v>
      </c>
      <c r="X65" s="166">
        <v>6.9999999999999994E-5</v>
      </c>
      <c r="Y65" s="166">
        <v>4.2094717282466797E-2</v>
      </c>
      <c r="Z65" s="166">
        <v>8.5222678047612299E-3</v>
      </c>
    </row>
    <row r="66" spans="1:26">
      <c r="A66" s="4" t="s">
        <v>128</v>
      </c>
      <c r="B66" s="4">
        <v>7229</v>
      </c>
      <c r="C66" s="4" t="s">
        <v>44</v>
      </c>
      <c r="D66" s="4" t="s">
        <v>52</v>
      </c>
      <c r="E66" s="4" t="s">
        <v>53</v>
      </c>
      <c r="F66" s="4" t="s">
        <v>47</v>
      </c>
      <c r="G66" s="4" t="s">
        <v>31</v>
      </c>
      <c r="H66" s="4" t="s">
        <v>31</v>
      </c>
      <c r="I66" s="4" t="s">
        <v>32</v>
      </c>
      <c r="J66" s="4" t="s">
        <v>33</v>
      </c>
      <c r="K66" s="4" t="s">
        <v>34</v>
      </c>
      <c r="L66" s="4" t="s">
        <v>35</v>
      </c>
      <c r="M66" s="152">
        <v>1.5760000000000001</v>
      </c>
      <c r="N66" s="4" t="s">
        <v>54</v>
      </c>
      <c r="O66" s="165">
        <v>7.4999999999999997E-3</v>
      </c>
      <c r="P66" s="166">
        <v>7.9699999999999997E-3</v>
      </c>
      <c r="R66" s="152">
        <v>4042176</v>
      </c>
      <c r="S66" s="152">
        <v>1</v>
      </c>
      <c r="T66" s="152">
        <v>112.14</v>
      </c>
      <c r="U66" s="152">
        <v>4532.8959999999997</v>
      </c>
      <c r="W66" s="4" t="s">
        <v>37</v>
      </c>
      <c r="X66" s="166">
        <v>1.8599999999999999E-4</v>
      </c>
      <c r="Y66" s="166">
        <v>0.156184564722126</v>
      </c>
      <c r="Z66" s="166">
        <v>3.1620278587461297E-2</v>
      </c>
    </row>
    <row r="67" spans="1:26">
      <c r="A67" s="4" t="s">
        <v>128</v>
      </c>
      <c r="B67" s="4">
        <v>7229</v>
      </c>
      <c r="C67" s="4" t="s">
        <v>58</v>
      </c>
      <c r="D67" s="4" t="s">
        <v>66</v>
      </c>
      <c r="E67" s="4" t="s">
        <v>67</v>
      </c>
      <c r="F67" s="4" t="s">
        <v>61</v>
      </c>
      <c r="G67" s="4" t="s">
        <v>31</v>
      </c>
      <c r="H67" s="4" t="s">
        <v>31</v>
      </c>
      <c r="I67" s="4" t="s">
        <v>32</v>
      </c>
      <c r="J67" s="4" t="s">
        <v>33</v>
      </c>
      <c r="K67" s="4" t="s">
        <v>34</v>
      </c>
      <c r="L67" s="4" t="s">
        <v>35</v>
      </c>
      <c r="M67" s="152">
        <v>2.9369999999999998</v>
      </c>
      <c r="N67" s="4" t="s">
        <v>68</v>
      </c>
      <c r="O67" s="165">
        <v>0.02</v>
      </c>
      <c r="P67" s="166">
        <v>4.0149999999999998E-2</v>
      </c>
      <c r="R67" s="152">
        <v>321278</v>
      </c>
      <c r="S67" s="152">
        <v>1</v>
      </c>
      <c r="T67" s="152">
        <v>94.43</v>
      </c>
      <c r="U67" s="152">
        <v>303.38299999999998</v>
      </c>
      <c r="W67" s="4" t="s">
        <v>37</v>
      </c>
      <c r="X67" s="166">
        <v>1.5E-5</v>
      </c>
      <c r="Y67" s="166">
        <v>1.0453297677245E-2</v>
      </c>
      <c r="Z67" s="166">
        <v>2.1163178659825998E-3</v>
      </c>
    </row>
    <row r="68" spans="1:26">
      <c r="A68" s="4" t="s">
        <v>128</v>
      </c>
      <c r="B68" s="4">
        <v>7229</v>
      </c>
      <c r="C68" s="4" t="s">
        <v>44</v>
      </c>
      <c r="D68" s="4" t="s">
        <v>72</v>
      </c>
      <c r="E68" s="4" t="s">
        <v>73</v>
      </c>
      <c r="F68" s="4" t="s">
        <v>47</v>
      </c>
      <c r="G68" s="4" t="s">
        <v>31</v>
      </c>
      <c r="H68" s="4" t="s">
        <v>31</v>
      </c>
      <c r="I68" s="4" t="s">
        <v>32</v>
      </c>
      <c r="J68" s="4" t="s">
        <v>33</v>
      </c>
      <c r="K68" s="4" t="s">
        <v>34</v>
      </c>
      <c r="L68" s="4" t="s">
        <v>35</v>
      </c>
      <c r="M68" s="152">
        <v>14.135</v>
      </c>
      <c r="N68" s="4" t="s">
        <v>74</v>
      </c>
      <c r="O68" s="165">
        <v>2.75E-2</v>
      </c>
      <c r="P68" s="166">
        <v>1.7819999999999999E-2</v>
      </c>
      <c r="R68" s="152">
        <v>317439</v>
      </c>
      <c r="S68" s="152">
        <v>1</v>
      </c>
      <c r="T68" s="152">
        <v>138.12</v>
      </c>
      <c r="U68" s="152">
        <v>438.447</v>
      </c>
      <c r="W68" s="4" t="s">
        <v>37</v>
      </c>
      <c r="X68" s="166">
        <v>1.7E-5</v>
      </c>
      <c r="Y68" s="166">
        <v>1.51070335143316E-2</v>
      </c>
      <c r="Z68" s="166">
        <v>3.0584879447156299E-3</v>
      </c>
    </row>
    <row r="69" spans="1:26">
      <c r="A69" s="4" t="s">
        <v>128</v>
      </c>
      <c r="B69" s="4">
        <v>7229</v>
      </c>
      <c r="C69" s="4" t="s">
        <v>44</v>
      </c>
      <c r="D69" s="4" t="s">
        <v>75</v>
      </c>
      <c r="E69" s="4" t="s">
        <v>76</v>
      </c>
      <c r="F69" s="4" t="s">
        <v>47</v>
      </c>
      <c r="G69" s="4" t="s">
        <v>31</v>
      </c>
      <c r="H69" s="4" t="s">
        <v>31</v>
      </c>
      <c r="I69" s="4" t="s">
        <v>32</v>
      </c>
      <c r="J69" s="4" t="s">
        <v>33</v>
      </c>
      <c r="K69" s="4" t="s">
        <v>34</v>
      </c>
      <c r="L69" s="4" t="s">
        <v>35</v>
      </c>
      <c r="M69" s="152">
        <v>5.0910000000000002</v>
      </c>
      <c r="N69" s="4" t="s">
        <v>77</v>
      </c>
      <c r="O69" s="165">
        <v>5.0000000000000001E-3</v>
      </c>
      <c r="P69" s="166">
        <v>1.34E-2</v>
      </c>
      <c r="R69" s="152">
        <v>5560395</v>
      </c>
      <c r="S69" s="152">
        <v>1</v>
      </c>
      <c r="T69" s="152">
        <v>107.2</v>
      </c>
      <c r="U69" s="152">
        <v>5960.7430000000004</v>
      </c>
      <c r="W69" s="4" t="s">
        <v>37</v>
      </c>
      <c r="X69" s="166">
        <v>2.7399999999999999E-4</v>
      </c>
      <c r="Y69" s="166">
        <v>0.205382185124272</v>
      </c>
      <c r="Z69" s="166">
        <v>4.1580561575243903E-2</v>
      </c>
    </row>
    <row r="70" spans="1:26">
      <c r="A70" s="4" t="s">
        <v>128</v>
      </c>
      <c r="B70" s="4">
        <v>7229</v>
      </c>
      <c r="C70" s="4" t="s">
        <v>44</v>
      </c>
      <c r="D70" s="4" t="s">
        <v>81</v>
      </c>
      <c r="E70" s="4" t="s">
        <v>82</v>
      </c>
      <c r="F70" s="4" t="s">
        <v>47</v>
      </c>
      <c r="G70" s="4" t="s">
        <v>31</v>
      </c>
      <c r="H70" s="4" t="s">
        <v>31</v>
      </c>
      <c r="I70" s="4" t="s">
        <v>32</v>
      </c>
      <c r="J70" s="4" t="s">
        <v>33</v>
      </c>
      <c r="K70" s="4" t="s">
        <v>34</v>
      </c>
      <c r="L70" s="4" t="s">
        <v>35</v>
      </c>
      <c r="M70" s="152">
        <v>4.4779999999999998</v>
      </c>
      <c r="N70" s="4" t="s">
        <v>83</v>
      </c>
      <c r="O70" s="165">
        <v>1.0999999999999999E-2</v>
      </c>
      <c r="P70" s="166">
        <v>1.302E-2</v>
      </c>
      <c r="R70" s="152">
        <v>1400000</v>
      </c>
      <c r="S70" s="152">
        <v>1</v>
      </c>
      <c r="T70" s="152">
        <v>100.29</v>
      </c>
      <c r="U70" s="152">
        <v>1404.06</v>
      </c>
      <c r="W70" s="4" t="s">
        <v>37</v>
      </c>
      <c r="X70" s="166">
        <v>0</v>
      </c>
      <c r="Y70" s="166">
        <v>4.8378010855234098E-2</v>
      </c>
      <c r="Z70" s="166">
        <v>9.7943492909899395E-3</v>
      </c>
    </row>
    <row r="71" spans="1:26">
      <c r="A71" s="4" t="s">
        <v>128</v>
      </c>
      <c r="B71" s="4">
        <v>7229</v>
      </c>
      <c r="C71" s="4" t="s">
        <v>58</v>
      </c>
      <c r="D71" s="4" t="s">
        <v>84</v>
      </c>
      <c r="E71" s="4" t="s">
        <v>85</v>
      </c>
      <c r="F71" s="4" t="s">
        <v>61</v>
      </c>
      <c r="G71" s="4" t="s">
        <v>31</v>
      </c>
      <c r="H71" s="4" t="s">
        <v>31</v>
      </c>
      <c r="I71" s="4" t="s">
        <v>32</v>
      </c>
      <c r="J71" s="4" t="s">
        <v>33</v>
      </c>
      <c r="K71" s="4" t="s">
        <v>34</v>
      </c>
      <c r="L71" s="4" t="s">
        <v>35</v>
      </c>
      <c r="M71" s="152">
        <v>7.56</v>
      </c>
      <c r="N71" s="4" t="s">
        <v>86</v>
      </c>
      <c r="O71" s="165">
        <v>1.2999999999999999E-2</v>
      </c>
      <c r="P71" s="166">
        <v>4.3119999999999999E-2</v>
      </c>
      <c r="R71" s="152">
        <v>4044912</v>
      </c>
      <c r="S71" s="152">
        <v>1</v>
      </c>
      <c r="T71" s="152">
        <v>81.010000000000005</v>
      </c>
      <c r="U71" s="152">
        <v>3276.7829999999999</v>
      </c>
      <c r="W71" s="4" t="s">
        <v>37</v>
      </c>
      <c r="X71" s="166">
        <v>1.8799999999999999E-4</v>
      </c>
      <c r="Y71" s="166">
        <v>0.11290418768548501</v>
      </c>
      <c r="Z71" s="166">
        <v>2.2857968549310201E-2</v>
      </c>
    </row>
    <row r="72" spans="1:26">
      <c r="A72" s="4" t="s">
        <v>128</v>
      </c>
      <c r="B72" s="4">
        <v>7229</v>
      </c>
      <c r="C72" s="4" t="s">
        <v>96</v>
      </c>
      <c r="D72" s="4" t="s">
        <v>97</v>
      </c>
      <c r="E72" s="4" t="s">
        <v>98</v>
      </c>
      <c r="F72" s="4" t="s">
        <v>99</v>
      </c>
      <c r="G72" s="4" t="s">
        <v>100</v>
      </c>
      <c r="H72" s="4" t="s">
        <v>101</v>
      </c>
      <c r="I72" s="4" t="s">
        <v>102</v>
      </c>
      <c r="J72" s="4" t="s">
        <v>103</v>
      </c>
      <c r="K72" s="4" t="s">
        <v>104</v>
      </c>
      <c r="L72" s="4" t="s">
        <v>105</v>
      </c>
      <c r="M72" s="152">
        <v>0.55000000000000004</v>
      </c>
      <c r="N72" s="4" t="s">
        <v>106</v>
      </c>
      <c r="O72" s="165">
        <v>0</v>
      </c>
      <c r="P72" s="166">
        <v>5.1659999999999998E-2</v>
      </c>
      <c r="R72" s="152">
        <v>110000</v>
      </c>
      <c r="S72" s="152">
        <v>3.681</v>
      </c>
      <c r="T72" s="152">
        <v>97.096999999999994</v>
      </c>
      <c r="U72" s="152">
        <v>393.15600000000001</v>
      </c>
      <c r="W72" s="4" t="s">
        <v>37</v>
      </c>
      <c r="X72" s="166">
        <v>0</v>
      </c>
      <c r="Y72" s="166">
        <v>1.35465000292264E-2</v>
      </c>
      <c r="Z72" s="166">
        <v>2.7425508120554202E-3</v>
      </c>
    </row>
    <row r="73" spans="1:26">
      <c r="A73" s="4" t="s">
        <v>128</v>
      </c>
      <c r="B73" s="4">
        <v>7229</v>
      </c>
      <c r="C73" s="4" t="s">
        <v>107</v>
      </c>
      <c r="D73" s="4" t="s">
        <v>108</v>
      </c>
      <c r="E73" s="4" t="s">
        <v>109</v>
      </c>
      <c r="F73" s="4" t="s">
        <v>99</v>
      </c>
      <c r="G73" s="4" t="s">
        <v>100</v>
      </c>
      <c r="H73" s="4" t="s">
        <v>101</v>
      </c>
      <c r="I73" s="4" t="s">
        <v>110</v>
      </c>
      <c r="J73" s="4" t="s">
        <v>103</v>
      </c>
      <c r="K73" s="4" t="s">
        <v>111</v>
      </c>
      <c r="L73" s="4" t="s">
        <v>105</v>
      </c>
      <c r="M73" s="152">
        <v>7.68</v>
      </c>
      <c r="N73" s="4" t="s">
        <v>112</v>
      </c>
      <c r="O73" s="165">
        <v>3.875E-2</v>
      </c>
      <c r="P73" s="166">
        <v>4.4130000000000003E-2</v>
      </c>
      <c r="R73" s="152">
        <v>560000</v>
      </c>
      <c r="S73" s="152">
        <v>3.681</v>
      </c>
      <c r="T73" s="152">
        <v>97.903999999999996</v>
      </c>
      <c r="U73" s="152">
        <v>2018.1479999999999</v>
      </c>
      <c r="W73" s="4" t="s">
        <v>37</v>
      </c>
      <c r="X73" s="166">
        <v>0</v>
      </c>
      <c r="Y73" s="166">
        <v>6.95368943188516E-2</v>
      </c>
      <c r="Z73" s="166">
        <v>1.4078061903113601E-2</v>
      </c>
    </row>
    <row r="74" spans="1:26">
      <c r="A74" s="4" t="s">
        <v>128</v>
      </c>
      <c r="B74" s="4">
        <v>7229</v>
      </c>
      <c r="C74" s="4" t="s">
        <v>107</v>
      </c>
      <c r="D74" s="4" t="s">
        <v>113</v>
      </c>
      <c r="E74" s="4" t="s">
        <v>114</v>
      </c>
      <c r="F74" s="4" t="s">
        <v>99</v>
      </c>
      <c r="G74" s="4" t="s">
        <v>100</v>
      </c>
      <c r="H74" s="4" t="s">
        <v>101</v>
      </c>
      <c r="I74" s="4" t="s">
        <v>102</v>
      </c>
      <c r="J74" s="4" t="s">
        <v>103</v>
      </c>
      <c r="K74" s="4" t="s">
        <v>111</v>
      </c>
      <c r="L74" s="4" t="s">
        <v>105</v>
      </c>
      <c r="M74" s="152">
        <v>7.6</v>
      </c>
      <c r="N74" s="4" t="s">
        <v>115</v>
      </c>
      <c r="O74" s="165">
        <v>4.4999999999999998E-2</v>
      </c>
      <c r="P74" s="166">
        <v>4.4110000000000003E-2</v>
      </c>
      <c r="R74" s="152">
        <v>195000</v>
      </c>
      <c r="S74" s="152">
        <v>3.681</v>
      </c>
      <c r="T74" s="152">
        <v>103.979</v>
      </c>
      <c r="U74" s="152">
        <v>746.35900000000004</v>
      </c>
      <c r="W74" s="4" t="s">
        <v>37</v>
      </c>
      <c r="X74" s="166">
        <v>0</v>
      </c>
      <c r="Y74" s="166">
        <v>2.5716394329359099E-2</v>
      </c>
      <c r="Z74" s="166">
        <v>5.2064015058470503E-3</v>
      </c>
    </row>
    <row r="75" spans="1:26">
      <c r="A75" s="4" t="s">
        <v>128</v>
      </c>
      <c r="B75" s="4">
        <v>7229</v>
      </c>
      <c r="C75" s="4" t="s">
        <v>107</v>
      </c>
      <c r="D75" s="4" t="s">
        <v>116</v>
      </c>
      <c r="E75" s="4" t="s">
        <v>117</v>
      </c>
      <c r="F75" s="4" t="s">
        <v>99</v>
      </c>
      <c r="G75" s="4" t="s">
        <v>100</v>
      </c>
      <c r="H75" s="4" t="s">
        <v>101</v>
      </c>
      <c r="I75" s="4" t="s">
        <v>102</v>
      </c>
      <c r="J75" s="4" t="s">
        <v>103</v>
      </c>
      <c r="K75" s="4" t="s">
        <v>111</v>
      </c>
      <c r="L75" s="4" t="s">
        <v>105</v>
      </c>
      <c r="M75" s="152">
        <v>7.57</v>
      </c>
      <c r="N75" s="4" t="s">
        <v>118</v>
      </c>
      <c r="O75" s="165">
        <v>3.3750000000000002E-2</v>
      </c>
      <c r="P75" s="166">
        <v>4.4089999999999997E-2</v>
      </c>
      <c r="R75" s="152">
        <v>1240000</v>
      </c>
      <c r="S75" s="152">
        <v>3.681</v>
      </c>
      <c r="T75" s="152">
        <v>95.013999999999996</v>
      </c>
      <c r="U75" s="152">
        <v>4336.848</v>
      </c>
      <c r="W75" s="4" t="s">
        <v>37</v>
      </c>
      <c r="X75" s="166">
        <v>1.1E-5</v>
      </c>
      <c r="Y75" s="166">
        <v>0.14942956457096401</v>
      </c>
      <c r="Z75" s="166">
        <v>3.0252697949655499E-2</v>
      </c>
    </row>
    <row r="76" spans="1:26">
      <c r="A76" s="4" t="s">
        <v>128</v>
      </c>
      <c r="B76" s="4">
        <v>9817</v>
      </c>
      <c r="C76" s="4" t="s">
        <v>44</v>
      </c>
      <c r="D76" s="4" t="s">
        <v>45</v>
      </c>
      <c r="E76" s="4" t="s">
        <v>46</v>
      </c>
      <c r="F76" s="4" t="s">
        <v>47</v>
      </c>
      <c r="G76" s="4" t="s">
        <v>31</v>
      </c>
      <c r="H76" s="4" t="s">
        <v>31</v>
      </c>
      <c r="I76" s="4" t="s">
        <v>32</v>
      </c>
      <c r="J76" s="4" t="s">
        <v>33</v>
      </c>
      <c r="K76" s="4" t="s">
        <v>34</v>
      </c>
      <c r="L76" s="4" t="s">
        <v>35</v>
      </c>
      <c r="M76" s="152">
        <v>3.1190000000000002</v>
      </c>
      <c r="N76" s="4" t="s">
        <v>48</v>
      </c>
      <c r="O76" s="165">
        <v>7.4999999999999997E-3</v>
      </c>
      <c r="P76" s="166">
        <v>1.1520000000000001E-2</v>
      </c>
      <c r="R76" s="152">
        <v>46564</v>
      </c>
      <c r="S76" s="152">
        <v>1</v>
      </c>
      <c r="T76" s="152">
        <v>111.88</v>
      </c>
      <c r="U76" s="152">
        <v>52.095999999999997</v>
      </c>
      <c r="W76" s="4" t="s">
        <v>37</v>
      </c>
      <c r="X76" s="166">
        <v>1.9999999999999999E-6</v>
      </c>
      <c r="Y76" s="166">
        <v>0.17447947963758301</v>
      </c>
      <c r="Z76" s="166">
        <v>3.5913047834797103E-2</v>
      </c>
    </row>
    <row r="77" spans="1:26">
      <c r="A77" s="4" t="s">
        <v>128</v>
      </c>
      <c r="B77" s="4">
        <v>9817</v>
      </c>
      <c r="C77" s="4" t="s">
        <v>44</v>
      </c>
      <c r="D77" s="4" t="s">
        <v>49</v>
      </c>
      <c r="E77" s="4" t="s">
        <v>50</v>
      </c>
      <c r="F77" s="4" t="s">
        <v>47</v>
      </c>
      <c r="G77" s="4" t="s">
        <v>31</v>
      </c>
      <c r="H77" s="4" t="s">
        <v>31</v>
      </c>
      <c r="I77" s="4" t="s">
        <v>32</v>
      </c>
      <c r="J77" s="4" t="s">
        <v>33</v>
      </c>
      <c r="K77" s="4" t="s">
        <v>34</v>
      </c>
      <c r="L77" s="4" t="s">
        <v>35</v>
      </c>
      <c r="M77" s="152">
        <v>18.8</v>
      </c>
      <c r="N77" s="4" t="s">
        <v>51</v>
      </c>
      <c r="O77" s="165">
        <v>0.01</v>
      </c>
      <c r="P77" s="166">
        <v>1.8530000000000001E-2</v>
      </c>
      <c r="R77" s="152">
        <v>8018</v>
      </c>
      <c r="S77" s="152">
        <v>1</v>
      </c>
      <c r="T77" s="152">
        <v>96.44</v>
      </c>
      <c r="U77" s="152">
        <v>7.7329999999999997</v>
      </c>
      <c r="W77" s="4" t="s">
        <v>37</v>
      </c>
      <c r="X77" s="166">
        <v>0</v>
      </c>
      <c r="Y77" s="166">
        <v>2.5897919268145601E-2</v>
      </c>
      <c r="Z77" s="166">
        <v>5.3305593037675002E-3</v>
      </c>
    </row>
    <row r="78" spans="1:26">
      <c r="A78" s="4" t="s">
        <v>128</v>
      </c>
      <c r="B78" s="4">
        <v>9817</v>
      </c>
      <c r="C78" s="4" t="s">
        <v>58</v>
      </c>
      <c r="D78" s="4" t="s">
        <v>63</v>
      </c>
      <c r="E78" s="4" t="s">
        <v>64</v>
      </c>
      <c r="F78" s="4" t="s">
        <v>61</v>
      </c>
      <c r="G78" s="4" t="s">
        <v>31</v>
      </c>
      <c r="H78" s="4" t="s">
        <v>31</v>
      </c>
      <c r="I78" s="4" t="s">
        <v>32</v>
      </c>
      <c r="J78" s="4" t="s">
        <v>33</v>
      </c>
      <c r="K78" s="4" t="s">
        <v>34</v>
      </c>
      <c r="L78" s="4" t="s">
        <v>35</v>
      </c>
      <c r="M78" s="152">
        <v>4.5629999999999997</v>
      </c>
      <c r="N78" s="4" t="s">
        <v>65</v>
      </c>
      <c r="O78" s="165">
        <v>3.7499999999999999E-2</v>
      </c>
      <c r="P78" s="166">
        <v>4.0939999999999997E-2</v>
      </c>
      <c r="R78" s="152">
        <v>34455</v>
      </c>
      <c r="S78" s="152">
        <v>1</v>
      </c>
      <c r="T78" s="152">
        <v>98.83</v>
      </c>
      <c r="U78" s="152">
        <v>34.052</v>
      </c>
      <c r="W78" s="4" t="s">
        <v>37</v>
      </c>
      <c r="X78" s="166">
        <v>3.0000000000000001E-6</v>
      </c>
      <c r="Y78" s="166">
        <v>0.11404668567243099</v>
      </c>
      <c r="Z78" s="166">
        <v>2.3474187832641099E-2</v>
      </c>
    </row>
    <row r="79" spans="1:26">
      <c r="A79" s="4" t="s">
        <v>128</v>
      </c>
      <c r="B79" s="4">
        <v>9817</v>
      </c>
      <c r="C79" s="4" t="s">
        <v>58</v>
      </c>
      <c r="D79" s="4" t="s">
        <v>66</v>
      </c>
      <c r="E79" s="4" t="s">
        <v>67</v>
      </c>
      <c r="F79" s="4" t="s">
        <v>61</v>
      </c>
      <c r="G79" s="4" t="s">
        <v>31</v>
      </c>
      <c r="H79" s="4" t="s">
        <v>31</v>
      </c>
      <c r="I79" s="4" t="s">
        <v>32</v>
      </c>
      <c r="J79" s="4" t="s">
        <v>33</v>
      </c>
      <c r="K79" s="4" t="s">
        <v>34</v>
      </c>
      <c r="L79" s="4" t="s">
        <v>35</v>
      </c>
      <c r="M79" s="152">
        <v>2.9369999999999998</v>
      </c>
      <c r="N79" s="4" t="s">
        <v>68</v>
      </c>
      <c r="O79" s="165">
        <v>0.02</v>
      </c>
      <c r="P79" s="166">
        <v>4.0149999999999998E-2</v>
      </c>
      <c r="R79" s="152">
        <v>23827</v>
      </c>
      <c r="S79" s="152">
        <v>1</v>
      </c>
      <c r="T79" s="152">
        <v>94.43</v>
      </c>
      <c r="U79" s="152">
        <v>22.5</v>
      </c>
      <c r="W79" s="4" t="s">
        <v>37</v>
      </c>
      <c r="X79" s="166">
        <v>9.9999999999999995E-7</v>
      </c>
      <c r="Y79" s="166">
        <v>7.5356544165133404E-2</v>
      </c>
      <c r="Z79" s="166">
        <v>1.55106100779802E-2</v>
      </c>
    </row>
    <row r="80" spans="1:26">
      <c r="A80" s="4" t="s">
        <v>128</v>
      </c>
      <c r="B80" s="4">
        <v>9817</v>
      </c>
      <c r="C80" s="4" t="s">
        <v>58</v>
      </c>
      <c r="D80" s="4" t="s">
        <v>135</v>
      </c>
      <c r="E80" s="4" t="s">
        <v>136</v>
      </c>
      <c r="F80" s="4" t="s">
        <v>61</v>
      </c>
      <c r="G80" s="4" t="s">
        <v>31</v>
      </c>
      <c r="H80" s="4" t="s">
        <v>31</v>
      </c>
      <c r="I80" s="4" t="s">
        <v>32</v>
      </c>
      <c r="J80" s="4" t="s">
        <v>33</v>
      </c>
      <c r="K80" s="4" t="s">
        <v>34</v>
      </c>
      <c r="L80" s="4" t="s">
        <v>35</v>
      </c>
      <c r="M80" s="152">
        <v>2.4129999999999998</v>
      </c>
      <c r="N80" s="4" t="s">
        <v>137</v>
      </c>
      <c r="O80" s="165">
        <v>6.25E-2</v>
      </c>
      <c r="P80" s="166">
        <v>3.9949999999999999E-2</v>
      </c>
      <c r="R80" s="152">
        <v>50083</v>
      </c>
      <c r="S80" s="152">
        <v>1</v>
      </c>
      <c r="T80" s="152">
        <v>108.03</v>
      </c>
      <c r="U80" s="152">
        <v>54.104999999999997</v>
      </c>
      <c r="W80" s="4" t="s">
        <v>37</v>
      </c>
      <c r="X80" s="166">
        <v>3.0000000000000001E-6</v>
      </c>
      <c r="Y80" s="166">
        <v>0.181207567555418</v>
      </c>
      <c r="Z80" s="166">
        <v>3.7297887723888097E-2</v>
      </c>
    </row>
    <row r="81" spans="1:26">
      <c r="A81" s="4" t="s">
        <v>128</v>
      </c>
      <c r="B81" s="4">
        <v>9817</v>
      </c>
      <c r="C81" s="4" t="s">
        <v>58</v>
      </c>
      <c r="D81" s="4" t="s">
        <v>138</v>
      </c>
      <c r="E81" s="4" t="s">
        <v>139</v>
      </c>
      <c r="F81" s="4" t="s">
        <v>61</v>
      </c>
      <c r="G81" s="4" t="s">
        <v>31</v>
      </c>
      <c r="H81" s="4" t="s">
        <v>31</v>
      </c>
      <c r="I81" s="4" t="s">
        <v>32</v>
      </c>
      <c r="J81" s="4" t="s">
        <v>33</v>
      </c>
      <c r="K81" s="4" t="s">
        <v>34</v>
      </c>
      <c r="L81" s="4" t="s">
        <v>35</v>
      </c>
      <c r="M81" s="152">
        <v>11.997999999999999</v>
      </c>
      <c r="N81" s="4" t="s">
        <v>140</v>
      </c>
      <c r="O81" s="165">
        <v>5.5E-2</v>
      </c>
      <c r="P81" s="166">
        <v>4.7149999999999997E-2</v>
      </c>
      <c r="R81" s="152">
        <v>14496</v>
      </c>
      <c r="S81" s="152">
        <v>1</v>
      </c>
      <c r="T81" s="152">
        <v>110.25</v>
      </c>
      <c r="U81" s="152">
        <v>15.981999999999999</v>
      </c>
      <c r="W81" s="4" t="s">
        <v>37</v>
      </c>
      <c r="X81" s="166">
        <v>9.9999999999999995E-7</v>
      </c>
      <c r="Y81" s="166">
        <v>5.3526444657083297E-2</v>
      </c>
      <c r="Z81" s="166">
        <v>1.10173286359481E-2</v>
      </c>
    </row>
    <row r="82" spans="1:26">
      <c r="A82" s="4" t="s">
        <v>128</v>
      </c>
      <c r="B82" s="4">
        <v>9817</v>
      </c>
      <c r="C82" s="4" t="s">
        <v>123</v>
      </c>
      <c r="D82" s="4" t="s">
        <v>124</v>
      </c>
      <c r="E82" s="4" t="s">
        <v>125</v>
      </c>
      <c r="F82" s="4" t="s">
        <v>126</v>
      </c>
      <c r="G82" s="4" t="s">
        <v>31</v>
      </c>
      <c r="H82" s="4" t="s">
        <v>31</v>
      </c>
      <c r="I82" s="4" t="s">
        <v>32</v>
      </c>
      <c r="J82" s="4" t="s">
        <v>33</v>
      </c>
      <c r="K82" s="4" t="s">
        <v>34</v>
      </c>
      <c r="L82" s="4" t="s">
        <v>35</v>
      </c>
      <c r="M82" s="152">
        <v>2.0720000000000001</v>
      </c>
      <c r="N82" s="4" t="s">
        <v>127</v>
      </c>
      <c r="O82" s="165">
        <v>3.9399999999999998E-2</v>
      </c>
      <c r="P82" s="166">
        <v>4.743E-2</v>
      </c>
      <c r="R82" s="152">
        <v>16029</v>
      </c>
      <c r="S82" s="152">
        <v>1</v>
      </c>
      <c r="T82" s="152">
        <v>99.22</v>
      </c>
      <c r="U82" s="152">
        <v>15.904</v>
      </c>
      <c r="W82" s="4" t="s">
        <v>37</v>
      </c>
      <c r="X82" s="166">
        <v>9.9999999999999995E-7</v>
      </c>
      <c r="Y82" s="166">
        <v>5.3265654857851397E-2</v>
      </c>
      <c r="Z82" s="166">
        <v>1.0963650366422601E-2</v>
      </c>
    </row>
    <row r="83" spans="1:26">
      <c r="A83" s="4" t="s">
        <v>128</v>
      </c>
      <c r="B83" s="4">
        <v>9817</v>
      </c>
      <c r="C83" s="4" t="s">
        <v>44</v>
      </c>
      <c r="D83" s="4" t="s">
        <v>75</v>
      </c>
      <c r="E83" s="4" t="s">
        <v>76</v>
      </c>
      <c r="F83" s="4" t="s">
        <v>47</v>
      </c>
      <c r="G83" s="4" t="s">
        <v>31</v>
      </c>
      <c r="H83" s="4" t="s">
        <v>31</v>
      </c>
      <c r="I83" s="4" t="s">
        <v>32</v>
      </c>
      <c r="J83" s="4" t="s">
        <v>33</v>
      </c>
      <c r="K83" s="4" t="s">
        <v>34</v>
      </c>
      <c r="L83" s="4" t="s">
        <v>35</v>
      </c>
      <c r="M83" s="152">
        <v>5.0910000000000002</v>
      </c>
      <c r="N83" s="4" t="s">
        <v>77</v>
      </c>
      <c r="O83" s="165">
        <v>5.0000000000000001E-3</v>
      </c>
      <c r="P83" s="166">
        <v>1.34E-2</v>
      </c>
      <c r="R83" s="152">
        <v>55357</v>
      </c>
      <c r="S83" s="152">
        <v>1</v>
      </c>
      <c r="T83" s="152">
        <v>107.2</v>
      </c>
      <c r="U83" s="152">
        <v>59.343000000000004</v>
      </c>
      <c r="W83" s="4" t="s">
        <v>37</v>
      </c>
      <c r="X83" s="166">
        <v>3.0000000000000001E-6</v>
      </c>
      <c r="Y83" s="166">
        <v>0.19875082978290801</v>
      </c>
      <c r="Z83" s="166">
        <v>4.0908811007605503E-2</v>
      </c>
    </row>
    <row r="84" spans="1:26">
      <c r="A84" s="4" t="s">
        <v>128</v>
      </c>
      <c r="B84" s="4">
        <v>9817</v>
      </c>
      <c r="C84" s="4" t="s">
        <v>44</v>
      </c>
      <c r="D84" s="4" t="s">
        <v>78</v>
      </c>
      <c r="E84" s="4" t="s">
        <v>79</v>
      </c>
      <c r="F84" s="4" t="s">
        <v>47</v>
      </c>
      <c r="G84" s="4" t="s">
        <v>31</v>
      </c>
      <c r="H84" s="4" t="s">
        <v>31</v>
      </c>
      <c r="I84" s="4" t="s">
        <v>32</v>
      </c>
      <c r="J84" s="4" t="s">
        <v>33</v>
      </c>
      <c r="K84" s="4" t="s">
        <v>34</v>
      </c>
      <c r="L84" s="4" t="s">
        <v>35</v>
      </c>
      <c r="M84" s="152">
        <v>2.3279999999999998</v>
      </c>
      <c r="N84" s="4" t="s">
        <v>80</v>
      </c>
      <c r="O84" s="165">
        <v>1E-3</v>
      </c>
      <c r="P84" s="166">
        <v>1.0410000000000001E-2</v>
      </c>
      <c r="R84" s="152">
        <v>4610</v>
      </c>
      <c r="S84" s="152">
        <v>1</v>
      </c>
      <c r="T84" s="152">
        <v>109.23</v>
      </c>
      <c r="U84" s="152">
        <v>5.0359999999999996</v>
      </c>
      <c r="W84" s="4" t="s">
        <v>37</v>
      </c>
      <c r="X84" s="166">
        <v>0</v>
      </c>
      <c r="Y84" s="166">
        <v>1.68649274833234E-2</v>
      </c>
      <c r="Z84" s="166">
        <v>3.4713018900390902E-3</v>
      </c>
    </row>
    <row r="85" spans="1:26">
      <c r="A85" s="4" t="s">
        <v>128</v>
      </c>
      <c r="B85" s="4">
        <v>9817</v>
      </c>
      <c r="C85" s="4" t="s">
        <v>58</v>
      </c>
      <c r="D85" s="4" t="s">
        <v>141</v>
      </c>
      <c r="E85" s="4" t="s">
        <v>142</v>
      </c>
      <c r="F85" s="4" t="s">
        <v>61</v>
      </c>
      <c r="G85" s="4" t="s">
        <v>31</v>
      </c>
      <c r="H85" s="4" t="s">
        <v>31</v>
      </c>
      <c r="I85" s="4" t="s">
        <v>32</v>
      </c>
      <c r="J85" s="4" t="s">
        <v>33</v>
      </c>
      <c r="K85" s="4" t="s">
        <v>34</v>
      </c>
      <c r="L85" s="4" t="s">
        <v>35</v>
      </c>
      <c r="M85" s="152">
        <v>1.0740000000000001</v>
      </c>
      <c r="N85" s="4" t="s">
        <v>143</v>
      </c>
      <c r="O85" s="165">
        <v>5.0000000000000001E-3</v>
      </c>
      <c r="P85" s="166">
        <v>4.0739999999999998E-2</v>
      </c>
      <c r="R85" s="152">
        <v>16865</v>
      </c>
      <c r="S85" s="152">
        <v>1</v>
      </c>
      <c r="T85" s="152">
        <v>96.77</v>
      </c>
      <c r="U85" s="152">
        <v>16.32</v>
      </c>
      <c r="W85" s="4" t="s">
        <v>37</v>
      </c>
      <c r="X85" s="166">
        <v>9.9999999999999995E-7</v>
      </c>
      <c r="Y85" s="166">
        <v>5.46598839959875E-2</v>
      </c>
      <c r="Z85" s="166">
        <v>1.12506240428375E-2</v>
      </c>
    </row>
    <row r="86" spans="1:26">
      <c r="A86" s="4" t="s">
        <v>128</v>
      </c>
      <c r="B86" s="4">
        <v>9817</v>
      </c>
      <c r="C86" s="4" t="s">
        <v>27</v>
      </c>
      <c r="D86" s="4" t="s">
        <v>93</v>
      </c>
      <c r="E86" s="4" t="s">
        <v>94</v>
      </c>
      <c r="F86" s="4" t="s">
        <v>30</v>
      </c>
      <c r="G86" s="4" t="s">
        <v>31</v>
      </c>
      <c r="H86" s="4" t="s">
        <v>31</v>
      </c>
      <c r="I86" s="4" t="s">
        <v>32</v>
      </c>
      <c r="J86" s="4" t="s">
        <v>33</v>
      </c>
      <c r="K86" s="4" t="s">
        <v>34</v>
      </c>
      <c r="L86" s="4" t="s">
        <v>35</v>
      </c>
      <c r="M86" s="152">
        <v>0.17799999999999999</v>
      </c>
      <c r="N86" s="4" t="s">
        <v>95</v>
      </c>
      <c r="O86" s="165">
        <v>0</v>
      </c>
      <c r="P86" s="166">
        <v>4.3180000000000003E-2</v>
      </c>
      <c r="R86" s="152">
        <v>15625</v>
      </c>
      <c r="S86" s="152">
        <v>1</v>
      </c>
      <c r="T86" s="152">
        <v>99.26</v>
      </c>
      <c r="U86" s="152">
        <v>15.509</v>
      </c>
      <c r="W86" s="4" t="s">
        <v>37</v>
      </c>
      <c r="X86" s="166">
        <v>9.9999999999999995E-7</v>
      </c>
      <c r="Y86" s="166">
        <v>5.1944062924134601E-2</v>
      </c>
      <c r="Z86" s="166">
        <v>1.0691627579374899E-2</v>
      </c>
    </row>
    <row r="87" spans="1:26">
      <c r="A87" s="4" t="s">
        <v>144</v>
      </c>
      <c r="B87" s="4">
        <v>969</v>
      </c>
      <c r="C87" s="4" t="s">
        <v>44</v>
      </c>
      <c r="D87" s="4" t="s">
        <v>49</v>
      </c>
      <c r="E87" s="4" t="s">
        <v>50</v>
      </c>
      <c r="F87" s="4" t="s">
        <v>47</v>
      </c>
      <c r="G87" s="4" t="s">
        <v>31</v>
      </c>
      <c r="H87" s="4" t="s">
        <v>31</v>
      </c>
      <c r="I87" s="4" t="s">
        <v>32</v>
      </c>
      <c r="J87" s="4" t="s">
        <v>33</v>
      </c>
      <c r="K87" s="4" t="s">
        <v>34</v>
      </c>
      <c r="L87" s="4" t="s">
        <v>35</v>
      </c>
      <c r="M87" s="152">
        <v>18.8</v>
      </c>
      <c r="N87" s="4" t="s">
        <v>51</v>
      </c>
      <c r="O87" s="165">
        <v>0.01</v>
      </c>
      <c r="P87" s="166">
        <v>1.8530000000000001E-2</v>
      </c>
      <c r="R87" s="152">
        <v>600330</v>
      </c>
      <c r="S87" s="152">
        <v>1</v>
      </c>
      <c r="T87" s="152">
        <v>96.44</v>
      </c>
      <c r="U87" s="152">
        <v>578.95799999999997</v>
      </c>
      <c r="W87" s="4" t="s">
        <v>37</v>
      </c>
      <c r="X87" s="166">
        <v>3.3000000000000003E-5</v>
      </c>
      <c r="Y87" s="166">
        <v>3.54108435763388E-2</v>
      </c>
      <c r="Z87" s="166">
        <v>7.8826335812907603E-3</v>
      </c>
    </row>
    <row r="88" spans="1:26">
      <c r="A88" s="4" t="s">
        <v>144</v>
      </c>
      <c r="B88" s="4">
        <v>969</v>
      </c>
      <c r="C88" s="4" t="s">
        <v>44</v>
      </c>
      <c r="D88" s="4" t="s">
        <v>52</v>
      </c>
      <c r="E88" s="4" t="s">
        <v>53</v>
      </c>
      <c r="F88" s="4" t="s">
        <v>47</v>
      </c>
      <c r="G88" s="4" t="s">
        <v>31</v>
      </c>
      <c r="H88" s="4" t="s">
        <v>31</v>
      </c>
      <c r="I88" s="4" t="s">
        <v>32</v>
      </c>
      <c r="J88" s="4" t="s">
        <v>33</v>
      </c>
      <c r="K88" s="4" t="s">
        <v>34</v>
      </c>
      <c r="L88" s="4" t="s">
        <v>35</v>
      </c>
      <c r="M88" s="152">
        <v>1.5760000000000001</v>
      </c>
      <c r="N88" s="4" t="s">
        <v>54</v>
      </c>
      <c r="O88" s="165">
        <v>7.4999999999999997E-3</v>
      </c>
      <c r="P88" s="166">
        <v>7.9699999999999997E-3</v>
      </c>
      <c r="R88" s="152">
        <v>124684</v>
      </c>
      <c r="S88" s="152">
        <v>1</v>
      </c>
      <c r="T88" s="152">
        <v>112.14</v>
      </c>
      <c r="U88" s="152">
        <v>139.821</v>
      </c>
      <c r="W88" s="4" t="s">
        <v>37</v>
      </c>
      <c r="X88" s="166">
        <v>6.0000000000000002E-6</v>
      </c>
      <c r="Y88" s="166">
        <v>8.5518544898424698E-3</v>
      </c>
      <c r="Z88" s="166">
        <v>1.9036862321175499E-3</v>
      </c>
    </row>
    <row r="89" spans="1:26">
      <c r="A89" s="4" t="s">
        <v>144</v>
      </c>
      <c r="B89" s="4">
        <v>969</v>
      </c>
      <c r="C89" s="4" t="s">
        <v>58</v>
      </c>
      <c r="D89" s="4" t="s">
        <v>63</v>
      </c>
      <c r="E89" s="4" t="s">
        <v>64</v>
      </c>
      <c r="F89" s="4" t="s">
        <v>61</v>
      </c>
      <c r="G89" s="4" t="s">
        <v>31</v>
      </c>
      <c r="H89" s="4" t="s">
        <v>31</v>
      </c>
      <c r="I89" s="4" t="s">
        <v>32</v>
      </c>
      <c r="J89" s="4" t="s">
        <v>33</v>
      </c>
      <c r="K89" s="4" t="s">
        <v>34</v>
      </c>
      <c r="L89" s="4" t="s">
        <v>35</v>
      </c>
      <c r="M89" s="152">
        <v>4.5629999999999997</v>
      </c>
      <c r="N89" s="4" t="s">
        <v>65</v>
      </c>
      <c r="O89" s="165">
        <v>3.7499999999999999E-2</v>
      </c>
      <c r="P89" s="166">
        <v>4.0939999999999997E-2</v>
      </c>
      <c r="R89" s="152">
        <v>1705284</v>
      </c>
      <c r="S89" s="152">
        <v>1</v>
      </c>
      <c r="T89" s="152">
        <v>98.83</v>
      </c>
      <c r="U89" s="152">
        <v>1685.3320000000001</v>
      </c>
      <c r="W89" s="4" t="s">
        <v>37</v>
      </c>
      <c r="X89" s="166">
        <v>1.3300000000000001E-4</v>
      </c>
      <c r="Y89" s="166">
        <v>0.10308003020051899</v>
      </c>
      <c r="Z89" s="166">
        <v>2.2946138119172298E-2</v>
      </c>
    </row>
    <row r="90" spans="1:26">
      <c r="A90" s="4" t="s">
        <v>144</v>
      </c>
      <c r="B90" s="4">
        <v>969</v>
      </c>
      <c r="C90" s="4" t="s">
        <v>58</v>
      </c>
      <c r="D90" s="4" t="s">
        <v>66</v>
      </c>
      <c r="E90" s="4" t="s">
        <v>67</v>
      </c>
      <c r="F90" s="4" t="s">
        <v>61</v>
      </c>
      <c r="G90" s="4" t="s">
        <v>31</v>
      </c>
      <c r="H90" s="4" t="s">
        <v>31</v>
      </c>
      <c r="I90" s="4" t="s">
        <v>32</v>
      </c>
      <c r="J90" s="4" t="s">
        <v>33</v>
      </c>
      <c r="K90" s="4" t="s">
        <v>34</v>
      </c>
      <c r="L90" s="4" t="s">
        <v>35</v>
      </c>
      <c r="M90" s="152">
        <v>2.9369999999999998</v>
      </c>
      <c r="N90" s="4" t="s">
        <v>68</v>
      </c>
      <c r="O90" s="165">
        <v>0.02</v>
      </c>
      <c r="P90" s="166">
        <v>4.0149999999999998E-2</v>
      </c>
      <c r="R90" s="152">
        <v>146623</v>
      </c>
      <c r="S90" s="152">
        <v>1</v>
      </c>
      <c r="T90" s="152">
        <v>94.43</v>
      </c>
      <c r="U90" s="152">
        <v>138.45599999999999</v>
      </c>
      <c r="W90" s="4" t="s">
        <v>37</v>
      </c>
      <c r="X90" s="166">
        <v>6.9999999999999999E-6</v>
      </c>
      <c r="Y90" s="166">
        <v>8.4683951621748205E-3</v>
      </c>
      <c r="Z90" s="166">
        <v>1.88510776200778E-3</v>
      </c>
    </row>
    <row r="91" spans="1:26">
      <c r="A91" s="4" t="s">
        <v>144</v>
      </c>
      <c r="B91" s="4">
        <v>969</v>
      </c>
      <c r="C91" s="4" t="s">
        <v>44</v>
      </c>
      <c r="D91" s="4" t="s">
        <v>72</v>
      </c>
      <c r="E91" s="4" t="s">
        <v>73</v>
      </c>
      <c r="F91" s="4" t="s">
        <v>47</v>
      </c>
      <c r="G91" s="4" t="s">
        <v>31</v>
      </c>
      <c r="H91" s="4" t="s">
        <v>31</v>
      </c>
      <c r="I91" s="4" t="s">
        <v>32</v>
      </c>
      <c r="J91" s="4" t="s">
        <v>33</v>
      </c>
      <c r="K91" s="4" t="s">
        <v>34</v>
      </c>
      <c r="L91" s="4" t="s">
        <v>35</v>
      </c>
      <c r="M91" s="152">
        <v>14.135</v>
      </c>
      <c r="N91" s="4" t="s">
        <v>74</v>
      </c>
      <c r="O91" s="165">
        <v>2.75E-2</v>
      </c>
      <c r="P91" s="166">
        <v>1.7819999999999999E-2</v>
      </c>
      <c r="R91" s="152">
        <v>506322</v>
      </c>
      <c r="S91" s="152">
        <v>1</v>
      </c>
      <c r="T91" s="152">
        <v>138.12</v>
      </c>
      <c r="U91" s="152">
        <v>699.33199999999999</v>
      </c>
      <c r="W91" s="4" t="s">
        <v>37</v>
      </c>
      <c r="X91" s="166">
        <v>2.8E-5</v>
      </c>
      <c r="Y91" s="166">
        <v>4.2773264007137601E-2</v>
      </c>
      <c r="Z91" s="166">
        <v>9.5215457524251198E-3</v>
      </c>
    </row>
    <row r="92" spans="1:26">
      <c r="A92" s="4" t="s">
        <v>144</v>
      </c>
      <c r="B92" s="4">
        <v>969</v>
      </c>
      <c r="C92" s="4" t="s">
        <v>44</v>
      </c>
      <c r="D92" s="4" t="s">
        <v>75</v>
      </c>
      <c r="E92" s="4" t="s">
        <v>76</v>
      </c>
      <c r="F92" s="4" t="s">
        <v>47</v>
      </c>
      <c r="G92" s="4" t="s">
        <v>31</v>
      </c>
      <c r="H92" s="4" t="s">
        <v>31</v>
      </c>
      <c r="I92" s="4" t="s">
        <v>32</v>
      </c>
      <c r="J92" s="4" t="s">
        <v>33</v>
      </c>
      <c r="K92" s="4" t="s">
        <v>34</v>
      </c>
      <c r="L92" s="4" t="s">
        <v>35</v>
      </c>
      <c r="M92" s="152">
        <v>5.0910000000000002</v>
      </c>
      <c r="N92" s="4" t="s">
        <v>77</v>
      </c>
      <c r="O92" s="165">
        <v>5.0000000000000001E-3</v>
      </c>
      <c r="P92" s="166">
        <v>1.34E-2</v>
      </c>
      <c r="R92" s="152">
        <v>2249360</v>
      </c>
      <c r="S92" s="152">
        <v>1</v>
      </c>
      <c r="T92" s="152">
        <v>107.2</v>
      </c>
      <c r="U92" s="152">
        <v>2411.3139999999999</v>
      </c>
      <c r="W92" s="4" t="s">
        <v>37</v>
      </c>
      <c r="X92" s="166">
        <v>1.11E-4</v>
      </c>
      <c r="Y92" s="166">
        <v>0.14748327662590799</v>
      </c>
      <c r="Z92" s="166">
        <v>3.2830526234257501E-2</v>
      </c>
    </row>
    <row r="93" spans="1:26">
      <c r="A93" s="4" t="s">
        <v>144</v>
      </c>
      <c r="B93" s="4">
        <v>969</v>
      </c>
      <c r="C93" s="4" t="s">
        <v>44</v>
      </c>
      <c r="D93" s="4" t="s">
        <v>78</v>
      </c>
      <c r="E93" s="4" t="s">
        <v>79</v>
      </c>
      <c r="F93" s="4" t="s">
        <v>47</v>
      </c>
      <c r="G93" s="4" t="s">
        <v>31</v>
      </c>
      <c r="H93" s="4" t="s">
        <v>31</v>
      </c>
      <c r="I93" s="4" t="s">
        <v>32</v>
      </c>
      <c r="J93" s="4" t="s">
        <v>33</v>
      </c>
      <c r="K93" s="4" t="s">
        <v>34</v>
      </c>
      <c r="L93" s="4" t="s">
        <v>35</v>
      </c>
      <c r="M93" s="152">
        <v>2.3279999999999998</v>
      </c>
      <c r="N93" s="4" t="s">
        <v>80</v>
      </c>
      <c r="O93" s="165">
        <v>1E-3</v>
      </c>
      <c r="P93" s="166">
        <v>1.0410000000000001E-2</v>
      </c>
      <c r="R93" s="152">
        <v>3177286</v>
      </c>
      <c r="S93" s="152">
        <v>1</v>
      </c>
      <c r="T93" s="152">
        <v>109.23</v>
      </c>
      <c r="U93" s="152">
        <v>3470.549</v>
      </c>
      <c r="W93" s="4" t="s">
        <v>37</v>
      </c>
      <c r="X93" s="166">
        <v>1.5799999999999999E-4</v>
      </c>
      <c r="Y93" s="166">
        <v>0.21226933887892299</v>
      </c>
      <c r="Z93" s="166">
        <v>4.7252232647838802E-2</v>
      </c>
    </row>
    <row r="94" spans="1:26">
      <c r="A94" s="4" t="s">
        <v>144</v>
      </c>
      <c r="B94" s="4">
        <v>969</v>
      </c>
      <c r="C94" s="4" t="s">
        <v>44</v>
      </c>
      <c r="D94" s="4" t="s">
        <v>81</v>
      </c>
      <c r="E94" s="4" t="s">
        <v>82</v>
      </c>
      <c r="F94" s="4" t="s">
        <v>47</v>
      </c>
      <c r="G94" s="4" t="s">
        <v>31</v>
      </c>
      <c r="H94" s="4" t="s">
        <v>31</v>
      </c>
      <c r="I94" s="4" t="s">
        <v>32</v>
      </c>
      <c r="J94" s="4" t="s">
        <v>33</v>
      </c>
      <c r="K94" s="4" t="s">
        <v>34</v>
      </c>
      <c r="L94" s="4" t="s">
        <v>35</v>
      </c>
      <c r="M94" s="152">
        <v>4.4779999999999998</v>
      </c>
      <c r="N94" s="4" t="s">
        <v>83</v>
      </c>
      <c r="O94" s="165">
        <v>1.0999999999999999E-2</v>
      </c>
      <c r="P94" s="166">
        <v>1.302E-2</v>
      </c>
      <c r="R94" s="152">
        <v>700000</v>
      </c>
      <c r="S94" s="152">
        <v>1</v>
      </c>
      <c r="T94" s="152">
        <v>100.29</v>
      </c>
      <c r="U94" s="152">
        <v>702.03</v>
      </c>
      <c r="W94" s="4" t="s">
        <v>37</v>
      </c>
      <c r="X94" s="166">
        <v>0</v>
      </c>
      <c r="Y94" s="166">
        <v>4.2938285152721301E-2</v>
      </c>
      <c r="Z94" s="166">
        <v>9.5582802973392094E-3</v>
      </c>
    </row>
    <row r="95" spans="1:26">
      <c r="A95" s="4" t="s">
        <v>144</v>
      </c>
      <c r="B95" s="4">
        <v>969</v>
      </c>
      <c r="C95" s="4" t="s">
        <v>27</v>
      </c>
      <c r="D95" s="4" t="s">
        <v>90</v>
      </c>
      <c r="E95" s="4" t="s">
        <v>91</v>
      </c>
      <c r="F95" s="4" t="s">
        <v>30</v>
      </c>
      <c r="G95" s="4" t="s">
        <v>31</v>
      </c>
      <c r="H95" s="4" t="s">
        <v>31</v>
      </c>
      <c r="I95" s="4" t="s">
        <v>32</v>
      </c>
      <c r="J95" s="4" t="s">
        <v>33</v>
      </c>
      <c r="K95" s="4" t="s">
        <v>34</v>
      </c>
      <c r="L95" s="4" t="s">
        <v>35</v>
      </c>
      <c r="M95" s="152">
        <v>0.10100000000000001</v>
      </c>
      <c r="N95" s="4" t="s">
        <v>92</v>
      </c>
      <c r="O95" s="165">
        <v>0</v>
      </c>
      <c r="P95" s="166">
        <v>4.3430000000000003E-2</v>
      </c>
      <c r="R95" s="152">
        <v>710777</v>
      </c>
      <c r="S95" s="152">
        <v>1</v>
      </c>
      <c r="T95" s="152">
        <v>99.58</v>
      </c>
      <c r="U95" s="152">
        <v>707.79200000000003</v>
      </c>
      <c r="W95" s="4" t="s">
        <v>37</v>
      </c>
      <c r="X95" s="166">
        <v>3.8999999999999999E-5</v>
      </c>
      <c r="Y95" s="166">
        <v>4.3290690447517398E-2</v>
      </c>
      <c r="Z95" s="166">
        <v>9.6367275053249705E-3</v>
      </c>
    </row>
    <row r="96" spans="1:26">
      <c r="A96" s="4" t="s">
        <v>144</v>
      </c>
      <c r="B96" s="4">
        <v>969</v>
      </c>
      <c r="C96" s="4" t="s">
        <v>27</v>
      </c>
      <c r="D96" s="4" t="s">
        <v>93</v>
      </c>
      <c r="E96" s="4" t="s">
        <v>94</v>
      </c>
      <c r="F96" s="4" t="s">
        <v>30</v>
      </c>
      <c r="G96" s="4" t="s">
        <v>31</v>
      </c>
      <c r="H96" s="4" t="s">
        <v>31</v>
      </c>
      <c r="I96" s="4" t="s">
        <v>32</v>
      </c>
      <c r="J96" s="4" t="s">
        <v>33</v>
      </c>
      <c r="K96" s="4" t="s">
        <v>34</v>
      </c>
      <c r="L96" s="4" t="s">
        <v>35</v>
      </c>
      <c r="M96" s="152">
        <v>0.17799999999999999</v>
      </c>
      <c r="N96" s="4" t="s">
        <v>95</v>
      </c>
      <c r="O96" s="165">
        <v>0</v>
      </c>
      <c r="P96" s="166">
        <v>4.3180000000000003E-2</v>
      </c>
      <c r="R96" s="152">
        <v>343200</v>
      </c>
      <c r="S96" s="152">
        <v>1</v>
      </c>
      <c r="T96" s="152">
        <v>99.26</v>
      </c>
      <c r="U96" s="152">
        <v>340.66</v>
      </c>
      <c r="W96" s="4" t="s">
        <v>37</v>
      </c>
      <c r="X96" s="166">
        <v>1.9000000000000001E-5</v>
      </c>
      <c r="Y96" s="166">
        <v>2.0835818925654601E-2</v>
      </c>
      <c r="Z96" s="166">
        <v>4.6381590882743897E-3</v>
      </c>
    </row>
    <row r="97" spans="1:26">
      <c r="A97" s="4" t="s">
        <v>144</v>
      </c>
      <c r="B97" s="4">
        <v>969</v>
      </c>
      <c r="C97" s="4" t="s">
        <v>107</v>
      </c>
      <c r="D97" s="4" t="s">
        <v>108</v>
      </c>
      <c r="E97" s="4" t="s">
        <v>109</v>
      </c>
      <c r="F97" s="4" t="s">
        <v>99</v>
      </c>
      <c r="G97" s="4" t="s">
        <v>100</v>
      </c>
      <c r="H97" s="4" t="s">
        <v>101</v>
      </c>
      <c r="I97" s="4" t="s">
        <v>110</v>
      </c>
      <c r="J97" s="4" t="s">
        <v>103</v>
      </c>
      <c r="K97" s="4" t="s">
        <v>111</v>
      </c>
      <c r="L97" s="4" t="s">
        <v>105</v>
      </c>
      <c r="M97" s="152">
        <v>7.68</v>
      </c>
      <c r="N97" s="4" t="s">
        <v>112</v>
      </c>
      <c r="O97" s="165">
        <v>3.875E-2</v>
      </c>
      <c r="P97" s="166">
        <v>4.4130000000000003E-2</v>
      </c>
      <c r="R97" s="152">
        <v>470000</v>
      </c>
      <c r="S97" s="152">
        <v>3.681</v>
      </c>
      <c r="T97" s="152">
        <v>97.903999999999996</v>
      </c>
      <c r="U97" s="152">
        <v>1693.8030000000001</v>
      </c>
      <c r="W97" s="4" t="s">
        <v>37</v>
      </c>
      <c r="X97" s="166">
        <v>0</v>
      </c>
      <c r="Y97" s="166">
        <v>0.10359810345161</v>
      </c>
      <c r="Z97" s="166">
        <v>2.3061463855420801E-2</v>
      </c>
    </row>
    <row r="98" spans="1:26">
      <c r="A98" s="4" t="s">
        <v>144</v>
      </c>
      <c r="B98" s="4">
        <v>969</v>
      </c>
      <c r="C98" s="4" t="s">
        <v>107</v>
      </c>
      <c r="D98" s="4" t="s">
        <v>113</v>
      </c>
      <c r="E98" s="4" t="s">
        <v>114</v>
      </c>
      <c r="F98" s="4" t="s">
        <v>99</v>
      </c>
      <c r="G98" s="4" t="s">
        <v>100</v>
      </c>
      <c r="H98" s="4" t="s">
        <v>101</v>
      </c>
      <c r="I98" s="4" t="s">
        <v>102</v>
      </c>
      <c r="J98" s="4" t="s">
        <v>103</v>
      </c>
      <c r="K98" s="4" t="s">
        <v>111</v>
      </c>
      <c r="L98" s="4" t="s">
        <v>105</v>
      </c>
      <c r="M98" s="152">
        <v>7.6</v>
      </c>
      <c r="N98" s="4" t="s">
        <v>115</v>
      </c>
      <c r="O98" s="165">
        <v>4.4999999999999998E-2</v>
      </c>
      <c r="P98" s="166">
        <v>4.4110000000000003E-2</v>
      </c>
      <c r="R98" s="152">
        <v>289000</v>
      </c>
      <c r="S98" s="152">
        <v>3.681</v>
      </c>
      <c r="T98" s="152">
        <v>103.979</v>
      </c>
      <c r="U98" s="152">
        <v>1106.1420000000001</v>
      </c>
      <c r="W98" s="4" t="s">
        <v>37</v>
      </c>
      <c r="X98" s="166">
        <v>0</v>
      </c>
      <c r="Y98" s="166">
        <v>6.7655014546371794E-2</v>
      </c>
      <c r="Z98" s="166">
        <v>1.5060349761401699E-2</v>
      </c>
    </row>
    <row r="99" spans="1:26">
      <c r="A99" s="4" t="s">
        <v>144</v>
      </c>
      <c r="B99" s="4">
        <v>969</v>
      </c>
      <c r="C99" s="4" t="s">
        <v>107</v>
      </c>
      <c r="D99" s="4" t="s">
        <v>116</v>
      </c>
      <c r="E99" s="4" t="s">
        <v>117</v>
      </c>
      <c r="F99" s="4" t="s">
        <v>99</v>
      </c>
      <c r="G99" s="4" t="s">
        <v>100</v>
      </c>
      <c r="H99" s="4" t="s">
        <v>101</v>
      </c>
      <c r="I99" s="4" t="s">
        <v>102</v>
      </c>
      <c r="J99" s="4" t="s">
        <v>103</v>
      </c>
      <c r="K99" s="4" t="s">
        <v>111</v>
      </c>
      <c r="L99" s="4" t="s">
        <v>105</v>
      </c>
      <c r="M99" s="152">
        <v>7.57</v>
      </c>
      <c r="N99" s="4" t="s">
        <v>118</v>
      </c>
      <c r="O99" s="165">
        <v>3.3750000000000002E-2</v>
      </c>
      <c r="P99" s="166">
        <v>4.4089999999999997E-2</v>
      </c>
      <c r="R99" s="152">
        <v>765000</v>
      </c>
      <c r="S99" s="152">
        <v>3.681</v>
      </c>
      <c r="T99" s="152">
        <v>95.013999999999996</v>
      </c>
      <c r="U99" s="152">
        <v>2675.5549999999998</v>
      </c>
      <c r="W99" s="4" t="s">
        <v>37</v>
      </c>
      <c r="X99" s="166">
        <v>6.9999999999999999E-6</v>
      </c>
      <c r="Y99" s="166">
        <v>0.16364508453528101</v>
      </c>
      <c r="Z99" s="166">
        <v>3.6428226737668302E-2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6" customWidth="1"/>
    <col min="23" max="32" width="11.625" style="4" customWidth="1"/>
    <col min="33" max="16384" width="11.625" style="4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186</v>
      </c>
      <c r="N1" s="19" t="s">
        <v>150</v>
      </c>
      <c r="O1" s="19" t="s">
        <v>9</v>
      </c>
      <c r="P1" s="19" t="s">
        <v>10</v>
      </c>
      <c r="Q1" s="19" t="s">
        <v>223</v>
      </c>
      <c r="R1" s="19" t="s">
        <v>11</v>
      </c>
      <c r="S1" s="19" t="s">
        <v>12</v>
      </c>
      <c r="T1" s="19" t="s">
        <v>954</v>
      </c>
      <c r="U1" s="19" t="s">
        <v>13</v>
      </c>
      <c r="V1" s="143" t="s">
        <v>14</v>
      </c>
      <c r="W1" s="19" t="s">
        <v>15</v>
      </c>
      <c r="X1" s="19" t="s">
        <v>457</v>
      </c>
      <c r="Y1" s="19" t="s">
        <v>875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202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47"/>
      <c r="X2" s="18"/>
      <c r="Y2" s="1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47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47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47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47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47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47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47"/>
      <c r="W9" s="18"/>
      <c r="X9" s="18"/>
      <c r="Y9" s="18"/>
      <c r="Z9" s="18"/>
      <c r="AB9" s="20"/>
      <c r="AC9" s="20"/>
      <c r="AD9" s="27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47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7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7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7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7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7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7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7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7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7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71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5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373</v>
      </c>
      <c r="M1" s="19" t="s">
        <v>8</v>
      </c>
      <c r="N1" s="19" t="s">
        <v>186</v>
      </c>
      <c r="O1" s="19" t="s">
        <v>150</v>
      </c>
      <c r="P1" s="19" t="s">
        <v>9</v>
      </c>
      <c r="Q1" s="19" t="s">
        <v>10</v>
      </c>
      <c r="R1" s="19" t="s">
        <v>223</v>
      </c>
      <c r="S1" s="19" t="s">
        <v>11</v>
      </c>
      <c r="T1" s="19" t="s">
        <v>12</v>
      </c>
      <c r="U1" s="19" t="s">
        <v>13</v>
      </c>
      <c r="V1" s="159" t="s">
        <v>14</v>
      </c>
      <c r="W1" s="163" t="s">
        <v>15</v>
      </c>
      <c r="X1" s="19" t="s">
        <v>457</v>
      </c>
      <c r="Y1" s="19" t="s">
        <v>875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202</v>
      </c>
      <c r="AG1" s="19" t="s">
        <v>22</v>
      </c>
      <c r="AH1" s="163" t="s">
        <v>23</v>
      </c>
      <c r="AI1" s="163" t="s">
        <v>24</v>
      </c>
      <c r="AJ1" s="163" t="s">
        <v>25</v>
      </c>
    </row>
    <row r="2" spans="1:36">
      <c r="A2" s="2" t="s">
        <v>26</v>
      </c>
      <c r="B2" s="20">
        <v>1182</v>
      </c>
      <c r="C2" s="20" t="s">
        <v>2240</v>
      </c>
      <c r="D2" s="20" t="s">
        <v>2241</v>
      </c>
      <c r="E2" s="18" t="s">
        <v>1380</v>
      </c>
      <c r="F2" s="20" t="s">
        <v>2242</v>
      </c>
      <c r="G2" s="20" t="s">
        <v>2243</v>
      </c>
      <c r="H2" s="18" t="s">
        <v>368</v>
      </c>
      <c r="I2" s="27" t="s">
        <v>219</v>
      </c>
      <c r="J2" s="18" t="s">
        <v>31</v>
      </c>
      <c r="K2" s="18" t="s">
        <v>346</v>
      </c>
      <c r="L2" s="20" t="s">
        <v>374</v>
      </c>
      <c r="M2" s="18" t="s">
        <v>32</v>
      </c>
      <c r="N2" s="20" t="s">
        <v>509</v>
      </c>
      <c r="O2" s="20" t="s">
        <v>164</v>
      </c>
      <c r="P2" s="20" t="s">
        <v>2244</v>
      </c>
      <c r="Q2" s="20" t="s">
        <v>104</v>
      </c>
      <c r="R2" s="20" t="s">
        <v>453</v>
      </c>
      <c r="S2" s="18" t="s">
        <v>35</v>
      </c>
      <c r="T2" s="153">
        <v>0.73899999999999999</v>
      </c>
      <c r="U2" s="20" t="s">
        <v>2245</v>
      </c>
      <c r="V2" s="167">
        <v>4.65E-2</v>
      </c>
      <c r="W2" s="168">
        <v>2.5569999999999999E-2</v>
      </c>
      <c r="X2" s="18" t="s">
        <v>459</v>
      </c>
      <c r="Y2" s="18" t="s">
        <v>164</v>
      </c>
      <c r="Z2" s="153">
        <v>97638.399999999994</v>
      </c>
      <c r="AA2" s="153">
        <v>1</v>
      </c>
      <c r="AB2" s="153">
        <v>115.33</v>
      </c>
      <c r="AC2" s="20"/>
      <c r="AD2" s="153">
        <v>112.60599999999999</v>
      </c>
      <c r="AE2" s="20"/>
      <c r="AF2" s="27"/>
      <c r="AG2" s="18" t="s">
        <v>37</v>
      </c>
      <c r="AH2" s="164">
        <v>2.2699999999999999E-4</v>
      </c>
      <c r="AI2" s="164">
        <v>5.0809307966666502E-3</v>
      </c>
      <c r="AJ2" s="164">
        <v>2.96455645986523E-4</v>
      </c>
    </row>
    <row r="3" spans="1:36">
      <c r="A3" s="20" t="s">
        <v>26</v>
      </c>
      <c r="B3" s="20">
        <v>1182</v>
      </c>
      <c r="C3" s="20" t="s">
        <v>2246</v>
      </c>
      <c r="D3" s="20" t="s">
        <v>2247</v>
      </c>
      <c r="E3" s="18" t="s">
        <v>1380</v>
      </c>
      <c r="F3" s="20" t="s">
        <v>2248</v>
      </c>
      <c r="G3" s="20" t="s">
        <v>2249</v>
      </c>
      <c r="H3" s="18" t="s">
        <v>368</v>
      </c>
      <c r="I3" s="20" t="s">
        <v>219</v>
      </c>
      <c r="J3" s="18" t="s">
        <v>31</v>
      </c>
      <c r="K3" s="18" t="s">
        <v>31</v>
      </c>
      <c r="L3" s="20" t="s">
        <v>374</v>
      </c>
      <c r="M3" s="18" t="s">
        <v>32</v>
      </c>
      <c r="N3" s="20" t="s">
        <v>500</v>
      </c>
      <c r="O3" s="20" t="s">
        <v>164</v>
      </c>
      <c r="P3" s="20" t="s">
        <v>1391</v>
      </c>
      <c r="Q3" s="20" t="s">
        <v>217</v>
      </c>
      <c r="R3" s="20" t="s">
        <v>453</v>
      </c>
      <c r="S3" s="18" t="s">
        <v>35</v>
      </c>
      <c r="T3" s="153">
        <v>5.6740000000000004</v>
      </c>
      <c r="U3" s="20" t="s">
        <v>2250</v>
      </c>
      <c r="V3" s="167">
        <v>5.1499999999999997E-2</v>
      </c>
      <c r="W3" s="168">
        <v>2.9309999999999999E-2</v>
      </c>
      <c r="X3" s="18" t="s">
        <v>459</v>
      </c>
      <c r="Y3" s="18" t="s">
        <v>164</v>
      </c>
      <c r="Z3" s="153">
        <v>86702.36</v>
      </c>
      <c r="AA3" s="153">
        <v>1</v>
      </c>
      <c r="AB3" s="153">
        <v>154.27000000000001</v>
      </c>
      <c r="AC3" s="20"/>
      <c r="AD3" s="153">
        <v>133.756</v>
      </c>
      <c r="AE3" s="20"/>
      <c r="AG3" s="18" t="s">
        <v>37</v>
      </c>
      <c r="AH3" s="164">
        <v>2.8E-5</v>
      </c>
      <c r="AI3" s="164">
        <v>6.0352148062814996E-3</v>
      </c>
      <c r="AJ3" s="164">
        <v>3.5213498779345699E-4</v>
      </c>
    </row>
    <row r="4" spans="1:36">
      <c r="A4" s="20" t="s">
        <v>26</v>
      </c>
      <c r="B4" s="20">
        <v>1182</v>
      </c>
      <c r="C4" s="20" t="s">
        <v>2251</v>
      </c>
      <c r="D4" s="20" t="s">
        <v>2252</v>
      </c>
      <c r="E4" s="18" t="s">
        <v>1380</v>
      </c>
      <c r="F4" s="20" t="s">
        <v>2253</v>
      </c>
      <c r="G4" s="20" t="s">
        <v>2254</v>
      </c>
      <c r="H4" s="18" t="s">
        <v>368</v>
      </c>
      <c r="I4" s="20" t="s">
        <v>219</v>
      </c>
      <c r="J4" s="18" t="s">
        <v>31</v>
      </c>
      <c r="K4" s="18" t="s">
        <v>31</v>
      </c>
      <c r="L4" s="20" t="s">
        <v>374</v>
      </c>
      <c r="M4" s="18" t="s">
        <v>32</v>
      </c>
      <c r="N4" s="20" t="s">
        <v>484</v>
      </c>
      <c r="O4" s="20" t="s">
        <v>164</v>
      </c>
      <c r="P4" s="20" t="s">
        <v>2255</v>
      </c>
      <c r="Q4" s="20" t="s">
        <v>217</v>
      </c>
      <c r="R4" s="20" t="s">
        <v>453</v>
      </c>
      <c r="S4" s="18" t="s">
        <v>35</v>
      </c>
      <c r="T4" s="153">
        <v>3.3180000000000001</v>
      </c>
      <c r="U4" s="20" t="s">
        <v>2256</v>
      </c>
      <c r="V4" s="167">
        <v>2.75E-2</v>
      </c>
      <c r="W4" s="168">
        <v>2.7689999999999999E-2</v>
      </c>
      <c r="X4" s="18" t="s">
        <v>459</v>
      </c>
      <c r="Y4" s="18" t="s">
        <v>164</v>
      </c>
      <c r="Z4" s="153">
        <v>195942.09</v>
      </c>
      <c r="AA4" s="153">
        <v>1</v>
      </c>
      <c r="AB4" s="153">
        <v>110.77</v>
      </c>
      <c r="AC4" s="20"/>
      <c r="AD4" s="153">
        <v>217.04499999999999</v>
      </c>
      <c r="AE4" s="20"/>
      <c r="AG4" s="18" t="s">
        <v>37</v>
      </c>
      <c r="AH4" s="164">
        <v>2.1699999999999999E-4</v>
      </c>
      <c r="AI4" s="164">
        <v>9.7933263157890908E-3</v>
      </c>
      <c r="AJ4" s="164">
        <v>5.7140846736365204E-4</v>
      </c>
    </row>
    <row r="5" spans="1:36">
      <c r="A5" s="20" t="s">
        <v>26</v>
      </c>
      <c r="B5" s="20">
        <v>1182</v>
      </c>
      <c r="C5" s="20" t="s">
        <v>2251</v>
      </c>
      <c r="D5" s="20" t="s">
        <v>2252</v>
      </c>
      <c r="E5" s="18" t="s">
        <v>1380</v>
      </c>
      <c r="F5" s="20" t="s">
        <v>2257</v>
      </c>
      <c r="G5" s="20" t="s">
        <v>2258</v>
      </c>
      <c r="H5" s="18" t="s">
        <v>368</v>
      </c>
      <c r="I5" s="20" t="s">
        <v>1011</v>
      </c>
      <c r="J5" s="18" t="s">
        <v>31</v>
      </c>
      <c r="K5" s="18" t="s">
        <v>31</v>
      </c>
      <c r="L5" s="20" t="s">
        <v>374</v>
      </c>
      <c r="M5" s="18" t="s">
        <v>32</v>
      </c>
      <c r="N5" s="20" t="s">
        <v>484</v>
      </c>
      <c r="O5" s="20" t="s">
        <v>164</v>
      </c>
      <c r="P5" s="20" t="s">
        <v>2255</v>
      </c>
      <c r="Q5" s="20" t="s">
        <v>217</v>
      </c>
      <c r="R5" s="20" t="s">
        <v>453</v>
      </c>
      <c r="S5" s="18" t="s">
        <v>35</v>
      </c>
      <c r="T5" s="153">
        <v>3.532</v>
      </c>
      <c r="U5" s="20" t="s">
        <v>2259</v>
      </c>
      <c r="V5" s="167">
        <v>2.5000000000000001E-2</v>
      </c>
      <c r="W5" s="168">
        <v>5.5169999999999997E-2</v>
      </c>
      <c r="X5" s="18" t="s">
        <v>459</v>
      </c>
      <c r="Y5" s="18" t="s">
        <v>164</v>
      </c>
      <c r="Z5" s="153">
        <v>304000</v>
      </c>
      <c r="AA5" s="153">
        <v>1</v>
      </c>
      <c r="AB5" s="153">
        <v>90.36</v>
      </c>
      <c r="AC5" s="20"/>
      <c r="AD5" s="153">
        <v>274.69400000000002</v>
      </c>
      <c r="AE5" s="20"/>
      <c r="AG5" s="18" t="s">
        <v>37</v>
      </c>
      <c r="AH5" s="164">
        <v>3.57E-4</v>
      </c>
      <c r="AI5" s="164">
        <v>1.2394532185754099E-2</v>
      </c>
      <c r="AJ5" s="164">
        <v>7.2318029764134801E-4</v>
      </c>
    </row>
    <row r="6" spans="1:36">
      <c r="A6" s="20" t="s">
        <v>26</v>
      </c>
      <c r="B6" s="20">
        <v>1182</v>
      </c>
      <c r="C6" s="20" t="s">
        <v>2260</v>
      </c>
      <c r="D6" s="20" t="s">
        <v>2261</v>
      </c>
      <c r="E6" s="18" t="s">
        <v>1380</v>
      </c>
      <c r="F6" s="20" t="s">
        <v>2262</v>
      </c>
      <c r="G6" s="20" t="s">
        <v>2263</v>
      </c>
      <c r="H6" s="18" t="s">
        <v>368</v>
      </c>
      <c r="I6" s="20" t="s">
        <v>1011</v>
      </c>
      <c r="J6" s="18" t="s">
        <v>31</v>
      </c>
      <c r="K6" s="18" t="s">
        <v>31</v>
      </c>
      <c r="L6" s="20" t="s">
        <v>374</v>
      </c>
      <c r="M6" s="18" t="s">
        <v>32</v>
      </c>
      <c r="N6" s="20" t="s">
        <v>491</v>
      </c>
      <c r="O6" s="20" t="s">
        <v>164</v>
      </c>
      <c r="P6" s="20" t="s">
        <v>2244</v>
      </c>
      <c r="Q6" s="20" t="s">
        <v>104</v>
      </c>
      <c r="R6" s="20" t="s">
        <v>453</v>
      </c>
      <c r="S6" s="18" t="s">
        <v>35</v>
      </c>
      <c r="T6" s="153">
        <v>2.7250000000000001</v>
      </c>
      <c r="U6" s="20" t="s">
        <v>2264</v>
      </c>
      <c r="V6" s="167">
        <v>2.5499999999999998E-2</v>
      </c>
      <c r="W6" s="168">
        <v>5.373E-2</v>
      </c>
      <c r="X6" s="18" t="s">
        <v>459</v>
      </c>
      <c r="Y6" s="18" t="s">
        <v>164</v>
      </c>
      <c r="Z6" s="150">
        <v>393125</v>
      </c>
      <c r="AA6" s="150">
        <v>1</v>
      </c>
      <c r="AB6" s="150">
        <v>93.65</v>
      </c>
      <c r="AC6" s="20"/>
      <c r="AD6" s="150">
        <v>368.16199999999998</v>
      </c>
      <c r="AG6" s="2" t="s">
        <v>37</v>
      </c>
      <c r="AH6" s="164">
        <v>6.7500000000000004E-4</v>
      </c>
      <c r="AI6" s="164">
        <v>1.6611879732400001E-2</v>
      </c>
      <c r="AJ6" s="164">
        <v>9.6924869363501295E-4</v>
      </c>
    </row>
    <row r="7" spans="1:36">
      <c r="A7" s="20" t="s">
        <v>26</v>
      </c>
      <c r="B7" s="20">
        <v>1182</v>
      </c>
      <c r="C7" s="20" t="s">
        <v>2265</v>
      </c>
      <c r="D7" s="20" t="s">
        <v>2266</v>
      </c>
      <c r="E7" s="18" t="s">
        <v>1380</v>
      </c>
      <c r="F7" s="20" t="s">
        <v>2267</v>
      </c>
      <c r="G7" s="20" t="s">
        <v>2268</v>
      </c>
      <c r="H7" s="18" t="s">
        <v>368</v>
      </c>
      <c r="I7" s="20" t="s">
        <v>1011</v>
      </c>
      <c r="J7" s="18" t="s">
        <v>31</v>
      </c>
      <c r="K7" s="18" t="s">
        <v>31</v>
      </c>
      <c r="L7" s="20" t="s">
        <v>374</v>
      </c>
      <c r="M7" s="18" t="s">
        <v>32</v>
      </c>
      <c r="N7" s="20" t="s">
        <v>489</v>
      </c>
      <c r="O7" s="20" t="s">
        <v>164</v>
      </c>
      <c r="P7" s="20" t="s">
        <v>2244</v>
      </c>
      <c r="Q7" s="20" t="s">
        <v>104</v>
      </c>
      <c r="R7" s="20" t="s">
        <v>453</v>
      </c>
      <c r="S7" s="18" t="s">
        <v>35</v>
      </c>
      <c r="T7" s="153">
        <v>4.4509999999999996</v>
      </c>
      <c r="U7" s="20" t="s">
        <v>2269</v>
      </c>
      <c r="V7" s="167">
        <v>2.18E-2</v>
      </c>
      <c r="W7" s="168">
        <v>5.4129999999999998E-2</v>
      </c>
      <c r="X7" s="18" t="s">
        <v>459</v>
      </c>
      <c r="Y7" s="18" t="s">
        <v>164</v>
      </c>
      <c r="Z7" s="150">
        <v>965867</v>
      </c>
      <c r="AA7" s="150">
        <v>1</v>
      </c>
      <c r="AB7" s="150">
        <v>87.63</v>
      </c>
      <c r="AC7" s="20"/>
      <c r="AD7" s="150">
        <v>846.38900000000001</v>
      </c>
      <c r="AG7" s="2" t="s">
        <v>37</v>
      </c>
      <c r="AH7" s="164">
        <v>5.875E-3</v>
      </c>
      <c r="AI7" s="164">
        <v>3.8190071682676401E-2</v>
      </c>
      <c r="AJ7" s="164">
        <v>2.2282654151453999E-3</v>
      </c>
    </row>
    <row r="8" spans="1:36">
      <c r="A8" s="20" t="s">
        <v>26</v>
      </c>
      <c r="B8" s="20">
        <v>1182</v>
      </c>
      <c r="C8" s="20" t="s">
        <v>2270</v>
      </c>
      <c r="D8" s="20" t="s">
        <v>2271</v>
      </c>
      <c r="E8" s="18" t="s">
        <v>1380</v>
      </c>
      <c r="F8" s="20" t="s">
        <v>2272</v>
      </c>
      <c r="G8" s="20" t="s">
        <v>2273</v>
      </c>
      <c r="H8" s="18" t="s">
        <v>368</v>
      </c>
      <c r="I8" s="20" t="s">
        <v>219</v>
      </c>
      <c r="J8" s="18" t="s">
        <v>31</v>
      </c>
      <c r="K8" s="18" t="s">
        <v>31</v>
      </c>
      <c r="L8" s="20" t="s">
        <v>374</v>
      </c>
      <c r="M8" s="18" t="s">
        <v>32</v>
      </c>
      <c r="N8" s="20" t="s">
        <v>508</v>
      </c>
      <c r="O8" s="20" t="s">
        <v>164</v>
      </c>
      <c r="P8" s="20" t="s">
        <v>2274</v>
      </c>
      <c r="Q8" s="20" t="s">
        <v>217</v>
      </c>
      <c r="R8" s="20" t="s">
        <v>453</v>
      </c>
      <c r="S8" s="18" t="s">
        <v>35</v>
      </c>
      <c r="T8" s="153">
        <v>2.698</v>
      </c>
      <c r="U8" s="20" t="s">
        <v>65</v>
      </c>
      <c r="V8" s="167">
        <v>2.3400000000000001E-2</v>
      </c>
      <c r="W8" s="168">
        <v>2.1569999999999999E-2</v>
      </c>
      <c r="X8" s="18" t="s">
        <v>459</v>
      </c>
      <c r="Y8" s="18" t="s">
        <v>164</v>
      </c>
      <c r="Z8" s="153">
        <v>132000.01999999999</v>
      </c>
      <c r="AA8" s="153">
        <v>1</v>
      </c>
      <c r="AB8" s="153">
        <v>111.84</v>
      </c>
      <c r="AC8" s="20"/>
      <c r="AD8" s="153">
        <v>147.62899999999999</v>
      </c>
      <c r="AE8" s="20"/>
      <c r="AG8" s="18" t="s">
        <v>37</v>
      </c>
      <c r="AH8" s="164">
        <v>5.1E-5</v>
      </c>
      <c r="AI8" s="164">
        <v>6.6611849036061497E-3</v>
      </c>
      <c r="AJ8" s="164">
        <v>3.8865828972316799E-4</v>
      </c>
    </row>
    <row r="9" spans="1:36">
      <c r="A9" s="20" t="s">
        <v>26</v>
      </c>
      <c r="B9" s="20">
        <v>1182</v>
      </c>
      <c r="C9" s="20" t="s">
        <v>2275</v>
      </c>
      <c r="D9" s="20" t="s">
        <v>2276</v>
      </c>
      <c r="E9" s="18" t="s">
        <v>1380</v>
      </c>
      <c r="F9" s="20" t="s">
        <v>2277</v>
      </c>
      <c r="G9" s="20" t="s">
        <v>2278</v>
      </c>
      <c r="H9" s="18" t="s">
        <v>368</v>
      </c>
      <c r="I9" s="20" t="s">
        <v>1011</v>
      </c>
      <c r="J9" s="18" t="s">
        <v>31</v>
      </c>
      <c r="K9" s="18" t="s">
        <v>31</v>
      </c>
      <c r="L9" s="20" t="s">
        <v>374</v>
      </c>
      <c r="M9" s="18" t="s">
        <v>32</v>
      </c>
      <c r="N9" s="20" t="s">
        <v>508</v>
      </c>
      <c r="O9" s="20" t="s">
        <v>164</v>
      </c>
      <c r="P9" s="20" t="s">
        <v>1391</v>
      </c>
      <c r="Q9" s="20" t="s">
        <v>217</v>
      </c>
      <c r="R9" s="20" t="s">
        <v>453</v>
      </c>
      <c r="S9" s="18" t="s">
        <v>35</v>
      </c>
      <c r="T9" s="153">
        <v>4.8369999999999997</v>
      </c>
      <c r="U9" s="20" t="s">
        <v>2279</v>
      </c>
      <c r="V9" s="167">
        <v>2.41E-2</v>
      </c>
      <c r="W9" s="168">
        <v>5.7450000000000001E-2</v>
      </c>
      <c r="X9" s="18" t="s">
        <v>459</v>
      </c>
      <c r="Y9" s="18" t="s">
        <v>164</v>
      </c>
      <c r="Z9" s="153">
        <v>204444.44</v>
      </c>
      <c r="AA9" s="153">
        <v>1</v>
      </c>
      <c r="AB9" s="153">
        <v>85.75</v>
      </c>
      <c r="AC9" s="20"/>
      <c r="AD9" s="153">
        <v>175.31100000000001</v>
      </c>
      <c r="AE9" s="20"/>
      <c r="AG9" s="18" t="s">
        <v>37</v>
      </c>
      <c r="AH9" s="164">
        <v>1.3200000000000001E-4</v>
      </c>
      <c r="AI9" s="164">
        <v>7.9102419341276608E-3</v>
      </c>
      <c r="AJ9" s="164">
        <v>4.6153667041282299E-4</v>
      </c>
    </row>
    <row r="10" spans="1:36">
      <c r="A10" s="20" t="s">
        <v>26</v>
      </c>
      <c r="B10" s="20">
        <v>1182</v>
      </c>
      <c r="C10" s="20" t="s">
        <v>2275</v>
      </c>
      <c r="D10" s="20" t="s">
        <v>2276</v>
      </c>
      <c r="E10" s="18" t="s">
        <v>1380</v>
      </c>
      <c r="F10" s="20" t="s">
        <v>2280</v>
      </c>
      <c r="G10" s="20" t="s">
        <v>2281</v>
      </c>
      <c r="H10" s="18" t="s">
        <v>368</v>
      </c>
      <c r="I10" s="20" t="s">
        <v>1011</v>
      </c>
      <c r="J10" s="18" t="s">
        <v>31</v>
      </c>
      <c r="K10" s="18" t="s">
        <v>31</v>
      </c>
      <c r="L10" s="20" t="s">
        <v>374</v>
      </c>
      <c r="M10" s="18" t="s">
        <v>32</v>
      </c>
      <c r="N10" s="20" t="s">
        <v>508</v>
      </c>
      <c r="O10" s="20" t="s">
        <v>164</v>
      </c>
      <c r="P10" s="20" t="s">
        <v>1396</v>
      </c>
      <c r="Q10" s="20" t="s">
        <v>104</v>
      </c>
      <c r="R10" s="20" t="s">
        <v>453</v>
      </c>
      <c r="S10" s="18" t="s">
        <v>35</v>
      </c>
      <c r="T10" s="153">
        <v>6.7889999999999997</v>
      </c>
      <c r="U10" s="20" t="s">
        <v>2282</v>
      </c>
      <c r="V10" s="167">
        <v>4.9399999999999999E-2</v>
      </c>
      <c r="W10" s="168">
        <v>6.2219999999999998E-2</v>
      </c>
      <c r="X10" s="18" t="s">
        <v>459</v>
      </c>
      <c r="Y10" s="18" t="s">
        <v>164</v>
      </c>
      <c r="Z10" s="153">
        <v>235951</v>
      </c>
      <c r="AA10" s="153">
        <v>1</v>
      </c>
      <c r="AB10" s="153">
        <v>92.4</v>
      </c>
      <c r="AC10" s="20"/>
      <c r="AD10" s="153">
        <v>218.01900000000001</v>
      </c>
      <c r="AE10" s="20"/>
      <c r="AG10" s="18" t="s">
        <v>37</v>
      </c>
      <c r="AH10" s="164">
        <v>4.4499999999999997E-4</v>
      </c>
      <c r="AI10" s="164">
        <v>9.8372594844126308E-3</v>
      </c>
      <c r="AJ10" s="164">
        <v>5.7397182364732195E-4</v>
      </c>
    </row>
    <row r="11" spans="1:36">
      <c r="A11" s="20" t="s">
        <v>26</v>
      </c>
      <c r="B11" s="20">
        <v>1182</v>
      </c>
      <c r="C11" s="20" t="s">
        <v>1867</v>
      </c>
      <c r="D11" s="20" t="s">
        <v>1868</v>
      </c>
      <c r="E11" s="18" t="s">
        <v>1380</v>
      </c>
      <c r="F11" s="20" t="s">
        <v>2283</v>
      </c>
      <c r="G11" s="20" t="s">
        <v>2284</v>
      </c>
      <c r="H11" s="18" t="s">
        <v>368</v>
      </c>
      <c r="I11" s="20" t="s">
        <v>1011</v>
      </c>
      <c r="J11" s="18" t="s">
        <v>31</v>
      </c>
      <c r="K11" s="18" t="s">
        <v>31</v>
      </c>
      <c r="L11" s="20" t="s">
        <v>374</v>
      </c>
      <c r="M11" s="18" t="s">
        <v>32</v>
      </c>
      <c r="N11" s="20" t="s">
        <v>495</v>
      </c>
      <c r="O11" s="20" t="s">
        <v>164</v>
      </c>
      <c r="P11" s="20" t="s">
        <v>2285</v>
      </c>
      <c r="Q11" s="20" t="s">
        <v>217</v>
      </c>
      <c r="R11" s="20" t="s">
        <v>453</v>
      </c>
      <c r="S11" s="18" t="s">
        <v>35</v>
      </c>
      <c r="T11" s="153">
        <v>3.41</v>
      </c>
      <c r="U11" s="20" t="s">
        <v>2286</v>
      </c>
      <c r="V11" s="167">
        <v>0.04</v>
      </c>
      <c r="W11" s="168">
        <v>5.0200000000000002E-2</v>
      </c>
      <c r="X11" s="18" t="s">
        <v>459</v>
      </c>
      <c r="Y11" s="18" t="s">
        <v>164</v>
      </c>
      <c r="Z11" s="153">
        <v>218750.04</v>
      </c>
      <c r="AA11" s="153">
        <v>1</v>
      </c>
      <c r="AB11" s="153">
        <v>97.7</v>
      </c>
      <c r="AC11" s="20"/>
      <c r="AD11" s="153">
        <v>213.71899999999999</v>
      </c>
      <c r="AE11" s="20"/>
      <c r="AG11" s="18" t="s">
        <v>37</v>
      </c>
      <c r="AH11" s="164">
        <v>2.8299999999999999E-4</v>
      </c>
      <c r="AI11" s="164">
        <v>9.6432413982682208E-3</v>
      </c>
      <c r="AJ11" s="164">
        <v>5.6265150472096603E-4</v>
      </c>
    </row>
    <row r="12" spans="1:36">
      <c r="A12" s="20" t="s">
        <v>26</v>
      </c>
      <c r="B12" s="20">
        <v>1182</v>
      </c>
      <c r="C12" s="20" t="s">
        <v>2287</v>
      </c>
      <c r="D12" s="20" t="s">
        <v>2288</v>
      </c>
      <c r="E12" s="18" t="s">
        <v>1380</v>
      </c>
      <c r="F12" s="20" t="s">
        <v>2289</v>
      </c>
      <c r="G12" s="20" t="s">
        <v>2290</v>
      </c>
      <c r="H12" s="18" t="s">
        <v>368</v>
      </c>
      <c r="I12" s="20" t="s">
        <v>219</v>
      </c>
      <c r="J12" s="18" t="s">
        <v>31</v>
      </c>
      <c r="K12" s="18" t="s">
        <v>31</v>
      </c>
      <c r="L12" s="20" t="s">
        <v>374</v>
      </c>
      <c r="M12" s="18" t="s">
        <v>32</v>
      </c>
      <c r="N12" s="20" t="s">
        <v>509</v>
      </c>
      <c r="O12" s="20" t="s">
        <v>164</v>
      </c>
      <c r="P12" s="20" t="s">
        <v>2244</v>
      </c>
      <c r="Q12" s="20" t="s">
        <v>104</v>
      </c>
      <c r="R12" s="20" t="s">
        <v>453</v>
      </c>
      <c r="S12" s="18" t="s">
        <v>35</v>
      </c>
      <c r="T12" s="153">
        <v>1.9430000000000001</v>
      </c>
      <c r="U12" s="20" t="s">
        <v>2291</v>
      </c>
      <c r="V12" s="167">
        <v>2.5700000000000001E-2</v>
      </c>
      <c r="W12" s="168">
        <v>2.477E-2</v>
      </c>
      <c r="X12" s="18" t="s">
        <v>459</v>
      </c>
      <c r="Y12" s="18" t="s">
        <v>164</v>
      </c>
      <c r="Z12" s="153">
        <v>910740</v>
      </c>
      <c r="AA12" s="153">
        <v>1</v>
      </c>
      <c r="AB12" s="153">
        <v>113.66</v>
      </c>
      <c r="AC12" s="20"/>
      <c r="AD12" s="153">
        <v>1035.1469999999999</v>
      </c>
      <c r="AE12" s="20"/>
      <c r="AG12" s="18" t="s">
        <v>37</v>
      </c>
      <c r="AH12" s="164">
        <v>7.1000000000000002E-4</v>
      </c>
      <c r="AI12" s="164">
        <v>4.6707045537249699E-2</v>
      </c>
      <c r="AJ12" s="164">
        <v>2.7252029029703299E-3</v>
      </c>
    </row>
    <row r="13" spans="1:36">
      <c r="A13" s="20" t="s">
        <v>26</v>
      </c>
      <c r="B13" s="20">
        <v>1182</v>
      </c>
      <c r="C13" s="20" t="s">
        <v>2287</v>
      </c>
      <c r="D13" s="20" t="s">
        <v>2288</v>
      </c>
      <c r="E13" s="18" t="s">
        <v>1380</v>
      </c>
      <c r="F13" s="20" t="s">
        <v>2292</v>
      </c>
      <c r="G13" s="20" t="s">
        <v>2293</v>
      </c>
      <c r="H13" s="18" t="s">
        <v>368</v>
      </c>
      <c r="I13" s="20" t="s">
        <v>219</v>
      </c>
      <c r="J13" s="18" t="s">
        <v>31</v>
      </c>
      <c r="K13" s="18" t="s">
        <v>31</v>
      </c>
      <c r="L13" s="20" t="s">
        <v>374</v>
      </c>
      <c r="M13" s="18" t="s">
        <v>32</v>
      </c>
      <c r="N13" s="20" t="s">
        <v>509</v>
      </c>
      <c r="O13" s="20" t="s">
        <v>164</v>
      </c>
      <c r="P13" s="20" t="s">
        <v>2244</v>
      </c>
      <c r="Q13" s="20" t="s">
        <v>104</v>
      </c>
      <c r="R13" s="20" t="s">
        <v>453</v>
      </c>
      <c r="S13" s="18" t="s">
        <v>35</v>
      </c>
      <c r="T13" s="153">
        <v>5.6210000000000004</v>
      </c>
      <c r="U13" s="20" t="s">
        <v>2294</v>
      </c>
      <c r="V13" s="167">
        <v>1.54E-2</v>
      </c>
      <c r="W13" s="168">
        <v>3.2969999999999999E-2</v>
      </c>
      <c r="X13" s="18" t="s">
        <v>459</v>
      </c>
      <c r="Y13" s="18" t="s">
        <v>164</v>
      </c>
      <c r="Z13" s="153">
        <v>317000</v>
      </c>
      <c r="AA13" s="153">
        <v>1</v>
      </c>
      <c r="AB13" s="153">
        <v>98.44</v>
      </c>
      <c r="AC13" s="20"/>
      <c r="AD13" s="153">
        <v>312.05500000000001</v>
      </c>
      <c r="AE13" s="20"/>
      <c r="AG13" s="18" t="s">
        <v>37</v>
      </c>
      <c r="AH13" s="164">
        <v>9.0600000000000001E-4</v>
      </c>
      <c r="AI13" s="164">
        <v>1.40802770726999E-2</v>
      </c>
      <c r="AJ13" s="164">
        <v>8.2153798237026804E-4</v>
      </c>
    </row>
    <row r="14" spans="1:36">
      <c r="A14" s="20" t="s">
        <v>26</v>
      </c>
      <c r="B14" s="20">
        <v>1182</v>
      </c>
      <c r="C14" s="20" t="s">
        <v>2295</v>
      </c>
      <c r="D14" s="20" t="s">
        <v>2296</v>
      </c>
      <c r="E14" s="18" t="s">
        <v>1380</v>
      </c>
      <c r="F14" s="20" t="s">
        <v>2297</v>
      </c>
      <c r="G14" s="20" t="s">
        <v>2298</v>
      </c>
      <c r="H14" s="18" t="s">
        <v>368</v>
      </c>
      <c r="I14" s="20" t="s">
        <v>219</v>
      </c>
      <c r="J14" s="18" t="s">
        <v>31</v>
      </c>
      <c r="K14" s="18" t="s">
        <v>31</v>
      </c>
      <c r="L14" s="20" t="s">
        <v>374</v>
      </c>
      <c r="M14" s="18" t="s">
        <v>32</v>
      </c>
      <c r="N14" s="20" t="s">
        <v>508</v>
      </c>
      <c r="O14" s="20" t="s">
        <v>164</v>
      </c>
      <c r="P14" s="20" t="s">
        <v>2299</v>
      </c>
      <c r="Q14" s="20" t="s">
        <v>217</v>
      </c>
      <c r="R14" s="20" t="s">
        <v>453</v>
      </c>
      <c r="S14" s="18" t="s">
        <v>35</v>
      </c>
      <c r="T14" s="153">
        <v>6.4809999999999999</v>
      </c>
      <c r="U14" s="20" t="s">
        <v>2300</v>
      </c>
      <c r="V14" s="167">
        <v>3.6799999999999999E-2</v>
      </c>
      <c r="W14" s="168">
        <v>3.6380000000000003E-2</v>
      </c>
      <c r="X14" s="18" t="s">
        <v>459</v>
      </c>
      <c r="Y14" s="18" t="s">
        <v>164</v>
      </c>
      <c r="Z14" s="153">
        <v>444000</v>
      </c>
      <c r="AA14" s="153">
        <v>1</v>
      </c>
      <c r="AB14" s="153">
        <v>101.74</v>
      </c>
      <c r="AC14" s="20"/>
      <c r="AD14" s="153">
        <v>451.726</v>
      </c>
      <c r="AE14" s="20"/>
      <c r="AG14" s="18" t="s">
        <v>37</v>
      </c>
      <c r="AH14" s="164">
        <v>0</v>
      </c>
      <c r="AI14" s="164">
        <v>2.0382386711665999E-2</v>
      </c>
      <c r="AJ14" s="164">
        <v>1.18924540820714E-3</v>
      </c>
    </row>
    <row r="15" spans="1:36">
      <c r="A15" s="20" t="s">
        <v>26</v>
      </c>
      <c r="B15" s="20">
        <v>1182</v>
      </c>
      <c r="C15" s="20" t="s">
        <v>2295</v>
      </c>
      <c r="D15" s="20" t="s">
        <v>2296</v>
      </c>
      <c r="E15" s="18" t="s">
        <v>1380</v>
      </c>
      <c r="F15" s="20" t="s">
        <v>2301</v>
      </c>
      <c r="G15" s="20" t="s">
        <v>2302</v>
      </c>
      <c r="H15" s="18" t="s">
        <v>368</v>
      </c>
      <c r="I15" s="20" t="s">
        <v>219</v>
      </c>
      <c r="J15" s="18" t="s">
        <v>31</v>
      </c>
      <c r="K15" s="18" t="s">
        <v>31</v>
      </c>
      <c r="L15" s="20" t="s">
        <v>374</v>
      </c>
      <c r="M15" s="18" t="s">
        <v>32</v>
      </c>
      <c r="N15" s="20" t="s">
        <v>508</v>
      </c>
      <c r="O15" s="20" t="s">
        <v>164</v>
      </c>
      <c r="P15" s="20" t="s">
        <v>2299</v>
      </c>
      <c r="Q15" s="20" t="s">
        <v>217</v>
      </c>
      <c r="R15" s="20" t="s">
        <v>453</v>
      </c>
      <c r="S15" s="18" t="s">
        <v>35</v>
      </c>
      <c r="T15" s="153">
        <v>1.919</v>
      </c>
      <c r="U15" s="20" t="s">
        <v>2303</v>
      </c>
      <c r="V15" s="167">
        <v>3.4599999999999999E-2</v>
      </c>
      <c r="W15" s="168">
        <v>2.6380000000000001E-2</v>
      </c>
      <c r="X15" s="18" t="s">
        <v>459</v>
      </c>
      <c r="Y15" s="18" t="s">
        <v>164</v>
      </c>
      <c r="Z15" s="153">
        <v>231818.18</v>
      </c>
      <c r="AA15" s="153">
        <v>1</v>
      </c>
      <c r="AB15" s="153">
        <v>115.44</v>
      </c>
      <c r="AC15" s="20"/>
      <c r="AD15" s="153">
        <v>267.61099999999999</v>
      </c>
      <c r="AE15" s="20"/>
      <c r="AG15" s="18" t="s">
        <v>37</v>
      </c>
      <c r="AH15" s="164">
        <v>1.877E-3</v>
      </c>
      <c r="AI15" s="164">
        <v>1.2074916707334399E-2</v>
      </c>
      <c r="AJ15" s="164">
        <v>7.0453178284867E-4</v>
      </c>
    </row>
    <row r="16" spans="1:36">
      <c r="A16" s="20" t="s">
        <v>26</v>
      </c>
      <c r="B16" s="20">
        <v>1182</v>
      </c>
      <c r="C16" s="20" t="s">
        <v>1891</v>
      </c>
      <c r="D16" s="20" t="s">
        <v>1892</v>
      </c>
      <c r="E16" s="18" t="s">
        <v>1380</v>
      </c>
      <c r="F16" s="20" t="s">
        <v>2304</v>
      </c>
      <c r="G16" s="20" t="s">
        <v>2305</v>
      </c>
      <c r="H16" s="18" t="s">
        <v>368</v>
      </c>
      <c r="I16" s="20" t="s">
        <v>1011</v>
      </c>
      <c r="J16" s="18" t="s">
        <v>31</v>
      </c>
      <c r="K16" s="18" t="s">
        <v>31</v>
      </c>
      <c r="L16" s="20" t="s">
        <v>374</v>
      </c>
      <c r="M16" s="18" t="s">
        <v>32</v>
      </c>
      <c r="N16" s="20" t="s">
        <v>484</v>
      </c>
      <c r="O16" s="20" t="s">
        <v>164</v>
      </c>
      <c r="P16" s="20" t="s">
        <v>2285</v>
      </c>
      <c r="Q16" s="20" t="s">
        <v>217</v>
      </c>
      <c r="R16" s="20" t="s">
        <v>453</v>
      </c>
      <c r="S16" s="18" t="s">
        <v>35</v>
      </c>
      <c r="T16" s="153">
        <v>2.7269999999999999</v>
      </c>
      <c r="U16" s="20" t="s">
        <v>2306</v>
      </c>
      <c r="V16" s="167">
        <v>2.7E-2</v>
      </c>
      <c r="W16" s="168">
        <v>5.2819999999999999E-2</v>
      </c>
      <c r="X16" s="18" t="s">
        <v>459</v>
      </c>
      <c r="Y16" s="18" t="s">
        <v>164</v>
      </c>
      <c r="Z16" s="153">
        <v>200000</v>
      </c>
      <c r="AA16" s="153">
        <v>1</v>
      </c>
      <c r="AB16" s="153">
        <v>93.45</v>
      </c>
      <c r="AC16" s="20"/>
      <c r="AD16" s="153">
        <v>186.9</v>
      </c>
      <c r="AE16" s="20"/>
      <c r="AG16" s="18" t="s">
        <v>37</v>
      </c>
      <c r="AH16" s="164">
        <v>2.6699999999999998E-4</v>
      </c>
      <c r="AI16" s="164">
        <v>8.4331463091982892E-3</v>
      </c>
      <c r="AJ16" s="164">
        <v>4.9204642551565602E-4</v>
      </c>
    </row>
    <row r="17" spans="1:36">
      <c r="A17" s="20" t="s">
        <v>26</v>
      </c>
      <c r="B17" s="20">
        <v>1182</v>
      </c>
      <c r="C17" s="20" t="s">
        <v>2307</v>
      </c>
      <c r="D17" s="20" t="s">
        <v>2308</v>
      </c>
      <c r="E17" s="18" t="s">
        <v>1380</v>
      </c>
      <c r="F17" s="20" t="s">
        <v>2309</v>
      </c>
      <c r="G17" s="20" t="s">
        <v>2310</v>
      </c>
      <c r="H17" s="18" t="s">
        <v>368</v>
      </c>
      <c r="I17" s="20" t="s">
        <v>1011</v>
      </c>
      <c r="J17" s="18" t="s">
        <v>31</v>
      </c>
      <c r="K17" s="18" t="s">
        <v>31</v>
      </c>
      <c r="L17" s="20" t="s">
        <v>374</v>
      </c>
      <c r="M17" s="18" t="s">
        <v>32</v>
      </c>
      <c r="N17" s="20" t="s">
        <v>529</v>
      </c>
      <c r="O17" s="20" t="s">
        <v>164</v>
      </c>
      <c r="P17" s="20" t="s">
        <v>2311</v>
      </c>
      <c r="Q17" s="20" t="s">
        <v>104</v>
      </c>
      <c r="R17" s="20" t="s">
        <v>453</v>
      </c>
      <c r="S17" s="18" t="s">
        <v>35</v>
      </c>
      <c r="T17" s="153">
        <v>2.5310000000000001</v>
      </c>
      <c r="U17" s="20" t="s">
        <v>2312</v>
      </c>
      <c r="V17" s="167">
        <v>3.6499999999999998E-2</v>
      </c>
      <c r="W17" s="168">
        <v>5.2229999999999999E-2</v>
      </c>
      <c r="X17" s="18" t="s">
        <v>459</v>
      </c>
      <c r="Y17" s="18" t="s">
        <v>164</v>
      </c>
      <c r="Z17" s="153">
        <v>639989.89</v>
      </c>
      <c r="AA17" s="153">
        <v>1</v>
      </c>
      <c r="AB17" s="153">
        <v>97.52</v>
      </c>
      <c r="AC17" s="20"/>
      <c r="AD17" s="153">
        <v>624.11800000000005</v>
      </c>
      <c r="AE17" s="20"/>
      <c r="AG17" s="18" t="s">
        <v>37</v>
      </c>
      <c r="AH17" s="164">
        <v>4.35E-4</v>
      </c>
      <c r="AI17" s="164">
        <v>2.81609395130232E-2</v>
      </c>
      <c r="AJ17" s="164">
        <v>1.6430984496773101E-3</v>
      </c>
    </row>
    <row r="18" spans="1:36">
      <c r="A18" s="20" t="s">
        <v>26</v>
      </c>
      <c r="B18" s="20">
        <v>1182</v>
      </c>
      <c r="C18" s="20" t="s">
        <v>1899</v>
      </c>
      <c r="D18" s="20" t="s">
        <v>1900</v>
      </c>
      <c r="E18" s="18" t="s">
        <v>1380</v>
      </c>
      <c r="F18" s="20" t="s">
        <v>2313</v>
      </c>
      <c r="G18" s="20" t="s">
        <v>2314</v>
      </c>
      <c r="H18" s="18" t="s">
        <v>368</v>
      </c>
      <c r="I18" s="20" t="s">
        <v>219</v>
      </c>
      <c r="J18" s="18" t="s">
        <v>31</v>
      </c>
      <c r="K18" s="18" t="s">
        <v>31</v>
      </c>
      <c r="L18" s="20" t="s">
        <v>374</v>
      </c>
      <c r="M18" s="18" t="s">
        <v>32</v>
      </c>
      <c r="N18" s="20" t="s">
        <v>508</v>
      </c>
      <c r="O18" s="20" t="s">
        <v>164</v>
      </c>
      <c r="P18" s="20" t="s">
        <v>1396</v>
      </c>
      <c r="Q18" s="20" t="s">
        <v>104</v>
      </c>
      <c r="R18" s="20" t="s">
        <v>453</v>
      </c>
      <c r="S18" s="18" t="s">
        <v>35</v>
      </c>
      <c r="T18" s="153">
        <v>4.9459999999999997</v>
      </c>
      <c r="U18" s="20" t="s">
        <v>2315</v>
      </c>
      <c r="V18" s="167">
        <v>1.17E-2</v>
      </c>
      <c r="W18" s="168">
        <v>2.989E-2</v>
      </c>
      <c r="X18" s="18" t="s">
        <v>459</v>
      </c>
      <c r="Y18" s="18" t="s">
        <v>164</v>
      </c>
      <c r="Z18" s="153">
        <v>190888.24</v>
      </c>
      <c r="AA18" s="153">
        <v>1</v>
      </c>
      <c r="AB18" s="153">
        <v>101.71</v>
      </c>
      <c r="AC18" s="20"/>
      <c r="AD18" s="153">
        <v>194.15199999999999</v>
      </c>
      <c r="AE18" s="20"/>
      <c r="AG18" s="18" t="s">
        <v>37</v>
      </c>
      <c r="AH18" s="164">
        <v>2.6499999999999999E-4</v>
      </c>
      <c r="AI18" s="164">
        <v>8.7603843725717005E-3</v>
      </c>
      <c r="AJ18" s="164">
        <v>5.1113969313748401E-4</v>
      </c>
    </row>
    <row r="19" spans="1:36">
      <c r="A19" s="20" t="s">
        <v>26</v>
      </c>
      <c r="B19" s="20">
        <v>1182</v>
      </c>
      <c r="C19" s="20" t="s">
        <v>1899</v>
      </c>
      <c r="D19" s="20" t="s">
        <v>1900</v>
      </c>
      <c r="E19" s="18" t="s">
        <v>1380</v>
      </c>
      <c r="F19" s="20" t="s">
        <v>2316</v>
      </c>
      <c r="G19" s="20" t="s">
        <v>2317</v>
      </c>
      <c r="H19" s="18" t="s">
        <v>368</v>
      </c>
      <c r="I19" s="20" t="s">
        <v>219</v>
      </c>
      <c r="J19" s="18" t="s">
        <v>31</v>
      </c>
      <c r="K19" s="18" t="s">
        <v>31</v>
      </c>
      <c r="L19" s="20" t="s">
        <v>374</v>
      </c>
      <c r="M19" s="18" t="s">
        <v>32</v>
      </c>
      <c r="N19" s="20" t="s">
        <v>508</v>
      </c>
      <c r="O19" s="20" t="s">
        <v>164</v>
      </c>
      <c r="P19" s="20" t="s">
        <v>1396</v>
      </c>
      <c r="Q19" s="20" t="s">
        <v>104</v>
      </c>
      <c r="R19" s="20" t="s">
        <v>453</v>
      </c>
      <c r="S19" s="18" t="s">
        <v>35</v>
      </c>
      <c r="T19" s="153">
        <v>4.7320000000000002</v>
      </c>
      <c r="U19" s="20" t="s">
        <v>2294</v>
      </c>
      <c r="V19" s="167">
        <v>1.3299999999999999E-2</v>
      </c>
      <c r="W19" s="168">
        <v>2.9340000000000001E-2</v>
      </c>
      <c r="X19" s="18" t="s">
        <v>459</v>
      </c>
      <c r="Y19" s="18" t="s">
        <v>164</v>
      </c>
      <c r="Z19" s="153">
        <v>161500</v>
      </c>
      <c r="AA19" s="153">
        <v>1</v>
      </c>
      <c r="AB19" s="153">
        <v>103.34</v>
      </c>
      <c r="AC19" s="20"/>
      <c r="AD19" s="153">
        <v>166.89400000000001</v>
      </c>
      <c r="AE19" s="20"/>
      <c r="AG19" s="18" t="s">
        <v>37</v>
      </c>
      <c r="AH19" s="164">
        <v>1.36E-4</v>
      </c>
      <c r="AI19" s="164">
        <v>7.5304567332368701E-3</v>
      </c>
      <c r="AJ19" s="164">
        <v>4.39377449677113E-4</v>
      </c>
    </row>
    <row r="20" spans="1:36">
      <c r="A20" s="2" t="s">
        <v>26</v>
      </c>
      <c r="B20" s="2">
        <v>1182</v>
      </c>
      <c r="C20" s="2" t="s">
        <v>1891</v>
      </c>
      <c r="D20" s="2" t="s">
        <v>1892</v>
      </c>
      <c r="E20" s="18" t="s">
        <v>1380</v>
      </c>
      <c r="F20" s="2" t="s">
        <v>2318</v>
      </c>
      <c r="G20" s="2" t="s">
        <v>2319</v>
      </c>
      <c r="H20" s="18" t="s">
        <v>368</v>
      </c>
      <c r="I20" s="20" t="s">
        <v>1011</v>
      </c>
      <c r="J20" s="18" t="s">
        <v>31</v>
      </c>
      <c r="K20" s="18" t="s">
        <v>31</v>
      </c>
      <c r="L20" s="20" t="s">
        <v>374</v>
      </c>
      <c r="M20" s="18" t="s">
        <v>32</v>
      </c>
      <c r="N20" s="20" t="s">
        <v>484</v>
      </c>
      <c r="O20" s="20" t="s">
        <v>164</v>
      </c>
      <c r="P20" s="2" t="s">
        <v>2285</v>
      </c>
      <c r="Q20" s="20" t="s">
        <v>217</v>
      </c>
      <c r="R20" s="20" t="s">
        <v>453</v>
      </c>
      <c r="S20" s="2" t="s">
        <v>35</v>
      </c>
      <c r="T20" s="150">
        <v>5.0060000000000002</v>
      </c>
      <c r="U20" s="2" t="s">
        <v>2320</v>
      </c>
      <c r="V20" s="162">
        <v>5.7500000000000002E-2</v>
      </c>
      <c r="W20" s="164">
        <v>5.7119999999999997E-2</v>
      </c>
      <c r="X20" s="18" t="s">
        <v>459</v>
      </c>
      <c r="Y20" s="18" t="s">
        <v>164</v>
      </c>
      <c r="Z20" s="150">
        <v>353711</v>
      </c>
      <c r="AA20" s="150">
        <v>1</v>
      </c>
      <c r="AB20" s="150">
        <v>100.67</v>
      </c>
      <c r="AD20" s="150">
        <v>356.08100000000002</v>
      </c>
      <c r="AG20" s="2" t="s">
        <v>37</v>
      </c>
      <c r="AH20" s="164">
        <v>1.572E-3</v>
      </c>
      <c r="AI20" s="164">
        <v>1.6066784491641499E-2</v>
      </c>
      <c r="AJ20" s="164">
        <v>9.3744417430771903E-4</v>
      </c>
    </row>
    <row r="21" spans="1:36">
      <c r="A21" s="2" t="s">
        <v>26</v>
      </c>
      <c r="B21" s="2">
        <v>1182</v>
      </c>
      <c r="C21" s="2" t="s">
        <v>2321</v>
      </c>
      <c r="D21" s="2" t="s">
        <v>2322</v>
      </c>
      <c r="E21" s="4" t="s">
        <v>1380</v>
      </c>
      <c r="F21" s="2" t="s">
        <v>2323</v>
      </c>
      <c r="G21" s="2" t="s">
        <v>2324</v>
      </c>
      <c r="H21" s="4" t="s">
        <v>368</v>
      </c>
      <c r="I21" s="2" t="s">
        <v>1011</v>
      </c>
      <c r="J21" s="2" t="s">
        <v>31</v>
      </c>
      <c r="K21" s="2" t="s">
        <v>31</v>
      </c>
      <c r="L21" s="2" t="s">
        <v>374</v>
      </c>
      <c r="M21" s="4" t="s">
        <v>32</v>
      </c>
      <c r="N21" s="2" t="s">
        <v>508</v>
      </c>
      <c r="O21" s="2" t="s">
        <v>164</v>
      </c>
      <c r="P21" s="2" t="s">
        <v>2274</v>
      </c>
      <c r="Q21" s="2" t="s">
        <v>217</v>
      </c>
      <c r="R21" s="2" t="s">
        <v>453</v>
      </c>
      <c r="S21" s="2" t="s">
        <v>35</v>
      </c>
      <c r="T21" s="150">
        <v>5.3819999999999997</v>
      </c>
      <c r="U21" s="2" t="s">
        <v>2325</v>
      </c>
      <c r="V21" s="162">
        <v>2.5499999999999998E-2</v>
      </c>
      <c r="W21" s="164">
        <v>5.2999999999999999E-2</v>
      </c>
      <c r="X21" s="4" t="s">
        <v>459</v>
      </c>
      <c r="Y21" s="4" t="s">
        <v>164</v>
      </c>
      <c r="Z21" s="150">
        <v>112680.01</v>
      </c>
      <c r="AA21" s="150">
        <v>1</v>
      </c>
      <c r="AB21" s="150">
        <v>87.11</v>
      </c>
      <c r="AD21" s="150">
        <v>98.156000000000006</v>
      </c>
      <c r="AG21" s="2" t="s">
        <v>37</v>
      </c>
      <c r="AH21" s="164">
        <v>8.2999999999999998E-5</v>
      </c>
      <c r="AI21" s="164">
        <v>4.4288933697414299E-3</v>
      </c>
      <c r="AJ21" s="164">
        <v>2.5841140087826001E-4</v>
      </c>
    </row>
    <row r="22" spans="1:36">
      <c r="A22" s="2" t="s">
        <v>26</v>
      </c>
      <c r="B22" s="2">
        <v>1182</v>
      </c>
      <c r="C22" s="2" t="s">
        <v>2321</v>
      </c>
      <c r="D22" s="2" t="s">
        <v>2322</v>
      </c>
      <c r="E22" s="4" t="s">
        <v>1380</v>
      </c>
      <c r="F22" s="2" t="s">
        <v>2326</v>
      </c>
      <c r="G22" s="2" t="s">
        <v>2327</v>
      </c>
      <c r="H22" s="4" t="s">
        <v>368</v>
      </c>
      <c r="I22" s="2" t="s">
        <v>219</v>
      </c>
      <c r="J22" s="2" t="s">
        <v>31</v>
      </c>
      <c r="K22" s="2" t="s">
        <v>31</v>
      </c>
      <c r="L22" s="2" t="s">
        <v>374</v>
      </c>
      <c r="M22" s="4" t="s">
        <v>32</v>
      </c>
      <c r="N22" s="2" t="s">
        <v>508</v>
      </c>
      <c r="O22" s="2" t="s">
        <v>164</v>
      </c>
      <c r="P22" s="2" t="s">
        <v>2274</v>
      </c>
      <c r="Q22" s="2" t="s">
        <v>217</v>
      </c>
      <c r="R22" s="2" t="s">
        <v>453</v>
      </c>
      <c r="S22" s="2" t="s">
        <v>35</v>
      </c>
      <c r="T22" s="150">
        <v>3.839</v>
      </c>
      <c r="U22" s="2" t="s">
        <v>2328</v>
      </c>
      <c r="V22" s="162">
        <v>5.0000000000000001E-3</v>
      </c>
      <c r="W22" s="164">
        <v>2.52E-2</v>
      </c>
      <c r="X22" s="4" t="s">
        <v>459</v>
      </c>
      <c r="Y22" s="4" t="s">
        <v>164</v>
      </c>
      <c r="Z22" s="150">
        <v>76623.94</v>
      </c>
      <c r="AA22" s="150">
        <v>1</v>
      </c>
      <c r="AB22" s="150">
        <v>103.12</v>
      </c>
      <c r="AD22" s="150">
        <v>79.015000000000001</v>
      </c>
      <c r="AG22" s="2" t="s">
        <v>37</v>
      </c>
      <c r="AH22" s="164">
        <v>4.3000000000000002E-5</v>
      </c>
      <c r="AI22" s="164">
        <v>3.5652313578791702E-3</v>
      </c>
      <c r="AJ22" s="164">
        <v>2.0801955539030001E-4</v>
      </c>
    </row>
    <row r="23" spans="1:36">
      <c r="A23" s="2" t="s">
        <v>26</v>
      </c>
      <c r="B23" s="2">
        <v>1182</v>
      </c>
      <c r="C23" s="2" t="s">
        <v>2321</v>
      </c>
      <c r="D23" s="2" t="s">
        <v>2322</v>
      </c>
      <c r="E23" s="4" t="s">
        <v>1380</v>
      </c>
      <c r="F23" s="2" t="s">
        <v>2329</v>
      </c>
      <c r="G23" s="2" t="s">
        <v>2330</v>
      </c>
      <c r="H23" s="4" t="s">
        <v>368</v>
      </c>
      <c r="I23" s="2" t="s">
        <v>219</v>
      </c>
      <c r="J23" s="2" t="s">
        <v>31</v>
      </c>
      <c r="K23" s="2" t="s">
        <v>31</v>
      </c>
      <c r="L23" s="2" t="s">
        <v>374</v>
      </c>
      <c r="M23" s="2" t="s">
        <v>32</v>
      </c>
      <c r="N23" s="2" t="s">
        <v>508</v>
      </c>
      <c r="O23" s="2" t="s">
        <v>164</v>
      </c>
      <c r="P23" s="2" t="s">
        <v>2274</v>
      </c>
      <c r="Q23" s="2" t="s">
        <v>217</v>
      </c>
      <c r="R23" s="2" t="s">
        <v>453</v>
      </c>
      <c r="S23" s="2" t="s">
        <v>35</v>
      </c>
      <c r="T23" s="150">
        <v>5.6539999999999999</v>
      </c>
      <c r="U23" s="2" t="s">
        <v>2331</v>
      </c>
      <c r="V23" s="162">
        <v>5.8999999999999999E-3</v>
      </c>
      <c r="W23" s="164">
        <v>2.8559999999999999E-2</v>
      </c>
      <c r="X23" s="4" t="s">
        <v>459</v>
      </c>
      <c r="Y23" s="4" t="s">
        <v>164</v>
      </c>
      <c r="Z23" s="150">
        <v>559140</v>
      </c>
      <c r="AA23" s="150">
        <v>1</v>
      </c>
      <c r="AB23" s="150">
        <v>95.47</v>
      </c>
      <c r="AD23" s="150">
        <v>533.81100000000004</v>
      </c>
      <c r="AG23" s="2" t="s">
        <v>37</v>
      </c>
      <c r="AH23" s="164">
        <v>5.0900000000000001E-4</v>
      </c>
      <c r="AI23" s="164">
        <v>2.4086173944715399E-2</v>
      </c>
      <c r="AJ23" s="164">
        <v>1.4053492444354599E-3</v>
      </c>
    </row>
    <row r="24" spans="1:36">
      <c r="A24" s="2" t="s">
        <v>26</v>
      </c>
      <c r="B24" s="2">
        <v>1182</v>
      </c>
      <c r="C24" s="2" t="s">
        <v>2321</v>
      </c>
      <c r="D24" s="2" t="s">
        <v>2322</v>
      </c>
      <c r="E24" s="4" t="s">
        <v>1380</v>
      </c>
      <c r="F24" s="2" t="s">
        <v>2332</v>
      </c>
      <c r="G24" s="2" t="s">
        <v>2333</v>
      </c>
      <c r="H24" s="2" t="s">
        <v>368</v>
      </c>
      <c r="I24" s="2" t="s">
        <v>219</v>
      </c>
      <c r="J24" s="2" t="s">
        <v>31</v>
      </c>
      <c r="K24" s="2" t="s">
        <v>31</v>
      </c>
      <c r="L24" s="2" t="s">
        <v>374</v>
      </c>
      <c r="M24" s="2" t="s">
        <v>32</v>
      </c>
      <c r="N24" s="2" t="s">
        <v>508</v>
      </c>
      <c r="O24" s="2" t="s">
        <v>164</v>
      </c>
      <c r="P24" s="2" t="s">
        <v>2274</v>
      </c>
      <c r="Q24" s="2" t="s">
        <v>217</v>
      </c>
      <c r="R24" s="2" t="s">
        <v>453</v>
      </c>
      <c r="S24" s="2" t="s">
        <v>35</v>
      </c>
      <c r="T24" s="150">
        <v>1.466</v>
      </c>
      <c r="U24" s="2" t="s">
        <v>2334</v>
      </c>
      <c r="V24" s="162">
        <v>4.7500000000000001E-2</v>
      </c>
      <c r="W24" s="164">
        <v>1.567E-2</v>
      </c>
      <c r="X24" s="4" t="s">
        <v>459</v>
      </c>
      <c r="Y24" s="4" t="s">
        <v>164</v>
      </c>
      <c r="Z24" s="150">
        <v>180177.47</v>
      </c>
      <c r="AA24" s="150">
        <v>1</v>
      </c>
      <c r="AB24" s="150">
        <v>141.47999999999999</v>
      </c>
      <c r="AD24" s="150">
        <v>254.91499999999999</v>
      </c>
      <c r="AG24" s="2" t="s">
        <v>37</v>
      </c>
      <c r="AH24" s="164">
        <v>1.3999999999999999E-4</v>
      </c>
      <c r="AI24" s="164">
        <v>1.15020663696223E-2</v>
      </c>
      <c r="AJ24" s="164">
        <v>6.7110784465383103E-4</v>
      </c>
    </row>
    <row r="25" spans="1:36">
      <c r="A25" s="2" t="s">
        <v>26</v>
      </c>
      <c r="B25" s="2">
        <v>1182</v>
      </c>
      <c r="C25" s="2" t="s">
        <v>2335</v>
      </c>
      <c r="D25" s="2" t="s">
        <v>2336</v>
      </c>
      <c r="E25" s="4" t="s">
        <v>1380</v>
      </c>
      <c r="F25" s="2" t="s">
        <v>2337</v>
      </c>
      <c r="G25" s="2" t="s">
        <v>2338</v>
      </c>
      <c r="H25" s="2" t="s">
        <v>368</v>
      </c>
      <c r="I25" s="2" t="s">
        <v>219</v>
      </c>
      <c r="J25" s="2" t="s">
        <v>31</v>
      </c>
      <c r="K25" s="2" t="s">
        <v>346</v>
      </c>
      <c r="L25" s="2" t="s">
        <v>374</v>
      </c>
      <c r="M25" s="2" t="s">
        <v>32</v>
      </c>
      <c r="N25" s="2" t="s">
        <v>509</v>
      </c>
      <c r="O25" s="2" t="s">
        <v>164</v>
      </c>
      <c r="P25" s="2" t="s">
        <v>2311</v>
      </c>
      <c r="Q25" s="2" t="s">
        <v>104</v>
      </c>
      <c r="R25" s="2" t="s">
        <v>453</v>
      </c>
      <c r="S25" s="2" t="s">
        <v>35</v>
      </c>
      <c r="T25" s="150">
        <v>0.499</v>
      </c>
      <c r="U25" s="2" t="s">
        <v>2339</v>
      </c>
      <c r="V25" s="162">
        <v>5.3499999999999999E-2</v>
      </c>
      <c r="W25" s="164">
        <v>1.9650000000000001E-2</v>
      </c>
      <c r="X25" s="4" t="s">
        <v>459</v>
      </c>
      <c r="Y25" s="4" t="s">
        <v>164</v>
      </c>
      <c r="Z25" s="150">
        <v>127500</v>
      </c>
      <c r="AA25" s="150">
        <v>1</v>
      </c>
      <c r="AB25" s="150">
        <v>117.67</v>
      </c>
      <c r="AD25" s="150">
        <v>150.029</v>
      </c>
      <c r="AG25" s="2" t="s">
        <v>37</v>
      </c>
      <c r="AH25" s="164">
        <v>1.92E-4</v>
      </c>
      <c r="AI25" s="164">
        <v>6.7694950021898797E-3</v>
      </c>
      <c r="AJ25" s="164">
        <v>3.9497782870676702E-4</v>
      </c>
    </row>
    <row r="26" spans="1:36">
      <c r="A26" s="2" t="s">
        <v>26</v>
      </c>
      <c r="B26" s="2">
        <v>1182</v>
      </c>
      <c r="C26" s="2" t="s">
        <v>2340</v>
      </c>
      <c r="D26" s="2" t="s">
        <v>2341</v>
      </c>
      <c r="E26" s="4" t="s">
        <v>1380</v>
      </c>
      <c r="F26" s="2" t="s">
        <v>2342</v>
      </c>
      <c r="G26" s="2" t="s">
        <v>2343</v>
      </c>
      <c r="H26" s="2" t="s">
        <v>368</v>
      </c>
      <c r="I26" s="2" t="s">
        <v>219</v>
      </c>
      <c r="J26" s="2" t="s">
        <v>31</v>
      </c>
      <c r="K26" s="2" t="s">
        <v>31</v>
      </c>
      <c r="L26" s="2" t="s">
        <v>374</v>
      </c>
      <c r="M26" s="2" t="s">
        <v>32</v>
      </c>
      <c r="N26" s="2" t="s">
        <v>495</v>
      </c>
      <c r="O26" s="2" t="s">
        <v>164</v>
      </c>
      <c r="P26" s="2" t="s">
        <v>2285</v>
      </c>
      <c r="Q26" s="2" t="s">
        <v>217</v>
      </c>
      <c r="R26" s="2" t="s">
        <v>453</v>
      </c>
      <c r="S26" s="2" t="s">
        <v>35</v>
      </c>
      <c r="T26" s="150">
        <v>4.6710000000000003</v>
      </c>
      <c r="U26" s="2" t="s">
        <v>2344</v>
      </c>
      <c r="V26" s="162">
        <v>7.4999999999999997E-3</v>
      </c>
      <c r="W26" s="164">
        <v>3.499E-2</v>
      </c>
      <c r="X26" s="4" t="s">
        <v>459</v>
      </c>
      <c r="Y26" s="4" t="s">
        <v>164</v>
      </c>
      <c r="Z26" s="150">
        <v>203842</v>
      </c>
      <c r="AA26" s="150">
        <v>1</v>
      </c>
      <c r="AB26" s="150">
        <v>95.49</v>
      </c>
      <c r="AD26" s="150">
        <v>194.649</v>
      </c>
      <c r="AG26" s="2" t="s">
        <v>37</v>
      </c>
      <c r="AH26" s="164">
        <v>2.3499999999999999E-4</v>
      </c>
      <c r="AI26" s="164">
        <v>8.7827778682205496E-3</v>
      </c>
      <c r="AJ26" s="164">
        <v>5.12446280155522E-4</v>
      </c>
    </row>
    <row r="27" spans="1:36">
      <c r="A27" s="2" t="s">
        <v>26</v>
      </c>
      <c r="B27" s="2">
        <v>1182</v>
      </c>
      <c r="C27" s="2" t="s">
        <v>2345</v>
      </c>
      <c r="D27" s="2" t="s">
        <v>2346</v>
      </c>
      <c r="E27" s="4" t="s">
        <v>1380</v>
      </c>
      <c r="F27" s="2" t="s">
        <v>2347</v>
      </c>
      <c r="G27" s="2" t="s">
        <v>2348</v>
      </c>
      <c r="H27" s="2" t="s">
        <v>368</v>
      </c>
      <c r="I27" s="2" t="s">
        <v>219</v>
      </c>
      <c r="J27" s="2" t="s">
        <v>31</v>
      </c>
      <c r="K27" s="2" t="s">
        <v>31</v>
      </c>
      <c r="L27" s="2" t="s">
        <v>374</v>
      </c>
      <c r="M27" s="2" t="s">
        <v>32</v>
      </c>
      <c r="N27" s="2" t="s">
        <v>492</v>
      </c>
      <c r="O27" s="2" t="s">
        <v>164</v>
      </c>
      <c r="P27" s="2" t="s">
        <v>103</v>
      </c>
      <c r="Q27" s="2" t="s">
        <v>104</v>
      </c>
      <c r="R27" s="2" t="s">
        <v>453</v>
      </c>
      <c r="S27" s="2" t="s">
        <v>35</v>
      </c>
      <c r="T27" s="150">
        <v>5.62</v>
      </c>
      <c r="U27" s="2" t="s">
        <v>2349</v>
      </c>
      <c r="V27" s="162">
        <v>2.47E-2</v>
      </c>
      <c r="W27" s="164">
        <v>2.0109999999999999E-2</v>
      </c>
      <c r="X27" s="4" t="s">
        <v>459</v>
      </c>
      <c r="Y27" s="4" t="s">
        <v>164</v>
      </c>
      <c r="Z27" s="150">
        <v>524759</v>
      </c>
      <c r="AA27" s="150">
        <v>1</v>
      </c>
      <c r="AB27" s="150">
        <v>101.35</v>
      </c>
      <c r="AD27" s="150">
        <v>531.84299999999996</v>
      </c>
      <c r="AG27" s="2" t="s">
        <v>37</v>
      </c>
      <c r="AH27" s="164">
        <v>3.3599999999999998E-4</v>
      </c>
      <c r="AI27" s="164">
        <v>2.3997388503443101E-2</v>
      </c>
      <c r="AJ27" s="164">
        <v>1.4001689051630099E-3</v>
      </c>
    </row>
    <row r="28" spans="1:36">
      <c r="A28" s="2" t="s">
        <v>26</v>
      </c>
      <c r="B28" s="2">
        <v>1182</v>
      </c>
      <c r="C28" s="2" t="s">
        <v>2350</v>
      </c>
      <c r="D28" s="2" t="s">
        <v>2351</v>
      </c>
      <c r="E28" s="4" t="s">
        <v>1380</v>
      </c>
      <c r="F28" s="2" t="s">
        <v>2352</v>
      </c>
      <c r="G28" s="2" t="s">
        <v>2353</v>
      </c>
      <c r="H28" s="2" t="s">
        <v>368</v>
      </c>
      <c r="I28" s="2" t="s">
        <v>219</v>
      </c>
      <c r="J28" s="2" t="s">
        <v>31</v>
      </c>
      <c r="K28" s="2" t="s">
        <v>31</v>
      </c>
      <c r="L28" s="2" t="s">
        <v>374</v>
      </c>
      <c r="M28" s="2" t="s">
        <v>32</v>
      </c>
      <c r="N28" s="2" t="s">
        <v>495</v>
      </c>
      <c r="O28" s="2" t="s">
        <v>164</v>
      </c>
      <c r="P28" s="2" t="s">
        <v>1535</v>
      </c>
      <c r="Q28" s="2" t="s">
        <v>217</v>
      </c>
      <c r="R28" s="2" t="s">
        <v>453</v>
      </c>
      <c r="S28" s="2" t="s">
        <v>35</v>
      </c>
      <c r="T28" s="150">
        <v>1.23</v>
      </c>
      <c r="U28" s="2" t="s">
        <v>2354</v>
      </c>
      <c r="V28" s="162">
        <v>4.9500000000000002E-2</v>
      </c>
      <c r="W28" s="164">
        <v>3.8440000000000002E-2</v>
      </c>
      <c r="X28" s="4" t="s">
        <v>459</v>
      </c>
      <c r="Y28" s="4" t="s">
        <v>387</v>
      </c>
      <c r="Z28" s="150">
        <v>257675.06</v>
      </c>
      <c r="AA28" s="150">
        <v>1</v>
      </c>
      <c r="AB28" s="150">
        <v>138.41999999999999</v>
      </c>
      <c r="AD28" s="150">
        <v>356.67399999999998</v>
      </c>
      <c r="AG28" s="2" t="s">
        <v>37</v>
      </c>
      <c r="AH28" s="164">
        <v>7.0200000000000004E-4</v>
      </c>
      <c r="AI28" s="164">
        <v>1.60935392846061E-2</v>
      </c>
      <c r="AJ28" s="164">
        <v>9.3900522871861005E-4</v>
      </c>
    </row>
    <row r="29" spans="1:36">
      <c r="A29" s="2" t="s">
        <v>26</v>
      </c>
      <c r="B29" s="2">
        <v>1182</v>
      </c>
      <c r="C29" s="2" t="s">
        <v>2345</v>
      </c>
      <c r="D29" s="2" t="s">
        <v>2346</v>
      </c>
      <c r="E29" s="4" t="s">
        <v>1380</v>
      </c>
      <c r="F29" s="2" t="s">
        <v>2355</v>
      </c>
      <c r="G29" s="2" t="s">
        <v>2356</v>
      </c>
      <c r="H29" s="2" t="s">
        <v>368</v>
      </c>
      <c r="I29" s="2" t="s">
        <v>219</v>
      </c>
      <c r="J29" s="2" t="s">
        <v>31</v>
      </c>
      <c r="K29" s="2" t="s">
        <v>31</v>
      </c>
      <c r="L29" s="2" t="s">
        <v>374</v>
      </c>
      <c r="M29" s="2" t="s">
        <v>32</v>
      </c>
      <c r="N29" s="2" t="s">
        <v>492</v>
      </c>
      <c r="O29" s="2" t="s">
        <v>164</v>
      </c>
      <c r="P29" s="2" t="s">
        <v>1396</v>
      </c>
      <c r="Q29" s="2" t="s">
        <v>104</v>
      </c>
      <c r="R29" s="2" t="s">
        <v>453</v>
      </c>
      <c r="S29" s="2" t="s">
        <v>35</v>
      </c>
      <c r="T29" s="150">
        <v>4.3739999999999997</v>
      </c>
      <c r="U29" s="2" t="s">
        <v>2357</v>
      </c>
      <c r="V29" s="162">
        <v>3.1699999999999999E-2</v>
      </c>
      <c r="W29" s="164">
        <v>2.7449999999999999E-2</v>
      </c>
      <c r="X29" s="4" t="s">
        <v>459</v>
      </c>
      <c r="Y29" s="4" t="s">
        <v>164</v>
      </c>
      <c r="Z29" s="150">
        <v>400000</v>
      </c>
      <c r="AA29" s="150">
        <v>1</v>
      </c>
      <c r="AB29" s="150">
        <v>106.73</v>
      </c>
      <c r="AD29" s="150">
        <v>426.92</v>
      </c>
      <c r="AG29" s="2" t="s">
        <v>37</v>
      </c>
      <c r="AH29" s="164">
        <v>4.7399999999999997E-4</v>
      </c>
      <c r="AI29" s="164">
        <v>1.9263129065398302E-2</v>
      </c>
      <c r="AJ29" s="164">
        <v>1.1239403958327699E-3</v>
      </c>
    </row>
    <row r="30" spans="1:36">
      <c r="A30" s="2" t="s">
        <v>26</v>
      </c>
      <c r="B30" s="2">
        <v>1182</v>
      </c>
      <c r="C30" s="2" t="s">
        <v>2358</v>
      </c>
      <c r="D30" s="2" t="s">
        <v>2359</v>
      </c>
      <c r="E30" s="4" t="s">
        <v>1380</v>
      </c>
      <c r="F30" s="2" t="s">
        <v>2360</v>
      </c>
      <c r="G30" s="2" t="s">
        <v>2361</v>
      </c>
      <c r="H30" s="2" t="s">
        <v>368</v>
      </c>
      <c r="I30" s="2" t="s">
        <v>219</v>
      </c>
      <c r="J30" s="2" t="s">
        <v>31</v>
      </c>
      <c r="K30" s="2" t="s">
        <v>31</v>
      </c>
      <c r="L30" s="2" t="s">
        <v>374</v>
      </c>
      <c r="M30" s="2" t="s">
        <v>32</v>
      </c>
      <c r="N30" s="2" t="s">
        <v>484</v>
      </c>
      <c r="O30" s="2" t="s">
        <v>164</v>
      </c>
      <c r="P30" s="2" t="s">
        <v>2311</v>
      </c>
      <c r="Q30" s="2" t="s">
        <v>104</v>
      </c>
      <c r="R30" s="2" t="s">
        <v>453</v>
      </c>
      <c r="S30" s="2" t="s">
        <v>35</v>
      </c>
      <c r="T30" s="150">
        <v>3.9649999999999999</v>
      </c>
      <c r="U30" s="2" t="s">
        <v>2362</v>
      </c>
      <c r="V30" s="162">
        <v>1.7999999999999999E-2</v>
      </c>
      <c r="W30" s="164">
        <v>3.1009999999999999E-2</v>
      </c>
      <c r="X30" s="4" t="s">
        <v>459</v>
      </c>
      <c r="Y30" s="4" t="s">
        <v>164</v>
      </c>
      <c r="Z30" s="150">
        <v>182634.42</v>
      </c>
      <c r="AA30" s="150">
        <v>1</v>
      </c>
      <c r="AB30" s="150">
        <v>106.25</v>
      </c>
      <c r="AD30" s="150">
        <v>194.04900000000001</v>
      </c>
      <c r="AG30" s="2" t="s">
        <v>37</v>
      </c>
      <c r="AH30" s="164">
        <v>1.6699999999999999E-4</v>
      </c>
      <c r="AI30" s="164">
        <v>8.7557207544959499E-3</v>
      </c>
      <c r="AJ30" s="164">
        <v>5.1086758631993295E-4</v>
      </c>
    </row>
    <row r="31" spans="1:36">
      <c r="A31" s="2" t="s">
        <v>26</v>
      </c>
      <c r="B31" s="2">
        <v>1182</v>
      </c>
      <c r="C31" s="2" t="s">
        <v>2358</v>
      </c>
      <c r="D31" s="2" t="s">
        <v>2359</v>
      </c>
      <c r="E31" s="4" t="s">
        <v>1380</v>
      </c>
      <c r="F31" s="2" t="s">
        <v>2363</v>
      </c>
      <c r="G31" s="2" t="s">
        <v>2364</v>
      </c>
      <c r="H31" s="2" t="s">
        <v>368</v>
      </c>
      <c r="I31" s="2" t="s">
        <v>219</v>
      </c>
      <c r="J31" s="2" t="s">
        <v>31</v>
      </c>
      <c r="K31" s="2" t="s">
        <v>31</v>
      </c>
      <c r="L31" s="2" t="s">
        <v>374</v>
      </c>
      <c r="M31" s="2" t="s">
        <v>32</v>
      </c>
      <c r="N31" s="2" t="s">
        <v>484</v>
      </c>
      <c r="O31" s="2" t="s">
        <v>164</v>
      </c>
      <c r="P31" s="2" t="s">
        <v>2255</v>
      </c>
      <c r="Q31" s="2" t="s">
        <v>217</v>
      </c>
      <c r="R31" s="2" t="s">
        <v>453</v>
      </c>
      <c r="S31" s="2" t="s">
        <v>35</v>
      </c>
      <c r="T31" s="150">
        <v>6.2869999999999999</v>
      </c>
      <c r="U31" s="2" t="s">
        <v>2365</v>
      </c>
      <c r="V31" s="162">
        <v>3.3000000000000002E-2</v>
      </c>
      <c r="W31" s="164">
        <v>3.5839999999999997E-2</v>
      </c>
      <c r="X31" s="4" t="s">
        <v>459</v>
      </c>
      <c r="Y31" s="4" t="s">
        <v>164</v>
      </c>
      <c r="Z31" s="150">
        <v>675011.54</v>
      </c>
      <c r="AA31" s="150">
        <v>1</v>
      </c>
      <c r="AB31" s="150">
        <v>101.75</v>
      </c>
      <c r="AD31" s="150">
        <v>686.82399999999996</v>
      </c>
      <c r="AG31" s="2" t="s">
        <v>37</v>
      </c>
      <c r="AH31" s="164">
        <v>5.2499999999999997E-4</v>
      </c>
      <c r="AI31" s="164">
        <v>3.0990312044240499E-2</v>
      </c>
      <c r="AJ31" s="164">
        <v>1.80818305622792E-3</v>
      </c>
    </row>
    <row r="32" spans="1:36">
      <c r="A32" s="2" t="s">
        <v>26</v>
      </c>
      <c r="B32" s="2">
        <v>1182</v>
      </c>
      <c r="C32" s="2" t="s">
        <v>2182</v>
      </c>
      <c r="D32" s="2" t="s">
        <v>2183</v>
      </c>
      <c r="E32" s="4" t="s">
        <v>1380</v>
      </c>
      <c r="F32" s="2" t="s">
        <v>2366</v>
      </c>
      <c r="G32" s="2" t="s">
        <v>2367</v>
      </c>
      <c r="H32" s="2" t="s">
        <v>368</v>
      </c>
      <c r="I32" s="2" t="s">
        <v>219</v>
      </c>
      <c r="J32" s="2" t="s">
        <v>31</v>
      </c>
      <c r="K32" s="2" t="s">
        <v>31</v>
      </c>
      <c r="L32" s="2" t="s">
        <v>374</v>
      </c>
      <c r="M32" s="2" t="s">
        <v>32</v>
      </c>
      <c r="N32" s="2" t="s">
        <v>508</v>
      </c>
      <c r="O32" s="2" t="s">
        <v>164</v>
      </c>
      <c r="P32" s="2" t="s">
        <v>2255</v>
      </c>
      <c r="Q32" s="2" t="s">
        <v>217</v>
      </c>
      <c r="R32" s="2" t="s">
        <v>453</v>
      </c>
      <c r="S32" s="2" t="s">
        <v>35</v>
      </c>
      <c r="T32" s="150">
        <v>2.5910000000000002</v>
      </c>
      <c r="U32" s="2" t="s">
        <v>2264</v>
      </c>
      <c r="V32" s="162">
        <v>3.6499999999999998E-2</v>
      </c>
      <c r="W32" s="164">
        <v>3.3340000000000002E-2</v>
      </c>
      <c r="X32" s="4" t="s">
        <v>459</v>
      </c>
      <c r="Y32" s="4" t="s">
        <v>164</v>
      </c>
      <c r="Z32" s="150">
        <v>400000</v>
      </c>
      <c r="AA32" s="150">
        <v>1</v>
      </c>
      <c r="AB32" s="150">
        <v>105.3</v>
      </c>
      <c r="AD32" s="150">
        <v>421.2</v>
      </c>
      <c r="AG32" s="2" t="s">
        <v>37</v>
      </c>
      <c r="AH32" s="164">
        <v>2.2430000000000002E-3</v>
      </c>
      <c r="AI32" s="164">
        <v>1.90050359841323E-2</v>
      </c>
      <c r="AJ32" s="164">
        <v>1.1088815111139399E-3</v>
      </c>
    </row>
    <row r="33" spans="1:36">
      <c r="A33" s="2" t="s">
        <v>26</v>
      </c>
      <c r="B33" s="2">
        <v>1182</v>
      </c>
      <c r="C33" s="2" t="s">
        <v>2182</v>
      </c>
      <c r="D33" s="2" t="s">
        <v>2183</v>
      </c>
      <c r="E33" s="4" t="s">
        <v>1380</v>
      </c>
      <c r="F33" s="2" t="s">
        <v>2368</v>
      </c>
      <c r="G33" s="2" t="s">
        <v>2369</v>
      </c>
      <c r="H33" s="2" t="s">
        <v>368</v>
      </c>
      <c r="I33" s="2" t="s">
        <v>219</v>
      </c>
      <c r="J33" s="2" t="s">
        <v>31</v>
      </c>
      <c r="K33" s="2" t="s">
        <v>31</v>
      </c>
      <c r="L33" s="2" t="s">
        <v>374</v>
      </c>
      <c r="M33" s="2" t="s">
        <v>32</v>
      </c>
      <c r="N33" s="2" t="s">
        <v>508</v>
      </c>
      <c r="O33" s="2" t="s">
        <v>164</v>
      </c>
      <c r="P33" s="2" t="s">
        <v>2299</v>
      </c>
      <c r="Q33" s="2" t="s">
        <v>217</v>
      </c>
      <c r="R33" s="2" t="s">
        <v>453</v>
      </c>
      <c r="S33" s="2" t="s">
        <v>35</v>
      </c>
      <c r="T33" s="150">
        <v>3.2709999999999999</v>
      </c>
      <c r="U33" s="2" t="s">
        <v>1375</v>
      </c>
      <c r="V33" s="162">
        <v>1.7999999999999999E-2</v>
      </c>
      <c r="W33" s="164">
        <v>2.4129999999999999E-2</v>
      </c>
      <c r="X33" s="4" t="s">
        <v>459</v>
      </c>
      <c r="Y33" s="4" t="s">
        <v>164</v>
      </c>
      <c r="Z33" s="150">
        <v>225729.88</v>
      </c>
      <c r="AA33" s="150">
        <v>1</v>
      </c>
      <c r="AB33" s="150">
        <v>110.59</v>
      </c>
      <c r="AD33" s="150">
        <v>249.63499999999999</v>
      </c>
      <c r="AG33" s="2" t="s">
        <v>37</v>
      </c>
      <c r="AH33" s="164">
        <v>2.6899999999999998E-4</v>
      </c>
      <c r="AI33" s="164">
        <v>1.1263808090708901E-2</v>
      </c>
      <c r="AJ33" s="164">
        <v>6.5720625559199399E-4</v>
      </c>
    </row>
    <row r="34" spans="1:36">
      <c r="A34" s="2" t="s">
        <v>26</v>
      </c>
      <c r="B34" s="2">
        <v>1182</v>
      </c>
      <c r="C34" s="2" t="s">
        <v>2370</v>
      </c>
      <c r="D34" s="2" t="s">
        <v>2371</v>
      </c>
      <c r="E34" s="4" t="s">
        <v>1380</v>
      </c>
      <c r="F34" s="2" t="s">
        <v>2372</v>
      </c>
      <c r="G34" s="2" t="s">
        <v>2373</v>
      </c>
      <c r="H34" s="2" t="s">
        <v>368</v>
      </c>
      <c r="I34" s="2" t="s">
        <v>1011</v>
      </c>
      <c r="J34" s="2" t="s">
        <v>31</v>
      </c>
      <c r="K34" s="2" t="s">
        <v>31</v>
      </c>
      <c r="L34" s="2" t="s">
        <v>374</v>
      </c>
      <c r="M34" s="2" t="s">
        <v>32</v>
      </c>
      <c r="N34" s="2" t="s">
        <v>489</v>
      </c>
      <c r="O34" s="2" t="s">
        <v>164</v>
      </c>
      <c r="P34" s="2" t="s">
        <v>1396</v>
      </c>
      <c r="Q34" s="2" t="s">
        <v>104</v>
      </c>
      <c r="R34" s="2" t="s">
        <v>453</v>
      </c>
      <c r="S34" s="2" t="s">
        <v>35</v>
      </c>
      <c r="T34" s="150">
        <v>6.827</v>
      </c>
      <c r="U34" s="2" t="s">
        <v>2374</v>
      </c>
      <c r="V34" s="162">
        <v>3.0499999999999999E-2</v>
      </c>
      <c r="W34" s="164">
        <v>5.3449999999999998E-2</v>
      </c>
      <c r="X34" s="4" t="s">
        <v>459</v>
      </c>
      <c r="Y34" s="4" t="s">
        <v>164</v>
      </c>
      <c r="Z34" s="150">
        <v>199313</v>
      </c>
      <c r="AA34" s="150">
        <v>1</v>
      </c>
      <c r="AB34" s="150">
        <v>86.75</v>
      </c>
      <c r="AD34" s="150">
        <v>172.904</v>
      </c>
      <c r="AG34" s="2" t="s">
        <v>37</v>
      </c>
      <c r="AH34" s="164">
        <v>2.92E-4</v>
      </c>
      <c r="AI34" s="164">
        <v>7.8016316819536904E-3</v>
      </c>
      <c r="AJ34" s="164">
        <v>4.5519961845176998E-4</v>
      </c>
    </row>
    <row r="35" spans="1:36">
      <c r="A35" s="2" t="s">
        <v>26</v>
      </c>
      <c r="B35" s="2">
        <v>1182</v>
      </c>
      <c r="C35" s="2" t="s">
        <v>2370</v>
      </c>
      <c r="D35" s="2" t="s">
        <v>2371</v>
      </c>
      <c r="E35" s="4" t="s">
        <v>1380</v>
      </c>
      <c r="F35" s="2" t="s">
        <v>2375</v>
      </c>
      <c r="G35" s="2" t="s">
        <v>2376</v>
      </c>
      <c r="H35" s="2" t="s">
        <v>368</v>
      </c>
      <c r="I35" s="2" t="s">
        <v>1011</v>
      </c>
      <c r="J35" s="2" t="s">
        <v>31</v>
      </c>
      <c r="K35" s="2" t="s">
        <v>31</v>
      </c>
      <c r="L35" s="2" t="s">
        <v>374</v>
      </c>
      <c r="M35" s="2" t="s">
        <v>32</v>
      </c>
      <c r="N35" s="2" t="s">
        <v>489</v>
      </c>
      <c r="O35" s="2" t="s">
        <v>164</v>
      </c>
      <c r="P35" s="2" t="s">
        <v>1391</v>
      </c>
      <c r="Q35" s="2" t="s">
        <v>477</v>
      </c>
      <c r="R35" s="2" t="s">
        <v>453</v>
      </c>
      <c r="S35" s="2" t="s">
        <v>35</v>
      </c>
      <c r="T35" s="150">
        <v>5.0819999999999999</v>
      </c>
      <c r="U35" s="2" t="s">
        <v>2377</v>
      </c>
      <c r="V35" s="162">
        <v>4.3799999999999999E-2</v>
      </c>
      <c r="W35" s="164">
        <v>4.9430000000000002E-2</v>
      </c>
      <c r="X35" s="4" t="s">
        <v>459</v>
      </c>
      <c r="Y35" s="4" t="s">
        <v>164</v>
      </c>
      <c r="Z35" s="150">
        <v>115000</v>
      </c>
      <c r="AA35" s="150">
        <v>1</v>
      </c>
      <c r="AB35" s="150">
        <v>98.59</v>
      </c>
      <c r="AD35" s="150">
        <v>113.379</v>
      </c>
      <c r="AG35" s="2" t="s">
        <v>37</v>
      </c>
      <c r="AH35" s="164">
        <v>2.3000000000000001E-4</v>
      </c>
      <c r="AI35" s="164">
        <v>5.1157703521532297E-3</v>
      </c>
      <c r="AJ35" s="164">
        <v>2.9848841977167902E-4</v>
      </c>
    </row>
    <row r="36" spans="1:36">
      <c r="A36" s="2" t="s">
        <v>26</v>
      </c>
      <c r="B36" s="2">
        <v>1182</v>
      </c>
      <c r="C36" s="2" t="s">
        <v>2378</v>
      </c>
      <c r="D36" s="2" t="s">
        <v>2379</v>
      </c>
      <c r="E36" s="4" t="s">
        <v>1380</v>
      </c>
      <c r="F36" s="2" t="s">
        <v>2380</v>
      </c>
      <c r="G36" s="2" t="s">
        <v>2381</v>
      </c>
      <c r="H36" s="2" t="s">
        <v>368</v>
      </c>
      <c r="I36" s="2" t="s">
        <v>219</v>
      </c>
      <c r="J36" s="2" t="s">
        <v>31</v>
      </c>
      <c r="K36" s="2" t="s">
        <v>31</v>
      </c>
      <c r="L36" s="2" t="s">
        <v>374</v>
      </c>
      <c r="M36" s="2" t="s">
        <v>32</v>
      </c>
      <c r="N36" s="2" t="s">
        <v>492</v>
      </c>
      <c r="O36" s="2" t="s">
        <v>164</v>
      </c>
      <c r="P36" s="2" t="s">
        <v>1391</v>
      </c>
      <c r="Q36" s="2" t="s">
        <v>217</v>
      </c>
      <c r="R36" s="2" t="s">
        <v>453</v>
      </c>
      <c r="S36" s="2" t="s">
        <v>35</v>
      </c>
      <c r="T36" s="150">
        <v>5.0140000000000002</v>
      </c>
      <c r="U36" s="2" t="s">
        <v>2382</v>
      </c>
      <c r="V36" s="162">
        <v>2.5899999999999999E-2</v>
      </c>
      <c r="W36" s="164">
        <v>2.1850000000000001E-2</v>
      </c>
      <c r="X36" s="4" t="s">
        <v>459</v>
      </c>
      <c r="Y36" s="4" t="s">
        <v>164</v>
      </c>
      <c r="Z36" s="150">
        <v>467000</v>
      </c>
      <c r="AA36" s="150">
        <v>1</v>
      </c>
      <c r="AB36" s="150">
        <v>102.82</v>
      </c>
      <c r="AD36" s="150">
        <v>480.16899999999998</v>
      </c>
      <c r="AG36" s="2" t="s">
        <v>37</v>
      </c>
      <c r="AH36" s="164">
        <v>0</v>
      </c>
      <c r="AI36" s="164">
        <v>2.1665804191546099E-2</v>
      </c>
      <c r="AJ36" s="164">
        <v>1.2641286084109E-3</v>
      </c>
    </row>
    <row r="37" spans="1:36">
      <c r="A37" s="2" t="s">
        <v>26</v>
      </c>
      <c r="B37" s="2">
        <v>1182</v>
      </c>
      <c r="C37" s="2" t="s">
        <v>2383</v>
      </c>
      <c r="D37" s="2" t="s">
        <v>2384</v>
      </c>
      <c r="E37" s="4" t="s">
        <v>1380</v>
      </c>
      <c r="F37" s="2" t="s">
        <v>2385</v>
      </c>
      <c r="G37" s="2" t="s">
        <v>2386</v>
      </c>
      <c r="H37" s="2" t="s">
        <v>368</v>
      </c>
      <c r="I37" s="2" t="s">
        <v>1011</v>
      </c>
      <c r="J37" s="2" t="s">
        <v>31</v>
      </c>
      <c r="K37" s="2" t="s">
        <v>31</v>
      </c>
      <c r="L37" s="2" t="s">
        <v>374</v>
      </c>
      <c r="M37" s="2" t="s">
        <v>32</v>
      </c>
      <c r="N37" s="2" t="s">
        <v>498</v>
      </c>
      <c r="O37" s="2" t="s">
        <v>164</v>
      </c>
      <c r="P37" s="2" t="s">
        <v>2274</v>
      </c>
      <c r="Q37" s="2" t="s">
        <v>217</v>
      </c>
      <c r="R37" s="2" t="s">
        <v>453</v>
      </c>
      <c r="S37" s="2" t="s">
        <v>35</v>
      </c>
      <c r="T37" s="150">
        <v>3.5369999999999999</v>
      </c>
      <c r="U37" s="2" t="s">
        <v>2387</v>
      </c>
      <c r="V37" s="162">
        <v>2.24E-2</v>
      </c>
      <c r="W37" s="164">
        <v>4.8939999999999997E-2</v>
      </c>
      <c r="X37" s="4" t="s">
        <v>459</v>
      </c>
      <c r="Y37" s="4" t="s">
        <v>164</v>
      </c>
      <c r="Z37" s="150">
        <v>160872.73000000001</v>
      </c>
      <c r="AA37" s="150">
        <v>1</v>
      </c>
      <c r="AB37" s="150">
        <v>92.24</v>
      </c>
      <c r="AD37" s="150">
        <v>148.38900000000001</v>
      </c>
      <c r="AG37" s="2" t="s">
        <v>37</v>
      </c>
      <c r="AH37" s="164">
        <v>2.5099999999999998E-4</v>
      </c>
      <c r="AI37" s="164">
        <v>6.69548528387555E-3</v>
      </c>
      <c r="AJ37" s="164">
        <v>3.90659604402955E-4</v>
      </c>
    </row>
    <row r="38" spans="1:36">
      <c r="A38" s="2" t="s">
        <v>26</v>
      </c>
      <c r="B38" s="2">
        <v>1182</v>
      </c>
      <c r="C38" s="2" t="s">
        <v>1955</v>
      </c>
      <c r="D38" s="2" t="s">
        <v>1956</v>
      </c>
      <c r="E38" s="4" t="s">
        <v>1380</v>
      </c>
      <c r="F38" s="2" t="s">
        <v>2388</v>
      </c>
      <c r="G38" s="2" t="s">
        <v>2389</v>
      </c>
      <c r="H38" s="2" t="s">
        <v>368</v>
      </c>
      <c r="I38" s="2" t="s">
        <v>1011</v>
      </c>
      <c r="J38" s="2" t="s">
        <v>31</v>
      </c>
      <c r="K38" s="2" t="s">
        <v>31</v>
      </c>
      <c r="L38" s="2" t="s">
        <v>374</v>
      </c>
      <c r="M38" s="2" t="s">
        <v>32</v>
      </c>
      <c r="N38" s="2" t="s">
        <v>489</v>
      </c>
      <c r="O38" s="2" t="s">
        <v>164</v>
      </c>
      <c r="P38" s="2" t="s">
        <v>1391</v>
      </c>
      <c r="Q38" s="2" t="s">
        <v>217</v>
      </c>
      <c r="R38" s="2" t="s">
        <v>453</v>
      </c>
      <c r="S38" s="2" t="s">
        <v>35</v>
      </c>
      <c r="T38" s="150">
        <v>3.6509999999999998</v>
      </c>
      <c r="U38" s="2" t="s">
        <v>2390</v>
      </c>
      <c r="V38" s="162">
        <v>4.7E-2</v>
      </c>
      <c r="W38" s="164">
        <v>4.7649999999999998E-2</v>
      </c>
      <c r="X38" s="4" t="s">
        <v>459</v>
      </c>
      <c r="Y38" s="4" t="s">
        <v>164</v>
      </c>
      <c r="Z38" s="150">
        <v>244000</v>
      </c>
      <c r="AA38" s="150">
        <v>1</v>
      </c>
      <c r="AB38" s="150">
        <v>100.19</v>
      </c>
      <c r="AD38" s="150">
        <v>244.464</v>
      </c>
      <c r="AG38" s="2" t="s">
        <v>37</v>
      </c>
      <c r="AH38" s="164">
        <v>4.8899999999999996E-4</v>
      </c>
      <c r="AI38" s="164">
        <v>1.1030483178562501E-2</v>
      </c>
      <c r="AJ38" s="164">
        <v>6.4359251229903296E-4</v>
      </c>
    </row>
    <row r="39" spans="1:36">
      <c r="A39" s="2" t="s">
        <v>26</v>
      </c>
      <c r="B39" s="2">
        <v>1182</v>
      </c>
      <c r="C39" s="2" t="s">
        <v>1219</v>
      </c>
      <c r="D39" s="2" t="s">
        <v>1959</v>
      </c>
      <c r="E39" s="4" t="s">
        <v>1380</v>
      </c>
      <c r="F39" s="2" t="s">
        <v>2391</v>
      </c>
      <c r="G39" s="2" t="s">
        <v>2392</v>
      </c>
      <c r="H39" s="2" t="s">
        <v>368</v>
      </c>
      <c r="I39" s="2" t="s">
        <v>219</v>
      </c>
      <c r="J39" s="2" t="s">
        <v>31</v>
      </c>
      <c r="K39" s="2" t="s">
        <v>31</v>
      </c>
      <c r="L39" s="2" t="s">
        <v>374</v>
      </c>
      <c r="M39" s="2" t="s">
        <v>32</v>
      </c>
      <c r="N39" s="2" t="s">
        <v>492</v>
      </c>
      <c r="O39" s="2" t="s">
        <v>164</v>
      </c>
      <c r="P39" s="2" t="s">
        <v>103</v>
      </c>
      <c r="Q39" s="2" t="s">
        <v>104</v>
      </c>
      <c r="R39" s="2" t="s">
        <v>453</v>
      </c>
      <c r="S39" s="2" t="s">
        <v>35</v>
      </c>
      <c r="T39" s="150">
        <v>1.23</v>
      </c>
      <c r="U39" s="2" t="s">
        <v>2393</v>
      </c>
      <c r="V39" s="162">
        <v>8.3000000000000001E-3</v>
      </c>
      <c r="W39" s="164">
        <v>1.3979999999999999E-2</v>
      </c>
      <c r="X39" s="4" t="s">
        <v>459</v>
      </c>
      <c r="Y39" s="4" t="s">
        <v>164</v>
      </c>
      <c r="Z39" s="150">
        <v>236212</v>
      </c>
      <c r="AA39" s="150">
        <v>1</v>
      </c>
      <c r="AB39" s="150">
        <v>111.66</v>
      </c>
      <c r="AD39" s="150">
        <v>263.75400000000002</v>
      </c>
      <c r="AG39" s="2" t="s">
        <v>37</v>
      </c>
      <c r="AH39" s="164">
        <v>7.7999999999999999E-5</v>
      </c>
      <c r="AI39" s="164">
        <v>1.1900902961458499E-2</v>
      </c>
      <c r="AJ39" s="164">
        <v>6.94378651560596E-4</v>
      </c>
    </row>
    <row r="40" spans="1:36">
      <c r="A40" s="2" t="s">
        <v>26</v>
      </c>
      <c r="B40" s="2">
        <v>1182</v>
      </c>
      <c r="C40" s="2" t="s">
        <v>1219</v>
      </c>
      <c r="D40" s="2" t="s">
        <v>1959</v>
      </c>
      <c r="E40" s="4" t="s">
        <v>1380</v>
      </c>
      <c r="F40" s="2" t="s">
        <v>2394</v>
      </c>
      <c r="G40" s="2" t="s">
        <v>2395</v>
      </c>
      <c r="H40" s="2" t="s">
        <v>368</v>
      </c>
      <c r="I40" s="2" t="s">
        <v>219</v>
      </c>
      <c r="J40" s="2" t="s">
        <v>31</v>
      </c>
      <c r="K40" s="2" t="s">
        <v>31</v>
      </c>
      <c r="L40" s="2" t="s">
        <v>374</v>
      </c>
      <c r="M40" s="2" t="s">
        <v>32</v>
      </c>
      <c r="N40" s="2" t="s">
        <v>492</v>
      </c>
      <c r="O40" s="2" t="s">
        <v>164</v>
      </c>
      <c r="P40" s="2" t="s">
        <v>216</v>
      </c>
      <c r="Q40" s="2" t="s">
        <v>217</v>
      </c>
      <c r="R40" s="2" t="s">
        <v>453</v>
      </c>
      <c r="S40" s="2" t="s">
        <v>35</v>
      </c>
      <c r="T40" s="150">
        <v>5.6390000000000002</v>
      </c>
      <c r="U40" s="2" t="s">
        <v>2396</v>
      </c>
      <c r="V40" s="162">
        <v>1E-3</v>
      </c>
      <c r="W40" s="164">
        <v>2.069E-2</v>
      </c>
      <c r="X40" s="4" t="s">
        <v>459</v>
      </c>
      <c r="Y40" s="4" t="s">
        <v>164</v>
      </c>
      <c r="Z40" s="150">
        <v>400000</v>
      </c>
      <c r="AA40" s="150">
        <v>1</v>
      </c>
      <c r="AB40" s="150">
        <v>97.7</v>
      </c>
      <c r="AD40" s="150">
        <v>390.8</v>
      </c>
      <c r="AG40" s="2" t="s">
        <v>37</v>
      </c>
      <c r="AH40" s="164">
        <v>4.0200000000000001E-4</v>
      </c>
      <c r="AI40" s="164">
        <v>1.7633352475306001E-2</v>
      </c>
      <c r="AJ40" s="164">
        <v>1.02884827764322E-3</v>
      </c>
    </row>
    <row r="41" spans="1:36">
      <c r="A41" s="2" t="s">
        <v>26</v>
      </c>
      <c r="B41" s="2">
        <v>1182</v>
      </c>
      <c r="C41" s="2" t="s">
        <v>2167</v>
      </c>
      <c r="D41" s="2" t="s">
        <v>2168</v>
      </c>
      <c r="E41" s="4" t="s">
        <v>1380</v>
      </c>
      <c r="F41" s="2" t="s">
        <v>2397</v>
      </c>
      <c r="G41" s="2" t="s">
        <v>2398</v>
      </c>
      <c r="H41" s="2" t="s">
        <v>368</v>
      </c>
      <c r="I41" s="2" t="s">
        <v>219</v>
      </c>
      <c r="J41" s="2" t="s">
        <v>31</v>
      </c>
      <c r="K41" s="2" t="s">
        <v>31</v>
      </c>
      <c r="L41" s="2" t="s">
        <v>374</v>
      </c>
      <c r="M41" s="2" t="s">
        <v>32</v>
      </c>
      <c r="N41" s="2" t="s">
        <v>508</v>
      </c>
      <c r="O41" s="2" t="s">
        <v>164</v>
      </c>
      <c r="P41" s="2" t="s">
        <v>2399</v>
      </c>
      <c r="Q41" s="2" t="s">
        <v>104</v>
      </c>
      <c r="R41" s="2" t="s">
        <v>453</v>
      </c>
      <c r="S41" s="2" t="s">
        <v>35</v>
      </c>
      <c r="T41" s="150">
        <v>6.3410000000000002</v>
      </c>
      <c r="U41" s="2" t="s">
        <v>2344</v>
      </c>
      <c r="V41" s="162">
        <v>3.5000000000000001E-3</v>
      </c>
      <c r="W41" s="164">
        <v>2.9829999999999999E-2</v>
      </c>
      <c r="X41" s="4" t="s">
        <v>459</v>
      </c>
      <c r="Y41" s="4" t="s">
        <v>164</v>
      </c>
      <c r="Z41" s="150">
        <v>340000</v>
      </c>
      <c r="AA41" s="150">
        <v>1</v>
      </c>
      <c r="AB41" s="150">
        <v>92.07</v>
      </c>
      <c r="AD41" s="150">
        <v>313.03800000000001</v>
      </c>
      <c r="AG41" s="2" t="s">
        <v>37</v>
      </c>
      <c r="AH41" s="164">
        <v>1.11E-4</v>
      </c>
      <c r="AI41" s="164">
        <v>1.4124640205130099E-2</v>
      </c>
      <c r="AJ41" s="164">
        <v>8.24126425631728E-4</v>
      </c>
    </row>
    <row r="42" spans="1:36">
      <c r="A42" s="2" t="s">
        <v>26</v>
      </c>
      <c r="B42" s="2">
        <v>1182</v>
      </c>
      <c r="C42" s="2" t="s">
        <v>1962</v>
      </c>
      <c r="D42" s="2" t="s">
        <v>1963</v>
      </c>
      <c r="E42" s="4" t="s">
        <v>1380</v>
      </c>
      <c r="F42" s="2" t="s">
        <v>2400</v>
      </c>
      <c r="G42" s="2" t="s">
        <v>2401</v>
      </c>
      <c r="H42" s="2" t="s">
        <v>368</v>
      </c>
      <c r="I42" s="2" t="s">
        <v>1011</v>
      </c>
      <c r="J42" s="2" t="s">
        <v>31</v>
      </c>
      <c r="K42" s="2" t="s">
        <v>31</v>
      </c>
      <c r="L42" s="2" t="s">
        <v>374</v>
      </c>
      <c r="M42" s="2" t="s">
        <v>32</v>
      </c>
      <c r="N42" s="2" t="s">
        <v>508</v>
      </c>
      <c r="O42" s="2" t="s">
        <v>164</v>
      </c>
      <c r="P42" s="2" t="s">
        <v>2244</v>
      </c>
      <c r="Q42" s="2" t="s">
        <v>104</v>
      </c>
      <c r="R42" s="2" t="s">
        <v>453</v>
      </c>
      <c r="S42" s="2" t="s">
        <v>35</v>
      </c>
      <c r="T42" s="150">
        <v>5.6909999999999998</v>
      </c>
      <c r="U42" s="2" t="s">
        <v>2402</v>
      </c>
      <c r="V42" s="162">
        <v>5.4800000000000001E-2</v>
      </c>
      <c r="W42" s="164">
        <v>5.5469999999999998E-2</v>
      </c>
      <c r="X42" s="4" t="s">
        <v>459</v>
      </c>
      <c r="Y42" s="4" t="s">
        <v>164</v>
      </c>
      <c r="Z42" s="150">
        <v>531429</v>
      </c>
      <c r="AA42" s="150">
        <v>1</v>
      </c>
      <c r="AB42" s="150">
        <v>101.42</v>
      </c>
      <c r="AD42" s="150">
        <v>538.97500000000002</v>
      </c>
      <c r="AG42" s="2" t="s">
        <v>37</v>
      </c>
      <c r="AH42" s="164">
        <v>1.771E-3</v>
      </c>
      <c r="AI42" s="164">
        <v>2.43191947179895E-2</v>
      </c>
      <c r="AJ42" s="164">
        <v>1.4189452422228401E-3</v>
      </c>
    </row>
    <row r="43" spans="1:36">
      <c r="A43" s="2" t="s">
        <v>26</v>
      </c>
      <c r="B43" s="2">
        <v>1182</v>
      </c>
      <c r="C43" s="2" t="s">
        <v>2403</v>
      </c>
      <c r="D43" s="2" t="s">
        <v>2404</v>
      </c>
      <c r="E43" s="4" t="s">
        <v>1380</v>
      </c>
      <c r="F43" s="2" t="s">
        <v>2405</v>
      </c>
      <c r="G43" s="2" t="s">
        <v>2406</v>
      </c>
      <c r="H43" s="2" t="s">
        <v>368</v>
      </c>
      <c r="I43" s="2" t="s">
        <v>219</v>
      </c>
      <c r="J43" s="2" t="s">
        <v>31</v>
      </c>
      <c r="K43" s="2" t="s">
        <v>31</v>
      </c>
      <c r="L43" s="2" t="s">
        <v>374</v>
      </c>
      <c r="M43" s="2" t="s">
        <v>32</v>
      </c>
      <c r="N43" s="2" t="s">
        <v>508</v>
      </c>
      <c r="O43" s="2" t="s">
        <v>164</v>
      </c>
      <c r="P43" s="2" t="s">
        <v>2255</v>
      </c>
      <c r="Q43" s="2" t="s">
        <v>217</v>
      </c>
      <c r="R43" s="2" t="s">
        <v>453</v>
      </c>
      <c r="S43" s="2" t="s">
        <v>35</v>
      </c>
      <c r="T43" s="150">
        <v>2.75</v>
      </c>
      <c r="U43" s="2" t="s">
        <v>2407</v>
      </c>
      <c r="V43" s="162">
        <v>3.0000000000000001E-3</v>
      </c>
      <c r="W43" s="164">
        <v>2.997E-2</v>
      </c>
      <c r="X43" s="4" t="s">
        <v>459</v>
      </c>
      <c r="Y43" s="4" t="s">
        <v>164</v>
      </c>
      <c r="Z43" s="150">
        <v>403000</v>
      </c>
      <c r="AA43" s="150">
        <v>1</v>
      </c>
      <c r="AB43" s="150">
        <v>93.4</v>
      </c>
      <c r="AD43" s="150">
        <v>376.40199999999999</v>
      </c>
      <c r="AG43" s="2" t="s">
        <v>37</v>
      </c>
      <c r="AH43" s="164">
        <v>1.3339999999999999E-3</v>
      </c>
      <c r="AI43" s="164">
        <v>1.69836978976718E-2</v>
      </c>
      <c r="AJ43" s="164">
        <v>9.909430639750891E-4</v>
      </c>
    </row>
    <row r="44" spans="1:36">
      <c r="A44" s="2" t="s">
        <v>26</v>
      </c>
      <c r="B44" s="2">
        <v>1182</v>
      </c>
      <c r="C44" s="2" t="s">
        <v>2408</v>
      </c>
      <c r="D44" s="2" t="s">
        <v>2409</v>
      </c>
      <c r="E44" s="4" t="s">
        <v>1380</v>
      </c>
      <c r="F44" s="2" t="s">
        <v>2410</v>
      </c>
      <c r="G44" s="2" t="s">
        <v>2411</v>
      </c>
      <c r="H44" s="2" t="s">
        <v>368</v>
      </c>
      <c r="I44" s="2" t="s">
        <v>219</v>
      </c>
      <c r="J44" s="2" t="s">
        <v>31</v>
      </c>
      <c r="K44" s="2" t="s">
        <v>31</v>
      </c>
      <c r="L44" s="2" t="s">
        <v>374</v>
      </c>
      <c r="M44" s="2" t="s">
        <v>32</v>
      </c>
      <c r="N44" s="2" t="s">
        <v>492</v>
      </c>
      <c r="O44" s="2" t="s">
        <v>164</v>
      </c>
      <c r="P44" s="2" t="s">
        <v>1396</v>
      </c>
      <c r="Q44" s="2" t="s">
        <v>104</v>
      </c>
      <c r="R44" s="2" t="s">
        <v>453</v>
      </c>
      <c r="S44" s="2" t="s">
        <v>35</v>
      </c>
      <c r="T44" s="150">
        <v>4.851</v>
      </c>
      <c r="U44" s="2" t="s">
        <v>2412</v>
      </c>
      <c r="V44" s="162">
        <v>3.3599999999999998E-2</v>
      </c>
      <c r="W44" s="164">
        <v>2.7230000000000001E-2</v>
      </c>
      <c r="X44" s="4" t="s">
        <v>459</v>
      </c>
      <c r="Y44" s="4" t="s">
        <v>164</v>
      </c>
      <c r="Z44" s="150">
        <v>500000</v>
      </c>
      <c r="AA44" s="150">
        <v>1</v>
      </c>
      <c r="AB44" s="150">
        <v>103.97</v>
      </c>
      <c r="AD44" s="150">
        <v>519.85</v>
      </c>
      <c r="AG44" s="2" t="s">
        <v>37</v>
      </c>
      <c r="AH44" s="164">
        <v>9.0200000000000002E-4</v>
      </c>
      <c r="AI44" s="164">
        <v>2.34562392126096E-2</v>
      </c>
      <c r="AJ44" s="164">
        <v>1.3685946190707E-3</v>
      </c>
    </row>
    <row r="45" spans="1:36">
      <c r="A45" s="2" t="s">
        <v>26</v>
      </c>
      <c r="B45" s="2">
        <v>1182</v>
      </c>
      <c r="C45" s="2" t="s">
        <v>2408</v>
      </c>
      <c r="D45" s="2" t="s">
        <v>2409</v>
      </c>
      <c r="E45" s="4" t="s">
        <v>1380</v>
      </c>
      <c r="F45" s="2" t="s">
        <v>2413</v>
      </c>
      <c r="G45" s="2" t="s">
        <v>2414</v>
      </c>
      <c r="H45" s="2" t="s">
        <v>368</v>
      </c>
      <c r="I45" s="2" t="s">
        <v>219</v>
      </c>
      <c r="J45" s="2" t="s">
        <v>31</v>
      </c>
      <c r="K45" s="2" t="s">
        <v>31</v>
      </c>
      <c r="L45" s="2" t="s">
        <v>374</v>
      </c>
      <c r="M45" s="2" t="s">
        <v>32</v>
      </c>
      <c r="N45" s="2" t="s">
        <v>492</v>
      </c>
      <c r="O45" s="2" t="s">
        <v>164</v>
      </c>
      <c r="P45" s="2" t="s">
        <v>103</v>
      </c>
      <c r="Q45" s="2" t="s">
        <v>104</v>
      </c>
      <c r="R45" s="2" t="s">
        <v>453</v>
      </c>
      <c r="S45" s="2" t="s">
        <v>35</v>
      </c>
      <c r="T45" s="150">
        <v>0.496</v>
      </c>
      <c r="U45" s="2" t="s">
        <v>2415</v>
      </c>
      <c r="V45" s="162">
        <v>8.6E-3</v>
      </c>
      <c r="W45" s="164">
        <v>1.3089999999999999E-2</v>
      </c>
      <c r="X45" s="4" t="s">
        <v>459</v>
      </c>
      <c r="Y45" s="4" t="s">
        <v>164</v>
      </c>
      <c r="Z45" s="150">
        <v>250000</v>
      </c>
      <c r="AA45" s="150">
        <v>1</v>
      </c>
      <c r="AB45" s="150">
        <v>113.09</v>
      </c>
      <c r="AD45" s="150">
        <v>282.72500000000002</v>
      </c>
      <c r="AG45" s="2" t="s">
        <v>37</v>
      </c>
      <c r="AH45" s="164">
        <v>1E-4</v>
      </c>
      <c r="AI45" s="164">
        <v>1.27568822379245E-2</v>
      </c>
      <c r="AJ45" s="164">
        <v>7.4432223463838398E-4</v>
      </c>
    </row>
    <row r="46" spans="1:36">
      <c r="A46" s="2" t="s">
        <v>26</v>
      </c>
      <c r="B46" s="2">
        <v>1182</v>
      </c>
      <c r="C46" s="2" t="s">
        <v>2408</v>
      </c>
      <c r="D46" s="2" t="s">
        <v>2409</v>
      </c>
      <c r="E46" s="4" t="s">
        <v>1380</v>
      </c>
      <c r="F46" s="2" t="s">
        <v>2416</v>
      </c>
      <c r="G46" s="2" t="s">
        <v>2417</v>
      </c>
      <c r="H46" s="2" t="s">
        <v>368</v>
      </c>
      <c r="I46" s="2" t="s">
        <v>219</v>
      </c>
      <c r="J46" s="2" t="s">
        <v>31</v>
      </c>
      <c r="K46" s="2" t="s">
        <v>31</v>
      </c>
      <c r="L46" s="2" t="s">
        <v>374</v>
      </c>
      <c r="M46" s="2" t="s">
        <v>32</v>
      </c>
      <c r="N46" s="2" t="s">
        <v>492</v>
      </c>
      <c r="O46" s="2" t="s">
        <v>164</v>
      </c>
      <c r="P46" s="2" t="s">
        <v>103</v>
      </c>
      <c r="Q46" s="2" t="s">
        <v>104</v>
      </c>
      <c r="R46" s="2" t="s">
        <v>453</v>
      </c>
      <c r="S46" s="2" t="s">
        <v>35</v>
      </c>
      <c r="T46" s="150">
        <v>5.93</v>
      </c>
      <c r="U46" s="2" t="s">
        <v>2418</v>
      </c>
      <c r="V46" s="162">
        <v>2.2013000000000001E-2</v>
      </c>
      <c r="W46" s="164">
        <v>1.9910000000000001E-2</v>
      </c>
      <c r="X46" s="4" t="s">
        <v>459</v>
      </c>
      <c r="Y46" s="4" t="s">
        <v>164</v>
      </c>
      <c r="Z46" s="150">
        <v>810000</v>
      </c>
      <c r="AA46" s="150">
        <v>1</v>
      </c>
      <c r="AB46" s="150">
        <v>113.48</v>
      </c>
      <c r="AD46" s="150">
        <v>919.18799999999999</v>
      </c>
      <c r="AG46" s="2" t="s">
        <v>37</v>
      </c>
      <c r="AH46" s="164">
        <v>1.1540000000000001E-3</v>
      </c>
      <c r="AI46" s="164">
        <v>4.1474836220756303E-2</v>
      </c>
      <c r="AJ46" s="164">
        <v>2.4199206515617198E-3</v>
      </c>
    </row>
    <row r="47" spans="1:36">
      <c r="A47" s="2" t="s">
        <v>26</v>
      </c>
      <c r="B47" s="2">
        <v>1182</v>
      </c>
      <c r="C47" s="2" t="s">
        <v>1974</v>
      </c>
      <c r="D47" s="2" t="s">
        <v>1975</v>
      </c>
      <c r="E47" s="4" t="s">
        <v>1380</v>
      </c>
      <c r="F47" s="2" t="s">
        <v>2419</v>
      </c>
      <c r="G47" s="2" t="s">
        <v>2420</v>
      </c>
      <c r="H47" s="2" t="s">
        <v>368</v>
      </c>
      <c r="I47" s="2" t="s">
        <v>219</v>
      </c>
      <c r="J47" s="2" t="s">
        <v>31</v>
      </c>
      <c r="K47" s="2" t="s">
        <v>31</v>
      </c>
      <c r="L47" s="2" t="s">
        <v>374</v>
      </c>
      <c r="M47" s="2" t="s">
        <v>32</v>
      </c>
      <c r="N47" s="2" t="s">
        <v>508</v>
      </c>
      <c r="O47" s="2" t="s">
        <v>164</v>
      </c>
      <c r="P47" s="2" t="s">
        <v>2274</v>
      </c>
      <c r="Q47" s="2" t="s">
        <v>217</v>
      </c>
      <c r="R47" s="2" t="s">
        <v>453</v>
      </c>
      <c r="S47" s="2" t="s">
        <v>35</v>
      </c>
      <c r="T47" s="150">
        <v>6.45</v>
      </c>
      <c r="U47" s="2" t="s">
        <v>2421</v>
      </c>
      <c r="V47" s="162">
        <v>3.61E-2</v>
      </c>
      <c r="W47" s="164">
        <v>2.9960000000000001E-2</v>
      </c>
      <c r="X47" s="4" t="s">
        <v>459</v>
      </c>
      <c r="Y47" s="4" t="s">
        <v>164</v>
      </c>
      <c r="Z47" s="150">
        <v>400000</v>
      </c>
      <c r="AA47" s="150">
        <v>1</v>
      </c>
      <c r="AB47" s="150">
        <v>107.22</v>
      </c>
      <c r="AD47" s="150">
        <v>428.88</v>
      </c>
      <c r="AG47" s="2" t="s">
        <v>37</v>
      </c>
      <c r="AH47" s="164">
        <v>8.7100000000000003E-4</v>
      </c>
      <c r="AI47" s="164">
        <v>1.9351566554783099E-2</v>
      </c>
      <c r="AJ47" s="164">
        <v>1.1291004332539001E-3</v>
      </c>
    </row>
    <row r="48" spans="1:36">
      <c r="A48" s="2" t="s">
        <v>26</v>
      </c>
      <c r="B48" s="2">
        <v>1182</v>
      </c>
      <c r="C48" s="2" t="s">
        <v>1982</v>
      </c>
      <c r="D48" s="2" t="s">
        <v>1522</v>
      </c>
      <c r="E48" s="4" t="s">
        <v>1380</v>
      </c>
      <c r="F48" s="2" t="s">
        <v>2422</v>
      </c>
      <c r="G48" s="2" t="s">
        <v>2423</v>
      </c>
      <c r="H48" s="2" t="s">
        <v>368</v>
      </c>
      <c r="I48" s="2" t="s">
        <v>1011</v>
      </c>
      <c r="J48" s="2" t="s">
        <v>31</v>
      </c>
      <c r="K48" s="2" t="s">
        <v>31</v>
      </c>
      <c r="L48" s="2" t="s">
        <v>374</v>
      </c>
      <c r="M48" s="2" t="s">
        <v>32</v>
      </c>
      <c r="N48" s="2" t="s">
        <v>487</v>
      </c>
      <c r="O48" s="2" t="s">
        <v>164</v>
      </c>
      <c r="P48" s="2" t="s">
        <v>2311</v>
      </c>
      <c r="Q48" s="2" t="s">
        <v>104</v>
      </c>
      <c r="R48" s="2" t="s">
        <v>453</v>
      </c>
      <c r="S48" s="2" t="s">
        <v>35</v>
      </c>
      <c r="T48" s="150">
        <v>1.4410000000000001</v>
      </c>
      <c r="U48" s="2" t="s">
        <v>2424</v>
      </c>
      <c r="V48" s="162">
        <v>0.114</v>
      </c>
      <c r="W48" s="164">
        <v>6.4250000000000002E-2</v>
      </c>
      <c r="X48" s="4" t="s">
        <v>459</v>
      </c>
      <c r="Y48" s="4" t="s">
        <v>164</v>
      </c>
      <c r="Z48" s="150">
        <v>771870</v>
      </c>
      <c r="AA48" s="150">
        <v>1</v>
      </c>
      <c r="AB48" s="150">
        <v>100.84</v>
      </c>
      <c r="AD48" s="150">
        <v>778.35400000000004</v>
      </c>
      <c r="AG48" s="2" t="s">
        <v>37</v>
      </c>
      <c r="AH48" s="164">
        <v>2.4120000000000001E-3</v>
      </c>
      <c r="AI48" s="164">
        <v>3.5120228463729301E-2</v>
      </c>
      <c r="AJ48" s="164">
        <v>2.0491501327354598E-3</v>
      </c>
    </row>
    <row r="49" spans="1:36">
      <c r="A49" s="2" t="s">
        <v>26</v>
      </c>
      <c r="B49" s="2">
        <v>1182</v>
      </c>
      <c r="C49" s="2" t="s">
        <v>1982</v>
      </c>
      <c r="D49" s="2" t="s">
        <v>1522</v>
      </c>
      <c r="E49" s="4" t="s">
        <v>1380</v>
      </c>
      <c r="F49" s="2" t="s">
        <v>2425</v>
      </c>
      <c r="G49" s="2" t="s">
        <v>2426</v>
      </c>
      <c r="H49" s="2" t="s">
        <v>368</v>
      </c>
      <c r="I49" s="2" t="s">
        <v>1011</v>
      </c>
      <c r="J49" s="2" t="s">
        <v>31</v>
      </c>
      <c r="K49" s="2" t="s">
        <v>31</v>
      </c>
      <c r="L49" s="2" t="s">
        <v>374</v>
      </c>
      <c r="M49" s="2" t="s">
        <v>32</v>
      </c>
      <c r="N49" s="2" t="s">
        <v>523</v>
      </c>
      <c r="O49" s="2" t="s">
        <v>164</v>
      </c>
      <c r="P49" s="2" t="s">
        <v>2311</v>
      </c>
      <c r="Q49" s="2" t="s">
        <v>104</v>
      </c>
      <c r="R49" s="2" t="s">
        <v>453</v>
      </c>
      <c r="S49" s="2" t="s">
        <v>35</v>
      </c>
      <c r="T49" s="150">
        <v>2.9860000000000002</v>
      </c>
      <c r="U49" s="2" t="s">
        <v>2427</v>
      </c>
      <c r="V49" s="162">
        <v>7.22E-2</v>
      </c>
      <c r="W49" s="164">
        <v>6.4259999999999998E-2</v>
      </c>
      <c r="X49" s="4" t="s">
        <v>459</v>
      </c>
      <c r="Y49" s="4" t="s">
        <v>164</v>
      </c>
      <c r="Z49" s="150">
        <v>299000</v>
      </c>
      <c r="AA49" s="150">
        <v>1</v>
      </c>
      <c r="AB49" s="150">
        <v>103.85</v>
      </c>
      <c r="AD49" s="150">
        <v>310.512</v>
      </c>
      <c r="AG49" s="2" t="s">
        <v>37</v>
      </c>
      <c r="AH49" s="164">
        <v>0</v>
      </c>
      <c r="AI49" s="164">
        <v>1.4010641574042901E-2</v>
      </c>
      <c r="AJ49" s="164">
        <v>8.1747497943555198E-4</v>
      </c>
    </row>
    <row r="50" spans="1:36">
      <c r="A50" s="2" t="s">
        <v>26</v>
      </c>
      <c r="B50" s="2">
        <v>1182</v>
      </c>
      <c r="C50" s="2" t="s">
        <v>2428</v>
      </c>
      <c r="D50" s="2" t="s">
        <v>2429</v>
      </c>
      <c r="E50" s="4" t="s">
        <v>1380</v>
      </c>
      <c r="F50" s="2" t="s">
        <v>2430</v>
      </c>
      <c r="G50" s="2" t="s">
        <v>2431</v>
      </c>
      <c r="H50" s="2" t="s">
        <v>368</v>
      </c>
      <c r="I50" s="2" t="s">
        <v>219</v>
      </c>
      <c r="J50" s="2" t="s">
        <v>31</v>
      </c>
      <c r="K50" s="2" t="s">
        <v>31</v>
      </c>
      <c r="L50" s="2" t="s">
        <v>374</v>
      </c>
      <c r="M50" s="2" t="s">
        <v>32</v>
      </c>
      <c r="N50" s="2" t="s">
        <v>491</v>
      </c>
      <c r="O50" s="2" t="s">
        <v>164</v>
      </c>
      <c r="P50" s="2" t="s">
        <v>1374</v>
      </c>
      <c r="Q50" s="2" t="s">
        <v>104</v>
      </c>
      <c r="R50" s="2" t="s">
        <v>453</v>
      </c>
      <c r="S50" s="2" t="s">
        <v>35</v>
      </c>
      <c r="T50" s="150">
        <v>3.6669999999999998</v>
      </c>
      <c r="U50" s="2" t="s">
        <v>2432</v>
      </c>
      <c r="V50" s="162">
        <v>2.07E-2</v>
      </c>
      <c r="W50" s="164">
        <v>4.2130000000000001E-2</v>
      </c>
      <c r="X50" s="4" t="s">
        <v>459</v>
      </c>
      <c r="Y50" s="4" t="s">
        <v>164</v>
      </c>
      <c r="Z50" s="150">
        <v>394350</v>
      </c>
      <c r="AA50" s="150">
        <v>1</v>
      </c>
      <c r="AB50" s="150">
        <v>101.49</v>
      </c>
      <c r="AD50" s="150">
        <v>400.226</v>
      </c>
      <c r="AG50" s="2" t="s">
        <v>37</v>
      </c>
      <c r="AH50" s="164">
        <v>8.5099999999999998E-4</v>
      </c>
      <c r="AI50" s="164">
        <v>1.80586562579622E-2</v>
      </c>
      <c r="AJ50" s="164">
        <v>1.0536633583190999E-3</v>
      </c>
    </row>
    <row r="51" spans="1:36">
      <c r="A51" s="2" t="s">
        <v>26</v>
      </c>
      <c r="B51" s="2">
        <v>1182</v>
      </c>
      <c r="C51" s="2" t="s">
        <v>2433</v>
      </c>
      <c r="D51" s="2" t="s">
        <v>2434</v>
      </c>
      <c r="E51" s="4" t="s">
        <v>1380</v>
      </c>
      <c r="F51" s="2" t="s">
        <v>2435</v>
      </c>
      <c r="G51" s="2" t="s">
        <v>2436</v>
      </c>
      <c r="H51" s="2" t="s">
        <v>368</v>
      </c>
      <c r="I51" s="2" t="s">
        <v>219</v>
      </c>
      <c r="J51" s="2" t="s">
        <v>31</v>
      </c>
      <c r="K51" s="2" t="s">
        <v>31</v>
      </c>
      <c r="L51" s="2" t="s">
        <v>374</v>
      </c>
      <c r="M51" s="2" t="s">
        <v>32</v>
      </c>
      <c r="N51" s="2" t="s">
        <v>522</v>
      </c>
      <c r="O51" s="2" t="s">
        <v>164</v>
      </c>
      <c r="P51" s="2" t="s">
        <v>216</v>
      </c>
      <c r="Q51" s="2" t="s">
        <v>217</v>
      </c>
      <c r="R51" s="2" t="s">
        <v>453</v>
      </c>
      <c r="S51" s="2" t="s">
        <v>35</v>
      </c>
      <c r="T51" s="150">
        <v>12.143000000000001</v>
      </c>
      <c r="U51" s="2" t="s">
        <v>2437</v>
      </c>
      <c r="V51" s="162">
        <v>2.07E-2</v>
      </c>
      <c r="W51" s="164">
        <v>2.7869999999999999E-2</v>
      </c>
      <c r="X51" s="4" t="s">
        <v>459</v>
      </c>
      <c r="Y51" s="4" t="s">
        <v>164</v>
      </c>
      <c r="Z51" s="150">
        <v>293329.78999999998</v>
      </c>
      <c r="AA51" s="150">
        <v>1</v>
      </c>
      <c r="AB51" s="150">
        <v>101.58</v>
      </c>
      <c r="AD51" s="150">
        <v>297.964</v>
      </c>
      <c r="AG51" s="2" t="s">
        <v>37</v>
      </c>
      <c r="AH51" s="164">
        <v>6.3999999999999997E-5</v>
      </c>
      <c r="AI51" s="164">
        <v>1.34445017971316E-2</v>
      </c>
      <c r="AJ51" s="164">
        <v>7.8444258045207496E-4</v>
      </c>
    </row>
    <row r="52" spans="1:36">
      <c r="A52" s="2" t="s">
        <v>26</v>
      </c>
      <c r="B52" s="2">
        <v>1182</v>
      </c>
      <c r="C52" s="2" t="s">
        <v>2438</v>
      </c>
      <c r="D52" s="2" t="s">
        <v>2439</v>
      </c>
      <c r="E52" s="4" t="s">
        <v>1380</v>
      </c>
      <c r="F52" s="2" t="s">
        <v>2440</v>
      </c>
      <c r="G52" s="2" t="s">
        <v>2441</v>
      </c>
      <c r="H52" s="2" t="s">
        <v>368</v>
      </c>
      <c r="I52" s="2" t="s">
        <v>1011</v>
      </c>
      <c r="J52" s="2" t="s">
        <v>31</v>
      </c>
      <c r="K52" s="2" t="s">
        <v>31</v>
      </c>
      <c r="L52" s="2" t="s">
        <v>374</v>
      </c>
      <c r="M52" s="2" t="s">
        <v>2442</v>
      </c>
      <c r="N52" s="2" t="s">
        <v>498</v>
      </c>
      <c r="O52" s="2" t="s">
        <v>164</v>
      </c>
      <c r="P52" s="2" t="s">
        <v>2255</v>
      </c>
      <c r="Q52" s="2" t="s">
        <v>217</v>
      </c>
      <c r="R52" s="2" t="s">
        <v>453</v>
      </c>
      <c r="S52" s="2" t="s">
        <v>35</v>
      </c>
      <c r="T52" s="150">
        <v>4.1399999999999997</v>
      </c>
      <c r="U52" s="2" t="s">
        <v>2443</v>
      </c>
      <c r="V52" s="162">
        <v>6.7000000000000004E-2</v>
      </c>
      <c r="W52" s="164">
        <v>6.089E-2</v>
      </c>
      <c r="X52" s="4" t="s">
        <v>459</v>
      </c>
      <c r="Y52" s="4" t="s">
        <v>164</v>
      </c>
      <c r="Z52" s="150">
        <v>261000</v>
      </c>
      <c r="AA52" s="150">
        <v>1</v>
      </c>
      <c r="AB52" s="150">
        <v>103.21</v>
      </c>
      <c r="AD52" s="150">
        <v>269.37799999999999</v>
      </c>
      <c r="AG52" s="2" t="s">
        <v>37</v>
      </c>
      <c r="AH52" s="164">
        <v>0</v>
      </c>
      <c r="AI52" s="164">
        <v>1.21546545200313E-2</v>
      </c>
      <c r="AJ52" s="164">
        <v>7.0918422267094198E-4</v>
      </c>
    </row>
    <row r="53" spans="1:36">
      <c r="A53" s="2" t="s">
        <v>26</v>
      </c>
      <c r="B53" s="2">
        <v>1182</v>
      </c>
      <c r="C53" s="2" t="s">
        <v>2444</v>
      </c>
      <c r="D53" s="2" t="s">
        <v>2445</v>
      </c>
      <c r="E53" s="4" t="s">
        <v>1380</v>
      </c>
      <c r="F53" s="2" t="s">
        <v>2446</v>
      </c>
      <c r="G53" s="2" t="s">
        <v>2447</v>
      </c>
      <c r="H53" s="2" t="s">
        <v>368</v>
      </c>
      <c r="I53" s="2" t="s">
        <v>219</v>
      </c>
      <c r="J53" s="2" t="s">
        <v>31</v>
      </c>
      <c r="K53" s="2" t="s">
        <v>31</v>
      </c>
      <c r="L53" s="2" t="s">
        <v>374</v>
      </c>
      <c r="M53" s="2" t="s">
        <v>32</v>
      </c>
      <c r="N53" s="2" t="s">
        <v>485</v>
      </c>
      <c r="O53" s="2" t="s">
        <v>164</v>
      </c>
      <c r="P53" s="2" t="s">
        <v>1527</v>
      </c>
      <c r="Q53" s="2" t="s">
        <v>204</v>
      </c>
      <c r="R53" s="2" t="s">
        <v>455</v>
      </c>
      <c r="S53" s="2" t="s">
        <v>35</v>
      </c>
      <c r="T53" s="150">
        <v>2.7650000000000001</v>
      </c>
      <c r="U53" s="2" t="s">
        <v>1375</v>
      </c>
      <c r="V53" s="162">
        <v>1.4800000000000001E-2</v>
      </c>
      <c r="W53" s="164">
        <v>3.6080000000000001E-2</v>
      </c>
      <c r="X53" s="4" t="s">
        <v>459</v>
      </c>
      <c r="Y53" s="4" t="s">
        <v>164</v>
      </c>
      <c r="Z53" s="150">
        <v>189000</v>
      </c>
      <c r="AA53" s="150">
        <v>1</v>
      </c>
      <c r="AB53" s="150">
        <v>103.65</v>
      </c>
      <c r="AD53" s="150">
        <v>195.899</v>
      </c>
      <c r="AG53" s="2" t="s">
        <v>37</v>
      </c>
      <c r="AH53" s="164">
        <v>2.1699999999999999E-4</v>
      </c>
      <c r="AI53" s="164">
        <v>8.8391691399276693E-3</v>
      </c>
      <c r="AJ53" s="164">
        <v>5.1573652589020197E-4</v>
      </c>
    </row>
    <row r="54" spans="1:36">
      <c r="A54" s="2" t="s">
        <v>26</v>
      </c>
      <c r="B54" s="2">
        <v>1182</v>
      </c>
      <c r="C54" s="2" t="s">
        <v>2444</v>
      </c>
      <c r="D54" s="2" t="s">
        <v>2445</v>
      </c>
      <c r="E54" s="4" t="s">
        <v>1380</v>
      </c>
      <c r="F54" s="2" t="s">
        <v>2448</v>
      </c>
      <c r="G54" s="2" t="s">
        <v>2449</v>
      </c>
      <c r="H54" s="2" t="s">
        <v>368</v>
      </c>
      <c r="I54" s="2" t="s">
        <v>1011</v>
      </c>
      <c r="J54" s="2" t="s">
        <v>31</v>
      </c>
      <c r="K54" s="2" t="s">
        <v>31</v>
      </c>
      <c r="L54" s="2" t="s">
        <v>374</v>
      </c>
      <c r="M54" s="2" t="s">
        <v>32</v>
      </c>
      <c r="N54" s="2" t="s">
        <v>485</v>
      </c>
      <c r="O54" s="2" t="s">
        <v>164</v>
      </c>
      <c r="P54" s="2" t="s">
        <v>1527</v>
      </c>
      <c r="Q54" s="2" t="s">
        <v>204</v>
      </c>
      <c r="R54" s="2" t="s">
        <v>455</v>
      </c>
      <c r="S54" s="2" t="s">
        <v>35</v>
      </c>
      <c r="T54" s="150">
        <v>3.9910000000000001</v>
      </c>
      <c r="U54" s="2" t="s">
        <v>2450</v>
      </c>
      <c r="V54" s="162">
        <v>6.9500000000000006E-2</v>
      </c>
      <c r="W54" s="164">
        <v>6.2260000000000003E-2</v>
      </c>
      <c r="X54" s="4" t="s">
        <v>459</v>
      </c>
      <c r="Y54" s="4" t="s">
        <v>164</v>
      </c>
      <c r="Z54" s="150">
        <v>370000</v>
      </c>
      <c r="AA54" s="150">
        <v>1</v>
      </c>
      <c r="AB54" s="150">
        <v>105</v>
      </c>
      <c r="AD54" s="150">
        <v>388.5</v>
      </c>
      <c r="AG54" s="2" t="s">
        <v>37</v>
      </c>
      <c r="AH54" s="164">
        <v>1.5820000000000001E-3</v>
      </c>
      <c r="AI54" s="164">
        <v>1.7529573788783E-2</v>
      </c>
      <c r="AJ54" s="164">
        <v>1.0227931316898499E-3</v>
      </c>
    </row>
    <row r="55" spans="1:36">
      <c r="A55" s="2" t="s">
        <v>26</v>
      </c>
      <c r="B55" s="2">
        <v>1182</v>
      </c>
      <c r="C55" s="2" t="s">
        <v>2451</v>
      </c>
      <c r="D55" s="2" t="s">
        <v>2452</v>
      </c>
      <c r="E55" s="4" t="s">
        <v>360</v>
      </c>
      <c r="F55" s="2" t="s">
        <v>2453</v>
      </c>
      <c r="G55" s="2" t="s">
        <v>2454</v>
      </c>
      <c r="H55" s="2" t="s">
        <v>368</v>
      </c>
      <c r="I55" s="2" t="s">
        <v>1011</v>
      </c>
      <c r="J55" s="2" t="s">
        <v>100</v>
      </c>
      <c r="K55" s="2" t="s">
        <v>101</v>
      </c>
      <c r="L55" s="2" t="s">
        <v>374</v>
      </c>
      <c r="M55" s="2" t="s">
        <v>32</v>
      </c>
      <c r="N55" s="2" t="s">
        <v>509</v>
      </c>
      <c r="O55" s="2" t="s">
        <v>164</v>
      </c>
      <c r="P55" s="2" t="s">
        <v>2274</v>
      </c>
      <c r="Q55" s="2" t="s">
        <v>217</v>
      </c>
      <c r="R55" s="2" t="s">
        <v>453</v>
      </c>
      <c r="S55" s="2" t="s">
        <v>35</v>
      </c>
      <c r="T55" s="150">
        <v>2.5939999999999999</v>
      </c>
      <c r="U55" s="2" t="s">
        <v>1375</v>
      </c>
      <c r="V55" s="162">
        <v>3.49E-2</v>
      </c>
      <c r="W55" s="164">
        <v>6.2030000000000002E-2</v>
      </c>
      <c r="X55" s="4" t="s">
        <v>459</v>
      </c>
      <c r="Y55" s="4" t="s">
        <v>164</v>
      </c>
      <c r="Z55" s="150">
        <v>641663</v>
      </c>
      <c r="AA55" s="150">
        <v>1</v>
      </c>
      <c r="AB55" s="150">
        <v>94.38</v>
      </c>
      <c r="AD55" s="150">
        <v>605.60199999999998</v>
      </c>
      <c r="AG55" s="2" t="s">
        <v>37</v>
      </c>
      <c r="AH55" s="164">
        <v>9.3099999999999997E-4</v>
      </c>
      <c r="AI55" s="164">
        <v>2.73254488327229E-2</v>
      </c>
      <c r="AJ55" s="164">
        <v>1.5943503089810001E-3</v>
      </c>
    </row>
    <row r="56" spans="1:36">
      <c r="A56" s="2" t="s">
        <v>26</v>
      </c>
      <c r="B56" s="2">
        <v>1182</v>
      </c>
      <c r="C56" s="2" t="s">
        <v>2001</v>
      </c>
      <c r="D56" s="2" t="s">
        <v>2002</v>
      </c>
      <c r="E56" s="4" t="s">
        <v>1380</v>
      </c>
      <c r="F56" s="2" t="s">
        <v>2455</v>
      </c>
      <c r="G56" s="2" t="s">
        <v>2456</v>
      </c>
      <c r="H56" s="2" t="s">
        <v>368</v>
      </c>
      <c r="I56" s="2" t="s">
        <v>1011</v>
      </c>
      <c r="J56" s="2" t="s">
        <v>31</v>
      </c>
      <c r="K56" s="2" t="s">
        <v>31</v>
      </c>
      <c r="L56" s="2" t="s">
        <v>374</v>
      </c>
      <c r="M56" s="2" t="s">
        <v>32</v>
      </c>
      <c r="N56" s="2" t="s">
        <v>529</v>
      </c>
      <c r="O56" s="2" t="s">
        <v>164</v>
      </c>
      <c r="P56" s="2" t="s">
        <v>2285</v>
      </c>
      <c r="Q56" s="2" t="s">
        <v>217</v>
      </c>
      <c r="R56" s="2" t="s">
        <v>453</v>
      </c>
      <c r="S56" s="2" t="s">
        <v>35</v>
      </c>
      <c r="T56" s="150">
        <v>3.673</v>
      </c>
      <c r="U56" s="2" t="s">
        <v>2457</v>
      </c>
      <c r="V56" s="162">
        <v>4.7300000000000002E-2</v>
      </c>
      <c r="W56" s="164">
        <v>5.1670000000000001E-2</v>
      </c>
      <c r="X56" s="4" t="s">
        <v>459</v>
      </c>
      <c r="Y56" s="4" t="s">
        <v>164</v>
      </c>
      <c r="Z56" s="150">
        <v>220000</v>
      </c>
      <c r="AA56" s="150">
        <v>1</v>
      </c>
      <c r="AB56" s="150">
        <v>99.88</v>
      </c>
      <c r="AD56" s="150">
        <v>219.73599999999999</v>
      </c>
      <c r="AG56" s="2" t="s">
        <v>37</v>
      </c>
      <c r="AH56" s="164">
        <v>5.5699999999999999E-4</v>
      </c>
      <c r="AI56" s="164">
        <v>9.9147449834028605E-3</v>
      </c>
      <c r="AJ56" s="164">
        <v>5.7849284835263901E-4</v>
      </c>
    </row>
    <row r="57" spans="1:36">
      <c r="A57" s="2" t="s">
        <v>26</v>
      </c>
      <c r="B57" s="2">
        <v>1182</v>
      </c>
      <c r="C57" s="2" t="s">
        <v>2005</v>
      </c>
      <c r="D57" s="2" t="s">
        <v>2006</v>
      </c>
      <c r="E57" s="4" t="s">
        <v>1380</v>
      </c>
      <c r="F57" s="2" t="s">
        <v>2458</v>
      </c>
      <c r="G57" s="2" t="s">
        <v>2459</v>
      </c>
      <c r="H57" s="2" t="s">
        <v>368</v>
      </c>
      <c r="I57" s="2" t="s">
        <v>219</v>
      </c>
      <c r="J57" s="2" t="s">
        <v>31</v>
      </c>
      <c r="K57" s="2" t="s">
        <v>31</v>
      </c>
      <c r="L57" s="2" t="s">
        <v>374</v>
      </c>
      <c r="M57" s="2" t="s">
        <v>32</v>
      </c>
      <c r="N57" s="2" t="s">
        <v>508</v>
      </c>
      <c r="O57" s="2" t="s">
        <v>164</v>
      </c>
      <c r="P57" s="2" t="s">
        <v>2460</v>
      </c>
      <c r="Q57" s="2" t="s">
        <v>104</v>
      </c>
      <c r="R57" s="2" t="s">
        <v>453</v>
      </c>
      <c r="S57" s="2" t="s">
        <v>35</v>
      </c>
      <c r="T57" s="150">
        <v>2.8639999999999999</v>
      </c>
      <c r="U57" s="2" t="s">
        <v>1520</v>
      </c>
      <c r="V57" s="162">
        <v>1.77E-2</v>
      </c>
      <c r="W57" s="164">
        <v>2.0539999999999999E-2</v>
      </c>
      <c r="X57" s="4" t="s">
        <v>459</v>
      </c>
      <c r="Y57" s="4" t="s">
        <v>164</v>
      </c>
      <c r="Z57" s="150">
        <v>204000</v>
      </c>
      <c r="AA57" s="150">
        <v>1</v>
      </c>
      <c r="AB57" s="150">
        <v>111.11</v>
      </c>
      <c r="AD57" s="150">
        <v>226.66399999999999</v>
      </c>
      <c r="AG57" s="2" t="s">
        <v>37</v>
      </c>
      <c r="AH57" s="164">
        <v>7.3999999999999996E-5</v>
      </c>
      <c r="AI57" s="164">
        <v>1.02273624841447E-2</v>
      </c>
      <c r="AJ57" s="164">
        <v>5.9673305410193095E-4</v>
      </c>
    </row>
    <row r="58" spans="1:36">
      <c r="A58" s="2" t="s">
        <v>26</v>
      </c>
      <c r="B58" s="2">
        <v>1182</v>
      </c>
      <c r="C58" s="2" t="s">
        <v>2005</v>
      </c>
      <c r="D58" s="2" t="s">
        <v>2006</v>
      </c>
      <c r="E58" s="4" t="s">
        <v>1380</v>
      </c>
      <c r="F58" s="2" t="s">
        <v>2461</v>
      </c>
      <c r="G58" s="2" t="s">
        <v>2462</v>
      </c>
      <c r="H58" s="2" t="s">
        <v>368</v>
      </c>
      <c r="I58" s="2" t="s">
        <v>219</v>
      </c>
      <c r="J58" s="2" t="s">
        <v>31</v>
      </c>
      <c r="K58" s="2" t="s">
        <v>31</v>
      </c>
      <c r="L58" s="2" t="s">
        <v>374</v>
      </c>
      <c r="M58" s="2" t="s">
        <v>32</v>
      </c>
      <c r="N58" s="2" t="s">
        <v>508</v>
      </c>
      <c r="O58" s="2" t="s">
        <v>164</v>
      </c>
      <c r="P58" s="2" t="s">
        <v>1559</v>
      </c>
      <c r="Q58" s="2" t="s">
        <v>217</v>
      </c>
      <c r="R58" s="2" t="s">
        <v>453</v>
      </c>
      <c r="S58" s="2" t="s">
        <v>35</v>
      </c>
      <c r="T58" s="150">
        <v>10.805</v>
      </c>
      <c r="U58" s="2" t="s">
        <v>2463</v>
      </c>
      <c r="V58" s="162">
        <v>1.6899999999999998E-2</v>
      </c>
      <c r="W58" s="164">
        <v>3.1899999999999998E-2</v>
      </c>
      <c r="X58" s="4" t="s">
        <v>459</v>
      </c>
      <c r="Y58" s="4" t="s">
        <v>164</v>
      </c>
      <c r="Z58" s="150">
        <v>532888</v>
      </c>
      <c r="AA58" s="150">
        <v>1</v>
      </c>
      <c r="AB58" s="150">
        <v>94.27</v>
      </c>
      <c r="AD58" s="150">
        <v>502.35399999999998</v>
      </c>
      <c r="AG58" s="2" t="s">
        <v>37</v>
      </c>
      <c r="AH58" s="164">
        <v>1.9900000000000001E-4</v>
      </c>
      <c r="AI58" s="164">
        <v>2.2666777489894201E-2</v>
      </c>
      <c r="AJ58" s="164">
        <v>1.32253211706954E-3</v>
      </c>
    </row>
    <row r="59" spans="1:36">
      <c r="A59" s="2" t="s">
        <v>26</v>
      </c>
      <c r="B59" s="2">
        <v>1182</v>
      </c>
      <c r="C59" s="2" t="s">
        <v>2009</v>
      </c>
      <c r="D59" s="2" t="s">
        <v>2010</v>
      </c>
      <c r="E59" s="4" t="s">
        <v>1380</v>
      </c>
      <c r="F59" s="2" t="s">
        <v>2464</v>
      </c>
      <c r="G59" s="2" t="s">
        <v>2465</v>
      </c>
      <c r="H59" s="2" t="s">
        <v>368</v>
      </c>
      <c r="I59" s="2" t="s">
        <v>219</v>
      </c>
      <c r="J59" s="2" t="s">
        <v>31</v>
      </c>
      <c r="K59" s="2" t="s">
        <v>31</v>
      </c>
      <c r="L59" s="2" t="s">
        <v>374</v>
      </c>
      <c r="M59" s="2" t="s">
        <v>32</v>
      </c>
      <c r="N59" s="2" t="s">
        <v>492</v>
      </c>
      <c r="O59" s="2" t="s">
        <v>164</v>
      </c>
      <c r="P59" s="2" t="s">
        <v>2399</v>
      </c>
      <c r="Q59" s="2" t="s">
        <v>104</v>
      </c>
      <c r="R59" s="2" t="s">
        <v>453</v>
      </c>
      <c r="S59" s="2" t="s">
        <v>35</v>
      </c>
      <c r="T59" s="150">
        <v>5.194</v>
      </c>
      <c r="U59" s="2" t="s">
        <v>2466</v>
      </c>
      <c r="V59" s="162">
        <v>3.7100000000000001E-2</v>
      </c>
      <c r="W59" s="164">
        <v>2.5149999999999999E-2</v>
      </c>
      <c r="X59" s="4" t="s">
        <v>459</v>
      </c>
      <c r="Y59" s="4" t="s">
        <v>164</v>
      </c>
      <c r="Z59" s="150">
        <v>500000</v>
      </c>
      <c r="AA59" s="150">
        <v>1</v>
      </c>
      <c r="AB59" s="150">
        <v>106.68</v>
      </c>
      <c r="AD59" s="150">
        <v>533.4</v>
      </c>
      <c r="AG59" s="2" t="s">
        <v>37</v>
      </c>
      <c r="AH59" s="164">
        <v>1.302E-3</v>
      </c>
      <c r="AI59" s="164">
        <v>2.4067631039734399E-2</v>
      </c>
      <c r="AJ59" s="164">
        <v>1.40426732675255E-3</v>
      </c>
    </row>
    <row r="60" spans="1:36">
      <c r="A60" s="2" t="s">
        <v>26</v>
      </c>
      <c r="B60" s="2">
        <v>1182</v>
      </c>
      <c r="C60" s="2" t="s">
        <v>2467</v>
      </c>
      <c r="D60" s="2" t="s">
        <v>2468</v>
      </c>
      <c r="E60" s="4" t="s">
        <v>1380</v>
      </c>
      <c r="F60" s="2" t="s">
        <v>2469</v>
      </c>
      <c r="G60" s="2" t="s">
        <v>2470</v>
      </c>
      <c r="H60" s="2" t="s">
        <v>368</v>
      </c>
      <c r="I60" s="2" t="s">
        <v>1011</v>
      </c>
      <c r="J60" s="2" t="s">
        <v>31</v>
      </c>
      <c r="K60" s="2" t="s">
        <v>31</v>
      </c>
      <c r="L60" s="2" t="s">
        <v>374</v>
      </c>
      <c r="M60" s="2" t="s">
        <v>32</v>
      </c>
      <c r="N60" s="2" t="s">
        <v>489</v>
      </c>
      <c r="O60" s="2" t="s">
        <v>164</v>
      </c>
      <c r="P60" s="2" t="s">
        <v>1396</v>
      </c>
      <c r="Q60" s="2" t="s">
        <v>217</v>
      </c>
      <c r="R60" s="2" t="s">
        <v>453</v>
      </c>
      <c r="S60" s="2" t="s">
        <v>35</v>
      </c>
      <c r="T60" s="150">
        <v>5.4459999999999997</v>
      </c>
      <c r="U60" s="2" t="s">
        <v>2450</v>
      </c>
      <c r="V60" s="162">
        <v>4.6899999999999997E-2</v>
      </c>
      <c r="W60" s="164">
        <v>4.9889999999999997E-2</v>
      </c>
      <c r="X60" s="4" t="s">
        <v>459</v>
      </c>
      <c r="Y60" s="4" t="s">
        <v>164</v>
      </c>
      <c r="Z60" s="150">
        <v>500000</v>
      </c>
      <c r="AA60" s="150">
        <v>1</v>
      </c>
      <c r="AB60" s="150">
        <v>98.9</v>
      </c>
      <c r="AD60" s="150">
        <v>494.5</v>
      </c>
      <c r="AG60" s="2" t="s">
        <v>37</v>
      </c>
      <c r="AH60" s="164">
        <v>0</v>
      </c>
      <c r="AI60" s="164">
        <v>2.2312417602453501E-2</v>
      </c>
      <c r="AJ60" s="164">
        <v>1.3018563799758801E-3</v>
      </c>
    </row>
    <row r="61" spans="1:36">
      <c r="A61" s="2" t="s">
        <v>26</v>
      </c>
      <c r="B61" s="2">
        <v>1182</v>
      </c>
      <c r="C61" s="2" t="s">
        <v>2471</v>
      </c>
      <c r="D61" s="2" t="s">
        <v>2472</v>
      </c>
      <c r="E61" s="4" t="s">
        <v>1380</v>
      </c>
      <c r="F61" s="2" t="s">
        <v>2473</v>
      </c>
      <c r="G61" s="2" t="s">
        <v>2474</v>
      </c>
      <c r="H61" s="2" t="s">
        <v>368</v>
      </c>
      <c r="I61" s="2" t="s">
        <v>1011</v>
      </c>
      <c r="J61" s="2" t="s">
        <v>31</v>
      </c>
      <c r="K61" s="2" t="s">
        <v>31</v>
      </c>
      <c r="L61" s="2" t="s">
        <v>374</v>
      </c>
      <c r="M61" s="2" t="s">
        <v>32</v>
      </c>
      <c r="N61" s="2" t="s">
        <v>509</v>
      </c>
      <c r="O61" s="2" t="s">
        <v>164</v>
      </c>
      <c r="P61" s="2" t="s">
        <v>2244</v>
      </c>
      <c r="Q61" s="2" t="s">
        <v>104</v>
      </c>
      <c r="R61" s="2" t="s">
        <v>453</v>
      </c>
      <c r="S61" s="2" t="s">
        <v>35</v>
      </c>
      <c r="T61" s="150">
        <v>2.15</v>
      </c>
      <c r="U61" s="2" t="s">
        <v>2475</v>
      </c>
      <c r="V61" s="162">
        <v>2.6499999999999999E-2</v>
      </c>
      <c r="W61" s="164">
        <v>5.4269999999999999E-2</v>
      </c>
      <c r="X61" s="4" t="s">
        <v>459</v>
      </c>
      <c r="Y61" s="4" t="s">
        <v>164</v>
      </c>
      <c r="Z61" s="150">
        <v>252857.14</v>
      </c>
      <c r="AA61" s="150">
        <v>1</v>
      </c>
      <c r="AB61" s="150">
        <v>94.87</v>
      </c>
      <c r="AD61" s="150">
        <v>239.886</v>
      </c>
      <c r="AG61" s="2" t="s">
        <v>37</v>
      </c>
      <c r="AH61" s="164">
        <v>3.5300000000000002E-4</v>
      </c>
      <c r="AI61" s="164">
        <v>1.08239170597332E-2</v>
      </c>
      <c r="AJ61" s="164">
        <v>6.3154005682440997E-4</v>
      </c>
    </row>
    <row r="62" spans="1:36">
      <c r="A62" s="2" t="s">
        <v>26</v>
      </c>
      <c r="B62" s="2">
        <v>1182</v>
      </c>
      <c r="C62" s="2" t="s">
        <v>2476</v>
      </c>
      <c r="D62" s="2" t="s">
        <v>2477</v>
      </c>
      <c r="E62" s="4" t="s">
        <v>362</v>
      </c>
      <c r="F62" s="2" t="s">
        <v>2478</v>
      </c>
      <c r="G62" s="2" t="s">
        <v>2479</v>
      </c>
      <c r="H62" s="2" t="s">
        <v>368</v>
      </c>
      <c r="I62" s="2" t="s">
        <v>214</v>
      </c>
      <c r="J62" s="2" t="s">
        <v>100</v>
      </c>
      <c r="K62" s="2" t="s">
        <v>101</v>
      </c>
      <c r="L62" s="2" t="s">
        <v>374</v>
      </c>
      <c r="M62" s="2" t="s">
        <v>204</v>
      </c>
      <c r="N62" s="2" t="s">
        <v>591</v>
      </c>
      <c r="O62" s="2" t="s">
        <v>164</v>
      </c>
      <c r="P62" s="2" t="s">
        <v>1559</v>
      </c>
      <c r="Q62" s="2" t="s">
        <v>111</v>
      </c>
      <c r="R62" s="2" t="s">
        <v>453</v>
      </c>
      <c r="S62" s="2" t="s">
        <v>105</v>
      </c>
      <c r="T62" s="150">
        <v>1.04</v>
      </c>
      <c r="U62" s="2" t="s">
        <v>2480</v>
      </c>
      <c r="V62" s="162">
        <v>3.2000000000000001E-2</v>
      </c>
      <c r="W62" s="164">
        <v>5.1499999999999997E-2</v>
      </c>
      <c r="X62" s="4" t="s">
        <v>459</v>
      </c>
      <c r="Y62" s="4" t="s">
        <v>164</v>
      </c>
      <c r="Z62" s="150">
        <v>20000</v>
      </c>
      <c r="AA62" s="150">
        <v>3.681</v>
      </c>
      <c r="AB62" s="150">
        <v>99.222999999999999</v>
      </c>
      <c r="AD62" s="150">
        <v>73.048000000000002</v>
      </c>
      <c r="AG62" s="2" t="s">
        <v>37</v>
      </c>
      <c r="AH62" s="164">
        <v>1.0000000000000001E-5</v>
      </c>
      <c r="AI62" s="164">
        <v>3.2959965603701598E-3</v>
      </c>
      <c r="AJ62" s="164">
        <v>1.9231058807471499E-4</v>
      </c>
    </row>
    <row r="63" spans="1:36">
      <c r="A63" s="2" t="s">
        <v>26</v>
      </c>
      <c r="B63" s="2">
        <v>1182</v>
      </c>
      <c r="C63" s="2" t="s">
        <v>2481</v>
      </c>
      <c r="D63" s="2" t="s">
        <v>2482</v>
      </c>
      <c r="E63" s="4" t="s">
        <v>362</v>
      </c>
      <c r="F63" s="2" t="s">
        <v>2483</v>
      </c>
      <c r="G63" s="2" t="s">
        <v>2484</v>
      </c>
      <c r="H63" s="2" t="s">
        <v>368</v>
      </c>
      <c r="I63" s="2" t="s">
        <v>214</v>
      </c>
      <c r="J63" s="2" t="s">
        <v>100</v>
      </c>
      <c r="K63" s="2" t="s">
        <v>101</v>
      </c>
      <c r="L63" s="2" t="s">
        <v>374</v>
      </c>
      <c r="M63" s="2" t="s">
        <v>391</v>
      </c>
      <c r="N63" s="2" t="s">
        <v>581</v>
      </c>
      <c r="O63" s="2" t="s">
        <v>164</v>
      </c>
      <c r="P63" s="2" t="s">
        <v>2485</v>
      </c>
      <c r="Q63" s="2" t="s">
        <v>111</v>
      </c>
      <c r="R63" s="2" t="s">
        <v>453</v>
      </c>
      <c r="S63" s="2" t="s">
        <v>105</v>
      </c>
      <c r="T63" s="150">
        <v>0.75</v>
      </c>
      <c r="U63" s="2" t="s">
        <v>2486</v>
      </c>
      <c r="V63" s="162">
        <v>0.04</v>
      </c>
      <c r="W63" s="164">
        <v>5.7110000000000001E-2</v>
      </c>
      <c r="X63" s="4" t="s">
        <v>459</v>
      </c>
      <c r="Y63" s="4" t="s">
        <v>164</v>
      </c>
      <c r="Z63" s="150">
        <v>30000</v>
      </c>
      <c r="AA63" s="150">
        <v>3.681</v>
      </c>
      <c r="AB63" s="150">
        <v>98.613</v>
      </c>
      <c r="AD63" s="150">
        <v>109.75700000000001</v>
      </c>
      <c r="AG63" s="2" t="s">
        <v>37</v>
      </c>
      <c r="AH63" s="164">
        <v>1.2E-5</v>
      </c>
      <c r="AI63" s="164">
        <v>4.9523746805946699E-3</v>
      </c>
      <c r="AJ63" s="164">
        <v>2.8895481829159801E-4</v>
      </c>
    </row>
    <row r="64" spans="1:36">
      <c r="A64" s="2" t="s">
        <v>26</v>
      </c>
      <c r="B64" s="2">
        <v>1182</v>
      </c>
      <c r="C64" s="2" t="s">
        <v>2487</v>
      </c>
      <c r="D64" s="2" t="s">
        <v>2488</v>
      </c>
      <c r="E64" s="4" t="s">
        <v>362</v>
      </c>
      <c r="F64" s="2" t="s">
        <v>2489</v>
      </c>
      <c r="G64" s="2" t="s">
        <v>2490</v>
      </c>
      <c r="H64" s="2" t="s">
        <v>368</v>
      </c>
      <c r="I64" s="2" t="s">
        <v>214</v>
      </c>
      <c r="J64" s="2" t="s">
        <v>100</v>
      </c>
      <c r="K64" s="2" t="s">
        <v>101</v>
      </c>
      <c r="L64" s="2" t="s">
        <v>374</v>
      </c>
      <c r="M64" s="2" t="s">
        <v>391</v>
      </c>
      <c r="N64" s="2" t="s">
        <v>591</v>
      </c>
      <c r="O64" s="2" t="s">
        <v>164</v>
      </c>
      <c r="P64" s="2" t="s">
        <v>2491</v>
      </c>
      <c r="Q64" s="2" t="s">
        <v>477</v>
      </c>
      <c r="R64" s="2" t="s">
        <v>453</v>
      </c>
      <c r="S64" s="2" t="s">
        <v>105</v>
      </c>
      <c r="T64" s="150">
        <v>1.02</v>
      </c>
      <c r="U64" s="2" t="s">
        <v>2492</v>
      </c>
      <c r="V64" s="162">
        <v>7.4999999999999997E-2</v>
      </c>
      <c r="W64" s="164">
        <v>5.8740000000000001E-2</v>
      </c>
      <c r="X64" s="4" t="s">
        <v>459</v>
      </c>
      <c r="Y64" s="4" t="s">
        <v>164</v>
      </c>
      <c r="Z64" s="150">
        <v>30000</v>
      </c>
      <c r="AA64" s="150">
        <v>3.681</v>
      </c>
      <c r="AB64" s="150">
        <v>104.881</v>
      </c>
      <c r="AD64" s="150">
        <v>115.82</v>
      </c>
      <c r="AG64" s="2" t="s">
        <v>37</v>
      </c>
      <c r="AH64" s="164">
        <v>7.4999999999999993E-5</v>
      </c>
      <c r="AI64" s="164">
        <v>5.2259476336161499E-3</v>
      </c>
      <c r="AJ64" s="164">
        <v>3.0491690275171899E-4</v>
      </c>
    </row>
    <row r="65" spans="1:36">
      <c r="A65" s="2" t="s">
        <v>26</v>
      </c>
      <c r="B65" s="2">
        <v>1182</v>
      </c>
      <c r="C65" s="2" t="s">
        <v>1943</v>
      </c>
      <c r="D65" s="2" t="s">
        <v>1944</v>
      </c>
      <c r="E65" s="4" t="s">
        <v>1380</v>
      </c>
      <c r="F65" s="2" t="s">
        <v>2493</v>
      </c>
      <c r="G65" s="2" t="s">
        <v>2494</v>
      </c>
      <c r="H65" s="2" t="s">
        <v>368</v>
      </c>
      <c r="I65" s="2" t="s">
        <v>214</v>
      </c>
      <c r="J65" s="2" t="s">
        <v>31</v>
      </c>
      <c r="K65" s="2" t="s">
        <v>101</v>
      </c>
      <c r="L65" s="2" t="s">
        <v>374</v>
      </c>
      <c r="M65" s="2" t="s">
        <v>204</v>
      </c>
      <c r="N65" s="2" t="s">
        <v>511</v>
      </c>
      <c r="O65" s="2" t="s">
        <v>164</v>
      </c>
      <c r="P65" s="2" t="s">
        <v>2495</v>
      </c>
      <c r="Q65" s="2" t="s">
        <v>111</v>
      </c>
      <c r="R65" s="2" t="s">
        <v>453</v>
      </c>
      <c r="S65" s="2" t="s">
        <v>1224</v>
      </c>
      <c r="T65" s="150">
        <v>5.15</v>
      </c>
      <c r="U65" s="2" t="s">
        <v>2496</v>
      </c>
      <c r="V65" s="162">
        <v>4.3749999999999997E-2</v>
      </c>
      <c r="W65" s="164">
        <v>5.2049999999999999E-2</v>
      </c>
      <c r="X65" s="4" t="s">
        <v>459</v>
      </c>
      <c r="Y65" s="4" t="s">
        <v>164</v>
      </c>
      <c r="Z65" s="150">
        <v>124000</v>
      </c>
      <c r="AA65" s="150">
        <v>3.9790000000000001</v>
      </c>
      <c r="AB65" s="150">
        <v>96.337000000000003</v>
      </c>
      <c r="AD65" s="150">
        <v>483.79</v>
      </c>
      <c r="AG65" s="2" t="s">
        <v>37</v>
      </c>
      <c r="AH65" s="164">
        <v>8.2999999999999998E-5</v>
      </c>
      <c r="AI65" s="164">
        <v>2.1829152248485299E-2</v>
      </c>
      <c r="AJ65" s="164">
        <v>1.2736594317341299E-3</v>
      </c>
    </row>
    <row r="66" spans="1:36">
      <c r="A66" s="2" t="s">
        <v>26</v>
      </c>
      <c r="B66" s="2">
        <v>1182</v>
      </c>
      <c r="C66" s="2" t="s">
        <v>2497</v>
      </c>
      <c r="D66" s="2" t="s">
        <v>2498</v>
      </c>
      <c r="E66" s="4" t="s">
        <v>361</v>
      </c>
      <c r="F66" s="2" t="s">
        <v>2499</v>
      </c>
      <c r="G66" s="2" t="s">
        <v>2500</v>
      </c>
      <c r="H66" s="2" t="s">
        <v>368</v>
      </c>
      <c r="I66" s="2" t="s">
        <v>214</v>
      </c>
      <c r="J66" s="2" t="s">
        <v>100</v>
      </c>
      <c r="K66" s="2" t="s">
        <v>283</v>
      </c>
      <c r="L66" s="2" t="s">
        <v>374</v>
      </c>
      <c r="M66" s="2" t="s">
        <v>32</v>
      </c>
      <c r="N66" s="2" t="s">
        <v>509</v>
      </c>
      <c r="O66" s="2" t="s">
        <v>164</v>
      </c>
      <c r="P66" s="2" t="s">
        <v>1396</v>
      </c>
      <c r="Q66" s="2" t="s">
        <v>104</v>
      </c>
      <c r="R66" s="2" t="s">
        <v>453</v>
      </c>
      <c r="S66" s="2" t="s">
        <v>35</v>
      </c>
      <c r="T66" s="150">
        <v>3.25</v>
      </c>
      <c r="U66" s="2" t="s">
        <v>2501</v>
      </c>
      <c r="V66" s="162">
        <v>4.2999999999999997E-2</v>
      </c>
      <c r="W66" s="164">
        <v>8.4360000000000004E-2</v>
      </c>
      <c r="X66" s="4" t="s">
        <v>459</v>
      </c>
      <c r="Y66" s="4" t="s">
        <v>164</v>
      </c>
      <c r="Z66" s="150">
        <v>281757.13</v>
      </c>
      <c r="AA66" s="150">
        <v>1</v>
      </c>
      <c r="AB66" s="150">
        <v>86.78</v>
      </c>
      <c r="AD66" s="150">
        <v>244.50899999999999</v>
      </c>
      <c r="AG66" s="2" t="s">
        <v>37</v>
      </c>
      <c r="AH66" s="164">
        <v>2.43E-4</v>
      </c>
      <c r="AI66" s="164">
        <v>1.10325243435219E-2</v>
      </c>
      <c r="AJ66" s="164">
        <v>6.43711607579173E-4</v>
      </c>
    </row>
    <row r="67" spans="1:36">
      <c r="A67" s="2" t="s">
        <v>26</v>
      </c>
      <c r="B67" s="2">
        <v>14769</v>
      </c>
      <c r="C67" s="2" t="s">
        <v>2260</v>
      </c>
      <c r="D67" s="2" t="s">
        <v>2261</v>
      </c>
      <c r="E67" s="4" t="s">
        <v>1380</v>
      </c>
      <c r="F67" s="2" t="s">
        <v>2262</v>
      </c>
      <c r="G67" s="2" t="s">
        <v>2263</v>
      </c>
      <c r="H67" s="2" t="s">
        <v>368</v>
      </c>
      <c r="I67" s="2" t="s">
        <v>1011</v>
      </c>
      <c r="J67" s="2" t="s">
        <v>31</v>
      </c>
      <c r="K67" s="2" t="s">
        <v>31</v>
      </c>
      <c r="L67" s="2" t="s">
        <v>374</v>
      </c>
      <c r="M67" s="2" t="s">
        <v>32</v>
      </c>
      <c r="N67" s="2" t="s">
        <v>491</v>
      </c>
      <c r="O67" s="2" t="s">
        <v>164</v>
      </c>
      <c r="P67" s="2" t="s">
        <v>2244</v>
      </c>
      <c r="Q67" s="2" t="s">
        <v>104</v>
      </c>
      <c r="R67" s="2" t="s">
        <v>453</v>
      </c>
      <c r="S67" s="2" t="s">
        <v>35</v>
      </c>
      <c r="T67" s="150">
        <v>2.7250000000000001</v>
      </c>
      <c r="U67" s="2" t="s">
        <v>2264</v>
      </c>
      <c r="V67" s="162">
        <v>2.5499999999999998E-2</v>
      </c>
      <c r="W67" s="164">
        <v>5.373E-2</v>
      </c>
      <c r="X67" s="4" t="s">
        <v>459</v>
      </c>
      <c r="Y67" s="4" t="s">
        <v>164</v>
      </c>
      <c r="Z67" s="150">
        <v>8745</v>
      </c>
      <c r="AA67" s="150">
        <v>1</v>
      </c>
      <c r="AB67" s="150">
        <v>93.65</v>
      </c>
      <c r="AD67" s="150">
        <v>8.19</v>
      </c>
      <c r="AG67" s="2" t="s">
        <v>37</v>
      </c>
      <c r="AH67" s="164">
        <v>1.5E-5</v>
      </c>
      <c r="AI67" s="164">
        <v>0.11273383554322899</v>
      </c>
      <c r="AJ67" s="164">
        <v>1.04979899238769E-3</v>
      </c>
    </row>
    <row r="68" spans="1:36">
      <c r="A68" s="2" t="s">
        <v>26</v>
      </c>
      <c r="B68" s="2">
        <v>14769</v>
      </c>
      <c r="C68" s="2" t="s">
        <v>2295</v>
      </c>
      <c r="D68" s="2" t="s">
        <v>2296</v>
      </c>
      <c r="E68" s="4" t="s">
        <v>1380</v>
      </c>
      <c r="F68" s="2" t="s">
        <v>2297</v>
      </c>
      <c r="G68" s="2" t="s">
        <v>2298</v>
      </c>
      <c r="H68" s="2" t="s">
        <v>368</v>
      </c>
      <c r="I68" s="2" t="s">
        <v>219</v>
      </c>
      <c r="J68" s="2" t="s">
        <v>31</v>
      </c>
      <c r="K68" s="2" t="s">
        <v>31</v>
      </c>
      <c r="L68" s="2" t="s">
        <v>374</v>
      </c>
      <c r="M68" s="2" t="s">
        <v>32</v>
      </c>
      <c r="N68" s="2" t="s">
        <v>508</v>
      </c>
      <c r="O68" s="2" t="s">
        <v>164</v>
      </c>
      <c r="P68" s="2" t="s">
        <v>2299</v>
      </c>
      <c r="Q68" s="2" t="s">
        <v>217</v>
      </c>
      <c r="R68" s="2" t="s">
        <v>453</v>
      </c>
      <c r="S68" s="2" t="s">
        <v>35</v>
      </c>
      <c r="T68" s="150">
        <v>6.4809999999999999</v>
      </c>
      <c r="U68" s="2" t="s">
        <v>2300</v>
      </c>
      <c r="V68" s="162">
        <v>3.6799999999999999E-2</v>
      </c>
      <c r="W68" s="164">
        <v>3.6380000000000003E-2</v>
      </c>
      <c r="X68" s="4" t="s">
        <v>459</v>
      </c>
      <c r="Y68" s="4" t="s">
        <v>164</v>
      </c>
      <c r="Z68" s="150">
        <v>8130</v>
      </c>
      <c r="AA68" s="150">
        <v>1</v>
      </c>
      <c r="AB68" s="150">
        <v>101.74</v>
      </c>
      <c r="AD68" s="150">
        <v>8.2710000000000008</v>
      </c>
      <c r="AG68" s="2" t="s">
        <v>37</v>
      </c>
      <c r="AH68" s="164">
        <v>0</v>
      </c>
      <c r="AI68" s="164">
        <v>0.113859419851242</v>
      </c>
      <c r="AJ68" s="164">
        <v>1.0602806482872299E-3</v>
      </c>
    </row>
    <row r="69" spans="1:36">
      <c r="A69" s="2" t="s">
        <v>26</v>
      </c>
      <c r="B69" s="2">
        <v>14769</v>
      </c>
      <c r="C69" s="2" t="s">
        <v>1891</v>
      </c>
      <c r="D69" s="2" t="s">
        <v>1892</v>
      </c>
      <c r="E69" s="4" t="s">
        <v>1380</v>
      </c>
      <c r="F69" s="2" t="s">
        <v>2318</v>
      </c>
      <c r="G69" s="2" t="s">
        <v>2319</v>
      </c>
      <c r="H69" s="2" t="s">
        <v>368</v>
      </c>
      <c r="I69" s="2" t="s">
        <v>1011</v>
      </c>
      <c r="J69" s="2" t="s">
        <v>31</v>
      </c>
      <c r="K69" s="2" t="s">
        <v>31</v>
      </c>
      <c r="L69" s="2" t="s">
        <v>374</v>
      </c>
      <c r="M69" s="2" t="s">
        <v>32</v>
      </c>
      <c r="N69" s="2" t="s">
        <v>484</v>
      </c>
      <c r="O69" s="2" t="s">
        <v>164</v>
      </c>
      <c r="P69" s="2" t="s">
        <v>2285</v>
      </c>
      <c r="Q69" s="2" t="s">
        <v>217</v>
      </c>
      <c r="R69" s="2" t="s">
        <v>453</v>
      </c>
      <c r="S69" s="2" t="s">
        <v>35</v>
      </c>
      <c r="T69" s="150">
        <v>5.0060000000000002</v>
      </c>
      <c r="U69" s="2" t="s">
        <v>2320</v>
      </c>
      <c r="V69" s="162">
        <v>5.7500000000000002E-2</v>
      </c>
      <c r="W69" s="164">
        <v>5.7119999999999997E-2</v>
      </c>
      <c r="X69" s="4" t="s">
        <v>459</v>
      </c>
      <c r="Y69" s="4" t="s">
        <v>164</v>
      </c>
      <c r="Z69" s="150">
        <v>7993</v>
      </c>
      <c r="AA69" s="150">
        <v>1</v>
      </c>
      <c r="AB69" s="150">
        <v>100.67</v>
      </c>
      <c r="AD69" s="150">
        <v>8.0470000000000006</v>
      </c>
      <c r="AG69" s="2" t="s">
        <v>37</v>
      </c>
      <c r="AH69" s="164">
        <v>3.6000000000000001E-5</v>
      </c>
      <c r="AI69" s="164">
        <v>0.110763474192134</v>
      </c>
      <c r="AJ69" s="164">
        <v>1.0314506114331001E-3</v>
      </c>
    </row>
    <row r="70" spans="1:36">
      <c r="A70" s="2" t="s">
        <v>26</v>
      </c>
      <c r="B70" s="2">
        <v>14769</v>
      </c>
      <c r="C70" s="2" t="s">
        <v>2321</v>
      </c>
      <c r="D70" s="2" t="s">
        <v>2322</v>
      </c>
      <c r="E70" s="4" t="s">
        <v>1380</v>
      </c>
      <c r="F70" s="2" t="s">
        <v>2329</v>
      </c>
      <c r="G70" s="2" t="s">
        <v>2330</v>
      </c>
      <c r="H70" s="2" t="s">
        <v>368</v>
      </c>
      <c r="I70" s="2" t="s">
        <v>219</v>
      </c>
      <c r="J70" s="2" t="s">
        <v>31</v>
      </c>
      <c r="K70" s="2" t="s">
        <v>31</v>
      </c>
      <c r="L70" s="2" t="s">
        <v>374</v>
      </c>
      <c r="M70" s="2" t="s">
        <v>32</v>
      </c>
      <c r="N70" s="2" t="s">
        <v>508</v>
      </c>
      <c r="O70" s="2" t="s">
        <v>164</v>
      </c>
      <c r="P70" s="2" t="s">
        <v>2274</v>
      </c>
      <c r="Q70" s="2" t="s">
        <v>217</v>
      </c>
      <c r="R70" s="2" t="s">
        <v>453</v>
      </c>
      <c r="S70" s="2" t="s">
        <v>35</v>
      </c>
      <c r="T70" s="150">
        <v>5.6539999999999999</v>
      </c>
      <c r="U70" s="2" t="s">
        <v>2331</v>
      </c>
      <c r="V70" s="162">
        <v>5.8999999999999999E-3</v>
      </c>
      <c r="W70" s="164">
        <v>2.8559999999999999E-2</v>
      </c>
      <c r="X70" s="4" t="s">
        <v>459</v>
      </c>
      <c r="Y70" s="4" t="s">
        <v>164</v>
      </c>
      <c r="Z70" s="150">
        <v>8614</v>
      </c>
      <c r="AA70" s="150">
        <v>1</v>
      </c>
      <c r="AB70" s="150">
        <v>95.47</v>
      </c>
      <c r="AD70" s="150">
        <v>8.2240000000000002</v>
      </c>
      <c r="AG70" s="2" t="s">
        <v>37</v>
      </c>
      <c r="AH70" s="164">
        <v>7.9999999999999996E-6</v>
      </c>
      <c r="AI70" s="164">
        <v>0.113203141133802</v>
      </c>
      <c r="AJ70" s="164">
        <v>1.0541692556164E-3</v>
      </c>
    </row>
    <row r="71" spans="1:36">
      <c r="A71" s="2" t="s">
        <v>26</v>
      </c>
      <c r="B71" s="2">
        <v>14769</v>
      </c>
      <c r="C71" s="2" t="s">
        <v>2350</v>
      </c>
      <c r="D71" s="2" t="s">
        <v>2351</v>
      </c>
      <c r="E71" s="4" t="s">
        <v>1380</v>
      </c>
      <c r="F71" s="2" t="s">
        <v>2352</v>
      </c>
      <c r="G71" s="2" t="s">
        <v>2353</v>
      </c>
      <c r="H71" s="2" t="s">
        <v>368</v>
      </c>
      <c r="I71" s="2" t="s">
        <v>219</v>
      </c>
      <c r="J71" s="2" t="s">
        <v>31</v>
      </c>
      <c r="K71" s="2" t="s">
        <v>31</v>
      </c>
      <c r="L71" s="2" t="s">
        <v>374</v>
      </c>
      <c r="M71" s="2" t="s">
        <v>32</v>
      </c>
      <c r="N71" s="2" t="s">
        <v>495</v>
      </c>
      <c r="O71" s="2" t="s">
        <v>164</v>
      </c>
      <c r="P71" s="2" t="s">
        <v>1535</v>
      </c>
      <c r="Q71" s="2" t="s">
        <v>217</v>
      </c>
      <c r="R71" s="2" t="s">
        <v>453</v>
      </c>
      <c r="S71" s="2" t="s">
        <v>35</v>
      </c>
      <c r="T71" s="150">
        <v>1.23</v>
      </c>
      <c r="U71" s="2" t="s">
        <v>2354</v>
      </c>
      <c r="V71" s="162">
        <v>4.9500000000000002E-2</v>
      </c>
      <c r="W71" s="164">
        <v>3.8440000000000002E-2</v>
      </c>
      <c r="X71" s="4" t="s">
        <v>459</v>
      </c>
      <c r="Y71" s="4" t="s">
        <v>387</v>
      </c>
      <c r="Z71" s="150">
        <v>5949</v>
      </c>
      <c r="AA71" s="150">
        <v>1</v>
      </c>
      <c r="AB71" s="150">
        <v>138.41999999999999</v>
      </c>
      <c r="AD71" s="150">
        <v>8.2349999999999994</v>
      </c>
      <c r="AG71" s="2" t="s">
        <v>37</v>
      </c>
      <c r="AH71" s="164">
        <v>1.5999999999999999E-5</v>
      </c>
      <c r="AI71" s="164">
        <v>0.113352082025121</v>
      </c>
      <c r="AJ71" s="164">
        <v>1.05555622162246E-3</v>
      </c>
    </row>
    <row r="72" spans="1:36">
      <c r="A72" s="2" t="s">
        <v>26</v>
      </c>
      <c r="B72" s="2">
        <v>14769</v>
      </c>
      <c r="C72" s="2" t="s">
        <v>2358</v>
      </c>
      <c r="D72" s="2" t="s">
        <v>2359</v>
      </c>
      <c r="E72" s="4" t="s">
        <v>1380</v>
      </c>
      <c r="F72" s="2" t="s">
        <v>2363</v>
      </c>
      <c r="G72" s="2" t="s">
        <v>2364</v>
      </c>
      <c r="H72" s="2" t="s">
        <v>368</v>
      </c>
      <c r="I72" s="2" t="s">
        <v>219</v>
      </c>
      <c r="J72" s="2" t="s">
        <v>31</v>
      </c>
      <c r="K72" s="2" t="s">
        <v>31</v>
      </c>
      <c r="L72" s="2" t="s">
        <v>374</v>
      </c>
      <c r="M72" s="2" t="s">
        <v>32</v>
      </c>
      <c r="N72" s="2" t="s">
        <v>484</v>
      </c>
      <c r="O72" s="2" t="s">
        <v>164</v>
      </c>
      <c r="P72" s="2" t="s">
        <v>2255</v>
      </c>
      <c r="Q72" s="2" t="s">
        <v>217</v>
      </c>
      <c r="R72" s="2" t="s">
        <v>453</v>
      </c>
      <c r="S72" s="2" t="s">
        <v>35</v>
      </c>
      <c r="T72" s="150">
        <v>6.2869999999999999</v>
      </c>
      <c r="U72" s="2" t="s">
        <v>2365</v>
      </c>
      <c r="V72" s="162">
        <v>3.3000000000000002E-2</v>
      </c>
      <c r="W72" s="164">
        <v>3.5839999999999997E-2</v>
      </c>
      <c r="X72" s="4" t="s">
        <v>459</v>
      </c>
      <c r="Y72" s="4" t="s">
        <v>164</v>
      </c>
      <c r="Z72" s="150">
        <v>7854.31</v>
      </c>
      <c r="AA72" s="150">
        <v>1</v>
      </c>
      <c r="AB72" s="150">
        <v>101.75</v>
      </c>
      <c r="AD72" s="150">
        <v>7.992</v>
      </c>
      <c r="AG72" s="2" t="s">
        <v>37</v>
      </c>
      <c r="AH72" s="164">
        <v>6.0000000000000002E-6</v>
      </c>
      <c r="AI72" s="164">
        <v>0.110009234834255</v>
      </c>
      <c r="AJ72" s="164">
        <v>1.0244269905822199E-3</v>
      </c>
    </row>
    <row r="73" spans="1:36">
      <c r="A73" s="2" t="s">
        <v>26</v>
      </c>
      <c r="B73" s="2">
        <v>14769</v>
      </c>
      <c r="C73" s="2" t="s">
        <v>2182</v>
      </c>
      <c r="D73" s="2" t="s">
        <v>2183</v>
      </c>
      <c r="E73" s="4" t="s">
        <v>1380</v>
      </c>
      <c r="F73" s="2" t="s">
        <v>2366</v>
      </c>
      <c r="G73" s="2" t="s">
        <v>2367</v>
      </c>
      <c r="H73" s="2" t="s">
        <v>368</v>
      </c>
      <c r="I73" s="2" t="s">
        <v>219</v>
      </c>
      <c r="J73" s="2" t="s">
        <v>31</v>
      </c>
      <c r="K73" s="2" t="s">
        <v>31</v>
      </c>
      <c r="L73" s="2" t="s">
        <v>374</v>
      </c>
      <c r="M73" s="2" t="s">
        <v>32</v>
      </c>
      <c r="N73" s="2" t="s">
        <v>508</v>
      </c>
      <c r="O73" s="2" t="s">
        <v>164</v>
      </c>
      <c r="P73" s="2" t="s">
        <v>2255</v>
      </c>
      <c r="Q73" s="2" t="s">
        <v>217</v>
      </c>
      <c r="R73" s="2" t="s">
        <v>453</v>
      </c>
      <c r="S73" s="2" t="s">
        <v>35</v>
      </c>
      <c r="T73" s="150">
        <v>2.5910000000000002</v>
      </c>
      <c r="U73" s="2" t="s">
        <v>2264</v>
      </c>
      <c r="V73" s="162">
        <v>3.6499999999999998E-2</v>
      </c>
      <c r="W73" s="164">
        <v>3.3340000000000002E-2</v>
      </c>
      <c r="X73" s="4" t="s">
        <v>459</v>
      </c>
      <c r="Y73" s="4" t="s">
        <v>164</v>
      </c>
      <c r="Z73" s="150">
        <v>7862</v>
      </c>
      <c r="AA73" s="150">
        <v>1</v>
      </c>
      <c r="AB73" s="150">
        <v>105.3</v>
      </c>
      <c r="AD73" s="150">
        <v>8.2789999999999999</v>
      </c>
      <c r="AG73" s="2" t="s">
        <v>37</v>
      </c>
      <c r="AH73" s="164">
        <v>4.3999999999999999E-5</v>
      </c>
      <c r="AI73" s="164">
        <v>0.113958860608995</v>
      </c>
      <c r="AJ73" s="164">
        <v>1.06120665960219E-3</v>
      </c>
    </row>
    <row r="74" spans="1:36">
      <c r="A74" s="2" t="s">
        <v>26</v>
      </c>
      <c r="B74" s="2">
        <v>14769</v>
      </c>
      <c r="C74" s="2" t="s">
        <v>2167</v>
      </c>
      <c r="D74" s="2" t="s">
        <v>2168</v>
      </c>
      <c r="E74" s="4" t="s">
        <v>1380</v>
      </c>
      <c r="F74" s="2" t="s">
        <v>2397</v>
      </c>
      <c r="G74" s="2" t="s">
        <v>2398</v>
      </c>
      <c r="H74" s="2" t="s">
        <v>368</v>
      </c>
      <c r="I74" s="2" t="s">
        <v>219</v>
      </c>
      <c r="J74" s="2" t="s">
        <v>31</v>
      </c>
      <c r="K74" s="2" t="s">
        <v>31</v>
      </c>
      <c r="L74" s="2" t="s">
        <v>374</v>
      </c>
      <c r="M74" s="2" t="s">
        <v>32</v>
      </c>
      <c r="N74" s="2" t="s">
        <v>508</v>
      </c>
      <c r="O74" s="2" t="s">
        <v>164</v>
      </c>
      <c r="P74" s="2" t="s">
        <v>2399</v>
      </c>
      <c r="Q74" s="2" t="s">
        <v>104</v>
      </c>
      <c r="R74" s="2" t="s">
        <v>453</v>
      </c>
      <c r="S74" s="2" t="s">
        <v>35</v>
      </c>
      <c r="T74" s="150">
        <v>6.3410000000000002</v>
      </c>
      <c r="U74" s="2" t="s">
        <v>2344</v>
      </c>
      <c r="V74" s="162">
        <v>3.5000000000000001E-3</v>
      </c>
      <c r="W74" s="164">
        <v>2.9829999999999999E-2</v>
      </c>
      <c r="X74" s="4" t="s">
        <v>459</v>
      </c>
      <c r="Y74" s="4" t="s">
        <v>164</v>
      </c>
      <c r="Z74" s="150">
        <v>8890</v>
      </c>
      <c r="AA74" s="150">
        <v>1</v>
      </c>
      <c r="AB74" s="150">
        <v>92.07</v>
      </c>
      <c r="AD74" s="150">
        <v>8.1850000000000005</v>
      </c>
      <c r="AG74" s="2" t="s">
        <v>37</v>
      </c>
      <c r="AH74" s="164">
        <v>3.0000000000000001E-6</v>
      </c>
      <c r="AI74" s="164">
        <v>0.112669558325853</v>
      </c>
      <c r="AJ74" s="164">
        <v>1.0492004306718601E-3</v>
      </c>
    </row>
    <row r="75" spans="1:36">
      <c r="A75" s="2" t="s">
        <v>26</v>
      </c>
      <c r="B75" s="2">
        <v>14769</v>
      </c>
      <c r="C75" s="2" t="s">
        <v>2438</v>
      </c>
      <c r="D75" s="2" t="s">
        <v>2439</v>
      </c>
      <c r="E75" s="4" t="s">
        <v>1380</v>
      </c>
      <c r="F75" s="2" t="s">
        <v>2440</v>
      </c>
      <c r="G75" s="2" t="s">
        <v>2441</v>
      </c>
      <c r="H75" s="2" t="s">
        <v>368</v>
      </c>
      <c r="I75" s="2" t="s">
        <v>1011</v>
      </c>
      <c r="J75" s="2" t="s">
        <v>31</v>
      </c>
      <c r="K75" s="2" t="s">
        <v>31</v>
      </c>
      <c r="L75" s="2" t="s">
        <v>374</v>
      </c>
      <c r="M75" s="2" t="s">
        <v>2442</v>
      </c>
      <c r="N75" s="2" t="s">
        <v>498</v>
      </c>
      <c r="O75" s="2" t="s">
        <v>164</v>
      </c>
      <c r="P75" s="2" t="s">
        <v>2255</v>
      </c>
      <c r="Q75" s="2" t="s">
        <v>217</v>
      </c>
      <c r="R75" s="2" t="s">
        <v>453</v>
      </c>
      <c r="S75" s="2" t="s">
        <v>35</v>
      </c>
      <c r="T75" s="150">
        <v>4.1399999999999997</v>
      </c>
      <c r="U75" s="2" t="s">
        <v>2443</v>
      </c>
      <c r="V75" s="162">
        <v>6.7000000000000004E-2</v>
      </c>
      <c r="W75" s="164">
        <v>6.089E-2</v>
      </c>
      <c r="X75" s="4" t="s">
        <v>459</v>
      </c>
      <c r="Y75" s="4" t="s">
        <v>164</v>
      </c>
      <c r="Z75" s="150">
        <v>7000</v>
      </c>
      <c r="AA75" s="150">
        <v>1</v>
      </c>
      <c r="AB75" s="150">
        <v>103.21</v>
      </c>
      <c r="AD75" s="150">
        <v>7.2249999999999996</v>
      </c>
      <c r="AG75" s="2" t="s">
        <v>37</v>
      </c>
      <c r="AH75" s="164">
        <v>0</v>
      </c>
      <c r="AI75" s="164">
        <v>9.9450393485368105E-2</v>
      </c>
      <c r="AJ75" s="164">
        <v>9.26101044734383E-4</v>
      </c>
    </row>
    <row r="76" spans="1:36">
      <c r="A76" s="2" t="s">
        <v>119</v>
      </c>
      <c r="B76" s="2">
        <v>12905</v>
      </c>
      <c r="C76" s="2" t="s">
        <v>2246</v>
      </c>
      <c r="D76" s="2" t="s">
        <v>2247</v>
      </c>
      <c r="E76" s="4" t="s">
        <v>1380</v>
      </c>
      <c r="F76" s="2" t="s">
        <v>2248</v>
      </c>
      <c r="G76" s="2" t="s">
        <v>2249</v>
      </c>
      <c r="H76" s="2" t="s">
        <v>368</v>
      </c>
      <c r="I76" s="2" t="s">
        <v>219</v>
      </c>
      <c r="J76" s="2" t="s">
        <v>31</v>
      </c>
      <c r="K76" s="2" t="s">
        <v>31</v>
      </c>
      <c r="L76" s="2" t="s">
        <v>374</v>
      </c>
      <c r="M76" s="2" t="s">
        <v>32</v>
      </c>
      <c r="N76" s="2" t="s">
        <v>500</v>
      </c>
      <c r="O76" s="2" t="s">
        <v>164</v>
      </c>
      <c r="P76" s="2" t="s">
        <v>1391</v>
      </c>
      <c r="Q76" s="2" t="s">
        <v>217</v>
      </c>
      <c r="R76" s="2" t="s">
        <v>453</v>
      </c>
      <c r="S76" s="2" t="s">
        <v>35</v>
      </c>
      <c r="T76" s="150">
        <v>5.6740000000000004</v>
      </c>
      <c r="U76" s="2" t="s">
        <v>2250</v>
      </c>
      <c r="V76" s="162">
        <v>5.1499999999999997E-2</v>
      </c>
      <c r="W76" s="164">
        <v>2.9309999999999999E-2</v>
      </c>
      <c r="X76" s="4" t="s">
        <v>459</v>
      </c>
      <c r="Y76" s="4" t="s">
        <v>164</v>
      </c>
      <c r="Z76" s="150">
        <v>11284</v>
      </c>
      <c r="AA76" s="150">
        <v>1</v>
      </c>
      <c r="AB76" s="150">
        <v>154.27000000000001</v>
      </c>
      <c r="AD76" s="150">
        <v>17.408000000000001</v>
      </c>
      <c r="AG76" s="2" t="s">
        <v>37</v>
      </c>
      <c r="AH76" s="164">
        <v>3.9999999999999998E-6</v>
      </c>
      <c r="AI76" s="164">
        <v>1.1374777748015199E-2</v>
      </c>
      <c r="AJ76" s="164">
        <v>6.0126572950715198E-4</v>
      </c>
    </row>
    <row r="77" spans="1:36">
      <c r="A77" s="2" t="s">
        <v>119</v>
      </c>
      <c r="B77" s="2">
        <v>12905</v>
      </c>
      <c r="C77" s="2" t="s">
        <v>2251</v>
      </c>
      <c r="D77" s="2" t="s">
        <v>2252</v>
      </c>
      <c r="E77" s="4" t="s">
        <v>1380</v>
      </c>
      <c r="F77" s="2" t="s">
        <v>2253</v>
      </c>
      <c r="G77" s="2" t="s">
        <v>2254</v>
      </c>
      <c r="H77" s="2" t="s">
        <v>368</v>
      </c>
      <c r="I77" s="2" t="s">
        <v>219</v>
      </c>
      <c r="J77" s="2" t="s">
        <v>31</v>
      </c>
      <c r="K77" s="2" t="s">
        <v>31</v>
      </c>
      <c r="L77" s="2" t="s">
        <v>374</v>
      </c>
      <c r="M77" s="2" t="s">
        <v>32</v>
      </c>
      <c r="N77" s="2" t="s">
        <v>484</v>
      </c>
      <c r="O77" s="2" t="s">
        <v>164</v>
      </c>
      <c r="P77" s="2" t="s">
        <v>2255</v>
      </c>
      <c r="Q77" s="2" t="s">
        <v>217</v>
      </c>
      <c r="R77" s="2" t="s">
        <v>453</v>
      </c>
      <c r="S77" s="2" t="s">
        <v>35</v>
      </c>
      <c r="T77" s="150">
        <v>3.3180000000000001</v>
      </c>
      <c r="U77" s="2" t="s">
        <v>2256</v>
      </c>
      <c r="V77" s="162">
        <v>2.75E-2</v>
      </c>
      <c r="W77" s="164">
        <v>2.7689999999999999E-2</v>
      </c>
      <c r="X77" s="4" t="s">
        <v>459</v>
      </c>
      <c r="Y77" s="4" t="s">
        <v>164</v>
      </c>
      <c r="Z77" s="150">
        <v>22154.92</v>
      </c>
      <c r="AA77" s="150">
        <v>1</v>
      </c>
      <c r="AB77" s="150">
        <v>110.77</v>
      </c>
      <c r="AD77" s="150">
        <v>24.541</v>
      </c>
      <c r="AG77" s="2" t="s">
        <v>37</v>
      </c>
      <c r="AH77" s="164">
        <v>2.5000000000000001E-5</v>
      </c>
      <c r="AI77" s="164">
        <v>1.6035802715388701E-2</v>
      </c>
      <c r="AJ77" s="164">
        <v>8.4764545132175E-4</v>
      </c>
    </row>
    <row r="78" spans="1:36">
      <c r="A78" s="2" t="s">
        <v>119</v>
      </c>
      <c r="B78" s="2">
        <v>12905</v>
      </c>
      <c r="C78" s="2" t="s">
        <v>2251</v>
      </c>
      <c r="D78" s="2" t="s">
        <v>2252</v>
      </c>
      <c r="E78" s="4" t="s">
        <v>1380</v>
      </c>
      <c r="F78" s="2" t="s">
        <v>2257</v>
      </c>
      <c r="G78" s="2" t="s">
        <v>2258</v>
      </c>
      <c r="H78" s="2" t="s">
        <v>368</v>
      </c>
      <c r="I78" s="2" t="s">
        <v>1011</v>
      </c>
      <c r="J78" s="2" t="s">
        <v>31</v>
      </c>
      <c r="K78" s="2" t="s">
        <v>31</v>
      </c>
      <c r="L78" s="2" t="s">
        <v>374</v>
      </c>
      <c r="M78" s="2" t="s">
        <v>32</v>
      </c>
      <c r="N78" s="2" t="s">
        <v>484</v>
      </c>
      <c r="O78" s="2" t="s">
        <v>164</v>
      </c>
      <c r="P78" s="2" t="s">
        <v>2255</v>
      </c>
      <c r="Q78" s="2" t="s">
        <v>217</v>
      </c>
      <c r="R78" s="2" t="s">
        <v>453</v>
      </c>
      <c r="S78" s="2" t="s">
        <v>35</v>
      </c>
      <c r="T78" s="150">
        <v>3.532</v>
      </c>
      <c r="U78" s="2" t="s">
        <v>2259</v>
      </c>
      <c r="V78" s="162">
        <v>2.5000000000000001E-2</v>
      </c>
      <c r="W78" s="164">
        <v>5.5169999999999997E-2</v>
      </c>
      <c r="X78" s="4" t="s">
        <v>459</v>
      </c>
      <c r="Y78" s="4" t="s">
        <v>164</v>
      </c>
      <c r="Z78" s="150">
        <v>14787.7</v>
      </c>
      <c r="AA78" s="150">
        <v>1</v>
      </c>
      <c r="AB78" s="150">
        <v>90.36</v>
      </c>
      <c r="AD78" s="150">
        <v>13.362</v>
      </c>
      <c r="AG78" s="2" t="s">
        <v>37</v>
      </c>
      <c r="AH78" s="164">
        <v>1.7E-5</v>
      </c>
      <c r="AI78" s="164">
        <v>8.7312257321602096E-3</v>
      </c>
      <c r="AJ78" s="164">
        <v>4.6152873714433201E-4</v>
      </c>
    </row>
    <row r="79" spans="1:36">
      <c r="A79" s="2" t="s">
        <v>119</v>
      </c>
      <c r="B79" s="2">
        <v>12905</v>
      </c>
      <c r="C79" s="2" t="s">
        <v>2260</v>
      </c>
      <c r="D79" s="2" t="s">
        <v>2261</v>
      </c>
      <c r="E79" s="4" t="s">
        <v>1380</v>
      </c>
      <c r="F79" s="2" t="s">
        <v>2262</v>
      </c>
      <c r="G79" s="2" t="s">
        <v>2263</v>
      </c>
      <c r="H79" s="2" t="s">
        <v>368</v>
      </c>
      <c r="I79" s="2" t="s">
        <v>1011</v>
      </c>
      <c r="J79" s="2" t="s">
        <v>31</v>
      </c>
      <c r="K79" s="2" t="s">
        <v>31</v>
      </c>
      <c r="L79" s="2" t="s">
        <v>374</v>
      </c>
      <c r="M79" s="2" t="s">
        <v>32</v>
      </c>
      <c r="N79" s="2" t="s">
        <v>491</v>
      </c>
      <c r="O79" s="2" t="s">
        <v>164</v>
      </c>
      <c r="P79" s="2" t="s">
        <v>2244</v>
      </c>
      <c r="Q79" s="2" t="s">
        <v>104</v>
      </c>
      <c r="R79" s="2" t="s">
        <v>453</v>
      </c>
      <c r="S79" s="2" t="s">
        <v>35</v>
      </c>
      <c r="T79" s="150">
        <v>2.7250000000000001</v>
      </c>
      <c r="U79" s="2" t="s">
        <v>2264</v>
      </c>
      <c r="V79" s="162">
        <v>2.5499999999999998E-2</v>
      </c>
      <c r="W79" s="164">
        <v>5.373E-2</v>
      </c>
      <c r="X79" s="4" t="s">
        <v>459</v>
      </c>
      <c r="Y79" s="4" t="s">
        <v>164</v>
      </c>
      <c r="Z79" s="150">
        <v>27313</v>
      </c>
      <c r="AA79" s="150">
        <v>1</v>
      </c>
      <c r="AB79" s="150">
        <v>93.65</v>
      </c>
      <c r="AD79" s="150">
        <v>25.579000000000001</v>
      </c>
      <c r="AG79" s="2" t="s">
        <v>37</v>
      </c>
      <c r="AH79" s="164">
        <v>4.6999999999999997E-5</v>
      </c>
      <c r="AI79" s="164">
        <v>1.6713813397283901E-2</v>
      </c>
      <c r="AJ79" s="164">
        <v>8.8348479660781197E-4</v>
      </c>
    </row>
    <row r="80" spans="1:36">
      <c r="A80" s="2" t="s">
        <v>119</v>
      </c>
      <c r="B80" s="2">
        <v>12905</v>
      </c>
      <c r="C80" s="2" t="s">
        <v>2265</v>
      </c>
      <c r="D80" s="2" t="s">
        <v>2266</v>
      </c>
      <c r="E80" s="4" t="s">
        <v>1380</v>
      </c>
      <c r="F80" s="2" t="s">
        <v>2267</v>
      </c>
      <c r="G80" s="2" t="s">
        <v>2268</v>
      </c>
      <c r="H80" s="2" t="s">
        <v>368</v>
      </c>
      <c r="I80" s="2" t="s">
        <v>1011</v>
      </c>
      <c r="J80" s="2" t="s">
        <v>31</v>
      </c>
      <c r="K80" s="2" t="s">
        <v>31</v>
      </c>
      <c r="L80" s="2" t="s">
        <v>374</v>
      </c>
      <c r="M80" s="2" t="s">
        <v>32</v>
      </c>
      <c r="N80" s="2" t="s">
        <v>489</v>
      </c>
      <c r="O80" s="2" t="s">
        <v>164</v>
      </c>
      <c r="P80" s="2" t="s">
        <v>2244</v>
      </c>
      <c r="Q80" s="2" t="s">
        <v>104</v>
      </c>
      <c r="R80" s="2" t="s">
        <v>453</v>
      </c>
      <c r="S80" s="2" t="s">
        <v>35</v>
      </c>
      <c r="T80" s="150">
        <v>4.4509999999999996</v>
      </c>
      <c r="U80" s="2" t="s">
        <v>2269</v>
      </c>
      <c r="V80" s="162">
        <v>2.18E-2</v>
      </c>
      <c r="W80" s="164">
        <v>5.4129999999999998E-2</v>
      </c>
      <c r="X80" s="4" t="s">
        <v>459</v>
      </c>
      <c r="Y80" s="4" t="s">
        <v>164</v>
      </c>
      <c r="Z80" s="150">
        <v>72602</v>
      </c>
      <c r="AA80" s="150">
        <v>1</v>
      </c>
      <c r="AB80" s="150">
        <v>87.63</v>
      </c>
      <c r="AD80" s="150">
        <v>63.621000000000002</v>
      </c>
      <c r="AG80" s="2" t="s">
        <v>37</v>
      </c>
      <c r="AH80" s="164">
        <v>4.4200000000000001E-4</v>
      </c>
      <c r="AI80" s="164">
        <v>4.1571888996621197E-2</v>
      </c>
      <c r="AJ80" s="164">
        <v>2.1974716973178002E-3</v>
      </c>
    </row>
    <row r="81" spans="1:36">
      <c r="A81" s="2" t="s">
        <v>119</v>
      </c>
      <c r="B81" s="2">
        <v>12905</v>
      </c>
      <c r="C81" s="2" t="s">
        <v>2275</v>
      </c>
      <c r="D81" s="2" t="s">
        <v>2276</v>
      </c>
      <c r="E81" s="4" t="s">
        <v>1380</v>
      </c>
      <c r="F81" s="2" t="s">
        <v>2277</v>
      </c>
      <c r="G81" s="2" t="s">
        <v>2278</v>
      </c>
      <c r="H81" s="2" t="s">
        <v>368</v>
      </c>
      <c r="I81" s="2" t="s">
        <v>1011</v>
      </c>
      <c r="J81" s="2" t="s">
        <v>31</v>
      </c>
      <c r="K81" s="2" t="s">
        <v>31</v>
      </c>
      <c r="L81" s="2" t="s">
        <v>374</v>
      </c>
      <c r="M81" s="2" t="s">
        <v>32</v>
      </c>
      <c r="N81" s="2" t="s">
        <v>508</v>
      </c>
      <c r="O81" s="2" t="s">
        <v>164</v>
      </c>
      <c r="P81" s="2" t="s">
        <v>1391</v>
      </c>
      <c r="Q81" s="2" t="s">
        <v>217</v>
      </c>
      <c r="R81" s="2" t="s">
        <v>453</v>
      </c>
      <c r="S81" s="2" t="s">
        <v>35</v>
      </c>
      <c r="T81" s="150">
        <v>4.8369999999999997</v>
      </c>
      <c r="U81" s="2" t="s">
        <v>2279</v>
      </c>
      <c r="V81" s="162">
        <v>2.41E-2</v>
      </c>
      <c r="W81" s="164">
        <v>5.7450000000000001E-2</v>
      </c>
      <c r="X81" s="4" t="s">
        <v>459</v>
      </c>
      <c r="Y81" s="4" t="s">
        <v>164</v>
      </c>
      <c r="Z81" s="150">
        <v>10666.67</v>
      </c>
      <c r="AA81" s="150">
        <v>1</v>
      </c>
      <c r="AB81" s="150">
        <v>85.75</v>
      </c>
      <c r="AD81" s="150">
        <v>9.1470000000000002</v>
      </c>
      <c r="AG81" s="2" t="s">
        <v>37</v>
      </c>
      <c r="AH81" s="164">
        <v>6.9999999999999999E-6</v>
      </c>
      <c r="AI81" s="164">
        <v>5.9766985377760797E-3</v>
      </c>
      <c r="AJ81" s="164">
        <v>3.15925645842821E-4</v>
      </c>
    </row>
    <row r="82" spans="1:36">
      <c r="A82" s="2" t="s">
        <v>119</v>
      </c>
      <c r="B82" s="2">
        <v>12905</v>
      </c>
      <c r="C82" s="2" t="s">
        <v>2275</v>
      </c>
      <c r="D82" s="2" t="s">
        <v>2276</v>
      </c>
      <c r="E82" s="4" t="s">
        <v>1380</v>
      </c>
      <c r="F82" s="2" t="s">
        <v>2280</v>
      </c>
      <c r="G82" s="2" t="s">
        <v>2281</v>
      </c>
      <c r="H82" s="2" t="s">
        <v>368</v>
      </c>
      <c r="I82" s="2" t="s">
        <v>1011</v>
      </c>
      <c r="J82" s="2" t="s">
        <v>31</v>
      </c>
      <c r="K82" s="2" t="s">
        <v>31</v>
      </c>
      <c r="L82" s="2" t="s">
        <v>374</v>
      </c>
      <c r="M82" s="2" t="s">
        <v>32</v>
      </c>
      <c r="N82" s="2" t="s">
        <v>508</v>
      </c>
      <c r="O82" s="2" t="s">
        <v>164</v>
      </c>
      <c r="P82" s="2" t="s">
        <v>1396</v>
      </c>
      <c r="Q82" s="2" t="s">
        <v>104</v>
      </c>
      <c r="R82" s="2" t="s">
        <v>453</v>
      </c>
      <c r="S82" s="2" t="s">
        <v>35</v>
      </c>
      <c r="T82" s="150">
        <v>6.7889999999999997</v>
      </c>
      <c r="U82" s="2" t="s">
        <v>2282</v>
      </c>
      <c r="V82" s="162">
        <v>4.9399999999999999E-2</v>
      </c>
      <c r="W82" s="164">
        <v>6.2219999999999998E-2</v>
      </c>
      <c r="X82" s="4" t="s">
        <v>459</v>
      </c>
      <c r="Y82" s="4" t="s">
        <v>164</v>
      </c>
      <c r="Z82" s="150">
        <v>12310</v>
      </c>
      <c r="AA82" s="150">
        <v>1</v>
      </c>
      <c r="AB82" s="150">
        <v>92.4</v>
      </c>
      <c r="AD82" s="150">
        <v>11.374000000000001</v>
      </c>
      <c r="AG82" s="2" t="s">
        <v>37</v>
      </c>
      <c r="AH82" s="164">
        <v>2.3E-5</v>
      </c>
      <c r="AI82" s="164">
        <v>7.4323882294218702E-3</v>
      </c>
      <c r="AJ82" s="164">
        <v>3.9287276021928997E-4</v>
      </c>
    </row>
    <row r="83" spans="1:36">
      <c r="A83" s="2" t="s">
        <v>119</v>
      </c>
      <c r="B83" s="2">
        <v>12905</v>
      </c>
      <c r="C83" s="2" t="s">
        <v>1867</v>
      </c>
      <c r="D83" s="2" t="s">
        <v>1868</v>
      </c>
      <c r="E83" s="4" t="s">
        <v>1380</v>
      </c>
      <c r="F83" s="2" t="s">
        <v>2283</v>
      </c>
      <c r="G83" s="2" t="s">
        <v>2284</v>
      </c>
      <c r="H83" s="2" t="s">
        <v>368</v>
      </c>
      <c r="I83" s="2" t="s">
        <v>1011</v>
      </c>
      <c r="J83" s="2" t="s">
        <v>31</v>
      </c>
      <c r="K83" s="2" t="s">
        <v>31</v>
      </c>
      <c r="L83" s="2" t="s">
        <v>374</v>
      </c>
      <c r="M83" s="2" t="s">
        <v>32</v>
      </c>
      <c r="N83" s="2" t="s">
        <v>495</v>
      </c>
      <c r="O83" s="2" t="s">
        <v>164</v>
      </c>
      <c r="P83" s="2" t="s">
        <v>2285</v>
      </c>
      <c r="Q83" s="2" t="s">
        <v>217</v>
      </c>
      <c r="R83" s="2" t="s">
        <v>453</v>
      </c>
      <c r="S83" s="2" t="s">
        <v>35</v>
      </c>
      <c r="T83" s="150">
        <v>3.41</v>
      </c>
      <c r="U83" s="2" t="s">
        <v>2286</v>
      </c>
      <c r="V83" s="162">
        <v>0.04</v>
      </c>
      <c r="W83" s="164">
        <v>5.0200000000000002E-2</v>
      </c>
      <c r="X83" s="4" t="s">
        <v>459</v>
      </c>
      <c r="Y83" s="4" t="s">
        <v>164</v>
      </c>
      <c r="Z83" s="150">
        <v>21875</v>
      </c>
      <c r="AA83" s="150">
        <v>1</v>
      </c>
      <c r="AB83" s="150">
        <v>97.7</v>
      </c>
      <c r="AD83" s="150">
        <v>21.372</v>
      </c>
      <c r="AG83" s="2" t="s">
        <v>37</v>
      </c>
      <c r="AH83" s="164">
        <v>2.8E-5</v>
      </c>
      <c r="AI83" s="164">
        <v>1.39650015465091E-2</v>
      </c>
      <c r="AJ83" s="164">
        <v>7.3818381584602399E-4</v>
      </c>
    </row>
    <row r="84" spans="1:36">
      <c r="A84" s="2" t="s">
        <v>119</v>
      </c>
      <c r="B84" s="2">
        <v>12905</v>
      </c>
      <c r="C84" s="2" t="s">
        <v>2287</v>
      </c>
      <c r="D84" s="2" t="s">
        <v>2288</v>
      </c>
      <c r="E84" s="4" t="s">
        <v>1380</v>
      </c>
      <c r="F84" s="2" t="s">
        <v>2289</v>
      </c>
      <c r="G84" s="2" t="s">
        <v>2290</v>
      </c>
      <c r="H84" s="2" t="s">
        <v>368</v>
      </c>
      <c r="I84" s="2" t="s">
        <v>219</v>
      </c>
      <c r="J84" s="2" t="s">
        <v>31</v>
      </c>
      <c r="K84" s="2" t="s">
        <v>31</v>
      </c>
      <c r="L84" s="2" t="s">
        <v>374</v>
      </c>
      <c r="M84" s="2" t="s">
        <v>32</v>
      </c>
      <c r="N84" s="2" t="s">
        <v>509</v>
      </c>
      <c r="O84" s="2" t="s">
        <v>164</v>
      </c>
      <c r="P84" s="2" t="s">
        <v>2244</v>
      </c>
      <c r="Q84" s="2" t="s">
        <v>104</v>
      </c>
      <c r="R84" s="2" t="s">
        <v>453</v>
      </c>
      <c r="S84" s="2" t="s">
        <v>35</v>
      </c>
      <c r="T84" s="150">
        <v>1.9430000000000001</v>
      </c>
      <c r="U84" s="2" t="s">
        <v>2291</v>
      </c>
      <c r="V84" s="162">
        <v>2.5700000000000001E-2</v>
      </c>
      <c r="W84" s="164">
        <v>2.477E-2</v>
      </c>
      <c r="X84" s="4" t="s">
        <v>459</v>
      </c>
      <c r="Y84" s="4" t="s">
        <v>164</v>
      </c>
      <c r="Z84" s="150">
        <v>69266</v>
      </c>
      <c r="AA84" s="150">
        <v>1</v>
      </c>
      <c r="AB84" s="150">
        <v>113.66</v>
      </c>
      <c r="AD84" s="150">
        <v>78.727999999999994</v>
      </c>
      <c r="AG84" s="2" t="s">
        <v>37</v>
      </c>
      <c r="AH84" s="164">
        <v>5.3999999999999998E-5</v>
      </c>
      <c r="AI84" s="164">
        <v>5.14429805249733E-2</v>
      </c>
      <c r="AJ84" s="164">
        <v>2.7192532371691702E-3</v>
      </c>
    </row>
    <row r="85" spans="1:36">
      <c r="A85" s="2" t="s">
        <v>119</v>
      </c>
      <c r="B85" s="2">
        <v>12905</v>
      </c>
      <c r="C85" s="2" t="s">
        <v>2287</v>
      </c>
      <c r="D85" s="2" t="s">
        <v>2288</v>
      </c>
      <c r="E85" s="4" t="s">
        <v>1380</v>
      </c>
      <c r="F85" s="2" t="s">
        <v>2292</v>
      </c>
      <c r="G85" s="2" t="s">
        <v>2293</v>
      </c>
      <c r="H85" s="2" t="s">
        <v>368</v>
      </c>
      <c r="I85" s="2" t="s">
        <v>219</v>
      </c>
      <c r="J85" s="2" t="s">
        <v>31</v>
      </c>
      <c r="K85" s="2" t="s">
        <v>31</v>
      </c>
      <c r="L85" s="2" t="s">
        <v>374</v>
      </c>
      <c r="M85" s="2" t="s">
        <v>32</v>
      </c>
      <c r="N85" s="2" t="s">
        <v>509</v>
      </c>
      <c r="O85" s="2" t="s">
        <v>164</v>
      </c>
      <c r="P85" s="2" t="s">
        <v>2244</v>
      </c>
      <c r="Q85" s="2" t="s">
        <v>104</v>
      </c>
      <c r="R85" s="2" t="s">
        <v>453</v>
      </c>
      <c r="S85" s="2" t="s">
        <v>35</v>
      </c>
      <c r="T85" s="150">
        <v>5.6210000000000004</v>
      </c>
      <c r="U85" s="2" t="s">
        <v>2294</v>
      </c>
      <c r="V85" s="162">
        <v>1.54E-2</v>
      </c>
      <c r="W85" s="164">
        <v>3.2969999999999999E-2</v>
      </c>
      <c r="X85" s="4" t="s">
        <v>459</v>
      </c>
      <c r="Y85" s="4" t="s">
        <v>164</v>
      </c>
      <c r="Z85" s="150">
        <v>21070</v>
      </c>
      <c r="AA85" s="150">
        <v>1</v>
      </c>
      <c r="AB85" s="150">
        <v>98.44</v>
      </c>
      <c r="AD85" s="150">
        <v>20.741</v>
      </c>
      <c r="AG85" s="2" t="s">
        <v>37</v>
      </c>
      <c r="AH85" s="164">
        <v>6.0000000000000002E-5</v>
      </c>
      <c r="AI85" s="164">
        <v>1.3552970822476799E-2</v>
      </c>
      <c r="AJ85" s="164">
        <v>7.1640405369569396E-4</v>
      </c>
    </row>
    <row r="86" spans="1:36">
      <c r="A86" s="2" t="s">
        <v>119</v>
      </c>
      <c r="B86" s="2">
        <v>12905</v>
      </c>
      <c r="C86" s="2" t="s">
        <v>2295</v>
      </c>
      <c r="D86" s="2" t="s">
        <v>2296</v>
      </c>
      <c r="E86" s="4" t="s">
        <v>1380</v>
      </c>
      <c r="F86" s="2" t="s">
        <v>2297</v>
      </c>
      <c r="G86" s="2" t="s">
        <v>2298</v>
      </c>
      <c r="H86" s="2" t="s">
        <v>368</v>
      </c>
      <c r="I86" s="2" t="s">
        <v>219</v>
      </c>
      <c r="J86" s="2" t="s">
        <v>31</v>
      </c>
      <c r="K86" s="2" t="s">
        <v>31</v>
      </c>
      <c r="L86" s="2" t="s">
        <v>374</v>
      </c>
      <c r="M86" s="2" t="s">
        <v>32</v>
      </c>
      <c r="N86" s="2" t="s">
        <v>508</v>
      </c>
      <c r="O86" s="2" t="s">
        <v>164</v>
      </c>
      <c r="P86" s="2" t="s">
        <v>2299</v>
      </c>
      <c r="Q86" s="2" t="s">
        <v>217</v>
      </c>
      <c r="R86" s="2" t="s">
        <v>453</v>
      </c>
      <c r="S86" s="2" t="s">
        <v>35</v>
      </c>
      <c r="T86" s="150">
        <v>6.4809999999999999</v>
      </c>
      <c r="U86" s="2" t="s">
        <v>2300</v>
      </c>
      <c r="V86" s="162">
        <v>3.6799999999999999E-2</v>
      </c>
      <c r="W86" s="164">
        <v>3.6380000000000003E-2</v>
      </c>
      <c r="X86" s="4" t="s">
        <v>459</v>
      </c>
      <c r="Y86" s="4" t="s">
        <v>164</v>
      </c>
      <c r="Z86" s="150">
        <v>39000</v>
      </c>
      <c r="AA86" s="150">
        <v>1</v>
      </c>
      <c r="AB86" s="150">
        <v>101.74</v>
      </c>
      <c r="AD86" s="150">
        <v>39.679000000000002</v>
      </c>
      <c r="AG86" s="2" t="s">
        <v>37</v>
      </c>
      <c r="AH86" s="164">
        <v>0</v>
      </c>
      <c r="AI86" s="164">
        <v>2.5927145389130199E-2</v>
      </c>
      <c r="AJ86" s="164">
        <v>1.3704974577770099E-3</v>
      </c>
    </row>
    <row r="87" spans="1:36">
      <c r="A87" s="2" t="s">
        <v>119</v>
      </c>
      <c r="B87" s="2">
        <v>12905</v>
      </c>
      <c r="C87" s="2" t="s">
        <v>2295</v>
      </c>
      <c r="D87" s="2" t="s">
        <v>2296</v>
      </c>
      <c r="E87" s="4" t="s">
        <v>1380</v>
      </c>
      <c r="F87" s="2" t="s">
        <v>2301</v>
      </c>
      <c r="G87" s="2" t="s">
        <v>2302</v>
      </c>
      <c r="H87" s="2" t="s">
        <v>368</v>
      </c>
      <c r="I87" s="2" t="s">
        <v>219</v>
      </c>
      <c r="J87" s="2" t="s">
        <v>31</v>
      </c>
      <c r="K87" s="2" t="s">
        <v>31</v>
      </c>
      <c r="L87" s="2" t="s">
        <v>374</v>
      </c>
      <c r="M87" s="2" t="s">
        <v>32</v>
      </c>
      <c r="N87" s="2" t="s">
        <v>508</v>
      </c>
      <c r="O87" s="2" t="s">
        <v>164</v>
      </c>
      <c r="P87" s="2" t="s">
        <v>2299</v>
      </c>
      <c r="Q87" s="2" t="s">
        <v>217</v>
      </c>
      <c r="R87" s="2" t="s">
        <v>453</v>
      </c>
      <c r="S87" s="2" t="s">
        <v>35</v>
      </c>
      <c r="T87" s="150">
        <v>1.919</v>
      </c>
      <c r="U87" s="2" t="s">
        <v>2303</v>
      </c>
      <c r="V87" s="162">
        <v>3.4599999999999999E-2</v>
      </c>
      <c r="W87" s="164">
        <v>2.6380000000000001E-2</v>
      </c>
      <c r="X87" s="4" t="s">
        <v>459</v>
      </c>
      <c r="Y87" s="4" t="s">
        <v>164</v>
      </c>
      <c r="Z87" s="150">
        <v>25500</v>
      </c>
      <c r="AA87" s="150">
        <v>1</v>
      </c>
      <c r="AB87" s="150">
        <v>115.44</v>
      </c>
      <c r="AD87" s="150">
        <v>29.437000000000001</v>
      </c>
      <c r="AG87" s="2" t="s">
        <v>37</v>
      </c>
      <c r="AH87" s="164">
        <v>2.0599999999999999E-4</v>
      </c>
      <c r="AI87" s="164">
        <v>1.92351182816154E-2</v>
      </c>
      <c r="AJ87" s="164">
        <v>1.0167598595735099E-3</v>
      </c>
    </row>
    <row r="88" spans="1:36">
      <c r="A88" s="2" t="s">
        <v>119</v>
      </c>
      <c r="B88" s="2">
        <v>12905</v>
      </c>
      <c r="C88" s="2" t="s">
        <v>1883</v>
      </c>
      <c r="D88" s="2" t="s">
        <v>1884</v>
      </c>
      <c r="E88" s="4" t="s">
        <v>1380</v>
      </c>
      <c r="F88" s="2" t="s">
        <v>2502</v>
      </c>
      <c r="G88" s="2" t="s">
        <v>2503</v>
      </c>
      <c r="H88" s="2" t="s">
        <v>368</v>
      </c>
      <c r="I88" s="2" t="s">
        <v>1011</v>
      </c>
      <c r="J88" s="2" t="s">
        <v>31</v>
      </c>
      <c r="K88" s="2" t="s">
        <v>31</v>
      </c>
      <c r="L88" s="2" t="s">
        <v>374</v>
      </c>
      <c r="M88" s="2" t="s">
        <v>32</v>
      </c>
      <c r="N88" s="2" t="s">
        <v>491</v>
      </c>
      <c r="O88" s="2" t="s">
        <v>164</v>
      </c>
      <c r="P88" s="2" t="s">
        <v>2299</v>
      </c>
      <c r="Q88" s="2" t="s">
        <v>217</v>
      </c>
      <c r="R88" s="2" t="s">
        <v>453</v>
      </c>
      <c r="S88" s="2" t="s">
        <v>35</v>
      </c>
      <c r="T88" s="150">
        <v>2.355</v>
      </c>
      <c r="U88" s="2" t="s">
        <v>2504</v>
      </c>
      <c r="V88" s="162">
        <v>4.2999999999999997E-2</v>
      </c>
      <c r="W88" s="164">
        <v>5.3440000000000001E-2</v>
      </c>
      <c r="X88" s="4" t="s">
        <v>459</v>
      </c>
      <c r="Y88" s="4" t="s">
        <v>164</v>
      </c>
      <c r="Z88" s="150">
        <v>27879.16</v>
      </c>
      <c r="AA88" s="150">
        <v>1</v>
      </c>
      <c r="AB88" s="150">
        <v>98.8</v>
      </c>
      <c r="AD88" s="150">
        <v>27.545000000000002</v>
      </c>
      <c r="AG88" s="2" t="s">
        <v>37</v>
      </c>
      <c r="AH88" s="164">
        <v>2.3E-5</v>
      </c>
      <c r="AI88" s="164">
        <v>1.7998445263468499E-2</v>
      </c>
      <c r="AJ88" s="164">
        <v>9.5138986985677403E-4</v>
      </c>
    </row>
    <row r="89" spans="1:36">
      <c r="A89" s="2" t="s">
        <v>119</v>
      </c>
      <c r="B89" s="2">
        <v>12905</v>
      </c>
      <c r="C89" s="2" t="s">
        <v>2307</v>
      </c>
      <c r="D89" s="2" t="s">
        <v>2308</v>
      </c>
      <c r="E89" s="4" t="s">
        <v>1380</v>
      </c>
      <c r="F89" s="2" t="s">
        <v>2309</v>
      </c>
      <c r="G89" s="2" t="s">
        <v>2310</v>
      </c>
      <c r="H89" s="2" t="s">
        <v>368</v>
      </c>
      <c r="I89" s="2" t="s">
        <v>1011</v>
      </c>
      <c r="J89" s="2" t="s">
        <v>31</v>
      </c>
      <c r="K89" s="2" t="s">
        <v>31</v>
      </c>
      <c r="L89" s="2" t="s">
        <v>374</v>
      </c>
      <c r="M89" s="2" t="s">
        <v>32</v>
      </c>
      <c r="N89" s="2" t="s">
        <v>529</v>
      </c>
      <c r="O89" s="2" t="s">
        <v>164</v>
      </c>
      <c r="P89" s="2" t="s">
        <v>2311</v>
      </c>
      <c r="Q89" s="2" t="s">
        <v>104</v>
      </c>
      <c r="R89" s="2" t="s">
        <v>453</v>
      </c>
      <c r="S89" s="2" t="s">
        <v>35</v>
      </c>
      <c r="T89" s="150">
        <v>2.5310000000000001</v>
      </c>
      <c r="U89" s="2" t="s">
        <v>2312</v>
      </c>
      <c r="V89" s="162">
        <v>3.6499999999999998E-2</v>
      </c>
      <c r="W89" s="164">
        <v>5.2229999999999999E-2</v>
      </c>
      <c r="X89" s="4" t="s">
        <v>459</v>
      </c>
      <c r="Y89" s="4" t="s">
        <v>164</v>
      </c>
      <c r="Z89" s="150">
        <v>30000</v>
      </c>
      <c r="AA89" s="150">
        <v>1</v>
      </c>
      <c r="AB89" s="150">
        <v>97.52</v>
      </c>
      <c r="AD89" s="150">
        <v>29.256</v>
      </c>
      <c r="AG89" s="2" t="s">
        <v>37</v>
      </c>
      <c r="AH89" s="164">
        <v>2.0000000000000002E-5</v>
      </c>
      <c r="AI89" s="164">
        <v>1.9116716958370399E-2</v>
      </c>
      <c r="AJ89" s="164">
        <v>1.0105012179039601E-3</v>
      </c>
    </row>
    <row r="90" spans="1:36">
      <c r="A90" s="2" t="s">
        <v>119</v>
      </c>
      <c r="B90" s="2">
        <v>12905</v>
      </c>
      <c r="C90" s="2" t="s">
        <v>1899</v>
      </c>
      <c r="D90" s="2" t="s">
        <v>1900</v>
      </c>
      <c r="E90" s="4" t="s">
        <v>1380</v>
      </c>
      <c r="F90" s="2" t="s">
        <v>2505</v>
      </c>
      <c r="G90" s="2" t="s">
        <v>2506</v>
      </c>
      <c r="H90" s="2" t="s">
        <v>368</v>
      </c>
      <c r="I90" s="2" t="s">
        <v>219</v>
      </c>
      <c r="J90" s="2" t="s">
        <v>31</v>
      </c>
      <c r="K90" s="2" t="s">
        <v>31</v>
      </c>
      <c r="L90" s="2" t="s">
        <v>374</v>
      </c>
      <c r="M90" s="2" t="s">
        <v>32</v>
      </c>
      <c r="N90" s="2" t="s">
        <v>508</v>
      </c>
      <c r="O90" s="2" t="s">
        <v>164</v>
      </c>
      <c r="P90" s="2" t="s">
        <v>1391</v>
      </c>
      <c r="Q90" s="2" t="s">
        <v>217</v>
      </c>
      <c r="R90" s="2" t="s">
        <v>453</v>
      </c>
      <c r="S90" s="2" t="s">
        <v>35</v>
      </c>
      <c r="T90" s="150">
        <v>5.39</v>
      </c>
      <c r="U90" s="2" t="s">
        <v>2507</v>
      </c>
      <c r="V90" s="162">
        <v>1.8700000000000001E-2</v>
      </c>
      <c r="W90" s="164">
        <v>3.048E-2</v>
      </c>
      <c r="X90" s="4" t="s">
        <v>459</v>
      </c>
      <c r="Y90" s="4" t="s">
        <v>164</v>
      </c>
      <c r="Z90" s="150">
        <v>14100</v>
      </c>
      <c r="AA90" s="150">
        <v>1</v>
      </c>
      <c r="AB90" s="150">
        <v>101.36</v>
      </c>
      <c r="AD90" s="150">
        <v>14.292</v>
      </c>
      <c r="AG90" s="2" t="s">
        <v>37</v>
      </c>
      <c r="AH90" s="164">
        <v>2.5000000000000001E-5</v>
      </c>
      <c r="AI90" s="164">
        <v>9.3386495336669102E-3</v>
      </c>
      <c r="AJ90" s="164">
        <v>4.9363689109895904E-4</v>
      </c>
    </row>
    <row r="91" spans="1:36">
      <c r="A91" s="2" t="s">
        <v>119</v>
      </c>
      <c r="B91" s="2">
        <v>12905</v>
      </c>
      <c r="C91" s="2" t="s">
        <v>1891</v>
      </c>
      <c r="D91" s="2" t="s">
        <v>1892</v>
      </c>
      <c r="E91" s="4" t="s">
        <v>1380</v>
      </c>
      <c r="F91" s="2" t="s">
        <v>2318</v>
      </c>
      <c r="G91" s="2" t="s">
        <v>2319</v>
      </c>
      <c r="H91" s="2" t="s">
        <v>368</v>
      </c>
      <c r="I91" s="2" t="s">
        <v>1011</v>
      </c>
      <c r="J91" s="2" t="s">
        <v>31</v>
      </c>
      <c r="K91" s="2" t="s">
        <v>31</v>
      </c>
      <c r="L91" s="2" t="s">
        <v>374</v>
      </c>
      <c r="M91" s="2" t="s">
        <v>32</v>
      </c>
      <c r="N91" s="2" t="s">
        <v>484</v>
      </c>
      <c r="O91" s="2" t="s">
        <v>164</v>
      </c>
      <c r="P91" s="2" t="s">
        <v>2285</v>
      </c>
      <c r="Q91" s="2" t="s">
        <v>217</v>
      </c>
      <c r="R91" s="2" t="s">
        <v>453</v>
      </c>
      <c r="S91" s="2" t="s">
        <v>35</v>
      </c>
      <c r="T91" s="150">
        <v>5.0060000000000002</v>
      </c>
      <c r="U91" s="2" t="s">
        <v>2320</v>
      </c>
      <c r="V91" s="162">
        <v>5.7500000000000002E-2</v>
      </c>
      <c r="W91" s="164">
        <v>5.7119999999999997E-2</v>
      </c>
      <c r="X91" s="4" t="s">
        <v>459</v>
      </c>
      <c r="Y91" s="4" t="s">
        <v>164</v>
      </c>
      <c r="Z91" s="150">
        <v>25526</v>
      </c>
      <c r="AA91" s="150">
        <v>1</v>
      </c>
      <c r="AB91" s="150">
        <v>100.67</v>
      </c>
      <c r="AD91" s="150">
        <v>25.696999999999999</v>
      </c>
      <c r="AG91" s="2" t="s">
        <v>37</v>
      </c>
      <c r="AH91" s="164">
        <v>1.13E-4</v>
      </c>
      <c r="AI91" s="164">
        <v>1.6791179187304901E-2</v>
      </c>
      <c r="AJ91" s="164">
        <v>8.8757431810936602E-4</v>
      </c>
    </row>
    <row r="92" spans="1:36">
      <c r="A92" s="2" t="s">
        <v>119</v>
      </c>
      <c r="B92" s="2">
        <v>12905</v>
      </c>
      <c r="C92" s="2" t="s">
        <v>2321</v>
      </c>
      <c r="D92" s="2" t="s">
        <v>2322</v>
      </c>
      <c r="E92" s="4" t="s">
        <v>1380</v>
      </c>
      <c r="F92" s="2" t="s">
        <v>2329</v>
      </c>
      <c r="G92" s="2" t="s">
        <v>2330</v>
      </c>
      <c r="H92" s="2" t="s">
        <v>368</v>
      </c>
      <c r="I92" s="2" t="s">
        <v>219</v>
      </c>
      <c r="J92" s="2" t="s">
        <v>31</v>
      </c>
      <c r="K92" s="2" t="s">
        <v>31</v>
      </c>
      <c r="L92" s="2" t="s">
        <v>374</v>
      </c>
      <c r="M92" s="2" t="s">
        <v>32</v>
      </c>
      <c r="N92" s="2" t="s">
        <v>508</v>
      </c>
      <c r="O92" s="2" t="s">
        <v>164</v>
      </c>
      <c r="P92" s="2" t="s">
        <v>2274</v>
      </c>
      <c r="Q92" s="2" t="s">
        <v>217</v>
      </c>
      <c r="R92" s="2" t="s">
        <v>453</v>
      </c>
      <c r="S92" s="2" t="s">
        <v>35</v>
      </c>
      <c r="T92" s="150">
        <v>5.6539999999999999</v>
      </c>
      <c r="U92" s="2" t="s">
        <v>2331</v>
      </c>
      <c r="V92" s="162">
        <v>5.8999999999999999E-3</v>
      </c>
      <c r="W92" s="164">
        <v>2.8559999999999999E-2</v>
      </c>
      <c r="X92" s="4" t="s">
        <v>459</v>
      </c>
      <c r="Y92" s="4" t="s">
        <v>164</v>
      </c>
      <c r="Z92" s="150">
        <v>51260</v>
      </c>
      <c r="AA92" s="150">
        <v>1</v>
      </c>
      <c r="AB92" s="150">
        <v>95.47</v>
      </c>
      <c r="AD92" s="150">
        <v>48.938000000000002</v>
      </c>
      <c r="AG92" s="2" t="s">
        <v>37</v>
      </c>
      <c r="AH92" s="164">
        <v>4.6999999999999997E-5</v>
      </c>
      <c r="AI92" s="164">
        <v>3.19774543138093E-2</v>
      </c>
      <c r="AJ92" s="164">
        <v>1.6903141161706699E-3</v>
      </c>
    </row>
    <row r="93" spans="1:36">
      <c r="A93" s="2" t="s">
        <v>119</v>
      </c>
      <c r="B93" s="2">
        <v>12905</v>
      </c>
      <c r="C93" s="2" t="s">
        <v>2321</v>
      </c>
      <c r="D93" s="2" t="s">
        <v>2322</v>
      </c>
      <c r="E93" s="4" t="s">
        <v>1380</v>
      </c>
      <c r="F93" s="2" t="s">
        <v>2332</v>
      </c>
      <c r="G93" s="2" t="s">
        <v>2333</v>
      </c>
      <c r="H93" s="2" t="s">
        <v>368</v>
      </c>
      <c r="I93" s="2" t="s">
        <v>219</v>
      </c>
      <c r="J93" s="2" t="s">
        <v>31</v>
      </c>
      <c r="K93" s="2" t="s">
        <v>31</v>
      </c>
      <c r="L93" s="2" t="s">
        <v>374</v>
      </c>
      <c r="M93" s="2" t="s">
        <v>32</v>
      </c>
      <c r="N93" s="2" t="s">
        <v>508</v>
      </c>
      <c r="O93" s="2" t="s">
        <v>164</v>
      </c>
      <c r="P93" s="2" t="s">
        <v>2274</v>
      </c>
      <c r="Q93" s="2" t="s">
        <v>217</v>
      </c>
      <c r="R93" s="2" t="s">
        <v>453</v>
      </c>
      <c r="S93" s="2" t="s">
        <v>35</v>
      </c>
      <c r="T93" s="150">
        <v>1.466</v>
      </c>
      <c r="U93" s="2" t="s">
        <v>2334</v>
      </c>
      <c r="V93" s="162">
        <v>4.7500000000000001E-2</v>
      </c>
      <c r="W93" s="164">
        <v>1.567E-2</v>
      </c>
      <c r="X93" s="4" t="s">
        <v>459</v>
      </c>
      <c r="Y93" s="4" t="s">
        <v>164</v>
      </c>
      <c r="Z93" s="150">
        <v>10243.5</v>
      </c>
      <c r="AA93" s="150">
        <v>1</v>
      </c>
      <c r="AB93" s="150">
        <v>141.47999999999999</v>
      </c>
      <c r="AD93" s="150">
        <v>14.493</v>
      </c>
      <c r="AG93" s="2" t="s">
        <v>37</v>
      </c>
      <c r="AH93" s="164">
        <v>7.9999999999999996E-6</v>
      </c>
      <c r="AI93" s="164">
        <v>9.4698213413558496E-3</v>
      </c>
      <c r="AJ93" s="164">
        <v>5.0057057493771602E-4</v>
      </c>
    </row>
    <row r="94" spans="1:36">
      <c r="A94" s="2" t="s">
        <v>119</v>
      </c>
      <c r="B94" s="2">
        <v>12905</v>
      </c>
      <c r="C94" s="2" t="s">
        <v>2340</v>
      </c>
      <c r="D94" s="2" t="s">
        <v>2341</v>
      </c>
      <c r="E94" s="4" t="s">
        <v>1380</v>
      </c>
      <c r="F94" s="2" t="s">
        <v>2342</v>
      </c>
      <c r="G94" s="2" t="s">
        <v>2343</v>
      </c>
      <c r="H94" s="2" t="s">
        <v>368</v>
      </c>
      <c r="I94" s="2" t="s">
        <v>219</v>
      </c>
      <c r="J94" s="2" t="s">
        <v>31</v>
      </c>
      <c r="K94" s="2" t="s">
        <v>31</v>
      </c>
      <c r="L94" s="2" t="s">
        <v>374</v>
      </c>
      <c r="M94" s="2" t="s">
        <v>32</v>
      </c>
      <c r="N94" s="2" t="s">
        <v>495</v>
      </c>
      <c r="O94" s="2" t="s">
        <v>164</v>
      </c>
      <c r="P94" s="2" t="s">
        <v>2285</v>
      </c>
      <c r="Q94" s="2" t="s">
        <v>217</v>
      </c>
      <c r="R94" s="2" t="s">
        <v>453</v>
      </c>
      <c r="S94" s="2" t="s">
        <v>35</v>
      </c>
      <c r="T94" s="150">
        <v>4.6710000000000003</v>
      </c>
      <c r="U94" s="2" t="s">
        <v>2344</v>
      </c>
      <c r="V94" s="162">
        <v>7.4999999999999997E-3</v>
      </c>
      <c r="W94" s="164">
        <v>3.499E-2</v>
      </c>
      <c r="X94" s="4" t="s">
        <v>459</v>
      </c>
      <c r="Y94" s="4" t="s">
        <v>164</v>
      </c>
      <c r="Z94" s="150">
        <v>10192</v>
      </c>
      <c r="AA94" s="150">
        <v>1</v>
      </c>
      <c r="AB94" s="150">
        <v>95.49</v>
      </c>
      <c r="AD94" s="150">
        <v>9.7319999999999993</v>
      </c>
      <c r="AG94" s="2" t="s">
        <v>37</v>
      </c>
      <c r="AH94" s="164">
        <v>1.2E-5</v>
      </c>
      <c r="AI94" s="164">
        <v>6.3593930959802997E-3</v>
      </c>
      <c r="AJ94" s="164">
        <v>3.3615471122013999E-4</v>
      </c>
    </row>
    <row r="95" spans="1:36">
      <c r="A95" s="2" t="s">
        <v>119</v>
      </c>
      <c r="B95" s="2">
        <v>12905</v>
      </c>
      <c r="C95" s="2" t="s">
        <v>2350</v>
      </c>
      <c r="D95" s="2" t="s">
        <v>2351</v>
      </c>
      <c r="E95" s="4" t="s">
        <v>1380</v>
      </c>
      <c r="F95" s="2" t="s">
        <v>2352</v>
      </c>
      <c r="G95" s="2" t="s">
        <v>2353</v>
      </c>
      <c r="H95" s="2" t="s">
        <v>368</v>
      </c>
      <c r="I95" s="2" t="s">
        <v>219</v>
      </c>
      <c r="J95" s="2" t="s">
        <v>31</v>
      </c>
      <c r="K95" s="2" t="s">
        <v>31</v>
      </c>
      <c r="L95" s="2" t="s">
        <v>374</v>
      </c>
      <c r="M95" s="2" t="s">
        <v>32</v>
      </c>
      <c r="N95" s="2" t="s">
        <v>495</v>
      </c>
      <c r="O95" s="2" t="s">
        <v>164</v>
      </c>
      <c r="P95" s="2" t="s">
        <v>1535</v>
      </c>
      <c r="Q95" s="2" t="s">
        <v>217</v>
      </c>
      <c r="R95" s="2" t="s">
        <v>453</v>
      </c>
      <c r="S95" s="2" t="s">
        <v>35</v>
      </c>
      <c r="T95" s="150">
        <v>1.23</v>
      </c>
      <c r="U95" s="2" t="s">
        <v>2354</v>
      </c>
      <c r="V95" s="162">
        <v>4.9500000000000002E-2</v>
      </c>
      <c r="W95" s="164">
        <v>3.8440000000000002E-2</v>
      </c>
      <c r="X95" s="4" t="s">
        <v>459</v>
      </c>
      <c r="Y95" s="4" t="s">
        <v>387</v>
      </c>
      <c r="Z95" s="150">
        <v>14006.67</v>
      </c>
      <c r="AA95" s="150">
        <v>1</v>
      </c>
      <c r="AB95" s="150">
        <v>138.41999999999999</v>
      </c>
      <c r="AD95" s="150">
        <v>19.388000000000002</v>
      </c>
      <c r="AG95" s="2" t="s">
        <v>37</v>
      </c>
      <c r="AH95" s="164">
        <v>3.8000000000000002E-5</v>
      </c>
      <c r="AI95" s="164">
        <v>1.2668701526575401E-2</v>
      </c>
      <c r="AJ95" s="164">
        <v>6.6966196914167197E-4</v>
      </c>
    </row>
    <row r="96" spans="1:36">
      <c r="A96" s="2" t="s">
        <v>119</v>
      </c>
      <c r="B96" s="2">
        <v>12905</v>
      </c>
      <c r="C96" s="2" t="s">
        <v>2345</v>
      </c>
      <c r="D96" s="2" t="s">
        <v>2346</v>
      </c>
      <c r="E96" s="4" t="s">
        <v>1380</v>
      </c>
      <c r="F96" s="2" t="s">
        <v>2355</v>
      </c>
      <c r="G96" s="2" t="s">
        <v>2356</v>
      </c>
      <c r="H96" s="2" t="s">
        <v>368</v>
      </c>
      <c r="I96" s="2" t="s">
        <v>219</v>
      </c>
      <c r="J96" s="2" t="s">
        <v>31</v>
      </c>
      <c r="K96" s="2" t="s">
        <v>31</v>
      </c>
      <c r="L96" s="2" t="s">
        <v>374</v>
      </c>
      <c r="M96" s="2" t="s">
        <v>32</v>
      </c>
      <c r="N96" s="2" t="s">
        <v>492</v>
      </c>
      <c r="O96" s="2" t="s">
        <v>164</v>
      </c>
      <c r="P96" s="2" t="s">
        <v>1396</v>
      </c>
      <c r="Q96" s="2" t="s">
        <v>104</v>
      </c>
      <c r="R96" s="2" t="s">
        <v>453</v>
      </c>
      <c r="S96" s="2" t="s">
        <v>35</v>
      </c>
      <c r="T96" s="150">
        <v>4.3739999999999997</v>
      </c>
      <c r="U96" s="2" t="s">
        <v>2357</v>
      </c>
      <c r="V96" s="162">
        <v>3.1699999999999999E-2</v>
      </c>
      <c r="W96" s="164">
        <v>2.7449999999999999E-2</v>
      </c>
      <c r="X96" s="4" t="s">
        <v>459</v>
      </c>
      <c r="Y96" s="4" t="s">
        <v>164</v>
      </c>
      <c r="Z96" s="150">
        <v>50000</v>
      </c>
      <c r="AA96" s="150">
        <v>1</v>
      </c>
      <c r="AB96" s="150">
        <v>106.73</v>
      </c>
      <c r="AD96" s="150">
        <v>53.365000000000002</v>
      </c>
      <c r="AG96" s="2" t="s">
        <v>37</v>
      </c>
      <c r="AH96" s="164">
        <v>5.8999999999999998E-5</v>
      </c>
      <c r="AI96" s="164">
        <v>3.4870235181960398E-2</v>
      </c>
      <c r="AJ96" s="164">
        <v>1.843225235625E-3</v>
      </c>
    </row>
    <row r="97" spans="1:36">
      <c r="A97" s="2" t="s">
        <v>119</v>
      </c>
      <c r="B97" s="2">
        <v>12905</v>
      </c>
      <c r="C97" s="2" t="s">
        <v>2358</v>
      </c>
      <c r="D97" s="2" t="s">
        <v>2359</v>
      </c>
      <c r="E97" s="4" t="s">
        <v>1380</v>
      </c>
      <c r="F97" s="2" t="s">
        <v>2360</v>
      </c>
      <c r="G97" s="2" t="s">
        <v>2361</v>
      </c>
      <c r="H97" s="2" t="s">
        <v>368</v>
      </c>
      <c r="I97" s="2" t="s">
        <v>219</v>
      </c>
      <c r="J97" s="2" t="s">
        <v>31</v>
      </c>
      <c r="K97" s="2" t="s">
        <v>31</v>
      </c>
      <c r="L97" s="2" t="s">
        <v>374</v>
      </c>
      <c r="M97" s="2" t="s">
        <v>32</v>
      </c>
      <c r="N97" s="2" t="s">
        <v>484</v>
      </c>
      <c r="O97" s="2" t="s">
        <v>164</v>
      </c>
      <c r="P97" s="2" t="s">
        <v>2311</v>
      </c>
      <c r="Q97" s="2" t="s">
        <v>104</v>
      </c>
      <c r="R97" s="2" t="s">
        <v>453</v>
      </c>
      <c r="S97" s="2" t="s">
        <v>35</v>
      </c>
      <c r="T97" s="150">
        <v>3.9649999999999999</v>
      </c>
      <c r="U97" s="2" t="s">
        <v>2362</v>
      </c>
      <c r="V97" s="162">
        <v>1.7999999999999999E-2</v>
      </c>
      <c r="W97" s="164">
        <v>3.1009999999999999E-2</v>
      </c>
      <c r="X97" s="4" t="s">
        <v>459</v>
      </c>
      <c r="Y97" s="4" t="s">
        <v>164</v>
      </c>
      <c r="Z97" s="150">
        <v>16666.46</v>
      </c>
      <c r="AA97" s="150">
        <v>1</v>
      </c>
      <c r="AB97" s="150">
        <v>106.25</v>
      </c>
      <c r="AD97" s="150">
        <v>17.707999999999998</v>
      </c>
      <c r="AG97" s="2" t="s">
        <v>37</v>
      </c>
      <c r="AH97" s="164">
        <v>1.5E-5</v>
      </c>
      <c r="AI97" s="164">
        <v>1.15709939303178E-2</v>
      </c>
      <c r="AJ97" s="164">
        <v>6.1163763026924104E-4</v>
      </c>
    </row>
    <row r="98" spans="1:36">
      <c r="A98" s="2" t="s">
        <v>119</v>
      </c>
      <c r="B98" s="2">
        <v>12905</v>
      </c>
      <c r="C98" s="2" t="s">
        <v>2358</v>
      </c>
      <c r="D98" s="2" t="s">
        <v>2359</v>
      </c>
      <c r="E98" s="4" t="s">
        <v>1380</v>
      </c>
      <c r="F98" s="2" t="s">
        <v>2363</v>
      </c>
      <c r="G98" s="2" t="s">
        <v>2364</v>
      </c>
      <c r="H98" s="2" t="s">
        <v>368</v>
      </c>
      <c r="I98" s="2" t="s">
        <v>219</v>
      </c>
      <c r="J98" s="2" t="s">
        <v>31</v>
      </c>
      <c r="K98" s="2" t="s">
        <v>31</v>
      </c>
      <c r="L98" s="2" t="s">
        <v>374</v>
      </c>
      <c r="M98" s="2" t="s">
        <v>32</v>
      </c>
      <c r="N98" s="2" t="s">
        <v>484</v>
      </c>
      <c r="O98" s="2" t="s">
        <v>164</v>
      </c>
      <c r="P98" s="2" t="s">
        <v>2255</v>
      </c>
      <c r="Q98" s="2" t="s">
        <v>217</v>
      </c>
      <c r="R98" s="2" t="s">
        <v>453</v>
      </c>
      <c r="S98" s="2" t="s">
        <v>35</v>
      </c>
      <c r="T98" s="150">
        <v>6.2869999999999999</v>
      </c>
      <c r="U98" s="2" t="s">
        <v>2365</v>
      </c>
      <c r="V98" s="162">
        <v>3.3000000000000002E-2</v>
      </c>
      <c r="W98" s="164">
        <v>3.5839999999999997E-2</v>
      </c>
      <c r="X98" s="4" t="s">
        <v>459</v>
      </c>
      <c r="Y98" s="4" t="s">
        <v>164</v>
      </c>
      <c r="Z98" s="150">
        <v>48108.97</v>
      </c>
      <c r="AA98" s="150">
        <v>1</v>
      </c>
      <c r="AB98" s="150">
        <v>101.75</v>
      </c>
      <c r="AD98" s="150">
        <v>48.951000000000001</v>
      </c>
      <c r="AG98" s="2" t="s">
        <v>37</v>
      </c>
      <c r="AH98" s="164">
        <v>3.6999999999999998E-5</v>
      </c>
      <c r="AI98" s="164">
        <v>3.1985919469342497E-2</v>
      </c>
      <c r="AJ98" s="164">
        <v>1.69076158055457E-3</v>
      </c>
    </row>
    <row r="99" spans="1:36">
      <c r="A99" s="2" t="s">
        <v>119</v>
      </c>
      <c r="B99" s="2">
        <v>12905</v>
      </c>
      <c r="C99" s="2" t="s">
        <v>2182</v>
      </c>
      <c r="D99" s="2" t="s">
        <v>2183</v>
      </c>
      <c r="E99" s="4" t="s">
        <v>1380</v>
      </c>
      <c r="F99" s="2" t="s">
        <v>2366</v>
      </c>
      <c r="G99" s="2" t="s">
        <v>2367</v>
      </c>
      <c r="H99" s="2" t="s">
        <v>368</v>
      </c>
      <c r="I99" s="2" t="s">
        <v>219</v>
      </c>
      <c r="J99" s="2" t="s">
        <v>31</v>
      </c>
      <c r="K99" s="2" t="s">
        <v>31</v>
      </c>
      <c r="L99" s="2" t="s">
        <v>374</v>
      </c>
      <c r="M99" s="2" t="s">
        <v>32</v>
      </c>
      <c r="N99" s="2" t="s">
        <v>508</v>
      </c>
      <c r="O99" s="2" t="s">
        <v>164</v>
      </c>
      <c r="P99" s="2" t="s">
        <v>2255</v>
      </c>
      <c r="Q99" s="2" t="s">
        <v>217</v>
      </c>
      <c r="R99" s="2" t="s">
        <v>453</v>
      </c>
      <c r="S99" s="2" t="s">
        <v>35</v>
      </c>
      <c r="T99" s="150">
        <v>2.5910000000000002</v>
      </c>
      <c r="U99" s="2" t="s">
        <v>2264</v>
      </c>
      <c r="V99" s="162">
        <v>3.6499999999999998E-2</v>
      </c>
      <c r="W99" s="164">
        <v>3.3340000000000002E-2</v>
      </c>
      <c r="X99" s="4" t="s">
        <v>459</v>
      </c>
      <c r="Y99" s="4" t="s">
        <v>164</v>
      </c>
      <c r="Z99" s="150">
        <v>34000</v>
      </c>
      <c r="AA99" s="150">
        <v>1</v>
      </c>
      <c r="AB99" s="150">
        <v>105.3</v>
      </c>
      <c r="AD99" s="150">
        <v>35.802</v>
      </c>
      <c r="AG99" s="2" t="s">
        <v>37</v>
      </c>
      <c r="AH99" s="164">
        <v>1.9100000000000001E-4</v>
      </c>
      <c r="AI99" s="164">
        <v>2.33940627749376E-2</v>
      </c>
      <c r="AJ99" s="164">
        <v>1.2365998292110201E-3</v>
      </c>
    </row>
    <row r="100" spans="1:36">
      <c r="A100" s="2" t="s">
        <v>119</v>
      </c>
      <c r="B100" s="2">
        <v>12905</v>
      </c>
      <c r="C100" s="2" t="s">
        <v>2182</v>
      </c>
      <c r="D100" s="2" t="s">
        <v>2183</v>
      </c>
      <c r="E100" s="4" t="s">
        <v>1380</v>
      </c>
      <c r="F100" s="2" t="s">
        <v>2368</v>
      </c>
      <c r="G100" s="2" t="s">
        <v>2369</v>
      </c>
      <c r="H100" s="2" t="s">
        <v>368</v>
      </c>
      <c r="I100" s="2" t="s">
        <v>219</v>
      </c>
      <c r="J100" s="2" t="s">
        <v>31</v>
      </c>
      <c r="K100" s="2" t="s">
        <v>31</v>
      </c>
      <c r="L100" s="2" t="s">
        <v>374</v>
      </c>
      <c r="M100" s="2" t="s">
        <v>32</v>
      </c>
      <c r="N100" s="2" t="s">
        <v>508</v>
      </c>
      <c r="O100" s="2" t="s">
        <v>164</v>
      </c>
      <c r="P100" s="2" t="s">
        <v>2299</v>
      </c>
      <c r="Q100" s="2" t="s">
        <v>217</v>
      </c>
      <c r="R100" s="2" t="s">
        <v>453</v>
      </c>
      <c r="S100" s="2" t="s">
        <v>35</v>
      </c>
      <c r="T100" s="150">
        <v>3.2709999999999999</v>
      </c>
      <c r="U100" s="2" t="s">
        <v>1375</v>
      </c>
      <c r="V100" s="162">
        <v>1.7999999999999999E-2</v>
      </c>
      <c r="W100" s="164">
        <v>2.4129999999999999E-2</v>
      </c>
      <c r="X100" s="4" t="s">
        <v>459</v>
      </c>
      <c r="Y100" s="4" t="s">
        <v>164</v>
      </c>
      <c r="Z100" s="150">
        <v>18058.349999999999</v>
      </c>
      <c r="AA100" s="150">
        <v>1</v>
      </c>
      <c r="AB100" s="150">
        <v>110.59</v>
      </c>
      <c r="AD100" s="150">
        <v>19.971</v>
      </c>
      <c r="AG100" s="2" t="s">
        <v>37</v>
      </c>
      <c r="AH100" s="164">
        <v>2.1999999999999999E-5</v>
      </c>
      <c r="AI100" s="164">
        <v>1.3049452379383699E-2</v>
      </c>
      <c r="AJ100" s="164">
        <v>6.8978829110995395E-4</v>
      </c>
    </row>
    <row r="101" spans="1:36">
      <c r="A101" s="2" t="s">
        <v>119</v>
      </c>
      <c r="B101" s="2">
        <v>12905</v>
      </c>
      <c r="C101" s="2" t="s">
        <v>2370</v>
      </c>
      <c r="D101" s="2" t="s">
        <v>2371</v>
      </c>
      <c r="E101" s="4" t="s">
        <v>1380</v>
      </c>
      <c r="F101" s="2" t="s">
        <v>2372</v>
      </c>
      <c r="G101" s="2" t="s">
        <v>2373</v>
      </c>
      <c r="H101" s="2" t="s">
        <v>368</v>
      </c>
      <c r="I101" s="2" t="s">
        <v>1011</v>
      </c>
      <c r="J101" s="2" t="s">
        <v>31</v>
      </c>
      <c r="K101" s="2" t="s">
        <v>31</v>
      </c>
      <c r="L101" s="2" t="s">
        <v>374</v>
      </c>
      <c r="M101" s="2" t="s">
        <v>32</v>
      </c>
      <c r="N101" s="2" t="s">
        <v>489</v>
      </c>
      <c r="O101" s="2" t="s">
        <v>164</v>
      </c>
      <c r="P101" s="2" t="s">
        <v>1396</v>
      </c>
      <c r="Q101" s="2" t="s">
        <v>104</v>
      </c>
      <c r="R101" s="2" t="s">
        <v>453</v>
      </c>
      <c r="S101" s="2" t="s">
        <v>35</v>
      </c>
      <c r="T101" s="150">
        <v>6.827</v>
      </c>
      <c r="U101" s="2" t="s">
        <v>2374</v>
      </c>
      <c r="V101" s="162">
        <v>3.0499999999999999E-2</v>
      </c>
      <c r="W101" s="164">
        <v>5.3449999999999998E-2</v>
      </c>
      <c r="X101" s="4" t="s">
        <v>459</v>
      </c>
      <c r="Y101" s="4" t="s">
        <v>164</v>
      </c>
      <c r="Z101" s="150">
        <v>10445</v>
      </c>
      <c r="AA101" s="150">
        <v>1</v>
      </c>
      <c r="AB101" s="150">
        <v>86.75</v>
      </c>
      <c r="AD101" s="150">
        <v>9.0609999999999999</v>
      </c>
      <c r="AG101" s="2" t="s">
        <v>37</v>
      </c>
      <c r="AH101" s="164">
        <v>1.5E-5</v>
      </c>
      <c r="AI101" s="164">
        <v>5.9207440947730301E-3</v>
      </c>
      <c r="AJ101" s="164">
        <v>3.1296791869098601E-4</v>
      </c>
    </row>
    <row r="102" spans="1:36">
      <c r="A102" s="2" t="s">
        <v>119</v>
      </c>
      <c r="B102" s="2">
        <v>12905</v>
      </c>
      <c r="C102" s="2" t="s">
        <v>2370</v>
      </c>
      <c r="D102" s="2" t="s">
        <v>2371</v>
      </c>
      <c r="E102" s="4" t="s">
        <v>1380</v>
      </c>
      <c r="F102" s="2" t="s">
        <v>2508</v>
      </c>
      <c r="G102" s="2" t="s">
        <v>2509</v>
      </c>
      <c r="H102" s="2" t="s">
        <v>368</v>
      </c>
      <c r="I102" s="2" t="s">
        <v>1011</v>
      </c>
      <c r="J102" s="2" t="s">
        <v>31</v>
      </c>
      <c r="K102" s="2" t="s">
        <v>31</v>
      </c>
      <c r="L102" s="2" t="s">
        <v>374</v>
      </c>
      <c r="M102" s="2" t="s">
        <v>32</v>
      </c>
      <c r="N102" s="2" t="s">
        <v>489</v>
      </c>
      <c r="O102" s="2" t="s">
        <v>164</v>
      </c>
      <c r="P102" s="2" t="s">
        <v>1396</v>
      </c>
      <c r="Q102" s="2" t="s">
        <v>104</v>
      </c>
      <c r="R102" s="2" t="s">
        <v>453</v>
      </c>
      <c r="S102" s="2" t="s">
        <v>35</v>
      </c>
      <c r="T102" s="150">
        <v>7.6909999999999998</v>
      </c>
      <c r="U102" s="2" t="s">
        <v>2510</v>
      </c>
      <c r="V102" s="162">
        <v>2.63E-2</v>
      </c>
      <c r="W102" s="164">
        <v>5.4850000000000003E-2</v>
      </c>
      <c r="X102" s="4" t="s">
        <v>459</v>
      </c>
      <c r="Y102" s="4" t="s">
        <v>164</v>
      </c>
      <c r="Z102" s="150">
        <v>10035</v>
      </c>
      <c r="AA102" s="150">
        <v>1</v>
      </c>
      <c r="AB102" s="150">
        <v>81.459999999999994</v>
      </c>
      <c r="AD102" s="150">
        <v>8.1750000000000007</v>
      </c>
      <c r="AG102" s="2" t="s">
        <v>37</v>
      </c>
      <c r="AH102" s="164">
        <v>1.4E-5</v>
      </c>
      <c r="AI102" s="164">
        <v>5.3414620269375502E-3</v>
      </c>
      <c r="AJ102" s="164">
        <v>2.8234732435293097E-4</v>
      </c>
    </row>
    <row r="103" spans="1:36">
      <c r="A103" s="2" t="s">
        <v>119</v>
      </c>
      <c r="B103" s="2">
        <v>12905</v>
      </c>
      <c r="C103" s="2" t="s">
        <v>2370</v>
      </c>
      <c r="D103" s="2" t="s">
        <v>2371</v>
      </c>
      <c r="E103" s="4" t="s">
        <v>1380</v>
      </c>
      <c r="F103" s="2" t="s">
        <v>2375</v>
      </c>
      <c r="G103" s="2" t="s">
        <v>2376</v>
      </c>
      <c r="H103" s="2" t="s">
        <v>368</v>
      </c>
      <c r="I103" s="2" t="s">
        <v>1011</v>
      </c>
      <c r="J103" s="2" t="s">
        <v>31</v>
      </c>
      <c r="K103" s="2" t="s">
        <v>31</v>
      </c>
      <c r="L103" s="2" t="s">
        <v>374</v>
      </c>
      <c r="M103" s="2" t="s">
        <v>32</v>
      </c>
      <c r="N103" s="2" t="s">
        <v>489</v>
      </c>
      <c r="O103" s="2" t="s">
        <v>164</v>
      </c>
      <c r="P103" s="2" t="s">
        <v>1391</v>
      </c>
      <c r="Q103" s="2" t="s">
        <v>477</v>
      </c>
      <c r="R103" s="2" t="s">
        <v>453</v>
      </c>
      <c r="S103" s="2" t="s">
        <v>35</v>
      </c>
      <c r="T103" s="150">
        <v>5.0819999999999999</v>
      </c>
      <c r="U103" s="2" t="s">
        <v>2377</v>
      </c>
      <c r="V103" s="162">
        <v>4.3799999999999999E-2</v>
      </c>
      <c r="W103" s="164">
        <v>4.9430000000000002E-2</v>
      </c>
      <c r="X103" s="4" t="s">
        <v>459</v>
      </c>
      <c r="Y103" s="4" t="s">
        <v>164</v>
      </c>
      <c r="Z103" s="150">
        <v>14000</v>
      </c>
      <c r="AA103" s="150">
        <v>1</v>
      </c>
      <c r="AB103" s="150">
        <v>98.59</v>
      </c>
      <c r="AD103" s="150">
        <v>13.803000000000001</v>
      </c>
      <c r="AG103" s="2" t="s">
        <v>37</v>
      </c>
      <c r="AH103" s="164">
        <v>2.8E-5</v>
      </c>
      <c r="AI103" s="164">
        <v>9.0190182352202202E-3</v>
      </c>
      <c r="AJ103" s="164">
        <v>4.7674132178839398E-4</v>
      </c>
    </row>
    <row r="104" spans="1:36">
      <c r="A104" s="2" t="s">
        <v>119</v>
      </c>
      <c r="B104" s="2">
        <v>12905</v>
      </c>
      <c r="C104" s="2" t="s">
        <v>2378</v>
      </c>
      <c r="D104" s="2" t="s">
        <v>2379</v>
      </c>
      <c r="E104" s="4" t="s">
        <v>1380</v>
      </c>
      <c r="F104" s="2" t="s">
        <v>2380</v>
      </c>
      <c r="G104" s="2" t="s">
        <v>2381</v>
      </c>
      <c r="H104" s="2" t="s">
        <v>368</v>
      </c>
      <c r="I104" s="2" t="s">
        <v>219</v>
      </c>
      <c r="J104" s="2" t="s">
        <v>31</v>
      </c>
      <c r="K104" s="2" t="s">
        <v>31</v>
      </c>
      <c r="L104" s="2" t="s">
        <v>374</v>
      </c>
      <c r="M104" s="2" t="s">
        <v>32</v>
      </c>
      <c r="N104" s="2" t="s">
        <v>492</v>
      </c>
      <c r="O104" s="2" t="s">
        <v>164</v>
      </c>
      <c r="P104" s="2" t="s">
        <v>1391</v>
      </c>
      <c r="Q104" s="2" t="s">
        <v>217</v>
      </c>
      <c r="R104" s="2" t="s">
        <v>453</v>
      </c>
      <c r="S104" s="2" t="s">
        <v>35</v>
      </c>
      <c r="T104" s="150">
        <v>5.0140000000000002</v>
      </c>
      <c r="U104" s="2" t="s">
        <v>2382</v>
      </c>
      <c r="V104" s="162">
        <v>2.5899999999999999E-2</v>
      </c>
      <c r="W104" s="164">
        <v>2.1850000000000001E-2</v>
      </c>
      <c r="X104" s="4" t="s">
        <v>459</v>
      </c>
      <c r="Y104" s="4" t="s">
        <v>164</v>
      </c>
      <c r="Z104" s="150">
        <v>39000</v>
      </c>
      <c r="AA104" s="150">
        <v>1</v>
      </c>
      <c r="AB104" s="150">
        <v>102.82</v>
      </c>
      <c r="AD104" s="150">
        <v>40.1</v>
      </c>
      <c r="AG104" s="2" t="s">
        <v>37</v>
      </c>
      <c r="AH104" s="164">
        <v>0</v>
      </c>
      <c r="AI104" s="164">
        <v>2.62023696570707E-2</v>
      </c>
      <c r="AJ104" s="164">
        <v>1.38504569106185E-3</v>
      </c>
    </row>
    <row r="105" spans="1:36">
      <c r="A105" s="2" t="s">
        <v>119</v>
      </c>
      <c r="B105" s="2">
        <v>12905</v>
      </c>
      <c r="C105" s="2" t="s">
        <v>2383</v>
      </c>
      <c r="D105" s="2" t="s">
        <v>2384</v>
      </c>
      <c r="E105" s="4" t="s">
        <v>1380</v>
      </c>
      <c r="F105" s="2" t="s">
        <v>2385</v>
      </c>
      <c r="G105" s="2" t="s">
        <v>2386</v>
      </c>
      <c r="H105" s="2" t="s">
        <v>368</v>
      </c>
      <c r="I105" s="2" t="s">
        <v>1011</v>
      </c>
      <c r="J105" s="2" t="s">
        <v>31</v>
      </c>
      <c r="K105" s="2" t="s">
        <v>31</v>
      </c>
      <c r="L105" s="2" t="s">
        <v>374</v>
      </c>
      <c r="M105" s="2" t="s">
        <v>32</v>
      </c>
      <c r="N105" s="2" t="s">
        <v>498</v>
      </c>
      <c r="O105" s="2" t="s">
        <v>164</v>
      </c>
      <c r="P105" s="2" t="s">
        <v>2274</v>
      </c>
      <c r="Q105" s="2" t="s">
        <v>217</v>
      </c>
      <c r="R105" s="2" t="s">
        <v>453</v>
      </c>
      <c r="S105" s="2" t="s">
        <v>35</v>
      </c>
      <c r="T105" s="150">
        <v>3.5369999999999999</v>
      </c>
      <c r="U105" s="2" t="s">
        <v>2387</v>
      </c>
      <c r="V105" s="162">
        <v>2.24E-2</v>
      </c>
      <c r="W105" s="164">
        <v>4.8939999999999997E-2</v>
      </c>
      <c r="X105" s="4" t="s">
        <v>459</v>
      </c>
      <c r="Y105" s="4" t="s">
        <v>164</v>
      </c>
      <c r="Z105" s="150">
        <v>16278.79</v>
      </c>
      <c r="AA105" s="150">
        <v>1</v>
      </c>
      <c r="AB105" s="150">
        <v>92.24</v>
      </c>
      <c r="AD105" s="150">
        <v>15.016</v>
      </c>
      <c r="AG105" s="2" t="s">
        <v>37</v>
      </c>
      <c r="AH105" s="164">
        <v>2.5000000000000001E-5</v>
      </c>
      <c r="AI105" s="164">
        <v>9.8115987160384607E-3</v>
      </c>
      <c r="AJ105" s="164">
        <v>5.1863677606005698E-4</v>
      </c>
    </row>
    <row r="106" spans="1:36">
      <c r="A106" s="2" t="s">
        <v>119</v>
      </c>
      <c r="B106" s="2">
        <v>12905</v>
      </c>
      <c r="C106" s="2" t="s">
        <v>1955</v>
      </c>
      <c r="D106" s="2" t="s">
        <v>1956</v>
      </c>
      <c r="E106" s="4" t="s">
        <v>1380</v>
      </c>
      <c r="F106" s="2" t="s">
        <v>2388</v>
      </c>
      <c r="G106" s="2" t="s">
        <v>2389</v>
      </c>
      <c r="H106" s="2" t="s">
        <v>368</v>
      </c>
      <c r="I106" s="2" t="s">
        <v>1011</v>
      </c>
      <c r="J106" s="2" t="s">
        <v>31</v>
      </c>
      <c r="K106" s="2" t="s">
        <v>31</v>
      </c>
      <c r="L106" s="2" t="s">
        <v>374</v>
      </c>
      <c r="M106" s="2" t="s">
        <v>32</v>
      </c>
      <c r="N106" s="2" t="s">
        <v>489</v>
      </c>
      <c r="O106" s="2" t="s">
        <v>164</v>
      </c>
      <c r="P106" s="2" t="s">
        <v>1391</v>
      </c>
      <c r="Q106" s="2" t="s">
        <v>217</v>
      </c>
      <c r="R106" s="2" t="s">
        <v>453</v>
      </c>
      <c r="S106" s="2" t="s">
        <v>35</v>
      </c>
      <c r="T106" s="150">
        <v>3.6509999999999998</v>
      </c>
      <c r="U106" s="2" t="s">
        <v>2390</v>
      </c>
      <c r="V106" s="162">
        <v>4.7E-2</v>
      </c>
      <c r="W106" s="164">
        <v>4.7649999999999998E-2</v>
      </c>
      <c r="X106" s="4" t="s">
        <v>459</v>
      </c>
      <c r="Y106" s="4" t="s">
        <v>164</v>
      </c>
      <c r="Z106" s="150">
        <v>16000</v>
      </c>
      <c r="AA106" s="150">
        <v>1</v>
      </c>
      <c r="AB106" s="150">
        <v>100.19</v>
      </c>
      <c r="AD106" s="150">
        <v>16.03</v>
      </c>
      <c r="AG106" s="2" t="s">
        <v>37</v>
      </c>
      <c r="AH106" s="164">
        <v>3.1999999999999999E-5</v>
      </c>
      <c r="AI106" s="164">
        <v>1.04747272193554E-2</v>
      </c>
      <c r="AJ106" s="164">
        <v>5.5368945595733201E-4</v>
      </c>
    </row>
    <row r="107" spans="1:36">
      <c r="A107" s="2" t="s">
        <v>119</v>
      </c>
      <c r="B107" s="2">
        <v>12905</v>
      </c>
      <c r="C107" s="2" t="s">
        <v>1219</v>
      </c>
      <c r="D107" s="2" t="s">
        <v>1959</v>
      </c>
      <c r="E107" s="4" t="s">
        <v>1380</v>
      </c>
      <c r="F107" s="2" t="s">
        <v>2391</v>
      </c>
      <c r="G107" s="2" t="s">
        <v>2392</v>
      </c>
      <c r="H107" s="2" t="s">
        <v>368</v>
      </c>
      <c r="I107" s="2" t="s">
        <v>219</v>
      </c>
      <c r="J107" s="2" t="s">
        <v>31</v>
      </c>
      <c r="K107" s="2" t="s">
        <v>31</v>
      </c>
      <c r="L107" s="2" t="s">
        <v>374</v>
      </c>
      <c r="M107" s="2" t="s">
        <v>32</v>
      </c>
      <c r="N107" s="2" t="s">
        <v>492</v>
      </c>
      <c r="O107" s="2" t="s">
        <v>164</v>
      </c>
      <c r="P107" s="2" t="s">
        <v>103</v>
      </c>
      <c r="Q107" s="2" t="s">
        <v>104</v>
      </c>
      <c r="R107" s="2" t="s">
        <v>453</v>
      </c>
      <c r="S107" s="2" t="s">
        <v>35</v>
      </c>
      <c r="T107" s="150">
        <v>1.23</v>
      </c>
      <c r="U107" s="2" t="s">
        <v>2393</v>
      </c>
      <c r="V107" s="162">
        <v>8.3000000000000001E-3</v>
      </c>
      <c r="W107" s="164">
        <v>1.3979999999999999E-2</v>
      </c>
      <c r="X107" s="4" t="s">
        <v>459</v>
      </c>
      <c r="Y107" s="4" t="s">
        <v>164</v>
      </c>
      <c r="Z107" s="150">
        <v>11116</v>
      </c>
      <c r="AA107" s="150">
        <v>1</v>
      </c>
      <c r="AB107" s="150">
        <v>111.66</v>
      </c>
      <c r="AD107" s="150">
        <v>12.412000000000001</v>
      </c>
      <c r="AG107" s="2" t="s">
        <v>37</v>
      </c>
      <c r="AH107" s="164">
        <v>3.9999999999999998E-6</v>
      </c>
      <c r="AI107" s="164">
        <v>8.1104420271719598E-3</v>
      </c>
      <c r="AJ107" s="164">
        <v>4.2871438459040701E-4</v>
      </c>
    </row>
    <row r="108" spans="1:36">
      <c r="A108" s="2" t="s">
        <v>119</v>
      </c>
      <c r="B108" s="2">
        <v>12905</v>
      </c>
      <c r="C108" s="2" t="s">
        <v>1219</v>
      </c>
      <c r="D108" s="2" t="s">
        <v>1959</v>
      </c>
      <c r="E108" s="4" t="s">
        <v>1380</v>
      </c>
      <c r="F108" s="2" t="s">
        <v>2394</v>
      </c>
      <c r="G108" s="2" t="s">
        <v>2395</v>
      </c>
      <c r="H108" s="2" t="s">
        <v>368</v>
      </c>
      <c r="I108" s="2" t="s">
        <v>219</v>
      </c>
      <c r="J108" s="2" t="s">
        <v>31</v>
      </c>
      <c r="K108" s="2" t="s">
        <v>31</v>
      </c>
      <c r="L108" s="2" t="s">
        <v>374</v>
      </c>
      <c r="M108" s="2" t="s">
        <v>32</v>
      </c>
      <c r="N108" s="2" t="s">
        <v>492</v>
      </c>
      <c r="O108" s="2" t="s">
        <v>164</v>
      </c>
      <c r="P108" s="2" t="s">
        <v>216</v>
      </c>
      <c r="Q108" s="2" t="s">
        <v>217</v>
      </c>
      <c r="R108" s="2" t="s">
        <v>453</v>
      </c>
      <c r="S108" s="2" t="s">
        <v>35</v>
      </c>
      <c r="T108" s="150">
        <v>5.6390000000000002</v>
      </c>
      <c r="U108" s="2" t="s">
        <v>2396</v>
      </c>
      <c r="V108" s="162">
        <v>1E-3</v>
      </c>
      <c r="W108" s="164">
        <v>2.069E-2</v>
      </c>
      <c r="X108" s="4" t="s">
        <v>459</v>
      </c>
      <c r="Y108" s="4" t="s">
        <v>164</v>
      </c>
      <c r="Z108" s="150">
        <v>34000</v>
      </c>
      <c r="AA108" s="150">
        <v>1</v>
      </c>
      <c r="AB108" s="150">
        <v>97.7</v>
      </c>
      <c r="AD108" s="150">
        <v>33.218000000000004</v>
      </c>
      <c r="AG108" s="2" t="s">
        <v>37</v>
      </c>
      <c r="AH108" s="164">
        <v>3.4E-5</v>
      </c>
      <c r="AI108" s="164">
        <v>2.1705602403717099E-2</v>
      </c>
      <c r="AJ108" s="164">
        <v>1.14734855948639E-3</v>
      </c>
    </row>
    <row r="109" spans="1:36">
      <c r="A109" s="2" t="s">
        <v>119</v>
      </c>
      <c r="B109" s="2">
        <v>12905</v>
      </c>
      <c r="C109" s="2" t="s">
        <v>2167</v>
      </c>
      <c r="D109" s="2" t="s">
        <v>2168</v>
      </c>
      <c r="E109" s="4" t="s">
        <v>1380</v>
      </c>
      <c r="F109" s="2" t="s">
        <v>2397</v>
      </c>
      <c r="G109" s="2" t="s">
        <v>2398</v>
      </c>
      <c r="H109" s="2" t="s">
        <v>368</v>
      </c>
      <c r="I109" s="2" t="s">
        <v>219</v>
      </c>
      <c r="J109" s="2" t="s">
        <v>31</v>
      </c>
      <c r="K109" s="2" t="s">
        <v>31</v>
      </c>
      <c r="L109" s="2" t="s">
        <v>374</v>
      </c>
      <c r="M109" s="2" t="s">
        <v>32</v>
      </c>
      <c r="N109" s="2" t="s">
        <v>508</v>
      </c>
      <c r="O109" s="2" t="s">
        <v>164</v>
      </c>
      <c r="P109" s="2" t="s">
        <v>2399</v>
      </c>
      <c r="Q109" s="2" t="s">
        <v>104</v>
      </c>
      <c r="R109" s="2" t="s">
        <v>453</v>
      </c>
      <c r="S109" s="2" t="s">
        <v>35</v>
      </c>
      <c r="T109" s="150">
        <v>6.3410000000000002</v>
      </c>
      <c r="U109" s="2" t="s">
        <v>2344</v>
      </c>
      <c r="V109" s="162">
        <v>3.5000000000000001E-3</v>
      </c>
      <c r="W109" s="164">
        <v>2.9829999999999999E-2</v>
      </c>
      <c r="X109" s="4" t="s">
        <v>459</v>
      </c>
      <c r="Y109" s="4" t="s">
        <v>164</v>
      </c>
      <c r="Z109" s="150">
        <v>30000</v>
      </c>
      <c r="AA109" s="150">
        <v>1</v>
      </c>
      <c r="AB109" s="150">
        <v>92.07</v>
      </c>
      <c r="AD109" s="150">
        <v>27.620999999999999</v>
      </c>
      <c r="AG109" s="2" t="s">
        <v>37</v>
      </c>
      <c r="AH109" s="164">
        <v>1.0000000000000001E-5</v>
      </c>
      <c r="AI109" s="164">
        <v>1.8048360647632902E-2</v>
      </c>
      <c r="AJ109" s="164">
        <v>9.5402837502479398E-4</v>
      </c>
    </row>
    <row r="110" spans="1:36">
      <c r="A110" s="2" t="s">
        <v>119</v>
      </c>
      <c r="B110" s="2">
        <v>12905</v>
      </c>
      <c r="C110" s="2" t="s">
        <v>1962</v>
      </c>
      <c r="D110" s="2" t="s">
        <v>1963</v>
      </c>
      <c r="E110" s="4" t="s">
        <v>1380</v>
      </c>
      <c r="F110" s="2" t="s">
        <v>2400</v>
      </c>
      <c r="G110" s="2" t="s">
        <v>2401</v>
      </c>
      <c r="H110" s="2" t="s">
        <v>368</v>
      </c>
      <c r="I110" s="2" t="s">
        <v>1011</v>
      </c>
      <c r="J110" s="2" t="s">
        <v>31</v>
      </c>
      <c r="K110" s="2" t="s">
        <v>31</v>
      </c>
      <c r="L110" s="2" t="s">
        <v>374</v>
      </c>
      <c r="M110" s="2" t="s">
        <v>32</v>
      </c>
      <c r="N110" s="2" t="s">
        <v>508</v>
      </c>
      <c r="O110" s="2" t="s">
        <v>164</v>
      </c>
      <c r="P110" s="2" t="s">
        <v>2244</v>
      </c>
      <c r="Q110" s="2" t="s">
        <v>104</v>
      </c>
      <c r="R110" s="2" t="s">
        <v>453</v>
      </c>
      <c r="S110" s="2" t="s">
        <v>35</v>
      </c>
      <c r="T110" s="150">
        <v>5.6909999999999998</v>
      </c>
      <c r="U110" s="2" t="s">
        <v>2402</v>
      </c>
      <c r="V110" s="162">
        <v>5.4800000000000001E-2</v>
      </c>
      <c r="W110" s="164">
        <v>5.5469999999999998E-2</v>
      </c>
      <c r="X110" s="4" t="s">
        <v>459</v>
      </c>
      <c r="Y110" s="4" t="s">
        <v>164</v>
      </c>
      <c r="Z110" s="150">
        <v>38000</v>
      </c>
      <c r="AA110" s="150">
        <v>1</v>
      </c>
      <c r="AB110" s="150">
        <v>101.42</v>
      </c>
      <c r="AD110" s="150">
        <v>38.54</v>
      </c>
      <c r="AG110" s="2" t="s">
        <v>37</v>
      </c>
      <c r="AH110" s="164">
        <v>1.27E-4</v>
      </c>
      <c r="AI110" s="164">
        <v>2.5182889830763298E-2</v>
      </c>
      <c r="AJ110" s="164">
        <v>1.3311564375694401E-3</v>
      </c>
    </row>
    <row r="111" spans="1:36">
      <c r="A111" s="2" t="s">
        <v>119</v>
      </c>
      <c r="B111" s="2">
        <v>12905</v>
      </c>
      <c r="C111" s="2" t="s">
        <v>2403</v>
      </c>
      <c r="D111" s="2" t="s">
        <v>2404</v>
      </c>
      <c r="E111" s="4" t="s">
        <v>1380</v>
      </c>
      <c r="F111" s="2" t="s">
        <v>2405</v>
      </c>
      <c r="G111" s="2" t="s">
        <v>2406</v>
      </c>
      <c r="H111" s="2" t="s">
        <v>368</v>
      </c>
      <c r="I111" s="2" t="s">
        <v>219</v>
      </c>
      <c r="J111" s="2" t="s">
        <v>31</v>
      </c>
      <c r="K111" s="2" t="s">
        <v>31</v>
      </c>
      <c r="L111" s="2" t="s">
        <v>374</v>
      </c>
      <c r="M111" s="2" t="s">
        <v>32</v>
      </c>
      <c r="N111" s="2" t="s">
        <v>508</v>
      </c>
      <c r="O111" s="2" t="s">
        <v>164</v>
      </c>
      <c r="P111" s="2" t="s">
        <v>2255</v>
      </c>
      <c r="Q111" s="2" t="s">
        <v>217</v>
      </c>
      <c r="R111" s="2" t="s">
        <v>453</v>
      </c>
      <c r="S111" s="2" t="s">
        <v>35</v>
      </c>
      <c r="T111" s="150">
        <v>2.75</v>
      </c>
      <c r="U111" s="2" t="s">
        <v>2407</v>
      </c>
      <c r="V111" s="162">
        <v>3.0000000000000001E-3</v>
      </c>
      <c r="W111" s="164">
        <v>2.997E-2</v>
      </c>
      <c r="X111" s="4" t="s">
        <v>459</v>
      </c>
      <c r="Y111" s="4" t="s">
        <v>164</v>
      </c>
      <c r="Z111" s="150">
        <v>36000</v>
      </c>
      <c r="AA111" s="150">
        <v>1</v>
      </c>
      <c r="AB111" s="150">
        <v>93.4</v>
      </c>
      <c r="AD111" s="150">
        <v>33.624000000000002</v>
      </c>
      <c r="AG111" s="2" t="s">
        <v>37</v>
      </c>
      <c r="AH111" s="164">
        <v>1.1900000000000001E-4</v>
      </c>
      <c r="AI111" s="164">
        <v>2.1970894551826801E-2</v>
      </c>
      <c r="AJ111" s="164">
        <v>1.1613717853022601E-3</v>
      </c>
    </row>
    <row r="112" spans="1:36">
      <c r="A112" s="2" t="s">
        <v>119</v>
      </c>
      <c r="B112" s="2">
        <v>12905</v>
      </c>
      <c r="C112" s="2" t="s">
        <v>2408</v>
      </c>
      <c r="D112" s="2" t="s">
        <v>2409</v>
      </c>
      <c r="E112" s="4" t="s">
        <v>1380</v>
      </c>
      <c r="F112" s="2" t="s">
        <v>2511</v>
      </c>
      <c r="G112" s="2" t="s">
        <v>2512</v>
      </c>
      <c r="H112" s="2" t="s">
        <v>368</v>
      </c>
      <c r="I112" s="2" t="s">
        <v>219</v>
      </c>
      <c r="J112" s="2" t="s">
        <v>31</v>
      </c>
      <c r="K112" s="2" t="s">
        <v>31</v>
      </c>
      <c r="L112" s="2" t="s">
        <v>374</v>
      </c>
      <c r="M112" s="2" t="s">
        <v>32</v>
      </c>
      <c r="N112" s="2" t="s">
        <v>492</v>
      </c>
      <c r="O112" s="2" t="s">
        <v>164</v>
      </c>
      <c r="P112" s="2" t="s">
        <v>103</v>
      </c>
      <c r="Q112" s="2" t="s">
        <v>104</v>
      </c>
      <c r="R112" s="2" t="s">
        <v>453</v>
      </c>
      <c r="S112" s="2" t="s">
        <v>35</v>
      </c>
      <c r="T112" s="150">
        <v>3.4209999999999998</v>
      </c>
      <c r="U112" s="2" t="s">
        <v>2513</v>
      </c>
      <c r="V112" s="162">
        <v>1.2200000000000001E-2</v>
      </c>
      <c r="W112" s="164">
        <v>1.7999999999999999E-2</v>
      </c>
      <c r="X112" s="4" t="s">
        <v>459</v>
      </c>
      <c r="Y112" s="4" t="s">
        <v>164</v>
      </c>
      <c r="Z112" s="150">
        <v>18046</v>
      </c>
      <c r="AA112" s="150">
        <v>1</v>
      </c>
      <c r="AB112" s="150">
        <v>111.35</v>
      </c>
      <c r="AD112" s="150">
        <v>20.094000000000001</v>
      </c>
      <c r="AG112" s="2" t="s">
        <v>37</v>
      </c>
      <c r="AH112" s="164">
        <v>6.0000000000000002E-6</v>
      </c>
      <c r="AI112" s="164">
        <v>1.3130145452418E-2</v>
      </c>
      <c r="AJ112" s="164">
        <v>6.9405369132251099E-4</v>
      </c>
    </row>
    <row r="113" spans="1:36">
      <c r="A113" s="2" t="s">
        <v>119</v>
      </c>
      <c r="B113" s="2">
        <v>12905</v>
      </c>
      <c r="C113" s="2" t="s">
        <v>2408</v>
      </c>
      <c r="D113" s="2" t="s">
        <v>2409</v>
      </c>
      <c r="E113" s="4" t="s">
        <v>1380</v>
      </c>
      <c r="F113" s="2" t="s">
        <v>2410</v>
      </c>
      <c r="G113" s="2" t="s">
        <v>2411</v>
      </c>
      <c r="H113" s="2" t="s">
        <v>368</v>
      </c>
      <c r="I113" s="2" t="s">
        <v>219</v>
      </c>
      <c r="J113" s="2" t="s">
        <v>31</v>
      </c>
      <c r="K113" s="2" t="s">
        <v>31</v>
      </c>
      <c r="L113" s="2" t="s">
        <v>374</v>
      </c>
      <c r="M113" s="2" t="s">
        <v>32</v>
      </c>
      <c r="N113" s="2" t="s">
        <v>492</v>
      </c>
      <c r="O113" s="2" t="s">
        <v>164</v>
      </c>
      <c r="P113" s="2" t="s">
        <v>1396</v>
      </c>
      <c r="Q113" s="2" t="s">
        <v>104</v>
      </c>
      <c r="R113" s="2" t="s">
        <v>453</v>
      </c>
      <c r="S113" s="2" t="s">
        <v>35</v>
      </c>
      <c r="T113" s="150">
        <v>4.851</v>
      </c>
      <c r="U113" s="2" t="s">
        <v>2412</v>
      </c>
      <c r="V113" s="162">
        <v>3.3599999999999998E-2</v>
      </c>
      <c r="W113" s="164">
        <v>2.7230000000000001E-2</v>
      </c>
      <c r="X113" s="4" t="s">
        <v>459</v>
      </c>
      <c r="Y113" s="4" t="s">
        <v>164</v>
      </c>
      <c r="Z113" s="150">
        <v>50000</v>
      </c>
      <c r="AA113" s="150">
        <v>1</v>
      </c>
      <c r="AB113" s="150">
        <v>103.97</v>
      </c>
      <c r="AD113" s="150">
        <v>51.984999999999999</v>
      </c>
      <c r="AG113" s="2" t="s">
        <v>37</v>
      </c>
      <c r="AH113" s="164">
        <v>9.0000000000000006E-5</v>
      </c>
      <c r="AI113" s="164">
        <v>3.3968503249961798E-2</v>
      </c>
      <c r="AJ113" s="164">
        <v>1.7955600838370799E-3</v>
      </c>
    </row>
    <row r="114" spans="1:36">
      <c r="A114" s="2" t="s">
        <v>119</v>
      </c>
      <c r="B114" s="2">
        <v>12905</v>
      </c>
      <c r="C114" s="2" t="s">
        <v>2408</v>
      </c>
      <c r="D114" s="2" t="s">
        <v>2409</v>
      </c>
      <c r="E114" s="4" t="s">
        <v>1380</v>
      </c>
      <c r="F114" s="2" t="s">
        <v>2416</v>
      </c>
      <c r="G114" s="2" t="s">
        <v>2417</v>
      </c>
      <c r="H114" s="2" t="s">
        <v>368</v>
      </c>
      <c r="I114" s="2" t="s">
        <v>219</v>
      </c>
      <c r="J114" s="2" t="s">
        <v>31</v>
      </c>
      <c r="K114" s="2" t="s">
        <v>31</v>
      </c>
      <c r="L114" s="2" t="s">
        <v>374</v>
      </c>
      <c r="M114" s="2" t="s">
        <v>32</v>
      </c>
      <c r="N114" s="2" t="s">
        <v>492</v>
      </c>
      <c r="O114" s="2" t="s">
        <v>164</v>
      </c>
      <c r="P114" s="2" t="s">
        <v>103</v>
      </c>
      <c r="Q114" s="2" t="s">
        <v>104</v>
      </c>
      <c r="R114" s="2" t="s">
        <v>453</v>
      </c>
      <c r="S114" s="2" t="s">
        <v>35</v>
      </c>
      <c r="T114" s="150">
        <v>5.93</v>
      </c>
      <c r="U114" s="2" t="s">
        <v>2418</v>
      </c>
      <c r="V114" s="162">
        <v>2.2013000000000001E-2</v>
      </c>
      <c r="W114" s="164">
        <v>1.9910000000000001E-2</v>
      </c>
      <c r="X114" s="4" t="s">
        <v>459</v>
      </c>
      <c r="Y114" s="4" t="s">
        <v>164</v>
      </c>
      <c r="Z114" s="150">
        <v>6987</v>
      </c>
      <c r="AA114" s="150">
        <v>1</v>
      </c>
      <c r="AB114" s="150">
        <v>113.48</v>
      </c>
      <c r="AD114" s="150">
        <v>7.9290000000000003</v>
      </c>
      <c r="AG114" s="2" t="s">
        <v>37</v>
      </c>
      <c r="AH114" s="164">
        <v>1.0000000000000001E-5</v>
      </c>
      <c r="AI114" s="164">
        <v>5.18093845280469E-3</v>
      </c>
      <c r="AJ114" s="164">
        <v>2.7386211909949799E-4</v>
      </c>
    </row>
    <row r="115" spans="1:36">
      <c r="A115" s="2" t="s">
        <v>119</v>
      </c>
      <c r="B115" s="2">
        <v>12905</v>
      </c>
      <c r="C115" s="2" t="s">
        <v>1974</v>
      </c>
      <c r="D115" s="2" t="s">
        <v>1975</v>
      </c>
      <c r="E115" s="4" t="s">
        <v>1380</v>
      </c>
      <c r="F115" s="2" t="s">
        <v>2419</v>
      </c>
      <c r="G115" s="2" t="s">
        <v>2420</v>
      </c>
      <c r="H115" s="2" t="s">
        <v>368</v>
      </c>
      <c r="I115" s="2" t="s">
        <v>219</v>
      </c>
      <c r="J115" s="2" t="s">
        <v>31</v>
      </c>
      <c r="K115" s="2" t="s">
        <v>31</v>
      </c>
      <c r="L115" s="2" t="s">
        <v>374</v>
      </c>
      <c r="M115" s="2" t="s">
        <v>32</v>
      </c>
      <c r="N115" s="2" t="s">
        <v>508</v>
      </c>
      <c r="O115" s="2" t="s">
        <v>164</v>
      </c>
      <c r="P115" s="2" t="s">
        <v>2274</v>
      </c>
      <c r="Q115" s="2" t="s">
        <v>217</v>
      </c>
      <c r="R115" s="2" t="s">
        <v>453</v>
      </c>
      <c r="S115" s="2" t="s">
        <v>35</v>
      </c>
      <c r="T115" s="150">
        <v>6.45</v>
      </c>
      <c r="U115" s="2" t="s">
        <v>2421</v>
      </c>
      <c r="V115" s="162">
        <v>3.61E-2</v>
      </c>
      <c r="W115" s="164">
        <v>2.9960000000000001E-2</v>
      </c>
      <c r="X115" s="4" t="s">
        <v>459</v>
      </c>
      <c r="Y115" s="4" t="s">
        <v>164</v>
      </c>
      <c r="Z115" s="150">
        <v>30000</v>
      </c>
      <c r="AA115" s="150">
        <v>1</v>
      </c>
      <c r="AB115" s="150">
        <v>107.22</v>
      </c>
      <c r="AD115" s="150">
        <v>32.165999999999997</v>
      </c>
      <c r="AG115" s="2" t="s">
        <v>37</v>
      </c>
      <c r="AH115" s="164">
        <v>6.4999999999999994E-5</v>
      </c>
      <c r="AI115" s="164">
        <v>2.1018195162802199E-2</v>
      </c>
      <c r="AJ115" s="164">
        <v>1.11101251623937E-3</v>
      </c>
    </row>
    <row r="116" spans="1:36">
      <c r="A116" s="2" t="s">
        <v>119</v>
      </c>
      <c r="B116" s="2">
        <v>12905</v>
      </c>
      <c r="C116" s="2" t="s">
        <v>1974</v>
      </c>
      <c r="D116" s="2" t="s">
        <v>1975</v>
      </c>
      <c r="E116" s="4" t="s">
        <v>1380</v>
      </c>
      <c r="F116" s="2" t="s">
        <v>2514</v>
      </c>
      <c r="G116" s="2" t="s">
        <v>2515</v>
      </c>
      <c r="H116" s="2" t="s">
        <v>368</v>
      </c>
      <c r="I116" s="2" t="s">
        <v>219</v>
      </c>
      <c r="J116" s="2" t="s">
        <v>31</v>
      </c>
      <c r="K116" s="2" t="s">
        <v>31</v>
      </c>
      <c r="L116" s="2" t="s">
        <v>374</v>
      </c>
      <c r="M116" s="2" t="s">
        <v>32</v>
      </c>
      <c r="N116" s="2" t="s">
        <v>508</v>
      </c>
      <c r="O116" s="2" t="s">
        <v>164</v>
      </c>
      <c r="P116" s="2" t="s">
        <v>2274</v>
      </c>
      <c r="Q116" s="2" t="s">
        <v>217</v>
      </c>
      <c r="R116" s="2" t="s">
        <v>453</v>
      </c>
      <c r="S116" s="2" t="s">
        <v>35</v>
      </c>
      <c r="T116" s="150">
        <v>1.24</v>
      </c>
      <c r="U116" s="2" t="s">
        <v>2516</v>
      </c>
      <c r="V116" s="162">
        <v>2.3E-2</v>
      </c>
      <c r="W116" s="164">
        <v>1.95E-2</v>
      </c>
      <c r="X116" s="4" t="s">
        <v>459</v>
      </c>
      <c r="Y116" s="4" t="s">
        <v>164</v>
      </c>
      <c r="Z116" s="150">
        <v>16829.919999999998</v>
      </c>
      <c r="AA116" s="150">
        <v>1</v>
      </c>
      <c r="AB116" s="150">
        <v>114.63</v>
      </c>
      <c r="AD116" s="150">
        <v>19.292000000000002</v>
      </c>
      <c r="AG116" s="2" t="s">
        <v>37</v>
      </c>
      <c r="AH116" s="164">
        <v>1.7E-5</v>
      </c>
      <c r="AI116" s="164">
        <v>1.2606040750945201E-2</v>
      </c>
      <c r="AJ116" s="164">
        <v>6.6634974820817803E-4</v>
      </c>
    </row>
    <row r="117" spans="1:36">
      <c r="A117" s="2" t="s">
        <v>119</v>
      </c>
      <c r="B117" s="2">
        <v>12905</v>
      </c>
      <c r="C117" s="2" t="s">
        <v>1982</v>
      </c>
      <c r="D117" s="2" t="s">
        <v>1522</v>
      </c>
      <c r="E117" s="4" t="s">
        <v>1380</v>
      </c>
      <c r="F117" s="2" t="s">
        <v>2422</v>
      </c>
      <c r="G117" s="2" t="s">
        <v>2423</v>
      </c>
      <c r="H117" s="2" t="s">
        <v>368</v>
      </c>
      <c r="I117" s="2" t="s">
        <v>1011</v>
      </c>
      <c r="J117" s="2" t="s">
        <v>31</v>
      </c>
      <c r="K117" s="2" t="s">
        <v>31</v>
      </c>
      <c r="L117" s="2" t="s">
        <v>374</v>
      </c>
      <c r="M117" s="2" t="s">
        <v>32</v>
      </c>
      <c r="N117" s="2" t="s">
        <v>487</v>
      </c>
      <c r="O117" s="2" t="s">
        <v>164</v>
      </c>
      <c r="P117" s="2" t="s">
        <v>2311</v>
      </c>
      <c r="Q117" s="2" t="s">
        <v>104</v>
      </c>
      <c r="R117" s="2" t="s">
        <v>453</v>
      </c>
      <c r="S117" s="2" t="s">
        <v>35</v>
      </c>
      <c r="T117" s="150">
        <v>1.4410000000000001</v>
      </c>
      <c r="U117" s="2" t="s">
        <v>2424</v>
      </c>
      <c r="V117" s="162">
        <v>0.114</v>
      </c>
      <c r="W117" s="164">
        <v>6.4250000000000002E-2</v>
      </c>
      <c r="X117" s="4" t="s">
        <v>459</v>
      </c>
      <c r="Y117" s="4" t="s">
        <v>164</v>
      </c>
      <c r="Z117" s="150">
        <v>25893</v>
      </c>
      <c r="AA117" s="150">
        <v>1</v>
      </c>
      <c r="AB117" s="150">
        <v>100.84</v>
      </c>
      <c r="AD117" s="150">
        <v>26.111000000000001</v>
      </c>
      <c r="AG117" s="2" t="s">
        <v>37</v>
      </c>
      <c r="AH117" s="164">
        <v>8.1000000000000004E-5</v>
      </c>
      <c r="AI117" s="164">
        <v>1.7061357023570901E-2</v>
      </c>
      <c r="AJ117" s="164">
        <v>9.0185579924401496E-4</v>
      </c>
    </row>
    <row r="118" spans="1:36">
      <c r="A118" s="2" t="s">
        <v>119</v>
      </c>
      <c r="B118" s="2">
        <v>12905</v>
      </c>
      <c r="C118" s="2" t="s">
        <v>1982</v>
      </c>
      <c r="D118" s="2" t="s">
        <v>1522</v>
      </c>
      <c r="E118" s="4" t="s">
        <v>1380</v>
      </c>
      <c r="F118" s="2" t="s">
        <v>2425</v>
      </c>
      <c r="G118" s="2" t="s">
        <v>2426</v>
      </c>
      <c r="H118" s="2" t="s">
        <v>368</v>
      </c>
      <c r="I118" s="2" t="s">
        <v>1011</v>
      </c>
      <c r="J118" s="2" t="s">
        <v>31</v>
      </c>
      <c r="K118" s="2" t="s">
        <v>31</v>
      </c>
      <c r="L118" s="2" t="s">
        <v>374</v>
      </c>
      <c r="M118" s="2" t="s">
        <v>32</v>
      </c>
      <c r="N118" s="2" t="s">
        <v>523</v>
      </c>
      <c r="O118" s="2" t="s">
        <v>164</v>
      </c>
      <c r="P118" s="2" t="s">
        <v>2311</v>
      </c>
      <c r="Q118" s="2" t="s">
        <v>104</v>
      </c>
      <c r="R118" s="2" t="s">
        <v>453</v>
      </c>
      <c r="S118" s="2" t="s">
        <v>35</v>
      </c>
      <c r="T118" s="150">
        <v>2.9860000000000002</v>
      </c>
      <c r="U118" s="2" t="s">
        <v>2427</v>
      </c>
      <c r="V118" s="162">
        <v>7.22E-2</v>
      </c>
      <c r="W118" s="164">
        <v>6.4259999999999998E-2</v>
      </c>
      <c r="X118" s="4" t="s">
        <v>459</v>
      </c>
      <c r="Y118" s="4" t="s">
        <v>164</v>
      </c>
      <c r="Z118" s="150">
        <v>29000</v>
      </c>
      <c r="AA118" s="150">
        <v>1</v>
      </c>
      <c r="AB118" s="150">
        <v>103.85</v>
      </c>
      <c r="AD118" s="150">
        <v>30.116</v>
      </c>
      <c r="AG118" s="2" t="s">
        <v>37</v>
      </c>
      <c r="AH118" s="164">
        <v>0</v>
      </c>
      <c r="AI118" s="164">
        <v>1.9678992557996999E-2</v>
      </c>
      <c r="AJ118" s="164">
        <v>1.0402228578412899E-3</v>
      </c>
    </row>
    <row r="119" spans="1:36">
      <c r="A119" s="2" t="s">
        <v>119</v>
      </c>
      <c r="B119" s="2">
        <v>12905</v>
      </c>
      <c r="C119" s="2" t="s">
        <v>2428</v>
      </c>
      <c r="D119" s="2" t="s">
        <v>2429</v>
      </c>
      <c r="E119" s="4" t="s">
        <v>1380</v>
      </c>
      <c r="F119" s="2" t="s">
        <v>2430</v>
      </c>
      <c r="G119" s="2" t="s">
        <v>2431</v>
      </c>
      <c r="H119" s="2" t="s">
        <v>368</v>
      </c>
      <c r="I119" s="2" t="s">
        <v>219</v>
      </c>
      <c r="J119" s="2" t="s">
        <v>31</v>
      </c>
      <c r="K119" s="2" t="s">
        <v>31</v>
      </c>
      <c r="L119" s="2" t="s">
        <v>374</v>
      </c>
      <c r="M119" s="2" t="s">
        <v>32</v>
      </c>
      <c r="N119" s="2" t="s">
        <v>491</v>
      </c>
      <c r="O119" s="2" t="s">
        <v>164</v>
      </c>
      <c r="P119" s="2" t="s">
        <v>1374</v>
      </c>
      <c r="Q119" s="2" t="s">
        <v>104</v>
      </c>
      <c r="R119" s="2" t="s">
        <v>453</v>
      </c>
      <c r="S119" s="2" t="s">
        <v>35</v>
      </c>
      <c r="T119" s="150">
        <v>3.6669999999999998</v>
      </c>
      <c r="U119" s="2" t="s">
        <v>2432</v>
      </c>
      <c r="V119" s="162">
        <v>2.07E-2</v>
      </c>
      <c r="W119" s="164">
        <v>4.2130000000000001E-2</v>
      </c>
      <c r="X119" s="4" t="s">
        <v>459</v>
      </c>
      <c r="Y119" s="4" t="s">
        <v>164</v>
      </c>
      <c r="Z119" s="150">
        <v>23698</v>
      </c>
      <c r="AA119" s="150">
        <v>1</v>
      </c>
      <c r="AB119" s="150">
        <v>101.49</v>
      </c>
      <c r="AD119" s="150">
        <v>24.050999999999998</v>
      </c>
      <c r="AG119" s="2" t="s">
        <v>37</v>
      </c>
      <c r="AH119" s="164">
        <v>5.1E-5</v>
      </c>
      <c r="AI119" s="164">
        <v>1.5715684818868099E-2</v>
      </c>
      <c r="AJ119" s="164">
        <v>8.3072416065184103E-4</v>
      </c>
    </row>
    <row r="120" spans="1:36">
      <c r="A120" s="2" t="s">
        <v>119</v>
      </c>
      <c r="B120" s="2">
        <v>12905</v>
      </c>
      <c r="C120" s="2" t="s">
        <v>2433</v>
      </c>
      <c r="D120" s="2" t="s">
        <v>2434</v>
      </c>
      <c r="E120" s="4" t="s">
        <v>1380</v>
      </c>
      <c r="F120" s="2" t="s">
        <v>2435</v>
      </c>
      <c r="G120" s="2" t="s">
        <v>2436</v>
      </c>
      <c r="H120" s="2" t="s">
        <v>368</v>
      </c>
      <c r="I120" s="2" t="s">
        <v>219</v>
      </c>
      <c r="J120" s="2" t="s">
        <v>31</v>
      </c>
      <c r="K120" s="2" t="s">
        <v>31</v>
      </c>
      <c r="L120" s="2" t="s">
        <v>374</v>
      </c>
      <c r="M120" s="2" t="s">
        <v>32</v>
      </c>
      <c r="N120" s="2" t="s">
        <v>522</v>
      </c>
      <c r="O120" s="2" t="s">
        <v>164</v>
      </c>
      <c r="P120" s="2" t="s">
        <v>216</v>
      </c>
      <c r="Q120" s="2" t="s">
        <v>217</v>
      </c>
      <c r="R120" s="2" t="s">
        <v>453</v>
      </c>
      <c r="S120" s="2" t="s">
        <v>35</v>
      </c>
      <c r="T120" s="150">
        <v>12.143000000000001</v>
      </c>
      <c r="U120" s="2" t="s">
        <v>2437</v>
      </c>
      <c r="V120" s="162">
        <v>2.07E-2</v>
      </c>
      <c r="W120" s="164">
        <v>2.7869999999999999E-2</v>
      </c>
      <c r="X120" s="4" t="s">
        <v>459</v>
      </c>
      <c r="Y120" s="4" t="s">
        <v>164</v>
      </c>
      <c r="Z120" s="150">
        <v>37111.4</v>
      </c>
      <c r="AA120" s="150">
        <v>1</v>
      </c>
      <c r="AB120" s="150">
        <v>101.58</v>
      </c>
      <c r="AD120" s="150">
        <v>37.698</v>
      </c>
      <c r="AG120" s="2" t="s">
        <v>37</v>
      </c>
      <c r="AH120" s="164">
        <v>7.9999999999999996E-6</v>
      </c>
      <c r="AI120" s="164">
        <v>2.46328072934981E-2</v>
      </c>
      <c r="AJ120" s="164">
        <v>1.302079317525E-3</v>
      </c>
    </row>
    <row r="121" spans="1:36">
      <c r="A121" s="2" t="s">
        <v>119</v>
      </c>
      <c r="B121" s="2">
        <v>12905</v>
      </c>
      <c r="C121" s="2" t="s">
        <v>2438</v>
      </c>
      <c r="D121" s="2" t="s">
        <v>2439</v>
      </c>
      <c r="E121" s="4" t="s">
        <v>1380</v>
      </c>
      <c r="F121" s="2" t="s">
        <v>2440</v>
      </c>
      <c r="G121" s="2" t="s">
        <v>2441</v>
      </c>
      <c r="H121" s="2" t="s">
        <v>368</v>
      </c>
      <c r="I121" s="2" t="s">
        <v>1011</v>
      </c>
      <c r="J121" s="2" t="s">
        <v>31</v>
      </c>
      <c r="K121" s="2" t="s">
        <v>31</v>
      </c>
      <c r="L121" s="2" t="s">
        <v>374</v>
      </c>
      <c r="M121" s="2" t="s">
        <v>2442</v>
      </c>
      <c r="N121" s="2" t="s">
        <v>498</v>
      </c>
      <c r="O121" s="2" t="s">
        <v>164</v>
      </c>
      <c r="P121" s="2" t="s">
        <v>2255</v>
      </c>
      <c r="Q121" s="2" t="s">
        <v>217</v>
      </c>
      <c r="R121" s="2" t="s">
        <v>453</v>
      </c>
      <c r="S121" s="2" t="s">
        <v>35</v>
      </c>
      <c r="T121" s="150">
        <v>4.1399999999999997</v>
      </c>
      <c r="U121" s="2" t="s">
        <v>2443</v>
      </c>
      <c r="V121" s="162">
        <v>6.7000000000000004E-2</v>
      </c>
      <c r="W121" s="164">
        <v>6.089E-2</v>
      </c>
      <c r="X121" s="4" t="s">
        <v>459</v>
      </c>
      <c r="Y121" s="4" t="s">
        <v>164</v>
      </c>
      <c r="Z121" s="150">
        <v>26000</v>
      </c>
      <c r="AA121" s="150">
        <v>1</v>
      </c>
      <c r="AB121" s="150">
        <v>103.21</v>
      </c>
      <c r="AD121" s="150">
        <v>26.835000000000001</v>
      </c>
      <c r="AG121" s="2" t="s">
        <v>37</v>
      </c>
      <c r="AH121" s="164">
        <v>0</v>
      </c>
      <c r="AI121" s="164">
        <v>1.7534504132180901E-2</v>
      </c>
      <c r="AJ121" s="164">
        <v>9.2686614649869104E-4</v>
      </c>
    </row>
    <row r="122" spans="1:36">
      <c r="A122" s="2" t="s">
        <v>119</v>
      </c>
      <c r="B122" s="2">
        <v>12905</v>
      </c>
      <c r="C122" s="2" t="s">
        <v>2444</v>
      </c>
      <c r="D122" s="2" t="s">
        <v>2445</v>
      </c>
      <c r="E122" s="4" t="s">
        <v>1380</v>
      </c>
      <c r="F122" s="2" t="s">
        <v>2446</v>
      </c>
      <c r="G122" s="2" t="s">
        <v>2447</v>
      </c>
      <c r="H122" s="2" t="s">
        <v>368</v>
      </c>
      <c r="I122" s="2" t="s">
        <v>219</v>
      </c>
      <c r="J122" s="2" t="s">
        <v>31</v>
      </c>
      <c r="K122" s="2" t="s">
        <v>31</v>
      </c>
      <c r="L122" s="2" t="s">
        <v>374</v>
      </c>
      <c r="M122" s="2" t="s">
        <v>32</v>
      </c>
      <c r="N122" s="2" t="s">
        <v>485</v>
      </c>
      <c r="O122" s="2" t="s">
        <v>164</v>
      </c>
      <c r="P122" s="2" t="s">
        <v>1527</v>
      </c>
      <c r="Q122" s="2" t="s">
        <v>204</v>
      </c>
      <c r="R122" s="2" t="s">
        <v>455</v>
      </c>
      <c r="S122" s="2" t="s">
        <v>35</v>
      </c>
      <c r="T122" s="150">
        <v>2.7650000000000001</v>
      </c>
      <c r="U122" s="2" t="s">
        <v>1375</v>
      </c>
      <c r="V122" s="162">
        <v>1.4800000000000001E-2</v>
      </c>
      <c r="W122" s="164">
        <v>3.6080000000000001E-2</v>
      </c>
      <c r="X122" s="4" t="s">
        <v>459</v>
      </c>
      <c r="Y122" s="4" t="s">
        <v>164</v>
      </c>
      <c r="Z122" s="150">
        <v>9240</v>
      </c>
      <c r="AA122" s="150">
        <v>1</v>
      </c>
      <c r="AB122" s="150">
        <v>103.65</v>
      </c>
      <c r="AD122" s="150">
        <v>9.577</v>
      </c>
      <c r="AG122" s="2" t="s">
        <v>37</v>
      </c>
      <c r="AH122" s="164">
        <v>1.1E-5</v>
      </c>
      <c r="AI122" s="164">
        <v>6.2580588138064696E-3</v>
      </c>
      <c r="AJ122" s="164">
        <v>3.3079822580608801E-4</v>
      </c>
    </row>
    <row r="123" spans="1:36">
      <c r="A123" s="2" t="s">
        <v>119</v>
      </c>
      <c r="B123" s="2">
        <v>12905</v>
      </c>
      <c r="C123" s="2" t="s">
        <v>2444</v>
      </c>
      <c r="D123" s="2" t="s">
        <v>2445</v>
      </c>
      <c r="E123" s="4" t="s">
        <v>1380</v>
      </c>
      <c r="F123" s="2" t="s">
        <v>2448</v>
      </c>
      <c r="G123" s="2" t="s">
        <v>2449</v>
      </c>
      <c r="H123" s="2" t="s">
        <v>368</v>
      </c>
      <c r="I123" s="2" t="s">
        <v>1011</v>
      </c>
      <c r="J123" s="2" t="s">
        <v>31</v>
      </c>
      <c r="K123" s="2" t="s">
        <v>31</v>
      </c>
      <c r="L123" s="2" t="s">
        <v>374</v>
      </c>
      <c r="M123" s="2" t="s">
        <v>32</v>
      </c>
      <c r="N123" s="2" t="s">
        <v>485</v>
      </c>
      <c r="O123" s="2" t="s">
        <v>164</v>
      </c>
      <c r="P123" s="2" t="s">
        <v>1527</v>
      </c>
      <c r="Q123" s="2" t="s">
        <v>204</v>
      </c>
      <c r="R123" s="2" t="s">
        <v>455</v>
      </c>
      <c r="S123" s="2" t="s">
        <v>35</v>
      </c>
      <c r="T123" s="150">
        <v>3.9910000000000001</v>
      </c>
      <c r="U123" s="2" t="s">
        <v>2450</v>
      </c>
      <c r="V123" s="162">
        <v>6.9500000000000006E-2</v>
      </c>
      <c r="W123" s="164">
        <v>6.2260000000000003E-2</v>
      </c>
      <c r="X123" s="4" t="s">
        <v>459</v>
      </c>
      <c r="Y123" s="4" t="s">
        <v>164</v>
      </c>
      <c r="Z123" s="150">
        <v>38000</v>
      </c>
      <c r="AA123" s="150">
        <v>1</v>
      </c>
      <c r="AB123" s="150">
        <v>105</v>
      </c>
      <c r="AD123" s="150">
        <v>39.9</v>
      </c>
      <c r="AG123" s="2" t="s">
        <v>37</v>
      </c>
      <c r="AH123" s="164">
        <v>1.6200000000000001E-4</v>
      </c>
      <c r="AI123" s="164">
        <v>2.6071814555611701E-2</v>
      </c>
      <c r="AJ123" s="164">
        <v>1.3781446060421199E-3</v>
      </c>
    </row>
    <row r="124" spans="1:36">
      <c r="A124" s="2" t="s">
        <v>119</v>
      </c>
      <c r="B124" s="2">
        <v>12905</v>
      </c>
      <c r="C124" s="2" t="s">
        <v>2451</v>
      </c>
      <c r="D124" s="2" t="s">
        <v>2452</v>
      </c>
      <c r="E124" s="4" t="s">
        <v>360</v>
      </c>
      <c r="F124" s="2" t="s">
        <v>2453</v>
      </c>
      <c r="G124" s="2" t="s">
        <v>2454</v>
      </c>
      <c r="H124" s="2" t="s">
        <v>368</v>
      </c>
      <c r="I124" s="2" t="s">
        <v>1011</v>
      </c>
      <c r="J124" s="2" t="s">
        <v>100</v>
      </c>
      <c r="K124" s="2" t="s">
        <v>101</v>
      </c>
      <c r="L124" s="2" t="s">
        <v>374</v>
      </c>
      <c r="M124" s="2" t="s">
        <v>32</v>
      </c>
      <c r="N124" s="2" t="s">
        <v>509</v>
      </c>
      <c r="O124" s="2" t="s">
        <v>164</v>
      </c>
      <c r="P124" s="2" t="s">
        <v>2274</v>
      </c>
      <c r="Q124" s="2" t="s">
        <v>217</v>
      </c>
      <c r="R124" s="2" t="s">
        <v>453</v>
      </c>
      <c r="S124" s="2" t="s">
        <v>35</v>
      </c>
      <c r="T124" s="150">
        <v>2.5939999999999999</v>
      </c>
      <c r="U124" s="2" t="s">
        <v>1375</v>
      </c>
      <c r="V124" s="162">
        <v>3.49E-2</v>
      </c>
      <c r="W124" s="164">
        <v>6.2030000000000002E-2</v>
      </c>
      <c r="X124" s="4" t="s">
        <v>459</v>
      </c>
      <c r="Y124" s="4" t="s">
        <v>164</v>
      </c>
      <c r="Z124" s="150">
        <v>13889</v>
      </c>
      <c r="AA124" s="150">
        <v>1</v>
      </c>
      <c r="AB124" s="150">
        <v>94.38</v>
      </c>
      <c r="AD124" s="150">
        <v>13.108000000000001</v>
      </c>
      <c r="AG124" s="2" t="s">
        <v>37</v>
      </c>
      <c r="AH124" s="164">
        <v>2.0000000000000002E-5</v>
      </c>
      <c r="AI124" s="164">
        <v>8.5654328286741098E-3</v>
      </c>
      <c r="AJ124" s="164">
        <v>4.5276499746782999E-4</v>
      </c>
    </row>
    <row r="125" spans="1:36">
      <c r="A125" s="2" t="s">
        <v>119</v>
      </c>
      <c r="B125" s="2">
        <v>12905</v>
      </c>
      <c r="C125" s="2" t="s">
        <v>2001</v>
      </c>
      <c r="D125" s="2" t="s">
        <v>2002</v>
      </c>
      <c r="E125" s="4" t="s">
        <v>1380</v>
      </c>
      <c r="F125" s="2" t="s">
        <v>2455</v>
      </c>
      <c r="G125" s="2" t="s">
        <v>2456</v>
      </c>
      <c r="H125" s="2" t="s">
        <v>368</v>
      </c>
      <c r="I125" s="2" t="s">
        <v>1011</v>
      </c>
      <c r="J125" s="2" t="s">
        <v>31</v>
      </c>
      <c r="K125" s="2" t="s">
        <v>31</v>
      </c>
      <c r="L125" s="2" t="s">
        <v>374</v>
      </c>
      <c r="M125" s="2" t="s">
        <v>32</v>
      </c>
      <c r="N125" s="2" t="s">
        <v>529</v>
      </c>
      <c r="O125" s="2" t="s">
        <v>164</v>
      </c>
      <c r="P125" s="2" t="s">
        <v>2285</v>
      </c>
      <c r="Q125" s="2" t="s">
        <v>217</v>
      </c>
      <c r="R125" s="2" t="s">
        <v>453</v>
      </c>
      <c r="S125" s="2" t="s">
        <v>35</v>
      </c>
      <c r="T125" s="150">
        <v>3.673</v>
      </c>
      <c r="U125" s="2" t="s">
        <v>2457</v>
      </c>
      <c r="V125" s="162">
        <v>4.7300000000000002E-2</v>
      </c>
      <c r="W125" s="164">
        <v>5.1670000000000001E-2</v>
      </c>
      <c r="X125" s="4" t="s">
        <v>459</v>
      </c>
      <c r="Y125" s="4" t="s">
        <v>164</v>
      </c>
      <c r="Z125" s="150">
        <v>15000</v>
      </c>
      <c r="AA125" s="150">
        <v>1</v>
      </c>
      <c r="AB125" s="150">
        <v>99.88</v>
      </c>
      <c r="AD125" s="150">
        <v>14.981999999999999</v>
      </c>
      <c r="AG125" s="2" t="s">
        <v>37</v>
      </c>
      <c r="AH125" s="164">
        <v>3.8000000000000002E-5</v>
      </c>
      <c r="AI125" s="164">
        <v>9.7896723226109095E-3</v>
      </c>
      <c r="AJ125" s="164">
        <v>5.1747775658453603E-4</v>
      </c>
    </row>
    <row r="126" spans="1:36">
      <c r="A126" s="2" t="s">
        <v>119</v>
      </c>
      <c r="B126" s="2">
        <v>12905</v>
      </c>
      <c r="C126" s="2" t="s">
        <v>2005</v>
      </c>
      <c r="D126" s="2" t="s">
        <v>2006</v>
      </c>
      <c r="E126" s="4" t="s">
        <v>1380</v>
      </c>
      <c r="F126" s="2" t="s">
        <v>2458</v>
      </c>
      <c r="G126" s="2" t="s">
        <v>2459</v>
      </c>
      <c r="H126" s="2" t="s">
        <v>368</v>
      </c>
      <c r="I126" s="2" t="s">
        <v>219</v>
      </c>
      <c r="J126" s="2" t="s">
        <v>31</v>
      </c>
      <c r="K126" s="2" t="s">
        <v>31</v>
      </c>
      <c r="L126" s="2" t="s">
        <v>374</v>
      </c>
      <c r="M126" s="2" t="s">
        <v>32</v>
      </c>
      <c r="N126" s="2" t="s">
        <v>508</v>
      </c>
      <c r="O126" s="2" t="s">
        <v>164</v>
      </c>
      <c r="P126" s="2" t="s">
        <v>2460</v>
      </c>
      <c r="Q126" s="2" t="s">
        <v>104</v>
      </c>
      <c r="R126" s="2" t="s">
        <v>453</v>
      </c>
      <c r="S126" s="2" t="s">
        <v>35</v>
      </c>
      <c r="T126" s="150">
        <v>2.8639999999999999</v>
      </c>
      <c r="U126" s="2" t="s">
        <v>1520</v>
      </c>
      <c r="V126" s="162">
        <v>1.77E-2</v>
      </c>
      <c r="W126" s="164">
        <v>2.0539999999999999E-2</v>
      </c>
      <c r="X126" s="4" t="s">
        <v>459</v>
      </c>
      <c r="Y126" s="4" t="s">
        <v>164</v>
      </c>
      <c r="Z126" s="150">
        <v>23428.76</v>
      </c>
      <c r="AA126" s="150">
        <v>1</v>
      </c>
      <c r="AB126" s="150">
        <v>111.11</v>
      </c>
      <c r="AD126" s="150">
        <v>26.032</v>
      </c>
      <c r="AG126" s="2" t="s">
        <v>37</v>
      </c>
      <c r="AH126" s="164">
        <v>7.9999999999999996E-6</v>
      </c>
      <c r="AI126" s="164">
        <v>1.7009862926345699E-2</v>
      </c>
      <c r="AJ126" s="164">
        <v>8.9913384400064301E-4</v>
      </c>
    </row>
    <row r="127" spans="1:36">
      <c r="A127" s="2" t="s">
        <v>119</v>
      </c>
      <c r="B127" s="2">
        <v>12905</v>
      </c>
      <c r="C127" s="2" t="s">
        <v>2005</v>
      </c>
      <c r="D127" s="2" t="s">
        <v>2006</v>
      </c>
      <c r="E127" s="4" t="s">
        <v>1380</v>
      </c>
      <c r="F127" s="2" t="s">
        <v>2461</v>
      </c>
      <c r="G127" s="2" t="s">
        <v>2462</v>
      </c>
      <c r="H127" s="2" t="s">
        <v>368</v>
      </c>
      <c r="I127" s="2" t="s">
        <v>219</v>
      </c>
      <c r="J127" s="2" t="s">
        <v>31</v>
      </c>
      <c r="K127" s="2" t="s">
        <v>31</v>
      </c>
      <c r="L127" s="2" t="s">
        <v>374</v>
      </c>
      <c r="M127" s="2" t="s">
        <v>32</v>
      </c>
      <c r="N127" s="2" t="s">
        <v>508</v>
      </c>
      <c r="O127" s="2" t="s">
        <v>164</v>
      </c>
      <c r="P127" s="2" t="s">
        <v>1559</v>
      </c>
      <c r="Q127" s="2" t="s">
        <v>217</v>
      </c>
      <c r="R127" s="2" t="s">
        <v>453</v>
      </c>
      <c r="S127" s="2" t="s">
        <v>35</v>
      </c>
      <c r="T127" s="150">
        <v>10.805</v>
      </c>
      <c r="U127" s="2" t="s">
        <v>2463</v>
      </c>
      <c r="V127" s="162">
        <v>1.6899999999999998E-2</v>
      </c>
      <c r="W127" s="164">
        <v>3.1899999999999998E-2</v>
      </c>
      <c r="X127" s="4" t="s">
        <v>459</v>
      </c>
      <c r="Y127" s="4" t="s">
        <v>164</v>
      </c>
      <c r="Z127" s="150">
        <v>45215</v>
      </c>
      <c r="AA127" s="150">
        <v>1</v>
      </c>
      <c r="AB127" s="150">
        <v>94.27</v>
      </c>
      <c r="AD127" s="150">
        <v>42.624000000000002</v>
      </c>
      <c r="AG127" s="2" t="s">
        <v>37</v>
      </c>
      <c r="AH127" s="164">
        <v>1.7E-5</v>
      </c>
      <c r="AI127" s="164">
        <v>2.78518729218276E-2</v>
      </c>
      <c r="AJ127" s="164">
        <v>1.47223770533936E-3</v>
      </c>
    </row>
    <row r="128" spans="1:36">
      <c r="A128" s="2" t="s">
        <v>119</v>
      </c>
      <c r="B128" s="2">
        <v>12905</v>
      </c>
      <c r="C128" s="2" t="s">
        <v>2009</v>
      </c>
      <c r="D128" s="2" t="s">
        <v>2010</v>
      </c>
      <c r="E128" s="4" t="s">
        <v>1380</v>
      </c>
      <c r="F128" s="2" t="s">
        <v>2464</v>
      </c>
      <c r="G128" s="2" t="s">
        <v>2465</v>
      </c>
      <c r="H128" s="2" t="s">
        <v>368</v>
      </c>
      <c r="I128" s="2" t="s">
        <v>219</v>
      </c>
      <c r="J128" s="2" t="s">
        <v>31</v>
      </c>
      <c r="K128" s="2" t="s">
        <v>31</v>
      </c>
      <c r="L128" s="2" t="s">
        <v>374</v>
      </c>
      <c r="M128" s="2" t="s">
        <v>32</v>
      </c>
      <c r="N128" s="2" t="s">
        <v>492</v>
      </c>
      <c r="O128" s="2" t="s">
        <v>164</v>
      </c>
      <c r="P128" s="2" t="s">
        <v>2399</v>
      </c>
      <c r="Q128" s="2" t="s">
        <v>104</v>
      </c>
      <c r="R128" s="2" t="s">
        <v>453</v>
      </c>
      <c r="S128" s="2" t="s">
        <v>35</v>
      </c>
      <c r="T128" s="150">
        <v>5.194</v>
      </c>
      <c r="U128" s="2" t="s">
        <v>2466</v>
      </c>
      <c r="V128" s="162">
        <v>3.7100000000000001E-2</v>
      </c>
      <c r="W128" s="164">
        <v>2.5149999999999999E-2</v>
      </c>
      <c r="X128" s="4" t="s">
        <v>459</v>
      </c>
      <c r="Y128" s="4" t="s">
        <v>164</v>
      </c>
      <c r="Z128" s="150">
        <v>50000</v>
      </c>
      <c r="AA128" s="150">
        <v>1</v>
      </c>
      <c r="AB128" s="150">
        <v>106.68</v>
      </c>
      <c r="AD128" s="150">
        <v>53.34</v>
      </c>
      <c r="AG128" s="2" t="s">
        <v>37</v>
      </c>
      <c r="AH128" s="164">
        <v>1.2999999999999999E-4</v>
      </c>
      <c r="AI128" s="164">
        <v>3.4853899458554702E-2</v>
      </c>
      <c r="AJ128" s="164">
        <v>1.84236173649841E-3</v>
      </c>
    </row>
    <row r="129" spans="1:36">
      <c r="A129" s="2" t="s">
        <v>119</v>
      </c>
      <c r="B129" s="2">
        <v>12905</v>
      </c>
      <c r="C129" s="2" t="s">
        <v>2467</v>
      </c>
      <c r="D129" s="2" t="s">
        <v>2468</v>
      </c>
      <c r="E129" s="4" t="s">
        <v>1380</v>
      </c>
      <c r="F129" s="2" t="s">
        <v>2469</v>
      </c>
      <c r="G129" s="2" t="s">
        <v>2470</v>
      </c>
      <c r="H129" s="2" t="s">
        <v>368</v>
      </c>
      <c r="I129" s="2" t="s">
        <v>1011</v>
      </c>
      <c r="J129" s="2" t="s">
        <v>31</v>
      </c>
      <c r="K129" s="2" t="s">
        <v>31</v>
      </c>
      <c r="L129" s="2" t="s">
        <v>374</v>
      </c>
      <c r="M129" s="2" t="s">
        <v>32</v>
      </c>
      <c r="N129" s="2" t="s">
        <v>489</v>
      </c>
      <c r="O129" s="2" t="s">
        <v>164</v>
      </c>
      <c r="P129" s="2" t="s">
        <v>1396</v>
      </c>
      <c r="Q129" s="2" t="s">
        <v>217</v>
      </c>
      <c r="R129" s="2" t="s">
        <v>453</v>
      </c>
      <c r="S129" s="2" t="s">
        <v>35</v>
      </c>
      <c r="T129" s="150">
        <v>5.4459999999999997</v>
      </c>
      <c r="U129" s="2" t="s">
        <v>2450</v>
      </c>
      <c r="V129" s="162">
        <v>4.6899999999999997E-2</v>
      </c>
      <c r="W129" s="164">
        <v>4.9889999999999997E-2</v>
      </c>
      <c r="X129" s="4" t="s">
        <v>459</v>
      </c>
      <c r="Y129" s="4" t="s">
        <v>164</v>
      </c>
      <c r="Z129" s="150">
        <v>42000</v>
      </c>
      <c r="AA129" s="150">
        <v>1</v>
      </c>
      <c r="AB129" s="150">
        <v>98.9</v>
      </c>
      <c r="AD129" s="150">
        <v>41.537999999999997</v>
      </c>
      <c r="AG129" s="2" t="s">
        <v>37</v>
      </c>
      <c r="AH129" s="164">
        <v>0</v>
      </c>
      <c r="AI129" s="164">
        <v>2.7142131153157899E-2</v>
      </c>
      <c r="AJ129" s="164">
        <v>1.43472106881648E-3</v>
      </c>
    </row>
    <row r="130" spans="1:36">
      <c r="A130" s="2" t="s">
        <v>119</v>
      </c>
      <c r="B130" s="2">
        <v>12905</v>
      </c>
      <c r="C130" s="2" t="s">
        <v>2471</v>
      </c>
      <c r="D130" s="2" t="s">
        <v>2472</v>
      </c>
      <c r="E130" s="4" t="s">
        <v>1380</v>
      </c>
      <c r="F130" s="2" t="s">
        <v>2473</v>
      </c>
      <c r="G130" s="2" t="s">
        <v>2474</v>
      </c>
      <c r="H130" s="2" t="s">
        <v>368</v>
      </c>
      <c r="I130" s="2" t="s">
        <v>1011</v>
      </c>
      <c r="J130" s="2" t="s">
        <v>31</v>
      </c>
      <c r="K130" s="2" t="s">
        <v>31</v>
      </c>
      <c r="L130" s="2" t="s">
        <v>374</v>
      </c>
      <c r="M130" s="2" t="s">
        <v>32</v>
      </c>
      <c r="N130" s="2" t="s">
        <v>509</v>
      </c>
      <c r="O130" s="2" t="s">
        <v>164</v>
      </c>
      <c r="P130" s="2" t="s">
        <v>2244</v>
      </c>
      <c r="Q130" s="2" t="s">
        <v>104</v>
      </c>
      <c r="R130" s="2" t="s">
        <v>453</v>
      </c>
      <c r="S130" s="2" t="s">
        <v>35</v>
      </c>
      <c r="T130" s="150">
        <v>2.15</v>
      </c>
      <c r="U130" s="2" t="s">
        <v>2475</v>
      </c>
      <c r="V130" s="162">
        <v>2.6499999999999999E-2</v>
      </c>
      <c r="W130" s="164">
        <v>5.4269999999999999E-2</v>
      </c>
      <c r="X130" s="4" t="s">
        <v>459</v>
      </c>
      <c r="Y130" s="4" t="s">
        <v>164</v>
      </c>
      <c r="Z130" s="150">
        <v>34285.71</v>
      </c>
      <c r="AA130" s="150">
        <v>1</v>
      </c>
      <c r="AB130" s="150">
        <v>94.87</v>
      </c>
      <c r="AD130" s="150">
        <v>32.527000000000001</v>
      </c>
      <c r="AG130" s="2" t="s">
        <v>37</v>
      </c>
      <c r="AH130" s="164">
        <v>4.8000000000000001E-5</v>
      </c>
      <c r="AI130" s="164">
        <v>2.1253987005041899E-2</v>
      </c>
      <c r="AJ130" s="164">
        <v>1.1234763689120799E-3</v>
      </c>
    </row>
    <row r="131" spans="1:36">
      <c r="A131" s="2" t="s">
        <v>119</v>
      </c>
      <c r="B131" s="2">
        <v>12905</v>
      </c>
      <c r="C131" s="2" t="s">
        <v>2497</v>
      </c>
      <c r="D131" s="2" t="s">
        <v>2498</v>
      </c>
      <c r="E131" s="4" t="s">
        <v>361</v>
      </c>
      <c r="F131" s="2" t="s">
        <v>2499</v>
      </c>
      <c r="G131" s="2" t="s">
        <v>2500</v>
      </c>
      <c r="H131" s="2" t="s">
        <v>368</v>
      </c>
      <c r="I131" s="2" t="s">
        <v>214</v>
      </c>
      <c r="J131" s="2" t="s">
        <v>100</v>
      </c>
      <c r="K131" s="2" t="s">
        <v>283</v>
      </c>
      <c r="L131" s="2" t="s">
        <v>374</v>
      </c>
      <c r="M131" s="2" t="s">
        <v>32</v>
      </c>
      <c r="N131" s="2" t="s">
        <v>509</v>
      </c>
      <c r="O131" s="2" t="s">
        <v>164</v>
      </c>
      <c r="P131" s="2" t="s">
        <v>1396</v>
      </c>
      <c r="Q131" s="2" t="s">
        <v>104</v>
      </c>
      <c r="R131" s="2" t="s">
        <v>453</v>
      </c>
      <c r="S131" s="2" t="s">
        <v>35</v>
      </c>
      <c r="T131" s="150">
        <v>3.25</v>
      </c>
      <c r="U131" s="2" t="s">
        <v>2501</v>
      </c>
      <c r="V131" s="162">
        <v>4.2999999999999997E-2</v>
      </c>
      <c r="W131" s="164">
        <v>8.4360000000000004E-2</v>
      </c>
      <c r="X131" s="4" t="s">
        <v>459</v>
      </c>
      <c r="Y131" s="4" t="s">
        <v>164</v>
      </c>
      <c r="Z131" s="150">
        <v>14702.79</v>
      </c>
      <c r="AA131" s="150">
        <v>1</v>
      </c>
      <c r="AB131" s="150">
        <v>86.78</v>
      </c>
      <c r="AD131" s="150">
        <v>12.759</v>
      </c>
      <c r="AG131" s="2" t="s">
        <v>37</v>
      </c>
      <c r="AH131" s="164">
        <v>1.2999999999999999E-5</v>
      </c>
      <c r="AI131" s="164">
        <v>8.3371528309690007E-3</v>
      </c>
      <c r="AJ131" s="164">
        <v>4.4069821758054798E-4</v>
      </c>
    </row>
    <row r="132" spans="1:36">
      <c r="A132" s="2" t="s">
        <v>119</v>
      </c>
      <c r="B132" s="2">
        <v>13680</v>
      </c>
      <c r="C132" s="2" t="s">
        <v>2438</v>
      </c>
      <c r="D132" s="2" t="s">
        <v>2439</v>
      </c>
      <c r="E132" s="4" t="s">
        <v>1380</v>
      </c>
      <c r="F132" s="2" t="s">
        <v>2440</v>
      </c>
      <c r="G132" s="2" t="s">
        <v>2441</v>
      </c>
      <c r="H132" s="2" t="s">
        <v>368</v>
      </c>
      <c r="I132" s="2" t="s">
        <v>1011</v>
      </c>
      <c r="J132" s="2" t="s">
        <v>31</v>
      </c>
      <c r="K132" s="2" t="s">
        <v>31</v>
      </c>
      <c r="L132" s="2" t="s">
        <v>374</v>
      </c>
      <c r="M132" s="2" t="s">
        <v>2442</v>
      </c>
      <c r="N132" s="2" t="s">
        <v>498</v>
      </c>
      <c r="O132" s="2" t="s">
        <v>164</v>
      </c>
      <c r="P132" s="2" t="s">
        <v>2255</v>
      </c>
      <c r="Q132" s="2" t="s">
        <v>217</v>
      </c>
      <c r="R132" s="2" t="s">
        <v>453</v>
      </c>
      <c r="S132" s="2" t="s">
        <v>35</v>
      </c>
      <c r="T132" s="150">
        <v>4.1399999999999997</v>
      </c>
      <c r="U132" s="2" t="s">
        <v>2443</v>
      </c>
      <c r="V132" s="162">
        <v>6.7000000000000004E-2</v>
      </c>
      <c r="W132" s="164">
        <v>6.089E-2</v>
      </c>
      <c r="X132" s="4" t="s">
        <v>459</v>
      </c>
      <c r="Y132" s="4" t="s">
        <v>164</v>
      </c>
      <c r="Z132" s="150">
        <v>25000</v>
      </c>
      <c r="AA132" s="150">
        <v>1</v>
      </c>
      <c r="AB132" s="150">
        <v>103.21</v>
      </c>
      <c r="AD132" s="150">
        <v>25.802</v>
      </c>
      <c r="AG132" s="2" t="s">
        <v>37</v>
      </c>
      <c r="AH132" s="164">
        <v>0</v>
      </c>
      <c r="AI132" s="164">
        <v>1</v>
      </c>
      <c r="AJ132" s="164">
        <v>8.8213101500659002E-4</v>
      </c>
    </row>
    <row r="133" spans="1:36">
      <c r="A133" s="2" t="s">
        <v>128</v>
      </c>
      <c r="B133" s="2">
        <v>7228</v>
      </c>
      <c r="C133" s="2" t="s">
        <v>2246</v>
      </c>
      <c r="D133" s="2" t="s">
        <v>2247</v>
      </c>
      <c r="E133" s="4" t="s">
        <v>1380</v>
      </c>
      <c r="F133" s="2" t="s">
        <v>2248</v>
      </c>
      <c r="G133" s="2" t="s">
        <v>2249</v>
      </c>
      <c r="H133" s="2" t="s">
        <v>368</v>
      </c>
      <c r="I133" s="2" t="s">
        <v>219</v>
      </c>
      <c r="J133" s="2" t="s">
        <v>31</v>
      </c>
      <c r="K133" s="2" t="s">
        <v>31</v>
      </c>
      <c r="L133" s="2" t="s">
        <v>374</v>
      </c>
      <c r="M133" s="2" t="s">
        <v>32</v>
      </c>
      <c r="N133" s="2" t="s">
        <v>500</v>
      </c>
      <c r="O133" s="2" t="s">
        <v>164</v>
      </c>
      <c r="P133" s="2" t="s">
        <v>1391</v>
      </c>
      <c r="Q133" s="2" t="s">
        <v>217</v>
      </c>
      <c r="R133" s="2" t="s">
        <v>453</v>
      </c>
      <c r="S133" s="2" t="s">
        <v>35</v>
      </c>
      <c r="T133" s="150">
        <v>5.6740000000000004</v>
      </c>
      <c r="U133" s="2" t="s">
        <v>2250</v>
      </c>
      <c r="V133" s="162">
        <v>5.1499999999999997E-2</v>
      </c>
      <c r="W133" s="164">
        <v>2.9309999999999999E-2</v>
      </c>
      <c r="X133" s="4" t="s">
        <v>459</v>
      </c>
      <c r="Y133" s="4" t="s">
        <v>164</v>
      </c>
      <c r="Z133" s="150">
        <v>822644.12</v>
      </c>
      <c r="AA133" s="150">
        <v>1</v>
      </c>
      <c r="AB133" s="150">
        <v>154.27000000000001</v>
      </c>
      <c r="AD133" s="150">
        <v>1269.0930000000001</v>
      </c>
      <c r="AG133" s="2" t="s">
        <v>37</v>
      </c>
      <c r="AH133" s="164">
        <v>2.63E-4</v>
      </c>
      <c r="AI133" s="164">
        <v>9.2007456333452007E-3</v>
      </c>
      <c r="AJ133" s="164">
        <v>5.4761828277605804E-4</v>
      </c>
    </row>
    <row r="134" spans="1:36">
      <c r="A134" s="2" t="s">
        <v>128</v>
      </c>
      <c r="B134" s="2">
        <v>7228</v>
      </c>
      <c r="C134" s="2" t="s">
        <v>2251</v>
      </c>
      <c r="D134" s="2" t="s">
        <v>2252</v>
      </c>
      <c r="E134" s="4" t="s">
        <v>1380</v>
      </c>
      <c r="F134" s="2" t="s">
        <v>2253</v>
      </c>
      <c r="G134" s="2" t="s">
        <v>2254</v>
      </c>
      <c r="H134" s="2" t="s">
        <v>368</v>
      </c>
      <c r="I134" s="2" t="s">
        <v>219</v>
      </c>
      <c r="J134" s="2" t="s">
        <v>31</v>
      </c>
      <c r="K134" s="2" t="s">
        <v>31</v>
      </c>
      <c r="L134" s="2" t="s">
        <v>374</v>
      </c>
      <c r="M134" s="2" t="s">
        <v>32</v>
      </c>
      <c r="N134" s="2" t="s">
        <v>484</v>
      </c>
      <c r="O134" s="2" t="s">
        <v>164</v>
      </c>
      <c r="P134" s="2" t="s">
        <v>2255</v>
      </c>
      <c r="Q134" s="2" t="s">
        <v>217</v>
      </c>
      <c r="R134" s="2" t="s">
        <v>453</v>
      </c>
      <c r="S134" s="2" t="s">
        <v>35</v>
      </c>
      <c r="T134" s="150">
        <v>3.3180000000000001</v>
      </c>
      <c r="U134" s="2" t="s">
        <v>2256</v>
      </c>
      <c r="V134" s="162">
        <v>2.75E-2</v>
      </c>
      <c r="W134" s="164">
        <v>2.7689999999999999E-2</v>
      </c>
      <c r="X134" s="4" t="s">
        <v>459</v>
      </c>
      <c r="Y134" s="4" t="s">
        <v>164</v>
      </c>
      <c r="Z134" s="150">
        <v>712425.08</v>
      </c>
      <c r="AA134" s="150">
        <v>1</v>
      </c>
      <c r="AB134" s="150">
        <v>110.77</v>
      </c>
      <c r="AD134" s="150">
        <v>789.15300000000002</v>
      </c>
      <c r="AG134" s="2" t="s">
        <v>37</v>
      </c>
      <c r="AH134" s="164">
        <v>7.8899999999999999E-4</v>
      </c>
      <c r="AI134" s="164">
        <v>5.7212496965179001E-3</v>
      </c>
      <c r="AJ134" s="164">
        <v>3.4052250317467597E-4</v>
      </c>
    </row>
    <row r="135" spans="1:36">
      <c r="A135" s="2" t="s">
        <v>128</v>
      </c>
      <c r="B135" s="2">
        <v>7228</v>
      </c>
      <c r="C135" s="2" t="s">
        <v>2251</v>
      </c>
      <c r="D135" s="2" t="s">
        <v>2252</v>
      </c>
      <c r="E135" s="4" t="s">
        <v>1380</v>
      </c>
      <c r="F135" s="2" t="s">
        <v>2257</v>
      </c>
      <c r="G135" s="2" t="s">
        <v>2258</v>
      </c>
      <c r="H135" s="2" t="s">
        <v>368</v>
      </c>
      <c r="I135" s="2" t="s">
        <v>1011</v>
      </c>
      <c r="J135" s="2" t="s">
        <v>31</v>
      </c>
      <c r="K135" s="2" t="s">
        <v>31</v>
      </c>
      <c r="L135" s="2" t="s">
        <v>374</v>
      </c>
      <c r="M135" s="2" t="s">
        <v>32</v>
      </c>
      <c r="N135" s="2" t="s">
        <v>484</v>
      </c>
      <c r="O135" s="2" t="s">
        <v>164</v>
      </c>
      <c r="P135" s="2" t="s">
        <v>2255</v>
      </c>
      <c r="Q135" s="2" t="s">
        <v>217</v>
      </c>
      <c r="R135" s="2" t="s">
        <v>453</v>
      </c>
      <c r="S135" s="2" t="s">
        <v>35</v>
      </c>
      <c r="T135" s="150">
        <v>3.532</v>
      </c>
      <c r="U135" s="2" t="s">
        <v>2259</v>
      </c>
      <c r="V135" s="162">
        <v>2.5000000000000001E-2</v>
      </c>
      <c r="W135" s="164">
        <v>5.5169999999999997E-2</v>
      </c>
      <c r="X135" s="4" t="s">
        <v>459</v>
      </c>
      <c r="Y135" s="4" t="s">
        <v>164</v>
      </c>
      <c r="Z135" s="150">
        <v>2800600</v>
      </c>
      <c r="AA135" s="150">
        <v>1</v>
      </c>
      <c r="AB135" s="150">
        <v>90.36</v>
      </c>
      <c r="AD135" s="150">
        <v>2530.6219999999998</v>
      </c>
      <c r="AG135" s="2" t="s">
        <v>37</v>
      </c>
      <c r="AH135" s="164">
        <v>3.2919999999999998E-3</v>
      </c>
      <c r="AI135" s="164">
        <v>1.83466532780041E-2</v>
      </c>
      <c r="AJ135" s="164">
        <v>1.0919726686472299E-3</v>
      </c>
    </row>
    <row r="136" spans="1:36">
      <c r="A136" s="2" t="s">
        <v>128</v>
      </c>
      <c r="B136" s="2">
        <v>7228</v>
      </c>
      <c r="C136" s="2" t="s">
        <v>2260</v>
      </c>
      <c r="D136" s="2" t="s">
        <v>2261</v>
      </c>
      <c r="E136" s="4" t="s">
        <v>1380</v>
      </c>
      <c r="F136" s="2" t="s">
        <v>2262</v>
      </c>
      <c r="G136" s="2" t="s">
        <v>2263</v>
      </c>
      <c r="H136" s="2" t="s">
        <v>368</v>
      </c>
      <c r="I136" s="2" t="s">
        <v>1011</v>
      </c>
      <c r="J136" s="2" t="s">
        <v>31</v>
      </c>
      <c r="K136" s="2" t="s">
        <v>31</v>
      </c>
      <c r="L136" s="2" t="s">
        <v>374</v>
      </c>
      <c r="M136" s="2" t="s">
        <v>32</v>
      </c>
      <c r="N136" s="2" t="s">
        <v>491</v>
      </c>
      <c r="O136" s="2" t="s">
        <v>164</v>
      </c>
      <c r="P136" s="2" t="s">
        <v>2244</v>
      </c>
      <c r="Q136" s="2" t="s">
        <v>104</v>
      </c>
      <c r="R136" s="2" t="s">
        <v>453</v>
      </c>
      <c r="S136" s="2" t="s">
        <v>35</v>
      </c>
      <c r="T136" s="150">
        <v>2.7250000000000001</v>
      </c>
      <c r="U136" s="2" t="s">
        <v>2264</v>
      </c>
      <c r="V136" s="162">
        <v>2.5499999999999998E-2</v>
      </c>
      <c r="W136" s="164">
        <v>5.373E-2</v>
      </c>
      <c r="X136" s="4" t="s">
        <v>459</v>
      </c>
      <c r="Y136" s="4" t="s">
        <v>164</v>
      </c>
      <c r="Z136" s="150">
        <v>2350698</v>
      </c>
      <c r="AA136" s="150">
        <v>1</v>
      </c>
      <c r="AB136" s="150">
        <v>93.65</v>
      </c>
      <c r="AD136" s="150">
        <v>2201.4290000000001</v>
      </c>
      <c r="AG136" s="2" t="s">
        <v>37</v>
      </c>
      <c r="AH136" s="164">
        <v>4.0369999999999998E-3</v>
      </c>
      <c r="AI136" s="164">
        <v>1.5960047015937898E-2</v>
      </c>
      <c r="AJ136" s="164">
        <v>9.4992448310033002E-4</v>
      </c>
    </row>
    <row r="137" spans="1:36">
      <c r="A137" s="2" t="s">
        <v>128</v>
      </c>
      <c r="B137" s="2">
        <v>7228</v>
      </c>
      <c r="C137" s="2" t="s">
        <v>2265</v>
      </c>
      <c r="D137" s="2" t="s">
        <v>2266</v>
      </c>
      <c r="E137" s="4" t="s">
        <v>1380</v>
      </c>
      <c r="F137" s="2" t="s">
        <v>2267</v>
      </c>
      <c r="G137" s="2" t="s">
        <v>2268</v>
      </c>
      <c r="H137" s="2" t="s">
        <v>368</v>
      </c>
      <c r="I137" s="2" t="s">
        <v>1011</v>
      </c>
      <c r="J137" s="2" t="s">
        <v>31</v>
      </c>
      <c r="K137" s="2" t="s">
        <v>31</v>
      </c>
      <c r="L137" s="2" t="s">
        <v>374</v>
      </c>
      <c r="M137" s="2" t="s">
        <v>32</v>
      </c>
      <c r="N137" s="2" t="s">
        <v>489</v>
      </c>
      <c r="O137" s="2" t="s">
        <v>164</v>
      </c>
      <c r="P137" s="2" t="s">
        <v>2244</v>
      </c>
      <c r="Q137" s="2" t="s">
        <v>104</v>
      </c>
      <c r="R137" s="2" t="s">
        <v>453</v>
      </c>
      <c r="S137" s="2" t="s">
        <v>35</v>
      </c>
      <c r="T137" s="150">
        <v>4.4509999999999996</v>
      </c>
      <c r="U137" s="2" t="s">
        <v>2269</v>
      </c>
      <c r="V137" s="162">
        <v>2.18E-2</v>
      </c>
      <c r="W137" s="164">
        <v>5.4129999999999998E-2</v>
      </c>
      <c r="X137" s="4" t="s">
        <v>459</v>
      </c>
      <c r="Y137" s="4" t="s">
        <v>164</v>
      </c>
      <c r="Z137" s="150">
        <v>3469488</v>
      </c>
      <c r="AA137" s="150">
        <v>1</v>
      </c>
      <c r="AB137" s="150">
        <v>87.63</v>
      </c>
      <c r="AD137" s="150">
        <v>3040.3119999999999</v>
      </c>
      <c r="AG137" s="2" t="s">
        <v>37</v>
      </c>
      <c r="AH137" s="164">
        <v>2.1104000000000001E-2</v>
      </c>
      <c r="AI137" s="164">
        <v>2.2041835062440202E-2</v>
      </c>
      <c r="AJ137" s="164">
        <v>1.3119058331947399E-3</v>
      </c>
    </row>
    <row r="138" spans="1:36">
      <c r="A138" s="2" t="s">
        <v>128</v>
      </c>
      <c r="B138" s="2">
        <v>7228</v>
      </c>
      <c r="C138" s="2" t="s">
        <v>1847</v>
      </c>
      <c r="D138" s="2" t="s">
        <v>1848</v>
      </c>
      <c r="E138" s="4" t="s">
        <v>1380</v>
      </c>
      <c r="F138" s="2" t="s">
        <v>2517</v>
      </c>
      <c r="G138" s="2" t="s">
        <v>2518</v>
      </c>
      <c r="H138" s="2" t="s">
        <v>368</v>
      </c>
      <c r="I138" s="2" t="s">
        <v>1011</v>
      </c>
      <c r="J138" s="2" t="s">
        <v>31</v>
      </c>
      <c r="K138" s="2" t="s">
        <v>31</v>
      </c>
      <c r="L138" s="2" t="s">
        <v>374</v>
      </c>
      <c r="M138" s="2" t="s">
        <v>32</v>
      </c>
      <c r="N138" s="2" t="s">
        <v>500</v>
      </c>
      <c r="O138" s="2" t="s">
        <v>164</v>
      </c>
      <c r="P138" s="2" t="s">
        <v>2274</v>
      </c>
      <c r="Q138" s="2" t="s">
        <v>217</v>
      </c>
      <c r="R138" s="2" t="s">
        <v>453</v>
      </c>
      <c r="S138" s="2" t="s">
        <v>35</v>
      </c>
      <c r="T138" s="150">
        <v>8.0120000000000005</v>
      </c>
      <c r="U138" s="2" t="s">
        <v>2519</v>
      </c>
      <c r="V138" s="162">
        <v>2.4E-2</v>
      </c>
      <c r="W138" s="164">
        <v>5.2470000000000003E-2</v>
      </c>
      <c r="X138" s="4" t="s">
        <v>459</v>
      </c>
      <c r="Y138" s="4" t="s">
        <v>164</v>
      </c>
      <c r="Z138" s="150">
        <v>655553.28000000003</v>
      </c>
      <c r="AA138" s="150">
        <v>1</v>
      </c>
      <c r="AB138" s="150">
        <v>80.510000000000005</v>
      </c>
      <c r="AD138" s="150">
        <v>527.78599999999994</v>
      </c>
      <c r="AG138" s="2" t="s">
        <v>37</v>
      </c>
      <c r="AH138" s="164">
        <v>8.7299999999999997E-4</v>
      </c>
      <c r="AI138" s="164">
        <v>3.8263735710253599E-3</v>
      </c>
      <c r="AJ138" s="164">
        <v>2.2774155570940999E-4</v>
      </c>
    </row>
    <row r="139" spans="1:36">
      <c r="A139" s="2" t="s">
        <v>128</v>
      </c>
      <c r="B139" s="2">
        <v>7228</v>
      </c>
      <c r="C139" s="2" t="s">
        <v>2270</v>
      </c>
      <c r="D139" s="2" t="s">
        <v>2271</v>
      </c>
      <c r="E139" s="4" t="s">
        <v>1380</v>
      </c>
      <c r="F139" s="2" t="s">
        <v>2272</v>
      </c>
      <c r="G139" s="2" t="s">
        <v>2273</v>
      </c>
      <c r="H139" s="2" t="s">
        <v>368</v>
      </c>
      <c r="I139" s="2" t="s">
        <v>219</v>
      </c>
      <c r="J139" s="2" t="s">
        <v>31</v>
      </c>
      <c r="K139" s="2" t="s">
        <v>31</v>
      </c>
      <c r="L139" s="2" t="s">
        <v>374</v>
      </c>
      <c r="M139" s="2" t="s">
        <v>32</v>
      </c>
      <c r="N139" s="2" t="s">
        <v>508</v>
      </c>
      <c r="O139" s="2" t="s">
        <v>164</v>
      </c>
      <c r="P139" s="2" t="s">
        <v>2274</v>
      </c>
      <c r="Q139" s="2" t="s">
        <v>217</v>
      </c>
      <c r="R139" s="2" t="s">
        <v>453</v>
      </c>
      <c r="S139" s="2" t="s">
        <v>35</v>
      </c>
      <c r="T139" s="150">
        <v>2.698</v>
      </c>
      <c r="U139" s="2" t="s">
        <v>65</v>
      </c>
      <c r="V139" s="162">
        <v>2.3400000000000001E-2</v>
      </c>
      <c r="W139" s="164">
        <v>2.1569999999999999E-2</v>
      </c>
      <c r="X139" s="4" t="s">
        <v>459</v>
      </c>
      <c r="Y139" s="4" t="s">
        <v>164</v>
      </c>
      <c r="Z139" s="150">
        <v>528000.11</v>
      </c>
      <c r="AA139" s="150">
        <v>1</v>
      </c>
      <c r="AB139" s="150">
        <v>111.84</v>
      </c>
      <c r="AD139" s="150">
        <v>590.51499999999999</v>
      </c>
      <c r="AG139" s="2" t="s">
        <v>37</v>
      </c>
      <c r="AH139" s="164">
        <v>2.04E-4</v>
      </c>
      <c r="AI139" s="164">
        <v>4.2811526975919303E-3</v>
      </c>
      <c r="AJ139" s="164">
        <v>2.5480951022716102E-4</v>
      </c>
    </row>
    <row r="140" spans="1:36">
      <c r="A140" s="2" t="s">
        <v>128</v>
      </c>
      <c r="B140" s="2">
        <v>7228</v>
      </c>
      <c r="C140" s="2" t="s">
        <v>2275</v>
      </c>
      <c r="D140" s="2" t="s">
        <v>2276</v>
      </c>
      <c r="E140" s="4" t="s">
        <v>1380</v>
      </c>
      <c r="F140" s="2" t="s">
        <v>2520</v>
      </c>
      <c r="G140" s="2" t="s">
        <v>2521</v>
      </c>
      <c r="H140" s="2" t="s">
        <v>368</v>
      </c>
      <c r="I140" s="2" t="s">
        <v>1011</v>
      </c>
      <c r="J140" s="2" t="s">
        <v>31</v>
      </c>
      <c r="K140" s="2" t="s">
        <v>31</v>
      </c>
      <c r="L140" s="2" t="s">
        <v>374</v>
      </c>
      <c r="M140" s="2" t="s">
        <v>32</v>
      </c>
      <c r="N140" s="2" t="s">
        <v>508</v>
      </c>
      <c r="O140" s="2" t="s">
        <v>164</v>
      </c>
      <c r="P140" s="2" t="s">
        <v>1391</v>
      </c>
      <c r="Q140" s="2" t="s">
        <v>217</v>
      </c>
      <c r="R140" s="2" t="s">
        <v>453</v>
      </c>
      <c r="S140" s="2" t="s">
        <v>35</v>
      </c>
      <c r="T140" s="150">
        <v>1.8580000000000001</v>
      </c>
      <c r="U140" s="2" t="s">
        <v>2522</v>
      </c>
      <c r="V140" s="162">
        <v>3.85E-2</v>
      </c>
      <c r="W140" s="164">
        <v>4.768E-2</v>
      </c>
      <c r="X140" s="4" t="s">
        <v>459</v>
      </c>
      <c r="Y140" s="4" t="s">
        <v>164</v>
      </c>
      <c r="Z140" s="150">
        <v>504551.12</v>
      </c>
      <c r="AA140" s="150">
        <v>1</v>
      </c>
      <c r="AB140" s="150">
        <v>98.71</v>
      </c>
      <c r="AD140" s="150">
        <v>498.04199999999997</v>
      </c>
      <c r="AG140" s="2" t="s">
        <v>37</v>
      </c>
      <c r="AH140" s="164">
        <v>5.2599999999999999E-4</v>
      </c>
      <c r="AI140" s="164">
        <v>3.6107371414699501E-3</v>
      </c>
      <c r="AJ140" s="164">
        <v>2.1490711207159001E-4</v>
      </c>
    </row>
    <row r="141" spans="1:36">
      <c r="A141" s="2" t="s">
        <v>128</v>
      </c>
      <c r="B141" s="2">
        <v>7228</v>
      </c>
      <c r="C141" s="2" t="s">
        <v>2275</v>
      </c>
      <c r="D141" s="2" t="s">
        <v>2276</v>
      </c>
      <c r="E141" s="4" t="s">
        <v>1380</v>
      </c>
      <c r="F141" s="2" t="s">
        <v>2277</v>
      </c>
      <c r="G141" s="2" t="s">
        <v>2278</v>
      </c>
      <c r="H141" s="2" t="s">
        <v>368</v>
      </c>
      <c r="I141" s="2" t="s">
        <v>1011</v>
      </c>
      <c r="J141" s="2" t="s">
        <v>31</v>
      </c>
      <c r="K141" s="2" t="s">
        <v>31</v>
      </c>
      <c r="L141" s="2" t="s">
        <v>374</v>
      </c>
      <c r="M141" s="2" t="s">
        <v>32</v>
      </c>
      <c r="N141" s="2" t="s">
        <v>508</v>
      </c>
      <c r="O141" s="2" t="s">
        <v>164</v>
      </c>
      <c r="P141" s="2" t="s">
        <v>1391</v>
      </c>
      <c r="Q141" s="2" t="s">
        <v>217</v>
      </c>
      <c r="R141" s="2" t="s">
        <v>453</v>
      </c>
      <c r="S141" s="2" t="s">
        <v>35</v>
      </c>
      <c r="T141" s="150">
        <v>4.8369999999999997</v>
      </c>
      <c r="U141" s="2" t="s">
        <v>2279</v>
      </c>
      <c r="V141" s="162">
        <v>2.41E-2</v>
      </c>
      <c r="W141" s="164">
        <v>5.7450000000000001E-2</v>
      </c>
      <c r="X141" s="4" t="s">
        <v>459</v>
      </c>
      <c r="Y141" s="4" t="s">
        <v>164</v>
      </c>
      <c r="Z141" s="150">
        <v>1733333.33</v>
      </c>
      <c r="AA141" s="150">
        <v>1</v>
      </c>
      <c r="AB141" s="150">
        <v>85.75</v>
      </c>
      <c r="AD141" s="150">
        <v>1486.3330000000001</v>
      </c>
      <c r="AG141" s="2" t="s">
        <v>37</v>
      </c>
      <c r="AH141" s="164">
        <v>1.1169999999999999E-3</v>
      </c>
      <c r="AI141" s="164">
        <v>1.07757067415255E-2</v>
      </c>
      <c r="AJ141" s="164">
        <v>6.4135823950032796E-4</v>
      </c>
    </row>
    <row r="142" spans="1:36">
      <c r="A142" s="2" t="s">
        <v>128</v>
      </c>
      <c r="B142" s="2">
        <v>7228</v>
      </c>
      <c r="C142" s="2" t="s">
        <v>2275</v>
      </c>
      <c r="D142" s="2" t="s">
        <v>2276</v>
      </c>
      <c r="E142" s="4" t="s">
        <v>1380</v>
      </c>
      <c r="F142" s="2" t="s">
        <v>2280</v>
      </c>
      <c r="G142" s="2" t="s">
        <v>2281</v>
      </c>
      <c r="H142" s="2" t="s">
        <v>368</v>
      </c>
      <c r="I142" s="2" t="s">
        <v>1011</v>
      </c>
      <c r="J142" s="2" t="s">
        <v>31</v>
      </c>
      <c r="K142" s="2" t="s">
        <v>31</v>
      </c>
      <c r="L142" s="2" t="s">
        <v>374</v>
      </c>
      <c r="M142" s="2" t="s">
        <v>32</v>
      </c>
      <c r="N142" s="2" t="s">
        <v>508</v>
      </c>
      <c r="O142" s="2" t="s">
        <v>164</v>
      </c>
      <c r="P142" s="2" t="s">
        <v>1396</v>
      </c>
      <c r="Q142" s="2" t="s">
        <v>104</v>
      </c>
      <c r="R142" s="2" t="s">
        <v>453</v>
      </c>
      <c r="S142" s="2" t="s">
        <v>35</v>
      </c>
      <c r="T142" s="150">
        <v>6.7889999999999997</v>
      </c>
      <c r="U142" s="2" t="s">
        <v>2282</v>
      </c>
      <c r="V142" s="162">
        <v>4.9399999999999999E-2</v>
      </c>
      <c r="W142" s="164">
        <v>6.2219999999999998E-2</v>
      </c>
      <c r="X142" s="4" t="s">
        <v>459</v>
      </c>
      <c r="Y142" s="4" t="s">
        <v>164</v>
      </c>
      <c r="Z142" s="150">
        <v>2000466</v>
      </c>
      <c r="AA142" s="150">
        <v>1</v>
      </c>
      <c r="AB142" s="150">
        <v>92.4</v>
      </c>
      <c r="AD142" s="150">
        <v>1848.431</v>
      </c>
      <c r="AG142" s="2" t="s">
        <v>37</v>
      </c>
      <c r="AH142" s="164">
        <v>3.7690000000000002E-3</v>
      </c>
      <c r="AI142" s="164">
        <v>1.3400860693129599E-2</v>
      </c>
      <c r="AJ142" s="164">
        <v>7.9760452173533705E-4</v>
      </c>
    </row>
    <row r="143" spans="1:36">
      <c r="A143" s="2" t="s">
        <v>128</v>
      </c>
      <c r="B143" s="2">
        <v>7228</v>
      </c>
      <c r="C143" s="2" t="s">
        <v>1867</v>
      </c>
      <c r="D143" s="2" t="s">
        <v>1868</v>
      </c>
      <c r="E143" s="4" t="s">
        <v>1380</v>
      </c>
      <c r="F143" s="2" t="s">
        <v>2283</v>
      </c>
      <c r="G143" s="2" t="s">
        <v>2284</v>
      </c>
      <c r="H143" s="2" t="s">
        <v>368</v>
      </c>
      <c r="I143" s="2" t="s">
        <v>1011</v>
      </c>
      <c r="J143" s="2" t="s">
        <v>31</v>
      </c>
      <c r="K143" s="2" t="s">
        <v>31</v>
      </c>
      <c r="L143" s="2" t="s">
        <v>374</v>
      </c>
      <c r="M143" s="2" t="s">
        <v>32</v>
      </c>
      <c r="N143" s="2" t="s">
        <v>495</v>
      </c>
      <c r="O143" s="2" t="s">
        <v>164</v>
      </c>
      <c r="P143" s="2" t="s">
        <v>2285</v>
      </c>
      <c r="Q143" s="2" t="s">
        <v>217</v>
      </c>
      <c r="R143" s="2" t="s">
        <v>453</v>
      </c>
      <c r="S143" s="2" t="s">
        <v>35</v>
      </c>
      <c r="T143" s="150">
        <v>3.41</v>
      </c>
      <c r="U143" s="2" t="s">
        <v>2286</v>
      </c>
      <c r="V143" s="162">
        <v>0.04</v>
      </c>
      <c r="W143" s="164">
        <v>5.0200000000000002E-2</v>
      </c>
      <c r="X143" s="4" t="s">
        <v>459</v>
      </c>
      <c r="Y143" s="4" t="s">
        <v>164</v>
      </c>
      <c r="Z143" s="150">
        <v>1837500.3</v>
      </c>
      <c r="AA143" s="150">
        <v>1</v>
      </c>
      <c r="AB143" s="150">
        <v>97.7</v>
      </c>
      <c r="AD143" s="150">
        <v>1795.2380000000001</v>
      </c>
      <c r="AG143" s="2" t="s">
        <v>37</v>
      </c>
      <c r="AH143" s="164">
        <v>2.3730000000000001E-3</v>
      </c>
      <c r="AI143" s="164">
        <v>1.30152204711489E-2</v>
      </c>
      <c r="AJ143" s="164">
        <v>7.7465163894233004E-4</v>
      </c>
    </row>
    <row r="144" spans="1:36">
      <c r="A144" s="2" t="s">
        <v>128</v>
      </c>
      <c r="B144" s="2">
        <v>7228</v>
      </c>
      <c r="C144" s="2" t="s">
        <v>2287</v>
      </c>
      <c r="D144" s="2" t="s">
        <v>2288</v>
      </c>
      <c r="E144" s="4" t="s">
        <v>1380</v>
      </c>
      <c r="F144" s="2" t="s">
        <v>2523</v>
      </c>
      <c r="G144" s="2" t="s">
        <v>2524</v>
      </c>
      <c r="H144" s="2" t="s">
        <v>368</v>
      </c>
      <c r="I144" s="2" t="s">
        <v>1011</v>
      </c>
      <c r="J144" s="2" t="s">
        <v>31</v>
      </c>
      <c r="K144" s="2" t="s">
        <v>31</v>
      </c>
      <c r="L144" s="2" t="s">
        <v>374</v>
      </c>
      <c r="M144" s="2" t="s">
        <v>32</v>
      </c>
      <c r="N144" s="2" t="s">
        <v>509</v>
      </c>
      <c r="O144" s="2" t="s">
        <v>164</v>
      </c>
      <c r="P144" s="2" t="s">
        <v>2244</v>
      </c>
      <c r="Q144" s="2" t="s">
        <v>104</v>
      </c>
      <c r="R144" s="2" t="s">
        <v>453</v>
      </c>
      <c r="S144" s="2" t="s">
        <v>35</v>
      </c>
      <c r="T144" s="150">
        <v>3.3340000000000001</v>
      </c>
      <c r="U144" s="2" t="s">
        <v>2525</v>
      </c>
      <c r="V144" s="162">
        <v>3.2500000000000001E-2</v>
      </c>
      <c r="W144" s="164">
        <v>5.5239999999999997E-2</v>
      </c>
      <c r="X144" s="4" t="s">
        <v>459</v>
      </c>
      <c r="Y144" s="4" t="s">
        <v>164</v>
      </c>
      <c r="Z144" s="150">
        <v>815603.05</v>
      </c>
      <c r="AA144" s="150">
        <v>1</v>
      </c>
      <c r="AB144" s="150">
        <v>93.05</v>
      </c>
      <c r="AD144" s="150">
        <v>758.91899999999998</v>
      </c>
      <c r="AG144" s="2" t="s">
        <v>37</v>
      </c>
      <c r="AH144" s="164">
        <v>2.3760000000000001E-3</v>
      </c>
      <c r="AI144" s="164">
        <v>5.5020529489316497E-3</v>
      </c>
      <c r="AJ144" s="164">
        <v>3.2747615331491599E-4</v>
      </c>
    </row>
    <row r="145" spans="1:36">
      <c r="A145" s="2" t="s">
        <v>128</v>
      </c>
      <c r="B145" s="2">
        <v>7228</v>
      </c>
      <c r="C145" s="2" t="s">
        <v>2287</v>
      </c>
      <c r="D145" s="2" t="s">
        <v>2288</v>
      </c>
      <c r="E145" s="4" t="s">
        <v>1380</v>
      </c>
      <c r="F145" s="2" t="s">
        <v>2292</v>
      </c>
      <c r="G145" s="2" t="s">
        <v>2293</v>
      </c>
      <c r="H145" s="2" t="s">
        <v>368</v>
      </c>
      <c r="I145" s="2" t="s">
        <v>219</v>
      </c>
      <c r="J145" s="2" t="s">
        <v>31</v>
      </c>
      <c r="K145" s="2" t="s">
        <v>31</v>
      </c>
      <c r="L145" s="2" t="s">
        <v>374</v>
      </c>
      <c r="M145" s="2" t="s">
        <v>32</v>
      </c>
      <c r="N145" s="2" t="s">
        <v>509</v>
      </c>
      <c r="O145" s="2" t="s">
        <v>164</v>
      </c>
      <c r="P145" s="2" t="s">
        <v>2244</v>
      </c>
      <c r="Q145" s="2" t="s">
        <v>104</v>
      </c>
      <c r="R145" s="2" t="s">
        <v>453</v>
      </c>
      <c r="S145" s="2" t="s">
        <v>35</v>
      </c>
      <c r="T145" s="150">
        <v>5.6210000000000004</v>
      </c>
      <c r="U145" s="2" t="s">
        <v>2294</v>
      </c>
      <c r="V145" s="162">
        <v>1.54E-2</v>
      </c>
      <c r="W145" s="164">
        <v>3.2969999999999999E-2</v>
      </c>
      <c r="X145" s="4" t="s">
        <v>459</v>
      </c>
      <c r="Y145" s="4" t="s">
        <v>164</v>
      </c>
      <c r="Z145" s="150">
        <v>2876000</v>
      </c>
      <c r="AA145" s="150">
        <v>1</v>
      </c>
      <c r="AB145" s="150">
        <v>98.44</v>
      </c>
      <c r="AD145" s="150">
        <v>2831.134</v>
      </c>
      <c r="AG145" s="2" t="s">
        <v>37</v>
      </c>
      <c r="AH145" s="164">
        <v>8.2170000000000003E-3</v>
      </c>
      <c r="AI145" s="164">
        <v>2.05253245787708E-2</v>
      </c>
      <c r="AJ145" s="164">
        <v>1.2216447934949701E-3</v>
      </c>
    </row>
    <row r="146" spans="1:36">
      <c r="A146" s="2" t="s">
        <v>128</v>
      </c>
      <c r="B146" s="2">
        <v>7228</v>
      </c>
      <c r="C146" s="2" t="s">
        <v>2526</v>
      </c>
      <c r="D146" s="2" t="s">
        <v>2527</v>
      </c>
      <c r="E146" s="4" t="s">
        <v>1380</v>
      </c>
      <c r="F146" s="2" t="s">
        <v>2528</v>
      </c>
      <c r="G146" s="2" t="s">
        <v>2529</v>
      </c>
      <c r="H146" s="2" t="s">
        <v>368</v>
      </c>
      <c r="I146" s="2" t="s">
        <v>219</v>
      </c>
      <c r="J146" s="2" t="s">
        <v>31</v>
      </c>
      <c r="K146" s="2" t="s">
        <v>31</v>
      </c>
      <c r="L146" s="2" t="s">
        <v>374</v>
      </c>
      <c r="M146" s="2" t="s">
        <v>32</v>
      </c>
      <c r="N146" s="2" t="s">
        <v>509</v>
      </c>
      <c r="O146" s="2" t="s">
        <v>164</v>
      </c>
      <c r="P146" s="2" t="s">
        <v>2530</v>
      </c>
      <c r="Q146" s="2" t="s">
        <v>217</v>
      </c>
      <c r="R146" s="2" t="s">
        <v>453</v>
      </c>
      <c r="S146" s="2" t="s">
        <v>35</v>
      </c>
      <c r="T146" s="150">
        <v>3.08</v>
      </c>
      <c r="U146" s="2" t="s">
        <v>2531</v>
      </c>
      <c r="V146" s="162">
        <v>4.6002000000000001E-2</v>
      </c>
      <c r="W146" s="164">
        <v>0.21110000000000001</v>
      </c>
      <c r="X146" s="4" t="s">
        <v>459</v>
      </c>
      <c r="Y146" s="4" t="s">
        <v>164</v>
      </c>
      <c r="Z146" s="150">
        <v>106852.46</v>
      </c>
      <c r="AA146" s="150">
        <v>1</v>
      </c>
      <c r="AB146" s="150">
        <v>143.47999999999999</v>
      </c>
      <c r="AD146" s="150">
        <v>153.31200000000001</v>
      </c>
      <c r="AG146" s="2" t="s">
        <v>37</v>
      </c>
      <c r="AH146" s="164">
        <v>6.7869999999999996E-3</v>
      </c>
      <c r="AI146" s="164">
        <v>1.1114896934936701E-3</v>
      </c>
      <c r="AJ146" s="164">
        <v>6.6154646756926895E-5</v>
      </c>
    </row>
    <row r="147" spans="1:36">
      <c r="A147" s="2" t="s">
        <v>128</v>
      </c>
      <c r="B147" s="2">
        <v>7228</v>
      </c>
      <c r="C147" s="2" t="s">
        <v>2295</v>
      </c>
      <c r="D147" s="2" t="s">
        <v>2296</v>
      </c>
      <c r="E147" s="4" t="s">
        <v>1380</v>
      </c>
      <c r="F147" s="2" t="s">
        <v>2297</v>
      </c>
      <c r="G147" s="2" t="s">
        <v>2298</v>
      </c>
      <c r="H147" s="2" t="s">
        <v>368</v>
      </c>
      <c r="I147" s="2" t="s">
        <v>219</v>
      </c>
      <c r="J147" s="2" t="s">
        <v>31</v>
      </c>
      <c r="K147" s="2" t="s">
        <v>31</v>
      </c>
      <c r="L147" s="2" t="s">
        <v>374</v>
      </c>
      <c r="M147" s="2" t="s">
        <v>32</v>
      </c>
      <c r="N147" s="2" t="s">
        <v>508</v>
      </c>
      <c r="O147" s="2" t="s">
        <v>164</v>
      </c>
      <c r="P147" s="2" t="s">
        <v>2299</v>
      </c>
      <c r="Q147" s="2" t="s">
        <v>217</v>
      </c>
      <c r="R147" s="2" t="s">
        <v>453</v>
      </c>
      <c r="S147" s="2" t="s">
        <v>35</v>
      </c>
      <c r="T147" s="150">
        <v>6.4809999999999999</v>
      </c>
      <c r="U147" s="2" t="s">
        <v>2300</v>
      </c>
      <c r="V147" s="162">
        <v>3.6799999999999999E-2</v>
      </c>
      <c r="W147" s="164">
        <v>3.6380000000000003E-2</v>
      </c>
      <c r="X147" s="4" t="s">
        <v>459</v>
      </c>
      <c r="Y147" s="4" t="s">
        <v>164</v>
      </c>
      <c r="Z147" s="150">
        <v>2928000</v>
      </c>
      <c r="AA147" s="150">
        <v>1</v>
      </c>
      <c r="AB147" s="150">
        <v>101.74</v>
      </c>
      <c r="AD147" s="150">
        <v>2978.9470000000001</v>
      </c>
      <c r="AG147" s="2" t="s">
        <v>37</v>
      </c>
      <c r="AH147" s="164">
        <v>0</v>
      </c>
      <c r="AI147" s="164">
        <v>2.1596946504207098E-2</v>
      </c>
      <c r="AJ147" s="164">
        <v>1.2854265544498401E-3</v>
      </c>
    </row>
    <row r="148" spans="1:36">
      <c r="A148" s="2" t="s">
        <v>128</v>
      </c>
      <c r="B148" s="2">
        <v>7228</v>
      </c>
      <c r="C148" s="2" t="s">
        <v>2295</v>
      </c>
      <c r="D148" s="2" t="s">
        <v>2296</v>
      </c>
      <c r="E148" s="4" t="s">
        <v>1380</v>
      </c>
      <c r="F148" s="2" t="s">
        <v>2301</v>
      </c>
      <c r="G148" s="2" t="s">
        <v>2302</v>
      </c>
      <c r="H148" s="2" t="s">
        <v>368</v>
      </c>
      <c r="I148" s="2" t="s">
        <v>219</v>
      </c>
      <c r="J148" s="2" t="s">
        <v>31</v>
      </c>
      <c r="K148" s="2" t="s">
        <v>31</v>
      </c>
      <c r="L148" s="2" t="s">
        <v>374</v>
      </c>
      <c r="M148" s="2" t="s">
        <v>32</v>
      </c>
      <c r="N148" s="2" t="s">
        <v>508</v>
      </c>
      <c r="O148" s="2" t="s">
        <v>164</v>
      </c>
      <c r="P148" s="2" t="s">
        <v>2299</v>
      </c>
      <c r="Q148" s="2" t="s">
        <v>217</v>
      </c>
      <c r="R148" s="2" t="s">
        <v>453</v>
      </c>
      <c r="S148" s="2" t="s">
        <v>35</v>
      </c>
      <c r="T148" s="150">
        <v>1.919</v>
      </c>
      <c r="U148" s="2" t="s">
        <v>2303</v>
      </c>
      <c r="V148" s="162">
        <v>3.4599999999999999E-2</v>
      </c>
      <c r="W148" s="164">
        <v>2.6380000000000001E-2</v>
      </c>
      <c r="X148" s="4" t="s">
        <v>459</v>
      </c>
      <c r="Y148" s="4" t="s">
        <v>164</v>
      </c>
      <c r="Z148" s="150">
        <v>1004545.45</v>
      </c>
      <c r="AA148" s="150">
        <v>1</v>
      </c>
      <c r="AB148" s="150">
        <v>115.44</v>
      </c>
      <c r="AD148" s="150">
        <v>1159.6469999999999</v>
      </c>
      <c r="AG148" s="2" t="s">
        <v>37</v>
      </c>
      <c r="AH148" s="164">
        <v>8.1329999999999996E-3</v>
      </c>
      <c r="AI148" s="164">
        <v>8.4072789203902508E-3</v>
      </c>
      <c r="AJ148" s="164">
        <v>5.0039201480777697E-4</v>
      </c>
    </row>
    <row r="149" spans="1:36">
      <c r="A149" s="2" t="s">
        <v>128</v>
      </c>
      <c r="B149" s="2">
        <v>7228</v>
      </c>
      <c r="C149" s="2" t="s">
        <v>1891</v>
      </c>
      <c r="D149" s="2" t="s">
        <v>1892</v>
      </c>
      <c r="E149" s="4" t="s">
        <v>1380</v>
      </c>
      <c r="F149" s="2" t="s">
        <v>2304</v>
      </c>
      <c r="G149" s="2" t="s">
        <v>2305</v>
      </c>
      <c r="H149" s="2" t="s">
        <v>368</v>
      </c>
      <c r="I149" s="2" t="s">
        <v>1011</v>
      </c>
      <c r="J149" s="2" t="s">
        <v>31</v>
      </c>
      <c r="K149" s="2" t="s">
        <v>31</v>
      </c>
      <c r="L149" s="2" t="s">
        <v>374</v>
      </c>
      <c r="M149" s="2" t="s">
        <v>32</v>
      </c>
      <c r="N149" s="2" t="s">
        <v>484</v>
      </c>
      <c r="O149" s="2" t="s">
        <v>164</v>
      </c>
      <c r="P149" s="2" t="s">
        <v>2285</v>
      </c>
      <c r="Q149" s="2" t="s">
        <v>217</v>
      </c>
      <c r="R149" s="2" t="s">
        <v>453</v>
      </c>
      <c r="S149" s="2" t="s">
        <v>35</v>
      </c>
      <c r="T149" s="150">
        <v>2.7269999999999999</v>
      </c>
      <c r="U149" s="2" t="s">
        <v>2306</v>
      </c>
      <c r="V149" s="162">
        <v>2.7E-2</v>
      </c>
      <c r="W149" s="164">
        <v>5.2819999999999999E-2</v>
      </c>
      <c r="X149" s="4" t="s">
        <v>459</v>
      </c>
      <c r="Y149" s="4" t="s">
        <v>164</v>
      </c>
      <c r="Z149" s="150">
        <v>2720000</v>
      </c>
      <c r="AA149" s="150">
        <v>1</v>
      </c>
      <c r="AB149" s="150">
        <v>93.45</v>
      </c>
      <c r="AD149" s="150">
        <v>2541.84</v>
      </c>
      <c r="AG149" s="2" t="s">
        <v>37</v>
      </c>
      <c r="AH149" s="164">
        <v>3.6380000000000002E-3</v>
      </c>
      <c r="AI149" s="164">
        <v>1.8427981033787299E-2</v>
      </c>
      <c r="AJ149" s="164">
        <v>1.0968132074186401E-3</v>
      </c>
    </row>
    <row r="150" spans="1:36">
      <c r="A150" s="2" t="s">
        <v>128</v>
      </c>
      <c r="B150" s="2">
        <v>7228</v>
      </c>
      <c r="C150" s="2" t="s">
        <v>2307</v>
      </c>
      <c r="D150" s="2" t="s">
        <v>2308</v>
      </c>
      <c r="E150" s="4" t="s">
        <v>1380</v>
      </c>
      <c r="F150" s="2" t="s">
        <v>2309</v>
      </c>
      <c r="G150" s="2" t="s">
        <v>2310</v>
      </c>
      <c r="H150" s="2" t="s">
        <v>368</v>
      </c>
      <c r="I150" s="2" t="s">
        <v>1011</v>
      </c>
      <c r="J150" s="2" t="s">
        <v>31</v>
      </c>
      <c r="K150" s="2" t="s">
        <v>31</v>
      </c>
      <c r="L150" s="2" t="s">
        <v>374</v>
      </c>
      <c r="M150" s="2" t="s">
        <v>32</v>
      </c>
      <c r="N150" s="2" t="s">
        <v>529</v>
      </c>
      <c r="O150" s="2" t="s">
        <v>164</v>
      </c>
      <c r="P150" s="2" t="s">
        <v>2311</v>
      </c>
      <c r="Q150" s="2" t="s">
        <v>104</v>
      </c>
      <c r="R150" s="2" t="s">
        <v>453</v>
      </c>
      <c r="S150" s="2" t="s">
        <v>35</v>
      </c>
      <c r="T150" s="150">
        <v>2.5310000000000001</v>
      </c>
      <c r="U150" s="2" t="s">
        <v>2312</v>
      </c>
      <c r="V150" s="162">
        <v>3.6499999999999998E-2</v>
      </c>
      <c r="W150" s="164">
        <v>5.2229999999999999E-2</v>
      </c>
      <c r="X150" s="4" t="s">
        <v>459</v>
      </c>
      <c r="Y150" s="4" t="s">
        <v>164</v>
      </c>
      <c r="Z150" s="150">
        <v>4809142</v>
      </c>
      <c r="AA150" s="150">
        <v>1</v>
      </c>
      <c r="AB150" s="150">
        <v>97.52</v>
      </c>
      <c r="AD150" s="150">
        <v>4689.875</v>
      </c>
      <c r="AG150" s="2" t="s">
        <v>37</v>
      </c>
      <c r="AH150" s="164">
        <v>3.2680000000000001E-3</v>
      </c>
      <c r="AI150" s="164">
        <v>3.4000933450249897E-2</v>
      </c>
      <c r="AJ150" s="164">
        <v>2.0236982447735799E-3</v>
      </c>
    </row>
    <row r="151" spans="1:36">
      <c r="A151" s="2" t="s">
        <v>128</v>
      </c>
      <c r="B151" s="2">
        <v>7228</v>
      </c>
      <c r="C151" s="2" t="s">
        <v>1899</v>
      </c>
      <c r="D151" s="2" t="s">
        <v>1900</v>
      </c>
      <c r="E151" s="4" t="s">
        <v>1380</v>
      </c>
      <c r="F151" s="2" t="s">
        <v>2313</v>
      </c>
      <c r="G151" s="2" t="s">
        <v>2314</v>
      </c>
      <c r="H151" s="2" t="s">
        <v>368</v>
      </c>
      <c r="I151" s="2" t="s">
        <v>219</v>
      </c>
      <c r="J151" s="2" t="s">
        <v>31</v>
      </c>
      <c r="K151" s="2" t="s">
        <v>31</v>
      </c>
      <c r="L151" s="2" t="s">
        <v>374</v>
      </c>
      <c r="M151" s="2" t="s">
        <v>32</v>
      </c>
      <c r="N151" s="2" t="s">
        <v>508</v>
      </c>
      <c r="O151" s="2" t="s">
        <v>164</v>
      </c>
      <c r="P151" s="2" t="s">
        <v>1396</v>
      </c>
      <c r="Q151" s="2" t="s">
        <v>104</v>
      </c>
      <c r="R151" s="2" t="s">
        <v>453</v>
      </c>
      <c r="S151" s="2" t="s">
        <v>35</v>
      </c>
      <c r="T151" s="150">
        <v>4.9459999999999997</v>
      </c>
      <c r="U151" s="2" t="s">
        <v>2315</v>
      </c>
      <c r="V151" s="162">
        <v>1.17E-2</v>
      </c>
      <c r="W151" s="164">
        <v>2.989E-2</v>
      </c>
      <c r="X151" s="4" t="s">
        <v>459</v>
      </c>
      <c r="Y151" s="4" t="s">
        <v>164</v>
      </c>
      <c r="Z151" s="150">
        <v>2397394.14</v>
      </c>
      <c r="AA151" s="150">
        <v>1</v>
      </c>
      <c r="AB151" s="150">
        <v>101.71</v>
      </c>
      <c r="AD151" s="150">
        <v>2438.39</v>
      </c>
      <c r="AG151" s="2" t="s">
        <v>37</v>
      </c>
      <c r="AH151" s="164">
        <v>3.323E-3</v>
      </c>
      <c r="AI151" s="164">
        <v>1.7677980096870199E-2</v>
      </c>
      <c r="AJ151" s="164">
        <v>1.0521739747387899E-3</v>
      </c>
    </row>
    <row r="152" spans="1:36">
      <c r="A152" s="2" t="s">
        <v>128</v>
      </c>
      <c r="B152" s="2">
        <v>7228</v>
      </c>
      <c r="C152" s="2" t="s">
        <v>1899</v>
      </c>
      <c r="D152" s="2" t="s">
        <v>1900</v>
      </c>
      <c r="E152" s="4" t="s">
        <v>1380</v>
      </c>
      <c r="F152" s="2" t="s">
        <v>2316</v>
      </c>
      <c r="G152" s="2" t="s">
        <v>2317</v>
      </c>
      <c r="H152" s="2" t="s">
        <v>368</v>
      </c>
      <c r="I152" s="2" t="s">
        <v>219</v>
      </c>
      <c r="J152" s="2" t="s">
        <v>31</v>
      </c>
      <c r="K152" s="2" t="s">
        <v>31</v>
      </c>
      <c r="L152" s="2" t="s">
        <v>374</v>
      </c>
      <c r="M152" s="2" t="s">
        <v>32</v>
      </c>
      <c r="N152" s="2" t="s">
        <v>508</v>
      </c>
      <c r="O152" s="2" t="s">
        <v>164</v>
      </c>
      <c r="P152" s="2" t="s">
        <v>1396</v>
      </c>
      <c r="Q152" s="2" t="s">
        <v>104</v>
      </c>
      <c r="R152" s="2" t="s">
        <v>453</v>
      </c>
      <c r="S152" s="2" t="s">
        <v>35</v>
      </c>
      <c r="T152" s="150">
        <v>4.7320000000000002</v>
      </c>
      <c r="U152" s="2" t="s">
        <v>2294</v>
      </c>
      <c r="V152" s="162">
        <v>1.3299999999999999E-2</v>
      </c>
      <c r="W152" s="164">
        <v>2.9340000000000001E-2</v>
      </c>
      <c r="X152" s="4" t="s">
        <v>459</v>
      </c>
      <c r="Y152" s="4" t="s">
        <v>164</v>
      </c>
      <c r="Z152" s="150">
        <v>1615000</v>
      </c>
      <c r="AA152" s="150">
        <v>1</v>
      </c>
      <c r="AB152" s="150">
        <v>103.34</v>
      </c>
      <c r="AD152" s="150">
        <v>1668.941</v>
      </c>
      <c r="AG152" s="2" t="s">
        <v>37</v>
      </c>
      <c r="AH152" s="164">
        <v>1.3600000000000001E-3</v>
      </c>
      <c r="AI152" s="164">
        <v>1.2099586557183E-2</v>
      </c>
      <c r="AJ152" s="164">
        <v>7.2015411324177401E-4</v>
      </c>
    </row>
    <row r="153" spans="1:36">
      <c r="A153" s="2" t="s">
        <v>128</v>
      </c>
      <c r="B153" s="2">
        <v>7228</v>
      </c>
      <c r="C153" s="2" t="s">
        <v>1891</v>
      </c>
      <c r="D153" s="2" t="s">
        <v>1892</v>
      </c>
      <c r="E153" s="4" t="s">
        <v>1380</v>
      </c>
      <c r="F153" s="2" t="s">
        <v>2318</v>
      </c>
      <c r="G153" s="2" t="s">
        <v>2319</v>
      </c>
      <c r="H153" s="2" t="s">
        <v>368</v>
      </c>
      <c r="I153" s="2" t="s">
        <v>1011</v>
      </c>
      <c r="J153" s="2" t="s">
        <v>31</v>
      </c>
      <c r="K153" s="2" t="s">
        <v>31</v>
      </c>
      <c r="L153" s="2" t="s">
        <v>374</v>
      </c>
      <c r="M153" s="2" t="s">
        <v>32</v>
      </c>
      <c r="N153" s="2" t="s">
        <v>484</v>
      </c>
      <c r="O153" s="2" t="s">
        <v>164</v>
      </c>
      <c r="P153" s="2" t="s">
        <v>2285</v>
      </c>
      <c r="Q153" s="2" t="s">
        <v>217</v>
      </c>
      <c r="R153" s="2" t="s">
        <v>453</v>
      </c>
      <c r="S153" s="2" t="s">
        <v>35</v>
      </c>
      <c r="T153" s="150">
        <v>5.0060000000000002</v>
      </c>
      <c r="U153" s="2" t="s">
        <v>2320</v>
      </c>
      <c r="V153" s="162">
        <v>5.7500000000000002E-2</v>
      </c>
      <c r="W153" s="164">
        <v>5.7119999999999997E-2</v>
      </c>
      <c r="X153" s="4" t="s">
        <v>459</v>
      </c>
      <c r="Y153" s="4" t="s">
        <v>164</v>
      </c>
      <c r="Z153" s="150">
        <v>2229683</v>
      </c>
      <c r="AA153" s="150">
        <v>1</v>
      </c>
      <c r="AB153" s="150">
        <v>100.67</v>
      </c>
      <c r="AD153" s="150">
        <v>2244.6219999999998</v>
      </c>
      <c r="AG153" s="2" t="s">
        <v>37</v>
      </c>
      <c r="AH153" s="164">
        <v>9.9100000000000004E-3</v>
      </c>
      <c r="AI153" s="164">
        <v>1.6273191609540699E-2</v>
      </c>
      <c r="AJ153" s="164">
        <v>9.6856250565231696E-4</v>
      </c>
    </row>
    <row r="154" spans="1:36">
      <c r="A154" s="2" t="s">
        <v>128</v>
      </c>
      <c r="B154" s="2">
        <v>7228</v>
      </c>
      <c r="C154" s="2" t="s">
        <v>2321</v>
      </c>
      <c r="D154" s="2" t="s">
        <v>2322</v>
      </c>
      <c r="E154" s="4" t="s">
        <v>1380</v>
      </c>
      <c r="F154" s="2" t="s">
        <v>2329</v>
      </c>
      <c r="G154" s="2" t="s">
        <v>2330</v>
      </c>
      <c r="H154" s="2" t="s">
        <v>368</v>
      </c>
      <c r="I154" s="2" t="s">
        <v>219</v>
      </c>
      <c r="J154" s="2" t="s">
        <v>31</v>
      </c>
      <c r="K154" s="2" t="s">
        <v>31</v>
      </c>
      <c r="L154" s="2" t="s">
        <v>374</v>
      </c>
      <c r="M154" s="2" t="s">
        <v>32</v>
      </c>
      <c r="N154" s="2" t="s">
        <v>508</v>
      </c>
      <c r="O154" s="2" t="s">
        <v>164</v>
      </c>
      <c r="P154" s="2" t="s">
        <v>2274</v>
      </c>
      <c r="Q154" s="2" t="s">
        <v>217</v>
      </c>
      <c r="R154" s="2" t="s">
        <v>453</v>
      </c>
      <c r="S154" s="2" t="s">
        <v>35</v>
      </c>
      <c r="T154" s="150">
        <v>5.6539999999999999</v>
      </c>
      <c r="U154" s="2" t="s">
        <v>2331</v>
      </c>
      <c r="V154" s="162">
        <v>5.8999999999999999E-3</v>
      </c>
      <c r="W154" s="164">
        <v>2.8559999999999999E-2</v>
      </c>
      <c r="X154" s="4" t="s">
        <v>459</v>
      </c>
      <c r="Y154" s="4" t="s">
        <v>164</v>
      </c>
      <c r="Z154" s="150">
        <v>2348171</v>
      </c>
      <c r="AA154" s="150">
        <v>1</v>
      </c>
      <c r="AB154" s="150">
        <v>95.47</v>
      </c>
      <c r="AD154" s="150">
        <v>2241.799</v>
      </c>
      <c r="AG154" s="2" t="s">
        <v>37</v>
      </c>
      <c r="AH154" s="164">
        <v>2.1359999999999999E-3</v>
      </c>
      <c r="AI154" s="164">
        <v>1.6252725095816298E-2</v>
      </c>
      <c r="AJ154" s="164">
        <v>9.6734436121633405E-4</v>
      </c>
    </row>
    <row r="155" spans="1:36">
      <c r="A155" s="2" t="s">
        <v>128</v>
      </c>
      <c r="B155" s="2">
        <v>7228</v>
      </c>
      <c r="C155" s="2" t="s">
        <v>2321</v>
      </c>
      <c r="D155" s="2" t="s">
        <v>2322</v>
      </c>
      <c r="E155" s="4" t="s">
        <v>1380</v>
      </c>
      <c r="F155" s="2" t="s">
        <v>2332</v>
      </c>
      <c r="G155" s="2" t="s">
        <v>2333</v>
      </c>
      <c r="H155" s="2" t="s">
        <v>368</v>
      </c>
      <c r="I155" s="2" t="s">
        <v>219</v>
      </c>
      <c r="J155" s="2" t="s">
        <v>31</v>
      </c>
      <c r="K155" s="2" t="s">
        <v>31</v>
      </c>
      <c r="L155" s="2" t="s">
        <v>374</v>
      </c>
      <c r="M155" s="2" t="s">
        <v>32</v>
      </c>
      <c r="N155" s="2" t="s">
        <v>508</v>
      </c>
      <c r="O155" s="2" t="s">
        <v>164</v>
      </c>
      <c r="P155" s="2" t="s">
        <v>2274</v>
      </c>
      <c r="Q155" s="2" t="s">
        <v>217</v>
      </c>
      <c r="R155" s="2" t="s">
        <v>453</v>
      </c>
      <c r="S155" s="2" t="s">
        <v>35</v>
      </c>
      <c r="T155" s="150">
        <v>1.466</v>
      </c>
      <c r="U155" s="2" t="s">
        <v>2334</v>
      </c>
      <c r="V155" s="162">
        <v>4.7500000000000001E-2</v>
      </c>
      <c r="W155" s="164">
        <v>1.567E-2</v>
      </c>
      <c r="X155" s="4" t="s">
        <v>459</v>
      </c>
      <c r="Y155" s="4" t="s">
        <v>164</v>
      </c>
      <c r="Z155" s="150">
        <v>1071344.68</v>
      </c>
      <c r="AA155" s="150">
        <v>1</v>
      </c>
      <c r="AB155" s="150">
        <v>141.47999999999999</v>
      </c>
      <c r="AD155" s="150">
        <v>1515.7380000000001</v>
      </c>
      <c r="AG155" s="2" t="s">
        <v>37</v>
      </c>
      <c r="AH155" s="164">
        <v>8.3000000000000001E-4</v>
      </c>
      <c r="AI155" s="164">
        <v>1.09888897290668E-2</v>
      </c>
      <c r="AJ155" s="164">
        <v>6.5404665696198604E-4</v>
      </c>
    </row>
    <row r="156" spans="1:36">
      <c r="A156" s="2" t="s">
        <v>128</v>
      </c>
      <c r="B156" s="2">
        <v>7228</v>
      </c>
      <c r="C156" s="2" t="s">
        <v>2335</v>
      </c>
      <c r="D156" s="2" t="s">
        <v>2336</v>
      </c>
      <c r="E156" s="4" t="s">
        <v>1380</v>
      </c>
      <c r="F156" s="2" t="s">
        <v>2337</v>
      </c>
      <c r="G156" s="2" t="s">
        <v>2338</v>
      </c>
      <c r="H156" s="2" t="s">
        <v>368</v>
      </c>
      <c r="I156" s="2" t="s">
        <v>219</v>
      </c>
      <c r="J156" s="2" t="s">
        <v>31</v>
      </c>
      <c r="K156" s="2" t="s">
        <v>346</v>
      </c>
      <c r="L156" s="2" t="s">
        <v>374</v>
      </c>
      <c r="M156" s="2" t="s">
        <v>32</v>
      </c>
      <c r="N156" s="2" t="s">
        <v>509</v>
      </c>
      <c r="O156" s="2" t="s">
        <v>164</v>
      </c>
      <c r="P156" s="2" t="s">
        <v>2311</v>
      </c>
      <c r="Q156" s="2" t="s">
        <v>104</v>
      </c>
      <c r="R156" s="2" t="s">
        <v>453</v>
      </c>
      <c r="S156" s="2" t="s">
        <v>35</v>
      </c>
      <c r="T156" s="150">
        <v>0.499</v>
      </c>
      <c r="U156" s="2" t="s">
        <v>2339</v>
      </c>
      <c r="V156" s="162">
        <v>5.3499999999999999E-2</v>
      </c>
      <c r="W156" s="164">
        <v>1.9650000000000001E-2</v>
      </c>
      <c r="X156" s="4" t="s">
        <v>459</v>
      </c>
      <c r="Y156" s="4" t="s">
        <v>164</v>
      </c>
      <c r="Z156" s="150">
        <v>754764.16</v>
      </c>
      <c r="AA156" s="150">
        <v>1</v>
      </c>
      <c r="AB156" s="150">
        <v>117.67</v>
      </c>
      <c r="AD156" s="150">
        <v>888.13099999999997</v>
      </c>
      <c r="AG156" s="2" t="s">
        <v>37</v>
      </c>
      <c r="AH156" s="164">
        <v>1.1349999999999999E-3</v>
      </c>
      <c r="AI156" s="164">
        <v>6.4388242317697597E-3</v>
      </c>
      <c r="AJ156" s="164">
        <v>3.8323175201362898E-4</v>
      </c>
    </row>
    <row r="157" spans="1:36">
      <c r="A157" s="2" t="s">
        <v>128</v>
      </c>
      <c r="B157" s="2">
        <v>7228</v>
      </c>
      <c r="C157" s="2" t="s">
        <v>2340</v>
      </c>
      <c r="D157" s="2" t="s">
        <v>2341</v>
      </c>
      <c r="E157" s="4" t="s">
        <v>1380</v>
      </c>
      <c r="F157" s="2" t="s">
        <v>2342</v>
      </c>
      <c r="G157" s="2" t="s">
        <v>2343</v>
      </c>
      <c r="H157" s="2" t="s">
        <v>368</v>
      </c>
      <c r="I157" s="2" t="s">
        <v>219</v>
      </c>
      <c r="J157" s="2" t="s">
        <v>31</v>
      </c>
      <c r="K157" s="2" t="s">
        <v>31</v>
      </c>
      <c r="L157" s="2" t="s">
        <v>374</v>
      </c>
      <c r="M157" s="2" t="s">
        <v>32</v>
      </c>
      <c r="N157" s="2" t="s">
        <v>495</v>
      </c>
      <c r="O157" s="2" t="s">
        <v>164</v>
      </c>
      <c r="P157" s="2" t="s">
        <v>2285</v>
      </c>
      <c r="Q157" s="2" t="s">
        <v>217</v>
      </c>
      <c r="R157" s="2" t="s">
        <v>453</v>
      </c>
      <c r="S157" s="2" t="s">
        <v>35</v>
      </c>
      <c r="T157" s="150">
        <v>4.6710000000000003</v>
      </c>
      <c r="U157" s="2" t="s">
        <v>2344</v>
      </c>
      <c r="V157" s="162">
        <v>7.4999999999999997E-3</v>
      </c>
      <c r="W157" s="164">
        <v>3.499E-2</v>
      </c>
      <c r="X157" s="4" t="s">
        <v>459</v>
      </c>
      <c r="Y157" s="4" t="s">
        <v>164</v>
      </c>
      <c r="Z157" s="150">
        <v>1936489</v>
      </c>
      <c r="AA157" s="150">
        <v>1</v>
      </c>
      <c r="AB157" s="150">
        <v>95.49</v>
      </c>
      <c r="AD157" s="150">
        <v>1849.153</v>
      </c>
      <c r="AG157" s="2" t="s">
        <v>37</v>
      </c>
      <c r="AH157" s="164">
        <v>2.232E-3</v>
      </c>
      <c r="AI157" s="164">
        <v>1.34061006162839E-2</v>
      </c>
      <c r="AJ157" s="164">
        <v>7.9791639621095399E-4</v>
      </c>
    </row>
    <row r="158" spans="1:36">
      <c r="A158" s="2" t="s">
        <v>128</v>
      </c>
      <c r="B158" s="2">
        <v>7228</v>
      </c>
      <c r="C158" s="2" t="s">
        <v>2345</v>
      </c>
      <c r="D158" s="2" t="s">
        <v>2346</v>
      </c>
      <c r="E158" s="4" t="s">
        <v>1380</v>
      </c>
      <c r="F158" s="2" t="s">
        <v>2347</v>
      </c>
      <c r="G158" s="2" t="s">
        <v>2348</v>
      </c>
      <c r="H158" s="2" t="s">
        <v>368</v>
      </c>
      <c r="I158" s="2" t="s">
        <v>219</v>
      </c>
      <c r="J158" s="2" t="s">
        <v>31</v>
      </c>
      <c r="K158" s="2" t="s">
        <v>31</v>
      </c>
      <c r="L158" s="2" t="s">
        <v>374</v>
      </c>
      <c r="M158" s="2" t="s">
        <v>32</v>
      </c>
      <c r="N158" s="2" t="s">
        <v>492</v>
      </c>
      <c r="O158" s="2" t="s">
        <v>164</v>
      </c>
      <c r="P158" s="2" t="s">
        <v>103</v>
      </c>
      <c r="Q158" s="2" t="s">
        <v>104</v>
      </c>
      <c r="R158" s="2" t="s">
        <v>453</v>
      </c>
      <c r="S158" s="2" t="s">
        <v>35</v>
      </c>
      <c r="T158" s="150">
        <v>5.62</v>
      </c>
      <c r="U158" s="2" t="s">
        <v>2349</v>
      </c>
      <c r="V158" s="162">
        <v>2.47E-2</v>
      </c>
      <c r="W158" s="164">
        <v>2.0109999999999999E-2</v>
      </c>
      <c r="X158" s="4" t="s">
        <v>459</v>
      </c>
      <c r="Y158" s="4" t="s">
        <v>164</v>
      </c>
      <c r="Z158" s="150">
        <v>3330214</v>
      </c>
      <c r="AA158" s="150">
        <v>1</v>
      </c>
      <c r="AB158" s="150">
        <v>101.35</v>
      </c>
      <c r="AD158" s="150">
        <v>3375.172</v>
      </c>
      <c r="AG158" s="2" t="s">
        <v>37</v>
      </c>
      <c r="AH158" s="164">
        <v>2.1310000000000001E-3</v>
      </c>
      <c r="AI158" s="164">
        <v>2.4469519543426899E-2</v>
      </c>
      <c r="AJ158" s="164">
        <v>1.4563989492506701E-3</v>
      </c>
    </row>
    <row r="159" spans="1:36">
      <c r="A159" s="2" t="s">
        <v>128</v>
      </c>
      <c r="B159" s="2">
        <v>7228</v>
      </c>
      <c r="C159" s="2" t="s">
        <v>2350</v>
      </c>
      <c r="D159" s="2" t="s">
        <v>2351</v>
      </c>
      <c r="E159" s="4" t="s">
        <v>1380</v>
      </c>
      <c r="F159" s="2" t="s">
        <v>2352</v>
      </c>
      <c r="G159" s="2" t="s">
        <v>2353</v>
      </c>
      <c r="H159" s="2" t="s">
        <v>368</v>
      </c>
      <c r="I159" s="2" t="s">
        <v>219</v>
      </c>
      <c r="J159" s="2" t="s">
        <v>31</v>
      </c>
      <c r="K159" s="2" t="s">
        <v>31</v>
      </c>
      <c r="L159" s="2" t="s">
        <v>374</v>
      </c>
      <c r="M159" s="2" t="s">
        <v>32</v>
      </c>
      <c r="N159" s="2" t="s">
        <v>495</v>
      </c>
      <c r="O159" s="2" t="s">
        <v>164</v>
      </c>
      <c r="P159" s="2" t="s">
        <v>1535</v>
      </c>
      <c r="Q159" s="2" t="s">
        <v>217</v>
      </c>
      <c r="R159" s="2" t="s">
        <v>453</v>
      </c>
      <c r="S159" s="2" t="s">
        <v>35</v>
      </c>
      <c r="T159" s="150">
        <v>1.23</v>
      </c>
      <c r="U159" s="2" t="s">
        <v>2354</v>
      </c>
      <c r="V159" s="162">
        <v>4.9500000000000002E-2</v>
      </c>
      <c r="W159" s="164">
        <v>3.8440000000000002E-2</v>
      </c>
      <c r="X159" s="4" t="s">
        <v>459</v>
      </c>
      <c r="Y159" s="4" t="s">
        <v>387</v>
      </c>
      <c r="Z159" s="150">
        <v>1348632.8</v>
      </c>
      <c r="AA159" s="150">
        <v>1</v>
      </c>
      <c r="AB159" s="150">
        <v>138.41999999999999</v>
      </c>
      <c r="AD159" s="150">
        <v>1866.778</v>
      </c>
      <c r="AG159" s="2" t="s">
        <v>37</v>
      </c>
      <c r="AH159" s="164">
        <v>3.676E-3</v>
      </c>
      <c r="AI159" s="164">
        <v>1.35338734008804E-2</v>
      </c>
      <c r="AJ159" s="164">
        <v>8.05521292126414E-4</v>
      </c>
    </row>
    <row r="160" spans="1:36">
      <c r="A160" s="2" t="s">
        <v>128</v>
      </c>
      <c r="B160" s="2">
        <v>7228</v>
      </c>
      <c r="C160" s="2" t="s">
        <v>2345</v>
      </c>
      <c r="D160" s="2" t="s">
        <v>2346</v>
      </c>
      <c r="E160" s="4" t="s">
        <v>1380</v>
      </c>
      <c r="F160" s="2" t="s">
        <v>2355</v>
      </c>
      <c r="G160" s="2" t="s">
        <v>2356</v>
      </c>
      <c r="H160" s="2" t="s">
        <v>368</v>
      </c>
      <c r="I160" s="2" t="s">
        <v>219</v>
      </c>
      <c r="J160" s="2" t="s">
        <v>31</v>
      </c>
      <c r="K160" s="2" t="s">
        <v>31</v>
      </c>
      <c r="L160" s="2" t="s">
        <v>374</v>
      </c>
      <c r="M160" s="2" t="s">
        <v>32</v>
      </c>
      <c r="N160" s="2" t="s">
        <v>492</v>
      </c>
      <c r="O160" s="2" t="s">
        <v>164</v>
      </c>
      <c r="P160" s="2" t="s">
        <v>1396</v>
      </c>
      <c r="Q160" s="2" t="s">
        <v>104</v>
      </c>
      <c r="R160" s="2" t="s">
        <v>453</v>
      </c>
      <c r="S160" s="2" t="s">
        <v>35</v>
      </c>
      <c r="T160" s="150">
        <v>4.3739999999999997</v>
      </c>
      <c r="U160" s="2" t="s">
        <v>2357</v>
      </c>
      <c r="V160" s="162">
        <v>3.1699999999999999E-2</v>
      </c>
      <c r="W160" s="164">
        <v>2.7449999999999999E-2</v>
      </c>
      <c r="X160" s="4" t="s">
        <v>459</v>
      </c>
      <c r="Y160" s="4" t="s">
        <v>164</v>
      </c>
      <c r="Z160" s="150">
        <v>3000000</v>
      </c>
      <c r="AA160" s="150">
        <v>1</v>
      </c>
      <c r="AB160" s="150">
        <v>106.73</v>
      </c>
      <c r="AD160" s="150">
        <v>3201.9</v>
      </c>
      <c r="AG160" s="2" t="s">
        <v>37</v>
      </c>
      <c r="AH160" s="164">
        <v>3.552E-3</v>
      </c>
      <c r="AI160" s="164">
        <v>2.3213322818148901E-2</v>
      </c>
      <c r="AJ160" s="164">
        <v>1.3816314987700801E-3</v>
      </c>
    </row>
    <row r="161" spans="1:36">
      <c r="A161" s="2" t="s">
        <v>128</v>
      </c>
      <c r="B161" s="2">
        <v>7228</v>
      </c>
      <c r="C161" s="2" t="s">
        <v>2358</v>
      </c>
      <c r="D161" s="2" t="s">
        <v>2359</v>
      </c>
      <c r="E161" s="4" t="s">
        <v>1380</v>
      </c>
      <c r="F161" s="2" t="s">
        <v>2363</v>
      </c>
      <c r="G161" s="2" t="s">
        <v>2364</v>
      </c>
      <c r="H161" s="2" t="s">
        <v>368</v>
      </c>
      <c r="I161" s="2" t="s">
        <v>219</v>
      </c>
      <c r="J161" s="2" t="s">
        <v>31</v>
      </c>
      <c r="K161" s="2" t="s">
        <v>31</v>
      </c>
      <c r="L161" s="2" t="s">
        <v>374</v>
      </c>
      <c r="M161" s="2" t="s">
        <v>32</v>
      </c>
      <c r="N161" s="2" t="s">
        <v>484</v>
      </c>
      <c r="O161" s="2" t="s">
        <v>164</v>
      </c>
      <c r="P161" s="2" t="s">
        <v>2255</v>
      </c>
      <c r="Q161" s="2" t="s">
        <v>217</v>
      </c>
      <c r="R161" s="2" t="s">
        <v>453</v>
      </c>
      <c r="S161" s="2" t="s">
        <v>35</v>
      </c>
      <c r="T161" s="150">
        <v>6.2869999999999999</v>
      </c>
      <c r="U161" s="2" t="s">
        <v>2365</v>
      </c>
      <c r="V161" s="162">
        <v>3.3000000000000002E-2</v>
      </c>
      <c r="W161" s="164">
        <v>3.5839999999999997E-2</v>
      </c>
      <c r="X161" s="4" t="s">
        <v>459</v>
      </c>
      <c r="Y161" s="4" t="s">
        <v>164</v>
      </c>
      <c r="Z161" s="150">
        <v>3935167.95</v>
      </c>
      <c r="AA161" s="150">
        <v>1</v>
      </c>
      <c r="AB161" s="150">
        <v>101.75</v>
      </c>
      <c r="AD161" s="150">
        <v>4004.0329999999999</v>
      </c>
      <c r="AG161" s="2" t="s">
        <v>37</v>
      </c>
      <c r="AH161" s="164">
        <v>3.0620000000000001E-3</v>
      </c>
      <c r="AI161" s="164">
        <v>2.90286766096398E-2</v>
      </c>
      <c r="AJ161" s="164">
        <v>1.72775497440339E-3</v>
      </c>
    </row>
    <row r="162" spans="1:36">
      <c r="A162" s="2" t="s">
        <v>128</v>
      </c>
      <c r="B162" s="2">
        <v>7228</v>
      </c>
      <c r="C162" s="2" t="s">
        <v>2182</v>
      </c>
      <c r="D162" s="2" t="s">
        <v>2183</v>
      </c>
      <c r="E162" s="4" t="s">
        <v>1380</v>
      </c>
      <c r="F162" s="2" t="s">
        <v>2366</v>
      </c>
      <c r="G162" s="2" t="s">
        <v>2367</v>
      </c>
      <c r="H162" s="2" t="s">
        <v>368</v>
      </c>
      <c r="I162" s="2" t="s">
        <v>219</v>
      </c>
      <c r="J162" s="2" t="s">
        <v>31</v>
      </c>
      <c r="K162" s="2" t="s">
        <v>31</v>
      </c>
      <c r="L162" s="2" t="s">
        <v>374</v>
      </c>
      <c r="M162" s="2" t="s">
        <v>32</v>
      </c>
      <c r="N162" s="2" t="s">
        <v>508</v>
      </c>
      <c r="O162" s="2" t="s">
        <v>164</v>
      </c>
      <c r="P162" s="2" t="s">
        <v>2255</v>
      </c>
      <c r="Q162" s="2" t="s">
        <v>217</v>
      </c>
      <c r="R162" s="2" t="s">
        <v>453</v>
      </c>
      <c r="S162" s="2" t="s">
        <v>35</v>
      </c>
      <c r="T162" s="150">
        <v>2.5910000000000002</v>
      </c>
      <c r="U162" s="2" t="s">
        <v>2264</v>
      </c>
      <c r="V162" s="162">
        <v>3.6499999999999998E-2</v>
      </c>
      <c r="W162" s="164">
        <v>3.3340000000000002E-2</v>
      </c>
      <c r="X162" s="4" t="s">
        <v>459</v>
      </c>
      <c r="Y162" s="4" t="s">
        <v>164</v>
      </c>
      <c r="Z162" s="150">
        <v>1720000</v>
      </c>
      <c r="AA162" s="150">
        <v>1</v>
      </c>
      <c r="AB162" s="150">
        <v>105.3</v>
      </c>
      <c r="AD162" s="150">
        <v>1811.16</v>
      </c>
      <c r="AG162" s="2" t="s">
        <v>37</v>
      </c>
      <c r="AH162" s="164">
        <v>9.6450000000000008E-3</v>
      </c>
      <c r="AI162" s="164">
        <v>1.31306542225924E-2</v>
      </c>
      <c r="AJ162" s="164">
        <v>7.8152212914595098E-4</v>
      </c>
    </row>
    <row r="163" spans="1:36">
      <c r="A163" s="2" t="s">
        <v>128</v>
      </c>
      <c r="B163" s="2">
        <v>7228</v>
      </c>
      <c r="C163" s="2" t="s">
        <v>2182</v>
      </c>
      <c r="D163" s="2" t="s">
        <v>2183</v>
      </c>
      <c r="E163" s="4" t="s">
        <v>1380</v>
      </c>
      <c r="F163" s="2" t="s">
        <v>2368</v>
      </c>
      <c r="G163" s="2" t="s">
        <v>2369</v>
      </c>
      <c r="H163" s="2" t="s">
        <v>368</v>
      </c>
      <c r="I163" s="2" t="s">
        <v>219</v>
      </c>
      <c r="J163" s="2" t="s">
        <v>31</v>
      </c>
      <c r="K163" s="2" t="s">
        <v>31</v>
      </c>
      <c r="L163" s="2" t="s">
        <v>374</v>
      </c>
      <c r="M163" s="2" t="s">
        <v>32</v>
      </c>
      <c r="N163" s="2" t="s">
        <v>508</v>
      </c>
      <c r="O163" s="2" t="s">
        <v>164</v>
      </c>
      <c r="P163" s="2" t="s">
        <v>2299</v>
      </c>
      <c r="Q163" s="2" t="s">
        <v>217</v>
      </c>
      <c r="R163" s="2" t="s">
        <v>453</v>
      </c>
      <c r="S163" s="2" t="s">
        <v>35</v>
      </c>
      <c r="T163" s="150">
        <v>3.2709999999999999</v>
      </c>
      <c r="U163" s="2" t="s">
        <v>1375</v>
      </c>
      <c r="V163" s="162">
        <v>1.7999999999999999E-2</v>
      </c>
      <c r="W163" s="164">
        <v>2.4129999999999999E-2</v>
      </c>
      <c r="X163" s="4" t="s">
        <v>459</v>
      </c>
      <c r="Y163" s="4" t="s">
        <v>164</v>
      </c>
      <c r="Z163" s="150">
        <v>1805813.65</v>
      </c>
      <c r="AA163" s="150">
        <v>1</v>
      </c>
      <c r="AB163" s="150">
        <v>110.59</v>
      </c>
      <c r="AD163" s="150">
        <v>1997.049</v>
      </c>
      <c r="AG163" s="2" t="s">
        <v>37</v>
      </c>
      <c r="AH163" s="164">
        <v>2.1549999999999998E-3</v>
      </c>
      <c r="AI163" s="164">
        <v>1.44783255083786E-2</v>
      </c>
      <c r="AJ163" s="164">
        <v>8.6173404507960505E-4</v>
      </c>
    </row>
    <row r="164" spans="1:36">
      <c r="A164" s="2" t="s">
        <v>128</v>
      </c>
      <c r="B164" s="2">
        <v>7228</v>
      </c>
      <c r="C164" s="2" t="s">
        <v>2370</v>
      </c>
      <c r="D164" s="2" t="s">
        <v>2371</v>
      </c>
      <c r="E164" s="4" t="s">
        <v>1380</v>
      </c>
      <c r="F164" s="2" t="s">
        <v>2372</v>
      </c>
      <c r="G164" s="2" t="s">
        <v>2373</v>
      </c>
      <c r="H164" s="2" t="s">
        <v>368</v>
      </c>
      <c r="I164" s="2" t="s">
        <v>1011</v>
      </c>
      <c r="J164" s="2" t="s">
        <v>31</v>
      </c>
      <c r="K164" s="2" t="s">
        <v>31</v>
      </c>
      <c r="L164" s="2" t="s">
        <v>374</v>
      </c>
      <c r="M164" s="2" t="s">
        <v>32</v>
      </c>
      <c r="N164" s="2" t="s">
        <v>489</v>
      </c>
      <c r="O164" s="2" t="s">
        <v>164</v>
      </c>
      <c r="P164" s="2" t="s">
        <v>1396</v>
      </c>
      <c r="Q164" s="2" t="s">
        <v>104</v>
      </c>
      <c r="R164" s="2" t="s">
        <v>453</v>
      </c>
      <c r="S164" s="2" t="s">
        <v>35</v>
      </c>
      <c r="T164" s="150">
        <v>6.827</v>
      </c>
      <c r="U164" s="2" t="s">
        <v>2374</v>
      </c>
      <c r="V164" s="162">
        <v>3.0499999999999999E-2</v>
      </c>
      <c r="W164" s="164">
        <v>5.3449999999999998E-2</v>
      </c>
      <c r="X164" s="4" t="s">
        <v>459</v>
      </c>
      <c r="Y164" s="4" t="s">
        <v>164</v>
      </c>
      <c r="Z164" s="150">
        <v>1926852</v>
      </c>
      <c r="AA164" s="150">
        <v>1</v>
      </c>
      <c r="AB164" s="150">
        <v>86.75</v>
      </c>
      <c r="AD164" s="150">
        <v>1671.5440000000001</v>
      </c>
      <c r="AG164" s="2" t="s">
        <v>37</v>
      </c>
      <c r="AH164" s="164">
        <v>2.823E-3</v>
      </c>
      <c r="AI164" s="164">
        <v>1.2118458737064099E-2</v>
      </c>
      <c r="AJ164" s="164">
        <v>7.2127736467709797E-4</v>
      </c>
    </row>
    <row r="165" spans="1:36">
      <c r="A165" s="2" t="s">
        <v>128</v>
      </c>
      <c r="B165" s="2">
        <v>7228</v>
      </c>
      <c r="C165" s="2" t="s">
        <v>2370</v>
      </c>
      <c r="D165" s="2" t="s">
        <v>2371</v>
      </c>
      <c r="E165" s="4" t="s">
        <v>1380</v>
      </c>
      <c r="F165" s="2" t="s">
        <v>2532</v>
      </c>
      <c r="G165" s="2" t="s">
        <v>2533</v>
      </c>
      <c r="H165" s="2" t="s">
        <v>368</v>
      </c>
      <c r="I165" s="2" t="s">
        <v>219</v>
      </c>
      <c r="J165" s="2" t="s">
        <v>31</v>
      </c>
      <c r="K165" s="2" t="s">
        <v>31</v>
      </c>
      <c r="L165" s="2" t="s">
        <v>374</v>
      </c>
      <c r="M165" s="2" t="s">
        <v>32</v>
      </c>
      <c r="N165" s="2" t="s">
        <v>489</v>
      </c>
      <c r="O165" s="2" t="s">
        <v>164</v>
      </c>
      <c r="P165" s="2" t="s">
        <v>1391</v>
      </c>
      <c r="Q165" s="2" t="s">
        <v>104</v>
      </c>
      <c r="R165" s="2" t="s">
        <v>453</v>
      </c>
      <c r="S165" s="2" t="s">
        <v>35</v>
      </c>
      <c r="T165" s="150">
        <v>0.16400000000000001</v>
      </c>
      <c r="U165" s="2" t="s">
        <v>2534</v>
      </c>
      <c r="V165" s="162">
        <v>3.85E-2</v>
      </c>
      <c r="W165" s="164">
        <v>1E-4</v>
      </c>
      <c r="X165" s="4" t="s">
        <v>459</v>
      </c>
      <c r="Y165" s="4" t="s">
        <v>164</v>
      </c>
      <c r="Z165" s="150">
        <v>368305</v>
      </c>
      <c r="AA165" s="150">
        <v>1</v>
      </c>
      <c r="AB165" s="150">
        <v>117.54</v>
      </c>
      <c r="AD165" s="150">
        <v>432.90600000000001</v>
      </c>
      <c r="AG165" s="2" t="s">
        <v>37</v>
      </c>
      <c r="AH165" s="164">
        <v>1.4729999999999999E-3</v>
      </c>
      <c r="AI165" s="164">
        <v>3.1385051670185702E-3</v>
      </c>
      <c r="AJ165" s="164">
        <v>1.86800383201292E-4</v>
      </c>
    </row>
    <row r="166" spans="1:36">
      <c r="A166" s="2" t="s">
        <v>128</v>
      </c>
      <c r="B166" s="2">
        <v>7228</v>
      </c>
      <c r="C166" s="2" t="s">
        <v>2370</v>
      </c>
      <c r="D166" s="2" t="s">
        <v>2371</v>
      </c>
      <c r="E166" s="4" t="s">
        <v>1380</v>
      </c>
      <c r="F166" s="2" t="s">
        <v>2535</v>
      </c>
      <c r="G166" s="2" t="s">
        <v>2536</v>
      </c>
      <c r="H166" s="2" t="s">
        <v>368</v>
      </c>
      <c r="I166" s="2" t="s">
        <v>219</v>
      </c>
      <c r="J166" s="2" t="s">
        <v>31</v>
      </c>
      <c r="K166" s="2" t="s">
        <v>31</v>
      </c>
      <c r="L166" s="2" t="s">
        <v>374</v>
      </c>
      <c r="M166" s="2" t="s">
        <v>32</v>
      </c>
      <c r="N166" s="2" t="s">
        <v>489</v>
      </c>
      <c r="O166" s="2" t="s">
        <v>164</v>
      </c>
      <c r="P166" s="2" t="s">
        <v>1396</v>
      </c>
      <c r="Q166" s="2" t="s">
        <v>104</v>
      </c>
      <c r="R166" s="2" t="s">
        <v>453</v>
      </c>
      <c r="S166" s="2" t="s">
        <v>35</v>
      </c>
      <c r="T166" s="150">
        <v>2.6640000000000001</v>
      </c>
      <c r="U166" s="2" t="s">
        <v>2407</v>
      </c>
      <c r="V166" s="162">
        <v>2.4E-2</v>
      </c>
      <c r="W166" s="164">
        <v>1.9199999999999998E-2</v>
      </c>
      <c r="X166" s="4" t="s">
        <v>459</v>
      </c>
      <c r="Y166" s="4" t="s">
        <v>164</v>
      </c>
      <c r="Z166" s="150">
        <v>16877.099999999999</v>
      </c>
      <c r="AA166" s="150">
        <v>1</v>
      </c>
      <c r="AB166" s="150">
        <v>113.85</v>
      </c>
      <c r="AD166" s="150">
        <v>19.215</v>
      </c>
      <c r="AG166" s="2" t="s">
        <v>37</v>
      </c>
      <c r="AH166" s="164">
        <v>5.7000000000000003E-5</v>
      </c>
      <c r="AI166" s="164">
        <v>1.3930297949753701E-4</v>
      </c>
      <c r="AJ166" s="164">
        <v>8.2911604622085796E-6</v>
      </c>
    </row>
    <row r="167" spans="1:36">
      <c r="A167" s="2" t="s">
        <v>128</v>
      </c>
      <c r="B167" s="2">
        <v>7228</v>
      </c>
      <c r="C167" s="2" t="s">
        <v>2370</v>
      </c>
      <c r="D167" s="2" t="s">
        <v>2371</v>
      </c>
      <c r="E167" s="4" t="s">
        <v>1380</v>
      </c>
      <c r="F167" s="2" t="s">
        <v>2375</v>
      </c>
      <c r="G167" s="2" t="s">
        <v>2376</v>
      </c>
      <c r="H167" s="2" t="s">
        <v>368</v>
      </c>
      <c r="I167" s="2" t="s">
        <v>1011</v>
      </c>
      <c r="J167" s="2" t="s">
        <v>31</v>
      </c>
      <c r="K167" s="2" t="s">
        <v>31</v>
      </c>
      <c r="L167" s="2" t="s">
        <v>374</v>
      </c>
      <c r="M167" s="2" t="s">
        <v>32</v>
      </c>
      <c r="N167" s="2" t="s">
        <v>489</v>
      </c>
      <c r="O167" s="2" t="s">
        <v>164</v>
      </c>
      <c r="P167" s="2" t="s">
        <v>1391</v>
      </c>
      <c r="Q167" s="2" t="s">
        <v>477</v>
      </c>
      <c r="R167" s="2" t="s">
        <v>453</v>
      </c>
      <c r="S167" s="2" t="s">
        <v>35</v>
      </c>
      <c r="T167" s="150">
        <v>5.0819999999999999</v>
      </c>
      <c r="U167" s="2" t="s">
        <v>2377</v>
      </c>
      <c r="V167" s="162">
        <v>4.3799999999999999E-2</v>
      </c>
      <c r="W167" s="164">
        <v>4.9430000000000002E-2</v>
      </c>
      <c r="X167" s="4" t="s">
        <v>459</v>
      </c>
      <c r="Y167" s="4" t="s">
        <v>164</v>
      </c>
      <c r="Z167" s="150">
        <v>935000</v>
      </c>
      <c r="AA167" s="150">
        <v>1</v>
      </c>
      <c r="AB167" s="150">
        <v>98.59</v>
      </c>
      <c r="AD167" s="150">
        <v>921.81700000000001</v>
      </c>
      <c r="AG167" s="2" t="s">
        <v>37</v>
      </c>
      <c r="AH167" s="164">
        <v>1.8699999999999999E-3</v>
      </c>
      <c r="AI167" s="164">
        <v>6.6830394433293298E-3</v>
      </c>
      <c r="AJ167" s="164">
        <v>3.9776717339267E-4</v>
      </c>
    </row>
    <row r="168" spans="1:36">
      <c r="A168" s="2" t="s">
        <v>128</v>
      </c>
      <c r="B168" s="2">
        <v>7228</v>
      </c>
      <c r="C168" s="2" t="s">
        <v>2378</v>
      </c>
      <c r="D168" s="2" t="s">
        <v>2379</v>
      </c>
      <c r="E168" s="4" t="s">
        <v>1380</v>
      </c>
      <c r="F168" s="2" t="s">
        <v>2380</v>
      </c>
      <c r="G168" s="2" t="s">
        <v>2381</v>
      </c>
      <c r="H168" s="2" t="s">
        <v>368</v>
      </c>
      <c r="I168" s="2" t="s">
        <v>219</v>
      </c>
      <c r="J168" s="2" t="s">
        <v>31</v>
      </c>
      <c r="K168" s="2" t="s">
        <v>31</v>
      </c>
      <c r="L168" s="2" t="s">
        <v>374</v>
      </c>
      <c r="M168" s="2" t="s">
        <v>32</v>
      </c>
      <c r="N168" s="2" t="s">
        <v>492</v>
      </c>
      <c r="O168" s="2" t="s">
        <v>164</v>
      </c>
      <c r="P168" s="2" t="s">
        <v>1391</v>
      </c>
      <c r="Q168" s="2" t="s">
        <v>217</v>
      </c>
      <c r="R168" s="2" t="s">
        <v>453</v>
      </c>
      <c r="S168" s="2" t="s">
        <v>35</v>
      </c>
      <c r="T168" s="150">
        <v>5.0140000000000002</v>
      </c>
      <c r="U168" s="2" t="s">
        <v>2382</v>
      </c>
      <c r="V168" s="162">
        <v>2.5899999999999999E-2</v>
      </c>
      <c r="W168" s="164">
        <v>2.1850000000000001E-2</v>
      </c>
      <c r="X168" s="4" t="s">
        <v>459</v>
      </c>
      <c r="Y168" s="4" t="s">
        <v>164</v>
      </c>
      <c r="Z168" s="150">
        <v>2010000</v>
      </c>
      <c r="AA168" s="150">
        <v>1</v>
      </c>
      <c r="AB168" s="150">
        <v>102.82</v>
      </c>
      <c r="AD168" s="150">
        <v>2066.6819999999998</v>
      </c>
      <c r="AG168" s="2" t="s">
        <v>37</v>
      </c>
      <c r="AH168" s="164">
        <v>0</v>
      </c>
      <c r="AI168" s="164">
        <v>1.49831526370148E-2</v>
      </c>
      <c r="AJ168" s="164">
        <v>8.9178080175556602E-4</v>
      </c>
    </row>
    <row r="169" spans="1:36">
      <c r="A169" s="2" t="s">
        <v>128</v>
      </c>
      <c r="B169" s="2">
        <v>7228</v>
      </c>
      <c r="C169" s="2" t="s">
        <v>1955</v>
      </c>
      <c r="D169" s="2" t="s">
        <v>1956</v>
      </c>
      <c r="E169" s="4" t="s">
        <v>1380</v>
      </c>
      <c r="F169" s="2" t="s">
        <v>2388</v>
      </c>
      <c r="G169" s="2" t="s">
        <v>2389</v>
      </c>
      <c r="H169" s="2" t="s">
        <v>368</v>
      </c>
      <c r="I169" s="2" t="s">
        <v>1011</v>
      </c>
      <c r="J169" s="2" t="s">
        <v>31</v>
      </c>
      <c r="K169" s="2" t="s">
        <v>31</v>
      </c>
      <c r="L169" s="2" t="s">
        <v>374</v>
      </c>
      <c r="M169" s="2" t="s">
        <v>32</v>
      </c>
      <c r="N169" s="2" t="s">
        <v>489</v>
      </c>
      <c r="O169" s="2" t="s">
        <v>164</v>
      </c>
      <c r="P169" s="2" t="s">
        <v>1391</v>
      </c>
      <c r="Q169" s="2" t="s">
        <v>217</v>
      </c>
      <c r="R169" s="2" t="s">
        <v>453</v>
      </c>
      <c r="S169" s="2" t="s">
        <v>35</v>
      </c>
      <c r="T169" s="150">
        <v>3.6509999999999998</v>
      </c>
      <c r="U169" s="2" t="s">
        <v>2390</v>
      </c>
      <c r="V169" s="162">
        <v>4.7E-2</v>
      </c>
      <c r="W169" s="164">
        <v>4.7649999999999998E-2</v>
      </c>
      <c r="X169" s="4" t="s">
        <v>459</v>
      </c>
      <c r="Y169" s="4" t="s">
        <v>164</v>
      </c>
      <c r="Z169" s="150">
        <v>1282000</v>
      </c>
      <c r="AA169" s="150">
        <v>1</v>
      </c>
      <c r="AB169" s="150">
        <v>100.19</v>
      </c>
      <c r="AD169" s="150">
        <v>1284.4359999999999</v>
      </c>
      <c r="AG169" s="2" t="s">
        <v>37</v>
      </c>
      <c r="AH169" s="164">
        <v>2.5690000000000001E-3</v>
      </c>
      <c r="AI169" s="164">
        <v>9.3119781581521496E-3</v>
      </c>
      <c r="AJ169" s="164">
        <v>5.5423872058088899E-4</v>
      </c>
    </row>
    <row r="170" spans="1:36">
      <c r="A170" s="2" t="s">
        <v>128</v>
      </c>
      <c r="B170" s="2">
        <v>7228</v>
      </c>
      <c r="C170" s="2" t="s">
        <v>1219</v>
      </c>
      <c r="D170" s="2" t="s">
        <v>1959</v>
      </c>
      <c r="E170" s="4" t="s">
        <v>1380</v>
      </c>
      <c r="F170" s="2" t="s">
        <v>2391</v>
      </c>
      <c r="G170" s="2" t="s">
        <v>2392</v>
      </c>
      <c r="H170" s="2" t="s">
        <v>368</v>
      </c>
      <c r="I170" s="2" t="s">
        <v>219</v>
      </c>
      <c r="J170" s="2" t="s">
        <v>31</v>
      </c>
      <c r="K170" s="2" t="s">
        <v>31</v>
      </c>
      <c r="L170" s="2" t="s">
        <v>374</v>
      </c>
      <c r="M170" s="2" t="s">
        <v>32</v>
      </c>
      <c r="N170" s="2" t="s">
        <v>492</v>
      </c>
      <c r="O170" s="2" t="s">
        <v>164</v>
      </c>
      <c r="P170" s="2" t="s">
        <v>103</v>
      </c>
      <c r="Q170" s="2" t="s">
        <v>104</v>
      </c>
      <c r="R170" s="2" t="s">
        <v>453</v>
      </c>
      <c r="S170" s="2" t="s">
        <v>35</v>
      </c>
      <c r="T170" s="150">
        <v>1.23</v>
      </c>
      <c r="U170" s="2" t="s">
        <v>2393</v>
      </c>
      <c r="V170" s="162">
        <v>8.3000000000000001E-3</v>
      </c>
      <c r="W170" s="164">
        <v>1.3979999999999999E-2</v>
      </c>
      <c r="X170" s="4" t="s">
        <v>459</v>
      </c>
      <c r="Y170" s="4" t="s">
        <v>164</v>
      </c>
      <c r="Z170" s="150">
        <v>2102565</v>
      </c>
      <c r="AA170" s="150">
        <v>1</v>
      </c>
      <c r="AB170" s="150">
        <v>111.66</v>
      </c>
      <c r="AD170" s="150">
        <v>2347.7240000000002</v>
      </c>
      <c r="AG170" s="2" t="s">
        <v>37</v>
      </c>
      <c r="AH170" s="164">
        <v>6.9099999999999999E-4</v>
      </c>
      <c r="AI170" s="164">
        <v>1.7020668020165601E-2</v>
      </c>
      <c r="AJ170" s="164">
        <v>1.0130514812977799E-3</v>
      </c>
    </row>
    <row r="171" spans="1:36">
      <c r="A171" s="2" t="s">
        <v>128</v>
      </c>
      <c r="B171" s="2">
        <v>7228</v>
      </c>
      <c r="C171" s="2" t="s">
        <v>2537</v>
      </c>
      <c r="D171" s="2" t="s">
        <v>2538</v>
      </c>
      <c r="E171" s="4" t="s">
        <v>1380</v>
      </c>
      <c r="F171" s="2" t="s">
        <v>2539</v>
      </c>
      <c r="G171" s="2" t="s">
        <v>2540</v>
      </c>
      <c r="H171" s="2" t="s">
        <v>368</v>
      </c>
      <c r="I171" s="2" t="s">
        <v>1011</v>
      </c>
      <c r="J171" s="2" t="s">
        <v>31</v>
      </c>
      <c r="K171" s="2" t="s">
        <v>31</v>
      </c>
      <c r="L171" s="2" t="s">
        <v>374</v>
      </c>
      <c r="M171" s="2" t="s">
        <v>32</v>
      </c>
      <c r="N171" s="2" t="s">
        <v>489</v>
      </c>
      <c r="O171" s="2" t="s">
        <v>164</v>
      </c>
      <c r="P171" s="2" t="s">
        <v>1384</v>
      </c>
      <c r="Q171" s="2" t="s">
        <v>104</v>
      </c>
      <c r="R171" s="2" t="s">
        <v>453</v>
      </c>
      <c r="S171" s="2" t="s">
        <v>35</v>
      </c>
      <c r="T171" s="150">
        <v>2.633</v>
      </c>
      <c r="U171" s="2" t="s">
        <v>2407</v>
      </c>
      <c r="V171" s="162">
        <v>4.1000000000000002E-2</v>
      </c>
      <c r="W171" s="164">
        <v>4.7730000000000002E-2</v>
      </c>
      <c r="X171" s="4" t="s">
        <v>459</v>
      </c>
      <c r="Y171" s="4" t="s">
        <v>164</v>
      </c>
      <c r="Z171" s="150">
        <v>1220000</v>
      </c>
      <c r="AA171" s="150">
        <v>1</v>
      </c>
      <c r="AB171" s="150">
        <v>99.32</v>
      </c>
      <c r="AD171" s="150">
        <v>1211.704</v>
      </c>
      <c r="AG171" s="2" t="s">
        <v>37</v>
      </c>
      <c r="AH171" s="164">
        <v>1.7110000000000001E-3</v>
      </c>
      <c r="AI171" s="164">
        <v>8.7846828795534893E-3</v>
      </c>
      <c r="AJ171" s="164">
        <v>5.2285468427674205E-4</v>
      </c>
    </row>
    <row r="172" spans="1:36">
      <c r="A172" s="2" t="s">
        <v>128</v>
      </c>
      <c r="B172" s="2">
        <v>7228</v>
      </c>
      <c r="C172" s="2" t="s">
        <v>1962</v>
      </c>
      <c r="D172" s="2" t="s">
        <v>1963</v>
      </c>
      <c r="E172" s="4" t="s">
        <v>1380</v>
      </c>
      <c r="F172" s="2" t="s">
        <v>2400</v>
      </c>
      <c r="G172" s="2" t="s">
        <v>2401</v>
      </c>
      <c r="H172" s="2" t="s">
        <v>368</v>
      </c>
      <c r="I172" s="2" t="s">
        <v>1011</v>
      </c>
      <c r="J172" s="2" t="s">
        <v>31</v>
      </c>
      <c r="K172" s="2" t="s">
        <v>31</v>
      </c>
      <c r="L172" s="2" t="s">
        <v>374</v>
      </c>
      <c r="M172" s="2" t="s">
        <v>32</v>
      </c>
      <c r="N172" s="2" t="s">
        <v>508</v>
      </c>
      <c r="O172" s="2" t="s">
        <v>164</v>
      </c>
      <c r="P172" s="2" t="s">
        <v>2244</v>
      </c>
      <c r="Q172" s="2" t="s">
        <v>104</v>
      </c>
      <c r="R172" s="2" t="s">
        <v>453</v>
      </c>
      <c r="S172" s="2" t="s">
        <v>35</v>
      </c>
      <c r="T172" s="150">
        <v>5.6909999999999998</v>
      </c>
      <c r="U172" s="2" t="s">
        <v>2402</v>
      </c>
      <c r="V172" s="162">
        <v>5.4800000000000001E-2</v>
      </c>
      <c r="W172" s="164">
        <v>5.5469999999999998E-2</v>
      </c>
      <c r="X172" s="4" t="s">
        <v>459</v>
      </c>
      <c r="Y172" s="4" t="s">
        <v>164</v>
      </c>
      <c r="Z172" s="150">
        <v>2160000</v>
      </c>
      <c r="AA172" s="150">
        <v>1</v>
      </c>
      <c r="AB172" s="150">
        <v>101.42</v>
      </c>
      <c r="AD172" s="150">
        <v>2190.672</v>
      </c>
      <c r="AG172" s="2" t="s">
        <v>37</v>
      </c>
      <c r="AH172" s="164">
        <v>7.1999999999999998E-3</v>
      </c>
      <c r="AI172" s="164">
        <v>1.5882062626777799E-2</v>
      </c>
      <c r="AJ172" s="164">
        <v>9.45282937841172E-4</v>
      </c>
    </row>
    <row r="173" spans="1:36">
      <c r="A173" s="2" t="s">
        <v>128</v>
      </c>
      <c r="B173" s="2">
        <v>7228</v>
      </c>
      <c r="C173" s="2" t="s">
        <v>2403</v>
      </c>
      <c r="D173" s="2" t="s">
        <v>2404</v>
      </c>
      <c r="E173" s="4" t="s">
        <v>1380</v>
      </c>
      <c r="F173" s="2" t="s">
        <v>2405</v>
      </c>
      <c r="G173" s="2" t="s">
        <v>2406</v>
      </c>
      <c r="H173" s="2" t="s">
        <v>368</v>
      </c>
      <c r="I173" s="2" t="s">
        <v>219</v>
      </c>
      <c r="J173" s="2" t="s">
        <v>31</v>
      </c>
      <c r="K173" s="2" t="s">
        <v>31</v>
      </c>
      <c r="L173" s="2" t="s">
        <v>374</v>
      </c>
      <c r="M173" s="2" t="s">
        <v>32</v>
      </c>
      <c r="N173" s="2" t="s">
        <v>508</v>
      </c>
      <c r="O173" s="2" t="s">
        <v>164</v>
      </c>
      <c r="P173" s="2" t="s">
        <v>2255</v>
      </c>
      <c r="Q173" s="2" t="s">
        <v>217</v>
      </c>
      <c r="R173" s="2" t="s">
        <v>453</v>
      </c>
      <c r="S173" s="2" t="s">
        <v>35</v>
      </c>
      <c r="T173" s="150">
        <v>2.75</v>
      </c>
      <c r="U173" s="2" t="s">
        <v>2407</v>
      </c>
      <c r="V173" s="162">
        <v>3.0000000000000001E-3</v>
      </c>
      <c r="W173" s="164">
        <v>2.997E-2</v>
      </c>
      <c r="X173" s="4" t="s">
        <v>459</v>
      </c>
      <c r="Y173" s="4" t="s">
        <v>164</v>
      </c>
      <c r="Z173" s="150">
        <v>2163000</v>
      </c>
      <c r="AA173" s="150">
        <v>1</v>
      </c>
      <c r="AB173" s="150">
        <v>93.4</v>
      </c>
      <c r="AD173" s="150">
        <v>2020.242</v>
      </c>
      <c r="AG173" s="2" t="s">
        <v>37</v>
      </c>
      <c r="AH173" s="164">
        <v>7.1590000000000004E-3</v>
      </c>
      <c r="AI173" s="164">
        <v>1.4646469195409901E-2</v>
      </c>
      <c r="AJ173" s="164">
        <v>8.71741772803106E-4</v>
      </c>
    </row>
    <row r="174" spans="1:36">
      <c r="A174" s="2" t="s">
        <v>128</v>
      </c>
      <c r="B174" s="2">
        <v>7228</v>
      </c>
      <c r="C174" s="2" t="s">
        <v>2408</v>
      </c>
      <c r="D174" s="2" t="s">
        <v>2409</v>
      </c>
      <c r="E174" s="4" t="s">
        <v>1380</v>
      </c>
      <c r="F174" s="2" t="s">
        <v>2541</v>
      </c>
      <c r="G174" s="2" t="s">
        <v>2542</v>
      </c>
      <c r="H174" s="2" t="s">
        <v>368</v>
      </c>
      <c r="I174" s="2" t="s">
        <v>1011</v>
      </c>
      <c r="J174" s="2" t="s">
        <v>31</v>
      </c>
      <c r="K174" s="2" t="s">
        <v>31</v>
      </c>
      <c r="L174" s="2" t="s">
        <v>374</v>
      </c>
      <c r="M174" s="2" t="s">
        <v>32</v>
      </c>
      <c r="N174" s="2" t="s">
        <v>492</v>
      </c>
      <c r="O174" s="2" t="s">
        <v>164</v>
      </c>
      <c r="P174" s="2" t="s">
        <v>103</v>
      </c>
      <c r="Q174" s="2" t="s">
        <v>104</v>
      </c>
      <c r="R174" s="2" t="s">
        <v>453</v>
      </c>
      <c r="S174" s="2" t="s">
        <v>35</v>
      </c>
      <c r="T174" s="150">
        <v>1.157</v>
      </c>
      <c r="U174" s="2" t="s">
        <v>2543</v>
      </c>
      <c r="V174" s="162">
        <v>2.98E-2</v>
      </c>
      <c r="W174" s="164">
        <v>4.4519999999999997E-2</v>
      </c>
      <c r="X174" s="4" t="s">
        <v>459</v>
      </c>
      <c r="Y174" s="4" t="s">
        <v>164</v>
      </c>
      <c r="Z174" s="150">
        <v>2000000</v>
      </c>
      <c r="AA174" s="150">
        <v>1</v>
      </c>
      <c r="AB174" s="150">
        <v>100.79</v>
      </c>
      <c r="AD174" s="150">
        <v>2015.8</v>
      </c>
      <c r="AG174" s="2" t="s">
        <v>37</v>
      </c>
      <c r="AH174" s="164">
        <v>1.5169999999999999E-3</v>
      </c>
      <c r="AI174" s="164">
        <v>1.46142653227223E-2</v>
      </c>
      <c r="AJ174" s="164">
        <v>8.6982503364275196E-4</v>
      </c>
    </row>
    <row r="175" spans="1:36">
      <c r="A175" s="2" t="s">
        <v>128</v>
      </c>
      <c r="B175" s="2">
        <v>7228</v>
      </c>
      <c r="C175" s="2" t="s">
        <v>2408</v>
      </c>
      <c r="D175" s="2" t="s">
        <v>2409</v>
      </c>
      <c r="E175" s="4" t="s">
        <v>1380</v>
      </c>
      <c r="F175" s="2" t="s">
        <v>2410</v>
      </c>
      <c r="G175" s="2" t="s">
        <v>2411</v>
      </c>
      <c r="H175" s="2" t="s">
        <v>368</v>
      </c>
      <c r="I175" s="2" t="s">
        <v>219</v>
      </c>
      <c r="J175" s="2" t="s">
        <v>31</v>
      </c>
      <c r="K175" s="2" t="s">
        <v>31</v>
      </c>
      <c r="L175" s="2" t="s">
        <v>374</v>
      </c>
      <c r="M175" s="2" t="s">
        <v>32</v>
      </c>
      <c r="N175" s="2" t="s">
        <v>492</v>
      </c>
      <c r="O175" s="2" t="s">
        <v>164</v>
      </c>
      <c r="P175" s="2" t="s">
        <v>1396</v>
      </c>
      <c r="Q175" s="2" t="s">
        <v>104</v>
      </c>
      <c r="R175" s="2" t="s">
        <v>453</v>
      </c>
      <c r="S175" s="2" t="s">
        <v>35</v>
      </c>
      <c r="T175" s="150">
        <v>4.851</v>
      </c>
      <c r="U175" s="2" t="s">
        <v>2412</v>
      </c>
      <c r="V175" s="162">
        <v>3.3599999999999998E-2</v>
      </c>
      <c r="W175" s="164">
        <v>2.7230000000000001E-2</v>
      </c>
      <c r="X175" s="4" t="s">
        <v>459</v>
      </c>
      <c r="Y175" s="4" t="s">
        <v>164</v>
      </c>
      <c r="Z175" s="150">
        <v>2550000</v>
      </c>
      <c r="AA175" s="150">
        <v>1</v>
      </c>
      <c r="AB175" s="150">
        <v>103.97</v>
      </c>
      <c r="AD175" s="150">
        <v>2651.2350000000001</v>
      </c>
      <c r="AG175" s="2" t="s">
        <v>37</v>
      </c>
      <c r="AH175" s="164">
        <v>4.5999999999999999E-3</v>
      </c>
      <c r="AI175" s="164">
        <v>1.9221079334699701E-2</v>
      </c>
      <c r="AJ175" s="164">
        <v>1.14401754790646E-3</v>
      </c>
    </row>
    <row r="176" spans="1:36">
      <c r="A176" s="2" t="s">
        <v>128</v>
      </c>
      <c r="B176" s="2">
        <v>7228</v>
      </c>
      <c r="C176" s="2" t="s">
        <v>2408</v>
      </c>
      <c r="D176" s="2" t="s">
        <v>2409</v>
      </c>
      <c r="E176" s="4" t="s">
        <v>1380</v>
      </c>
      <c r="F176" s="2" t="s">
        <v>2413</v>
      </c>
      <c r="G176" s="2" t="s">
        <v>2414</v>
      </c>
      <c r="H176" s="2" t="s">
        <v>368</v>
      </c>
      <c r="I176" s="2" t="s">
        <v>219</v>
      </c>
      <c r="J176" s="2" t="s">
        <v>31</v>
      </c>
      <c r="K176" s="2" t="s">
        <v>31</v>
      </c>
      <c r="L176" s="2" t="s">
        <v>374</v>
      </c>
      <c r="M176" s="2" t="s">
        <v>32</v>
      </c>
      <c r="N176" s="2" t="s">
        <v>492</v>
      </c>
      <c r="O176" s="2" t="s">
        <v>164</v>
      </c>
      <c r="P176" s="2" t="s">
        <v>103</v>
      </c>
      <c r="Q176" s="2" t="s">
        <v>104</v>
      </c>
      <c r="R176" s="2" t="s">
        <v>453</v>
      </c>
      <c r="S176" s="2" t="s">
        <v>35</v>
      </c>
      <c r="T176" s="150">
        <v>0.496</v>
      </c>
      <c r="U176" s="2" t="s">
        <v>2415</v>
      </c>
      <c r="V176" s="162">
        <v>8.6E-3</v>
      </c>
      <c r="W176" s="164">
        <v>1.3089999999999999E-2</v>
      </c>
      <c r="X176" s="4" t="s">
        <v>459</v>
      </c>
      <c r="Y176" s="4" t="s">
        <v>164</v>
      </c>
      <c r="Z176" s="150">
        <v>2500000</v>
      </c>
      <c r="AA176" s="150">
        <v>1</v>
      </c>
      <c r="AB176" s="150">
        <v>113.09</v>
      </c>
      <c r="AD176" s="150">
        <v>2827.25</v>
      </c>
      <c r="AG176" s="2" t="s">
        <v>37</v>
      </c>
      <c r="AH176" s="164">
        <v>9.990000000000001E-4</v>
      </c>
      <c r="AI176" s="164">
        <v>2.0497163227337401E-2</v>
      </c>
      <c r="AJ176" s="164">
        <v>1.2199686607632101E-3</v>
      </c>
    </row>
    <row r="177" spans="1:36">
      <c r="A177" s="2" t="s">
        <v>128</v>
      </c>
      <c r="B177" s="2">
        <v>7228</v>
      </c>
      <c r="C177" s="2" t="s">
        <v>2408</v>
      </c>
      <c r="D177" s="2" t="s">
        <v>2409</v>
      </c>
      <c r="E177" s="4" t="s">
        <v>1380</v>
      </c>
      <c r="F177" s="2" t="s">
        <v>2416</v>
      </c>
      <c r="G177" s="2" t="s">
        <v>2417</v>
      </c>
      <c r="H177" s="2" t="s">
        <v>368</v>
      </c>
      <c r="I177" s="2" t="s">
        <v>219</v>
      </c>
      <c r="J177" s="2" t="s">
        <v>31</v>
      </c>
      <c r="K177" s="2" t="s">
        <v>31</v>
      </c>
      <c r="L177" s="2" t="s">
        <v>374</v>
      </c>
      <c r="M177" s="2" t="s">
        <v>32</v>
      </c>
      <c r="N177" s="2" t="s">
        <v>492</v>
      </c>
      <c r="O177" s="2" t="s">
        <v>164</v>
      </c>
      <c r="P177" s="2" t="s">
        <v>103</v>
      </c>
      <c r="Q177" s="2" t="s">
        <v>104</v>
      </c>
      <c r="R177" s="2" t="s">
        <v>453</v>
      </c>
      <c r="S177" s="2" t="s">
        <v>35</v>
      </c>
      <c r="T177" s="150">
        <v>5.93</v>
      </c>
      <c r="U177" s="2" t="s">
        <v>2418</v>
      </c>
      <c r="V177" s="162">
        <v>2.2013000000000001E-2</v>
      </c>
      <c r="W177" s="164">
        <v>1.9910000000000001E-2</v>
      </c>
      <c r="X177" s="4" t="s">
        <v>459</v>
      </c>
      <c r="Y177" s="4" t="s">
        <v>164</v>
      </c>
      <c r="Z177" s="150">
        <v>4000000</v>
      </c>
      <c r="AA177" s="150">
        <v>1</v>
      </c>
      <c r="AB177" s="150">
        <v>113.48</v>
      </c>
      <c r="AD177" s="150">
        <v>4539.2</v>
      </c>
      <c r="AG177" s="2" t="s">
        <v>37</v>
      </c>
      <c r="AH177" s="164">
        <v>5.6990000000000001E-3</v>
      </c>
      <c r="AI177" s="164">
        <v>3.2908558960661402E-2</v>
      </c>
      <c r="AJ177" s="164">
        <v>1.9586813139751899E-3</v>
      </c>
    </row>
    <row r="178" spans="1:36">
      <c r="A178" s="2" t="s">
        <v>128</v>
      </c>
      <c r="B178" s="2">
        <v>7228</v>
      </c>
      <c r="C178" s="2" t="s">
        <v>1974</v>
      </c>
      <c r="D178" s="2" t="s">
        <v>1975</v>
      </c>
      <c r="E178" s="4" t="s">
        <v>1380</v>
      </c>
      <c r="F178" s="2" t="s">
        <v>2419</v>
      </c>
      <c r="G178" s="2" t="s">
        <v>2420</v>
      </c>
      <c r="H178" s="2" t="s">
        <v>368</v>
      </c>
      <c r="I178" s="2" t="s">
        <v>219</v>
      </c>
      <c r="J178" s="2" t="s">
        <v>31</v>
      </c>
      <c r="K178" s="2" t="s">
        <v>31</v>
      </c>
      <c r="L178" s="2" t="s">
        <v>374</v>
      </c>
      <c r="M178" s="2" t="s">
        <v>32</v>
      </c>
      <c r="N178" s="2" t="s">
        <v>508</v>
      </c>
      <c r="O178" s="2" t="s">
        <v>164</v>
      </c>
      <c r="P178" s="2" t="s">
        <v>2274</v>
      </c>
      <c r="Q178" s="2" t="s">
        <v>217</v>
      </c>
      <c r="R178" s="2" t="s">
        <v>453</v>
      </c>
      <c r="S178" s="2" t="s">
        <v>35</v>
      </c>
      <c r="T178" s="150">
        <v>6.45</v>
      </c>
      <c r="U178" s="2" t="s">
        <v>2421</v>
      </c>
      <c r="V178" s="162">
        <v>3.61E-2</v>
      </c>
      <c r="W178" s="164">
        <v>2.9960000000000001E-2</v>
      </c>
      <c r="X178" s="4" t="s">
        <v>459</v>
      </c>
      <c r="Y178" s="4" t="s">
        <v>164</v>
      </c>
      <c r="Z178" s="150">
        <v>2000000</v>
      </c>
      <c r="AA178" s="150">
        <v>1</v>
      </c>
      <c r="AB178" s="150">
        <v>107.22</v>
      </c>
      <c r="AD178" s="150">
        <v>2144.4</v>
      </c>
      <c r="AG178" s="2" t="s">
        <v>37</v>
      </c>
      <c r="AH178" s="164">
        <v>4.3530000000000001E-3</v>
      </c>
      <c r="AI178" s="164">
        <v>1.5546597161447399E-2</v>
      </c>
      <c r="AJ178" s="164">
        <v>9.2531640149990995E-4</v>
      </c>
    </row>
    <row r="179" spans="1:36">
      <c r="A179" s="2" t="s">
        <v>128</v>
      </c>
      <c r="B179" s="2">
        <v>7228</v>
      </c>
      <c r="C179" s="2" t="s">
        <v>1982</v>
      </c>
      <c r="D179" s="2" t="s">
        <v>1522</v>
      </c>
      <c r="E179" s="4" t="s">
        <v>1380</v>
      </c>
      <c r="F179" s="2" t="s">
        <v>2422</v>
      </c>
      <c r="G179" s="2" t="s">
        <v>2423</v>
      </c>
      <c r="H179" s="2" t="s">
        <v>368</v>
      </c>
      <c r="I179" s="2" t="s">
        <v>1011</v>
      </c>
      <c r="J179" s="2" t="s">
        <v>31</v>
      </c>
      <c r="K179" s="2" t="s">
        <v>31</v>
      </c>
      <c r="L179" s="2" t="s">
        <v>374</v>
      </c>
      <c r="M179" s="2" t="s">
        <v>32</v>
      </c>
      <c r="N179" s="2" t="s">
        <v>487</v>
      </c>
      <c r="O179" s="2" t="s">
        <v>164</v>
      </c>
      <c r="P179" s="2" t="s">
        <v>2311</v>
      </c>
      <c r="Q179" s="2" t="s">
        <v>104</v>
      </c>
      <c r="R179" s="2" t="s">
        <v>453</v>
      </c>
      <c r="S179" s="2" t="s">
        <v>35</v>
      </c>
      <c r="T179" s="150">
        <v>1.4410000000000001</v>
      </c>
      <c r="U179" s="2" t="s">
        <v>2424</v>
      </c>
      <c r="V179" s="162">
        <v>0.114</v>
      </c>
      <c r="W179" s="164">
        <v>6.4250000000000002E-2</v>
      </c>
      <c r="X179" s="4" t="s">
        <v>459</v>
      </c>
      <c r="Y179" s="4" t="s">
        <v>164</v>
      </c>
      <c r="Z179" s="150">
        <v>5682794</v>
      </c>
      <c r="AA179" s="150">
        <v>1</v>
      </c>
      <c r="AB179" s="150">
        <v>100.84</v>
      </c>
      <c r="AD179" s="150">
        <v>5730.5290000000005</v>
      </c>
      <c r="AG179" s="2" t="s">
        <v>37</v>
      </c>
      <c r="AH179" s="164">
        <v>1.7759E-2</v>
      </c>
      <c r="AI179" s="164">
        <v>4.1545529372166698E-2</v>
      </c>
      <c r="AJ179" s="164">
        <v>2.4727443142601498E-3</v>
      </c>
    </row>
    <row r="180" spans="1:36">
      <c r="A180" s="2" t="s">
        <v>128</v>
      </c>
      <c r="B180" s="2">
        <v>7228</v>
      </c>
      <c r="C180" s="2" t="s">
        <v>2428</v>
      </c>
      <c r="D180" s="2" t="s">
        <v>2429</v>
      </c>
      <c r="E180" s="4" t="s">
        <v>1380</v>
      </c>
      <c r="F180" s="2" t="s">
        <v>2430</v>
      </c>
      <c r="G180" s="2" t="s">
        <v>2431</v>
      </c>
      <c r="H180" s="2" t="s">
        <v>368</v>
      </c>
      <c r="I180" s="2" t="s">
        <v>219</v>
      </c>
      <c r="J180" s="2" t="s">
        <v>31</v>
      </c>
      <c r="K180" s="2" t="s">
        <v>31</v>
      </c>
      <c r="L180" s="2" t="s">
        <v>374</v>
      </c>
      <c r="M180" s="2" t="s">
        <v>32</v>
      </c>
      <c r="N180" s="2" t="s">
        <v>491</v>
      </c>
      <c r="O180" s="2" t="s">
        <v>164</v>
      </c>
      <c r="P180" s="2" t="s">
        <v>1374</v>
      </c>
      <c r="Q180" s="2" t="s">
        <v>104</v>
      </c>
      <c r="R180" s="2" t="s">
        <v>453</v>
      </c>
      <c r="S180" s="2" t="s">
        <v>35</v>
      </c>
      <c r="T180" s="150">
        <v>3.6669999999999998</v>
      </c>
      <c r="U180" s="2" t="s">
        <v>2432</v>
      </c>
      <c r="V180" s="162">
        <v>2.07E-2</v>
      </c>
      <c r="W180" s="164">
        <v>4.2130000000000001E-2</v>
      </c>
      <c r="X180" s="4" t="s">
        <v>459</v>
      </c>
      <c r="Y180" s="4" t="s">
        <v>164</v>
      </c>
      <c r="Z180" s="150">
        <v>3810367</v>
      </c>
      <c r="AA180" s="150">
        <v>1</v>
      </c>
      <c r="AB180" s="150">
        <v>101.49</v>
      </c>
      <c r="AD180" s="150">
        <v>3867.1410000000001</v>
      </c>
      <c r="AG180" s="2" t="s">
        <v>37</v>
      </c>
      <c r="AH180" s="164">
        <v>8.2220000000000001E-3</v>
      </c>
      <c r="AI180" s="164">
        <v>2.80362295159431E-2</v>
      </c>
      <c r="AJ180" s="164">
        <v>1.6686856125435699E-3</v>
      </c>
    </row>
    <row r="181" spans="1:36">
      <c r="A181" s="2" t="s">
        <v>128</v>
      </c>
      <c r="B181" s="2">
        <v>7228</v>
      </c>
      <c r="C181" s="2" t="s">
        <v>2433</v>
      </c>
      <c r="D181" s="2" t="s">
        <v>2434</v>
      </c>
      <c r="E181" s="4" t="s">
        <v>1380</v>
      </c>
      <c r="F181" s="2" t="s">
        <v>2435</v>
      </c>
      <c r="G181" s="2" t="s">
        <v>2436</v>
      </c>
      <c r="H181" s="2" t="s">
        <v>368</v>
      </c>
      <c r="I181" s="2" t="s">
        <v>219</v>
      </c>
      <c r="J181" s="2" t="s">
        <v>31</v>
      </c>
      <c r="K181" s="2" t="s">
        <v>31</v>
      </c>
      <c r="L181" s="2" t="s">
        <v>374</v>
      </c>
      <c r="M181" s="2" t="s">
        <v>32</v>
      </c>
      <c r="N181" s="2" t="s">
        <v>522</v>
      </c>
      <c r="O181" s="2" t="s">
        <v>164</v>
      </c>
      <c r="P181" s="2" t="s">
        <v>216</v>
      </c>
      <c r="Q181" s="2" t="s">
        <v>217</v>
      </c>
      <c r="R181" s="2" t="s">
        <v>453</v>
      </c>
      <c r="S181" s="2" t="s">
        <v>35</v>
      </c>
      <c r="T181" s="150">
        <v>12.143000000000001</v>
      </c>
      <c r="U181" s="2" t="s">
        <v>2437</v>
      </c>
      <c r="V181" s="162">
        <v>2.07E-2</v>
      </c>
      <c r="W181" s="164">
        <v>2.7869999999999999E-2</v>
      </c>
      <c r="X181" s="4" t="s">
        <v>459</v>
      </c>
      <c r="Y181" s="4" t="s">
        <v>164</v>
      </c>
      <c r="Z181" s="150">
        <v>2091063.83</v>
      </c>
      <c r="AA181" s="150">
        <v>1</v>
      </c>
      <c r="AB181" s="150">
        <v>101.58</v>
      </c>
      <c r="AD181" s="150">
        <v>2124.1030000000001</v>
      </c>
      <c r="AG181" s="2" t="s">
        <v>37</v>
      </c>
      <c r="AH181" s="164">
        <v>4.5899999999999999E-4</v>
      </c>
      <c r="AI181" s="164">
        <v>1.53994441571278E-2</v>
      </c>
      <c r="AJ181" s="164">
        <v>9.1655801617526495E-4</v>
      </c>
    </row>
    <row r="182" spans="1:36">
      <c r="A182" s="2" t="s">
        <v>128</v>
      </c>
      <c r="B182" s="2">
        <v>7228</v>
      </c>
      <c r="C182" s="2" t="s">
        <v>2438</v>
      </c>
      <c r="D182" s="2" t="s">
        <v>2439</v>
      </c>
      <c r="E182" s="4" t="s">
        <v>1380</v>
      </c>
      <c r="F182" s="2" t="s">
        <v>2440</v>
      </c>
      <c r="G182" s="2" t="s">
        <v>2441</v>
      </c>
      <c r="H182" s="2" t="s">
        <v>368</v>
      </c>
      <c r="I182" s="2" t="s">
        <v>1011</v>
      </c>
      <c r="J182" s="2" t="s">
        <v>31</v>
      </c>
      <c r="K182" s="2" t="s">
        <v>31</v>
      </c>
      <c r="L182" s="2" t="s">
        <v>374</v>
      </c>
      <c r="M182" s="2" t="s">
        <v>2442</v>
      </c>
      <c r="N182" s="2" t="s">
        <v>498</v>
      </c>
      <c r="O182" s="2" t="s">
        <v>164</v>
      </c>
      <c r="P182" s="2" t="s">
        <v>2255</v>
      </c>
      <c r="Q182" s="2" t="s">
        <v>217</v>
      </c>
      <c r="R182" s="2" t="s">
        <v>453</v>
      </c>
      <c r="S182" s="2" t="s">
        <v>35</v>
      </c>
      <c r="T182" s="150">
        <v>4.1399999999999997</v>
      </c>
      <c r="U182" s="2" t="s">
        <v>2443</v>
      </c>
      <c r="V182" s="162">
        <v>6.7000000000000004E-2</v>
      </c>
      <c r="W182" s="164">
        <v>6.089E-2</v>
      </c>
      <c r="X182" s="4" t="s">
        <v>459</v>
      </c>
      <c r="Y182" s="4" t="s">
        <v>164</v>
      </c>
      <c r="Z182" s="150">
        <v>1425000</v>
      </c>
      <c r="AA182" s="150">
        <v>1</v>
      </c>
      <c r="AB182" s="150">
        <v>103.21</v>
      </c>
      <c r="AD182" s="150">
        <v>1470.7429999999999</v>
      </c>
      <c r="AG182" s="2" t="s">
        <v>37</v>
      </c>
      <c r="AH182" s="164">
        <v>0</v>
      </c>
      <c r="AI182" s="164">
        <v>1.0662675422365301E-2</v>
      </c>
      <c r="AJ182" s="164">
        <v>6.3463073942966795E-4</v>
      </c>
    </row>
    <row r="183" spans="1:36">
      <c r="A183" s="2" t="s">
        <v>128</v>
      </c>
      <c r="B183" s="2">
        <v>7228</v>
      </c>
      <c r="C183" s="2" t="s">
        <v>2444</v>
      </c>
      <c r="D183" s="2" t="s">
        <v>2445</v>
      </c>
      <c r="E183" s="4" t="s">
        <v>1380</v>
      </c>
      <c r="F183" s="2" t="s">
        <v>2448</v>
      </c>
      <c r="G183" s="2" t="s">
        <v>2449</v>
      </c>
      <c r="H183" s="2" t="s">
        <v>368</v>
      </c>
      <c r="I183" s="2" t="s">
        <v>1011</v>
      </c>
      <c r="J183" s="2" t="s">
        <v>31</v>
      </c>
      <c r="K183" s="2" t="s">
        <v>31</v>
      </c>
      <c r="L183" s="2" t="s">
        <v>374</v>
      </c>
      <c r="M183" s="2" t="s">
        <v>32</v>
      </c>
      <c r="N183" s="2" t="s">
        <v>485</v>
      </c>
      <c r="O183" s="2" t="s">
        <v>164</v>
      </c>
      <c r="P183" s="2" t="s">
        <v>1527</v>
      </c>
      <c r="Q183" s="2" t="s">
        <v>204</v>
      </c>
      <c r="R183" s="2" t="s">
        <v>455</v>
      </c>
      <c r="S183" s="2" t="s">
        <v>35</v>
      </c>
      <c r="T183" s="150">
        <v>3.9910000000000001</v>
      </c>
      <c r="U183" s="2" t="s">
        <v>2450</v>
      </c>
      <c r="V183" s="162">
        <v>6.9500000000000006E-2</v>
      </c>
      <c r="W183" s="164">
        <v>6.2260000000000003E-2</v>
      </c>
      <c r="X183" s="4" t="s">
        <v>459</v>
      </c>
      <c r="Y183" s="4" t="s">
        <v>164</v>
      </c>
      <c r="Z183" s="150">
        <v>2200000</v>
      </c>
      <c r="AA183" s="150">
        <v>1</v>
      </c>
      <c r="AB183" s="150">
        <v>105</v>
      </c>
      <c r="AD183" s="150">
        <v>2310</v>
      </c>
      <c r="AG183" s="2" t="s">
        <v>37</v>
      </c>
      <c r="AH183" s="164">
        <v>9.4039999999999992E-3</v>
      </c>
      <c r="AI183" s="164">
        <v>1.6747173774922401E-2</v>
      </c>
      <c r="AJ183" s="164">
        <v>9.9677340396604709E-4</v>
      </c>
    </row>
    <row r="184" spans="1:36">
      <c r="A184" s="2" t="s">
        <v>128</v>
      </c>
      <c r="B184" s="2">
        <v>7228</v>
      </c>
      <c r="C184" s="2" t="s">
        <v>2544</v>
      </c>
      <c r="D184" s="2" t="s">
        <v>2545</v>
      </c>
      <c r="E184" s="4" t="s">
        <v>1380</v>
      </c>
      <c r="F184" s="2" t="s">
        <v>2546</v>
      </c>
      <c r="G184" s="2" t="s">
        <v>2547</v>
      </c>
      <c r="H184" s="2" t="s">
        <v>368</v>
      </c>
      <c r="I184" s="2" t="s">
        <v>219</v>
      </c>
      <c r="J184" s="2" t="s">
        <v>31</v>
      </c>
      <c r="K184" s="2" t="s">
        <v>31</v>
      </c>
      <c r="L184" s="2" t="s">
        <v>374</v>
      </c>
      <c r="M184" s="2" t="s">
        <v>32</v>
      </c>
      <c r="N184" s="2" t="s">
        <v>508</v>
      </c>
      <c r="O184" s="2" t="s">
        <v>164</v>
      </c>
      <c r="P184" s="2" t="s">
        <v>103</v>
      </c>
      <c r="Q184" s="2" t="s">
        <v>104</v>
      </c>
      <c r="R184" s="2" t="s">
        <v>453</v>
      </c>
      <c r="S184" s="2" t="s">
        <v>35</v>
      </c>
      <c r="T184" s="150">
        <v>1.954</v>
      </c>
      <c r="U184" s="2" t="s">
        <v>2407</v>
      </c>
      <c r="V184" s="162">
        <v>8.3000000000000001E-3</v>
      </c>
      <c r="W184" s="164">
        <v>1.721E-2</v>
      </c>
      <c r="X184" s="4" t="s">
        <v>459</v>
      </c>
      <c r="Y184" s="4" t="s">
        <v>164</v>
      </c>
      <c r="Z184" s="150">
        <v>2092500</v>
      </c>
      <c r="AA184" s="150">
        <v>1</v>
      </c>
      <c r="AB184" s="150">
        <v>111.05</v>
      </c>
      <c r="AD184" s="150">
        <v>2323.721</v>
      </c>
      <c r="AG184" s="2" t="s">
        <v>37</v>
      </c>
      <c r="AH184" s="164">
        <v>1.518E-3</v>
      </c>
      <c r="AI184" s="164">
        <v>1.6846650899666599E-2</v>
      </c>
      <c r="AJ184" s="164">
        <v>1.0026941732600601E-3</v>
      </c>
    </row>
    <row r="185" spans="1:36">
      <c r="A185" s="2" t="s">
        <v>128</v>
      </c>
      <c r="B185" s="2">
        <v>7228</v>
      </c>
      <c r="C185" s="2" t="s">
        <v>2451</v>
      </c>
      <c r="D185" s="2" t="s">
        <v>2452</v>
      </c>
      <c r="E185" s="4" t="s">
        <v>360</v>
      </c>
      <c r="F185" s="2" t="s">
        <v>2453</v>
      </c>
      <c r="G185" s="2" t="s">
        <v>2454</v>
      </c>
      <c r="H185" s="2" t="s">
        <v>368</v>
      </c>
      <c r="I185" s="2" t="s">
        <v>1011</v>
      </c>
      <c r="J185" s="2" t="s">
        <v>100</v>
      </c>
      <c r="K185" s="2" t="s">
        <v>101</v>
      </c>
      <c r="L185" s="2" t="s">
        <v>374</v>
      </c>
      <c r="M185" s="2" t="s">
        <v>32</v>
      </c>
      <c r="N185" s="2" t="s">
        <v>509</v>
      </c>
      <c r="O185" s="2" t="s">
        <v>164</v>
      </c>
      <c r="P185" s="2" t="s">
        <v>2274</v>
      </c>
      <c r="Q185" s="2" t="s">
        <v>217</v>
      </c>
      <c r="R185" s="2" t="s">
        <v>453</v>
      </c>
      <c r="S185" s="2" t="s">
        <v>35</v>
      </c>
      <c r="T185" s="150">
        <v>2.5939999999999999</v>
      </c>
      <c r="U185" s="2" t="s">
        <v>1375</v>
      </c>
      <c r="V185" s="162">
        <v>3.49E-2</v>
      </c>
      <c r="W185" s="164">
        <v>6.2030000000000002E-2</v>
      </c>
      <c r="X185" s="4" t="s">
        <v>459</v>
      </c>
      <c r="Y185" s="4" t="s">
        <v>164</v>
      </c>
      <c r="Z185" s="150">
        <v>2430581</v>
      </c>
      <c r="AA185" s="150">
        <v>1</v>
      </c>
      <c r="AB185" s="150">
        <v>94.38</v>
      </c>
      <c r="AD185" s="150">
        <v>2293.982</v>
      </c>
      <c r="AG185" s="2" t="s">
        <v>37</v>
      </c>
      <c r="AH185" s="164">
        <v>3.5270000000000002E-3</v>
      </c>
      <c r="AI185" s="164">
        <v>1.66310480585329E-2</v>
      </c>
      <c r="AJ185" s="164">
        <v>9.8986172876823898E-4</v>
      </c>
    </row>
    <row r="186" spans="1:36">
      <c r="A186" s="2" t="s">
        <v>128</v>
      </c>
      <c r="B186" s="2">
        <v>7228</v>
      </c>
      <c r="C186" s="2" t="s">
        <v>2001</v>
      </c>
      <c r="D186" s="2" t="s">
        <v>2002</v>
      </c>
      <c r="E186" s="4" t="s">
        <v>1380</v>
      </c>
      <c r="F186" s="2" t="s">
        <v>2455</v>
      </c>
      <c r="G186" s="2" t="s">
        <v>2456</v>
      </c>
      <c r="H186" s="2" t="s">
        <v>368</v>
      </c>
      <c r="I186" s="2" t="s">
        <v>1011</v>
      </c>
      <c r="J186" s="2" t="s">
        <v>31</v>
      </c>
      <c r="K186" s="2" t="s">
        <v>31</v>
      </c>
      <c r="L186" s="2" t="s">
        <v>374</v>
      </c>
      <c r="M186" s="2" t="s">
        <v>32</v>
      </c>
      <c r="N186" s="2" t="s">
        <v>529</v>
      </c>
      <c r="O186" s="2" t="s">
        <v>164</v>
      </c>
      <c r="P186" s="2" t="s">
        <v>2285</v>
      </c>
      <c r="Q186" s="2" t="s">
        <v>217</v>
      </c>
      <c r="R186" s="2" t="s">
        <v>453</v>
      </c>
      <c r="S186" s="2" t="s">
        <v>35</v>
      </c>
      <c r="T186" s="150">
        <v>3.673</v>
      </c>
      <c r="U186" s="2" t="s">
        <v>2457</v>
      </c>
      <c r="V186" s="162">
        <v>4.7300000000000002E-2</v>
      </c>
      <c r="W186" s="164">
        <v>5.1670000000000001E-2</v>
      </c>
      <c r="X186" s="4" t="s">
        <v>459</v>
      </c>
      <c r="Y186" s="4" t="s">
        <v>164</v>
      </c>
      <c r="Z186" s="150">
        <v>1850000</v>
      </c>
      <c r="AA186" s="150">
        <v>1</v>
      </c>
      <c r="AB186" s="150">
        <v>99.88</v>
      </c>
      <c r="AD186" s="150">
        <v>1847.78</v>
      </c>
      <c r="AG186" s="2" t="s">
        <v>37</v>
      </c>
      <c r="AH186" s="164">
        <v>4.6849999999999999E-3</v>
      </c>
      <c r="AI186" s="164">
        <v>1.3396144051006999E-2</v>
      </c>
      <c r="AJ186" s="164">
        <v>7.9732379237246003E-4</v>
      </c>
    </row>
    <row r="187" spans="1:36">
      <c r="A187" s="2" t="s">
        <v>128</v>
      </c>
      <c r="B187" s="2">
        <v>7228</v>
      </c>
      <c r="C187" s="2" t="s">
        <v>2005</v>
      </c>
      <c r="D187" s="2" t="s">
        <v>2006</v>
      </c>
      <c r="E187" s="4" t="s">
        <v>1380</v>
      </c>
      <c r="F187" s="2" t="s">
        <v>2458</v>
      </c>
      <c r="G187" s="2" t="s">
        <v>2459</v>
      </c>
      <c r="H187" s="2" t="s">
        <v>368</v>
      </c>
      <c r="I187" s="2" t="s">
        <v>219</v>
      </c>
      <c r="J187" s="2" t="s">
        <v>31</v>
      </c>
      <c r="K187" s="2" t="s">
        <v>31</v>
      </c>
      <c r="L187" s="2" t="s">
        <v>374</v>
      </c>
      <c r="M187" s="2" t="s">
        <v>32</v>
      </c>
      <c r="N187" s="2" t="s">
        <v>508</v>
      </c>
      <c r="O187" s="2" t="s">
        <v>164</v>
      </c>
      <c r="P187" s="2" t="s">
        <v>2460</v>
      </c>
      <c r="Q187" s="2" t="s">
        <v>104</v>
      </c>
      <c r="R187" s="2" t="s">
        <v>453</v>
      </c>
      <c r="S187" s="2" t="s">
        <v>35</v>
      </c>
      <c r="T187" s="150">
        <v>2.8639999999999999</v>
      </c>
      <c r="U187" s="2" t="s">
        <v>1520</v>
      </c>
      <c r="V187" s="162">
        <v>1.77E-2</v>
      </c>
      <c r="W187" s="164">
        <v>2.0539999999999999E-2</v>
      </c>
      <c r="X187" s="4" t="s">
        <v>459</v>
      </c>
      <c r="Y187" s="4" t="s">
        <v>164</v>
      </c>
      <c r="Z187" s="150">
        <v>2376600</v>
      </c>
      <c r="AA187" s="150">
        <v>1</v>
      </c>
      <c r="AB187" s="150">
        <v>111.11</v>
      </c>
      <c r="AD187" s="150">
        <v>2640.64</v>
      </c>
      <c r="AG187" s="2" t="s">
        <v>37</v>
      </c>
      <c r="AH187" s="164">
        <v>8.6200000000000003E-4</v>
      </c>
      <c r="AI187" s="164">
        <v>1.9144268965920499E-2</v>
      </c>
      <c r="AJ187" s="164">
        <v>1.13944587905194E-3</v>
      </c>
    </row>
    <row r="188" spans="1:36">
      <c r="A188" s="2" t="s">
        <v>128</v>
      </c>
      <c r="B188" s="2">
        <v>7228</v>
      </c>
      <c r="C188" s="2" t="s">
        <v>2005</v>
      </c>
      <c r="D188" s="2" t="s">
        <v>2006</v>
      </c>
      <c r="E188" s="4" t="s">
        <v>1380</v>
      </c>
      <c r="F188" s="2" t="s">
        <v>2461</v>
      </c>
      <c r="G188" s="2" t="s">
        <v>2462</v>
      </c>
      <c r="H188" s="2" t="s">
        <v>368</v>
      </c>
      <c r="I188" s="2" t="s">
        <v>219</v>
      </c>
      <c r="J188" s="2" t="s">
        <v>31</v>
      </c>
      <c r="K188" s="2" t="s">
        <v>31</v>
      </c>
      <c r="L188" s="2" t="s">
        <v>374</v>
      </c>
      <c r="M188" s="2" t="s">
        <v>32</v>
      </c>
      <c r="N188" s="2" t="s">
        <v>508</v>
      </c>
      <c r="O188" s="2" t="s">
        <v>164</v>
      </c>
      <c r="P188" s="2" t="s">
        <v>1559</v>
      </c>
      <c r="Q188" s="2" t="s">
        <v>217</v>
      </c>
      <c r="R188" s="2" t="s">
        <v>453</v>
      </c>
      <c r="S188" s="2" t="s">
        <v>35</v>
      </c>
      <c r="T188" s="150">
        <v>10.805</v>
      </c>
      <c r="U188" s="2" t="s">
        <v>2463</v>
      </c>
      <c r="V188" s="162">
        <v>1.6899999999999998E-2</v>
      </c>
      <c r="W188" s="164">
        <v>3.1899999999999998E-2</v>
      </c>
      <c r="X188" s="4" t="s">
        <v>459</v>
      </c>
      <c r="Y188" s="4" t="s">
        <v>164</v>
      </c>
      <c r="Z188" s="150">
        <v>2367865</v>
      </c>
      <c r="AA188" s="150">
        <v>1</v>
      </c>
      <c r="AB188" s="150">
        <v>94.27</v>
      </c>
      <c r="AD188" s="150">
        <v>2232.1860000000001</v>
      </c>
      <c r="AG188" s="2" t="s">
        <v>37</v>
      </c>
      <c r="AH188" s="164">
        <v>8.8400000000000002E-4</v>
      </c>
      <c r="AI188" s="164">
        <v>1.61830356963748E-2</v>
      </c>
      <c r="AJ188" s="164">
        <v>9.6319652464191903E-4</v>
      </c>
    </row>
    <row r="189" spans="1:36">
      <c r="A189" s="2" t="s">
        <v>128</v>
      </c>
      <c r="B189" s="2">
        <v>7228</v>
      </c>
      <c r="C189" s="2" t="s">
        <v>2009</v>
      </c>
      <c r="D189" s="2" t="s">
        <v>2010</v>
      </c>
      <c r="E189" s="4" t="s">
        <v>1380</v>
      </c>
      <c r="F189" s="2" t="s">
        <v>2464</v>
      </c>
      <c r="G189" s="2" t="s">
        <v>2465</v>
      </c>
      <c r="H189" s="2" t="s">
        <v>368</v>
      </c>
      <c r="I189" s="2" t="s">
        <v>219</v>
      </c>
      <c r="J189" s="2" t="s">
        <v>31</v>
      </c>
      <c r="K189" s="2" t="s">
        <v>31</v>
      </c>
      <c r="L189" s="2" t="s">
        <v>374</v>
      </c>
      <c r="M189" s="2" t="s">
        <v>32</v>
      </c>
      <c r="N189" s="2" t="s">
        <v>492</v>
      </c>
      <c r="O189" s="2" t="s">
        <v>164</v>
      </c>
      <c r="P189" s="2" t="s">
        <v>2399</v>
      </c>
      <c r="Q189" s="2" t="s">
        <v>104</v>
      </c>
      <c r="R189" s="2" t="s">
        <v>453</v>
      </c>
      <c r="S189" s="2" t="s">
        <v>35</v>
      </c>
      <c r="T189" s="150">
        <v>5.194</v>
      </c>
      <c r="U189" s="2" t="s">
        <v>2466</v>
      </c>
      <c r="V189" s="162">
        <v>3.7100000000000001E-2</v>
      </c>
      <c r="W189" s="164">
        <v>2.5149999999999999E-2</v>
      </c>
      <c r="X189" s="4" t="s">
        <v>459</v>
      </c>
      <c r="Y189" s="4" t="s">
        <v>164</v>
      </c>
      <c r="Z189" s="150">
        <v>2150000</v>
      </c>
      <c r="AA189" s="150">
        <v>1</v>
      </c>
      <c r="AB189" s="150">
        <v>106.68</v>
      </c>
      <c r="AD189" s="150">
        <v>2293.62</v>
      </c>
      <c r="AG189" s="2" t="s">
        <v>37</v>
      </c>
      <c r="AH189" s="164">
        <v>5.5970000000000004E-3</v>
      </c>
      <c r="AI189" s="164">
        <v>1.66284210881548E-2</v>
      </c>
      <c r="AJ189" s="164">
        <v>9.8970537437428809E-4</v>
      </c>
    </row>
    <row r="190" spans="1:36">
      <c r="A190" s="2" t="s">
        <v>128</v>
      </c>
      <c r="B190" s="2">
        <v>7228</v>
      </c>
      <c r="C190" s="2" t="s">
        <v>2548</v>
      </c>
      <c r="D190" s="2" t="s">
        <v>2549</v>
      </c>
      <c r="E190" s="4" t="s">
        <v>1380</v>
      </c>
      <c r="F190" s="2" t="s">
        <v>2550</v>
      </c>
      <c r="G190" s="2" t="s">
        <v>2551</v>
      </c>
      <c r="H190" s="2" t="s">
        <v>368</v>
      </c>
      <c r="I190" s="2" t="s">
        <v>1011</v>
      </c>
      <c r="J190" s="2" t="s">
        <v>31</v>
      </c>
      <c r="K190" s="2" t="s">
        <v>31</v>
      </c>
      <c r="L190" s="2" t="s">
        <v>374</v>
      </c>
      <c r="M190" s="2" t="s">
        <v>32</v>
      </c>
      <c r="N190" s="2" t="s">
        <v>484</v>
      </c>
      <c r="O190" s="2" t="s">
        <v>164</v>
      </c>
      <c r="P190" s="2" t="s">
        <v>1391</v>
      </c>
      <c r="Q190" s="2" t="s">
        <v>217</v>
      </c>
      <c r="R190" s="2" t="s">
        <v>453</v>
      </c>
      <c r="S190" s="2" t="s">
        <v>35</v>
      </c>
      <c r="T190" s="150">
        <v>0.16400000000000001</v>
      </c>
      <c r="U190" s="2" t="s">
        <v>2534</v>
      </c>
      <c r="V190" s="162">
        <v>0.1065</v>
      </c>
      <c r="W190" s="164">
        <v>5.5160000000000001E-2</v>
      </c>
      <c r="X190" s="4" t="s">
        <v>459</v>
      </c>
      <c r="Y190" s="4" t="s">
        <v>164</v>
      </c>
      <c r="Z190" s="150">
        <v>973891.55</v>
      </c>
      <c r="AA190" s="150">
        <v>1</v>
      </c>
      <c r="AB190" s="150">
        <v>100.66</v>
      </c>
      <c r="AD190" s="150">
        <v>980.31899999999996</v>
      </c>
      <c r="AG190" s="2" t="s">
        <v>37</v>
      </c>
      <c r="AH190" s="164">
        <v>1.402E-3</v>
      </c>
      <c r="AI190" s="164">
        <v>7.1071760045665197E-3</v>
      </c>
      <c r="AJ190" s="164">
        <v>4.23011316050574E-4</v>
      </c>
    </row>
    <row r="191" spans="1:36">
      <c r="A191" s="2" t="s">
        <v>128</v>
      </c>
      <c r="B191" s="2">
        <v>7228</v>
      </c>
      <c r="C191" s="2" t="s">
        <v>2467</v>
      </c>
      <c r="D191" s="2" t="s">
        <v>2468</v>
      </c>
      <c r="E191" s="4" t="s">
        <v>1380</v>
      </c>
      <c r="F191" s="2" t="s">
        <v>2469</v>
      </c>
      <c r="G191" s="2" t="s">
        <v>2470</v>
      </c>
      <c r="H191" s="2" t="s">
        <v>368</v>
      </c>
      <c r="I191" s="2" t="s">
        <v>1011</v>
      </c>
      <c r="J191" s="2" t="s">
        <v>31</v>
      </c>
      <c r="K191" s="2" t="s">
        <v>31</v>
      </c>
      <c r="L191" s="2" t="s">
        <v>374</v>
      </c>
      <c r="M191" s="2" t="s">
        <v>32</v>
      </c>
      <c r="N191" s="2" t="s">
        <v>489</v>
      </c>
      <c r="O191" s="2" t="s">
        <v>164</v>
      </c>
      <c r="P191" s="2" t="s">
        <v>1396</v>
      </c>
      <c r="Q191" s="2" t="s">
        <v>217</v>
      </c>
      <c r="R191" s="2" t="s">
        <v>453</v>
      </c>
      <c r="S191" s="2" t="s">
        <v>35</v>
      </c>
      <c r="T191" s="150">
        <v>5.4459999999999997</v>
      </c>
      <c r="U191" s="2" t="s">
        <v>2450</v>
      </c>
      <c r="V191" s="162">
        <v>4.6899999999999997E-2</v>
      </c>
      <c r="W191" s="164">
        <v>4.9889999999999997E-2</v>
      </c>
      <c r="X191" s="4" t="s">
        <v>459</v>
      </c>
      <c r="Y191" s="4" t="s">
        <v>164</v>
      </c>
      <c r="Z191" s="150">
        <v>2999000</v>
      </c>
      <c r="AA191" s="150">
        <v>1</v>
      </c>
      <c r="AB191" s="150">
        <v>98.9</v>
      </c>
      <c r="AD191" s="150">
        <v>2966.011</v>
      </c>
      <c r="AG191" s="2" t="s">
        <v>37</v>
      </c>
      <c r="AH191" s="164">
        <v>0</v>
      </c>
      <c r="AI191" s="164">
        <v>2.1503160881095801E-2</v>
      </c>
      <c r="AJ191" s="164">
        <v>1.2798445370868999E-3</v>
      </c>
    </row>
    <row r="192" spans="1:36">
      <c r="A192" s="2" t="s">
        <v>128</v>
      </c>
      <c r="B192" s="2">
        <v>7228</v>
      </c>
      <c r="C192" s="2" t="s">
        <v>2017</v>
      </c>
      <c r="D192" s="2" t="s">
        <v>2018</v>
      </c>
      <c r="E192" s="4" t="s">
        <v>1380</v>
      </c>
      <c r="F192" s="2" t="s">
        <v>2552</v>
      </c>
      <c r="G192" s="2" t="s">
        <v>2553</v>
      </c>
      <c r="H192" s="2" t="s">
        <v>368</v>
      </c>
      <c r="I192" s="2" t="s">
        <v>1011</v>
      </c>
      <c r="J192" s="2" t="s">
        <v>31</v>
      </c>
      <c r="K192" s="2" t="s">
        <v>31</v>
      </c>
      <c r="L192" s="2" t="s">
        <v>374</v>
      </c>
      <c r="M192" s="2" t="s">
        <v>32</v>
      </c>
      <c r="N192" s="2" t="s">
        <v>529</v>
      </c>
      <c r="O192" s="2" t="s">
        <v>164</v>
      </c>
      <c r="P192" s="2" t="s">
        <v>2285</v>
      </c>
      <c r="Q192" s="2" t="s">
        <v>217</v>
      </c>
      <c r="R192" s="2" t="s">
        <v>453</v>
      </c>
      <c r="S192" s="2" t="s">
        <v>35</v>
      </c>
      <c r="T192" s="150">
        <v>2.2029999999999998</v>
      </c>
      <c r="U192" s="2" t="s">
        <v>2554</v>
      </c>
      <c r="V192" s="162">
        <v>0.04</v>
      </c>
      <c r="W192" s="164">
        <v>4.7980000000000002E-2</v>
      </c>
      <c r="X192" s="4" t="s">
        <v>459</v>
      </c>
      <c r="Y192" s="4" t="s">
        <v>164</v>
      </c>
      <c r="Z192" s="150">
        <v>487632.8</v>
      </c>
      <c r="AA192" s="150">
        <v>1</v>
      </c>
      <c r="AB192" s="150">
        <v>101.47</v>
      </c>
      <c r="AD192" s="150">
        <v>494.80099999999999</v>
      </c>
      <c r="AG192" s="2" t="s">
        <v>37</v>
      </c>
      <c r="AH192" s="164">
        <v>7.1599999999999995E-4</v>
      </c>
      <c r="AI192" s="164">
        <v>3.5872373883893E-3</v>
      </c>
      <c r="AJ192" s="164">
        <v>2.1350843255793701E-4</v>
      </c>
    </row>
    <row r="193" spans="1:36">
      <c r="A193" s="2" t="s">
        <v>128</v>
      </c>
      <c r="B193" s="2">
        <v>7228</v>
      </c>
      <c r="C193" s="2" t="s">
        <v>2471</v>
      </c>
      <c r="D193" s="2" t="s">
        <v>2472</v>
      </c>
      <c r="E193" s="4" t="s">
        <v>1380</v>
      </c>
      <c r="F193" s="2" t="s">
        <v>2473</v>
      </c>
      <c r="G193" s="2" t="s">
        <v>2474</v>
      </c>
      <c r="H193" s="2" t="s">
        <v>368</v>
      </c>
      <c r="I193" s="2" t="s">
        <v>1011</v>
      </c>
      <c r="J193" s="2" t="s">
        <v>31</v>
      </c>
      <c r="K193" s="2" t="s">
        <v>31</v>
      </c>
      <c r="L193" s="2" t="s">
        <v>374</v>
      </c>
      <c r="M193" s="2" t="s">
        <v>32</v>
      </c>
      <c r="N193" s="2" t="s">
        <v>509</v>
      </c>
      <c r="O193" s="2" t="s">
        <v>164</v>
      </c>
      <c r="P193" s="2" t="s">
        <v>2244</v>
      </c>
      <c r="Q193" s="2" t="s">
        <v>104</v>
      </c>
      <c r="R193" s="2" t="s">
        <v>453</v>
      </c>
      <c r="S193" s="2" t="s">
        <v>35</v>
      </c>
      <c r="T193" s="150">
        <v>2.15</v>
      </c>
      <c r="U193" s="2" t="s">
        <v>2475</v>
      </c>
      <c r="V193" s="162">
        <v>2.6499999999999999E-2</v>
      </c>
      <c r="W193" s="164">
        <v>5.4269999999999999E-2</v>
      </c>
      <c r="X193" s="4" t="s">
        <v>459</v>
      </c>
      <c r="Y193" s="4" t="s">
        <v>164</v>
      </c>
      <c r="Z193" s="150">
        <v>1902857.14</v>
      </c>
      <c r="AA193" s="150">
        <v>1</v>
      </c>
      <c r="AB193" s="150">
        <v>94.87</v>
      </c>
      <c r="AD193" s="150">
        <v>1805.241</v>
      </c>
      <c r="AG193" s="2" t="s">
        <v>37</v>
      </c>
      <c r="AH193" s="164">
        <v>2.6540000000000001E-3</v>
      </c>
      <c r="AI193" s="164">
        <v>1.30877391817576E-2</v>
      </c>
      <c r="AJ193" s="164">
        <v>7.7896787301239999E-4</v>
      </c>
    </row>
    <row r="194" spans="1:36">
      <c r="A194" s="2" t="s">
        <v>128</v>
      </c>
      <c r="B194" s="2">
        <v>7228</v>
      </c>
      <c r="C194" s="2" t="s">
        <v>2555</v>
      </c>
      <c r="D194" s="2" t="s">
        <v>2556</v>
      </c>
      <c r="E194" s="4" t="s">
        <v>362</v>
      </c>
      <c r="F194" s="2" t="s">
        <v>2557</v>
      </c>
      <c r="G194" s="2" t="s">
        <v>2558</v>
      </c>
      <c r="H194" s="2" t="s">
        <v>368</v>
      </c>
      <c r="I194" s="2" t="s">
        <v>214</v>
      </c>
      <c r="J194" s="2" t="s">
        <v>100</v>
      </c>
      <c r="K194" s="2" t="s">
        <v>263</v>
      </c>
      <c r="L194" s="2" t="s">
        <v>374</v>
      </c>
      <c r="M194" s="2" t="s">
        <v>204</v>
      </c>
      <c r="N194" s="2" t="s">
        <v>595</v>
      </c>
      <c r="O194" s="2" t="s">
        <v>164</v>
      </c>
      <c r="P194" s="2" t="s">
        <v>2559</v>
      </c>
      <c r="Q194" s="2" t="s">
        <v>477</v>
      </c>
      <c r="R194" s="2" t="s">
        <v>453</v>
      </c>
      <c r="S194" s="2" t="s">
        <v>105</v>
      </c>
      <c r="T194" s="150">
        <v>0.14000000000000001</v>
      </c>
      <c r="U194" s="2" t="s">
        <v>2560</v>
      </c>
      <c r="V194" s="162">
        <v>5.3030000000000001E-2</v>
      </c>
      <c r="W194" s="164">
        <v>6.5640000000000004E-2</v>
      </c>
      <c r="X194" s="4" t="s">
        <v>459</v>
      </c>
      <c r="Y194" s="4" t="s">
        <v>164</v>
      </c>
      <c r="Z194" s="150">
        <v>200000</v>
      </c>
      <c r="AA194" s="150">
        <v>3.681</v>
      </c>
      <c r="AB194" s="150">
        <v>101.596</v>
      </c>
      <c r="AD194" s="150">
        <v>747.947</v>
      </c>
      <c r="AG194" s="2" t="s">
        <v>37</v>
      </c>
      <c r="AH194" s="164">
        <v>0</v>
      </c>
      <c r="AI194" s="164">
        <v>5.4225087249250101E-3</v>
      </c>
      <c r="AJ194" s="164">
        <v>3.2274176839752397E-4</v>
      </c>
    </row>
    <row r="195" spans="1:36">
      <c r="A195" s="2" t="s">
        <v>128</v>
      </c>
      <c r="B195" s="2">
        <v>7228</v>
      </c>
      <c r="C195" s="2" t="s">
        <v>2561</v>
      </c>
      <c r="D195" s="2" t="s">
        <v>2562</v>
      </c>
      <c r="E195" s="4" t="s">
        <v>362</v>
      </c>
      <c r="F195" s="2" t="s">
        <v>2563</v>
      </c>
      <c r="G195" s="2" t="s">
        <v>2564</v>
      </c>
      <c r="H195" s="2" t="s">
        <v>368</v>
      </c>
      <c r="I195" s="2" t="s">
        <v>214</v>
      </c>
      <c r="J195" s="2" t="s">
        <v>100</v>
      </c>
      <c r="K195" s="2" t="s">
        <v>288</v>
      </c>
      <c r="L195" s="2" t="s">
        <v>374</v>
      </c>
      <c r="M195" s="2" t="s">
        <v>204</v>
      </c>
      <c r="N195" s="2" t="s">
        <v>587</v>
      </c>
      <c r="O195" s="2" t="s">
        <v>164</v>
      </c>
      <c r="P195" s="2" t="s">
        <v>1384</v>
      </c>
      <c r="Q195" s="2" t="s">
        <v>111</v>
      </c>
      <c r="R195" s="2" t="s">
        <v>453</v>
      </c>
      <c r="S195" s="2" t="s">
        <v>1224</v>
      </c>
      <c r="T195" s="150">
        <v>0.43</v>
      </c>
      <c r="U195" s="2" t="s">
        <v>2565</v>
      </c>
      <c r="V195" s="162">
        <v>3.3750000000000002E-2</v>
      </c>
      <c r="W195" s="164">
        <v>5.815E-2</v>
      </c>
      <c r="X195" s="4" t="s">
        <v>459</v>
      </c>
      <c r="Y195" s="4" t="s">
        <v>164</v>
      </c>
      <c r="Z195" s="150">
        <v>200000</v>
      </c>
      <c r="AA195" s="150">
        <v>3.9790000000000001</v>
      </c>
      <c r="AB195" s="150">
        <v>101.254</v>
      </c>
      <c r="AD195" s="150">
        <v>805.798</v>
      </c>
      <c r="AG195" s="2" t="s">
        <v>37</v>
      </c>
      <c r="AH195" s="164">
        <v>1.3300000000000001E-4</v>
      </c>
      <c r="AI195" s="164">
        <v>5.8419216387185701E-3</v>
      </c>
      <c r="AJ195" s="164">
        <v>3.4770476474353098E-4</v>
      </c>
    </row>
    <row r="196" spans="1:36">
      <c r="A196" s="2" t="s">
        <v>128</v>
      </c>
      <c r="B196" s="2">
        <v>7228</v>
      </c>
      <c r="C196" s="2" t="s">
        <v>2481</v>
      </c>
      <c r="D196" s="2" t="s">
        <v>2482</v>
      </c>
      <c r="E196" s="4" t="s">
        <v>362</v>
      </c>
      <c r="F196" s="2" t="s">
        <v>2483</v>
      </c>
      <c r="G196" s="2" t="s">
        <v>2484</v>
      </c>
      <c r="H196" s="2" t="s">
        <v>368</v>
      </c>
      <c r="I196" s="2" t="s">
        <v>214</v>
      </c>
      <c r="J196" s="2" t="s">
        <v>100</v>
      </c>
      <c r="K196" s="2" t="s">
        <v>101</v>
      </c>
      <c r="L196" s="2" t="s">
        <v>374</v>
      </c>
      <c r="M196" s="2" t="s">
        <v>391</v>
      </c>
      <c r="N196" s="2" t="s">
        <v>581</v>
      </c>
      <c r="O196" s="2" t="s">
        <v>164</v>
      </c>
      <c r="P196" s="2" t="s">
        <v>2485</v>
      </c>
      <c r="Q196" s="2" t="s">
        <v>111</v>
      </c>
      <c r="R196" s="2" t="s">
        <v>453</v>
      </c>
      <c r="S196" s="2" t="s">
        <v>105</v>
      </c>
      <c r="T196" s="150">
        <v>0.75</v>
      </c>
      <c r="U196" s="2" t="s">
        <v>2486</v>
      </c>
      <c r="V196" s="162">
        <v>0.04</v>
      </c>
      <c r="W196" s="164">
        <v>5.7110000000000001E-2</v>
      </c>
      <c r="X196" s="4" t="s">
        <v>459</v>
      </c>
      <c r="Y196" s="4" t="s">
        <v>164</v>
      </c>
      <c r="Z196" s="150">
        <v>200000</v>
      </c>
      <c r="AA196" s="150">
        <v>3.681</v>
      </c>
      <c r="AB196" s="150">
        <v>98.613</v>
      </c>
      <c r="AD196" s="150">
        <v>731.71500000000003</v>
      </c>
      <c r="AG196" s="2" t="s">
        <v>37</v>
      </c>
      <c r="AH196" s="164">
        <v>8.0000000000000007E-5</v>
      </c>
      <c r="AI196" s="164">
        <v>5.3048297347284999E-3</v>
      </c>
      <c r="AJ196" s="164">
        <v>3.1573764404735398E-4</v>
      </c>
    </row>
    <row r="197" spans="1:36">
      <c r="A197" s="2" t="s">
        <v>128</v>
      </c>
      <c r="B197" s="2">
        <v>7228</v>
      </c>
      <c r="C197" s="2" t="s">
        <v>2566</v>
      </c>
      <c r="D197" s="2" t="s">
        <v>2567</v>
      </c>
      <c r="E197" s="4" t="s">
        <v>362</v>
      </c>
      <c r="F197" s="2" t="s">
        <v>2568</v>
      </c>
      <c r="G197" s="2" t="s">
        <v>2569</v>
      </c>
      <c r="H197" s="2" t="s">
        <v>368</v>
      </c>
      <c r="I197" s="2" t="s">
        <v>214</v>
      </c>
      <c r="J197" s="2" t="s">
        <v>100</v>
      </c>
      <c r="K197" s="2" t="s">
        <v>288</v>
      </c>
      <c r="L197" s="2" t="s">
        <v>374</v>
      </c>
      <c r="M197" s="2" t="s">
        <v>204</v>
      </c>
      <c r="N197" s="2" t="s">
        <v>579</v>
      </c>
      <c r="O197" s="2" t="s">
        <v>164</v>
      </c>
      <c r="P197" s="2" t="s">
        <v>2570</v>
      </c>
      <c r="Q197" s="2" t="s">
        <v>111</v>
      </c>
      <c r="R197" s="2" t="s">
        <v>453</v>
      </c>
      <c r="S197" s="2" t="s">
        <v>1224</v>
      </c>
      <c r="T197" s="150">
        <v>2.8</v>
      </c>
      <c r="U197" s="2" t="s">
        <v>2571</v>
      </c>
      <c r="V197" s="162">
        <v>4.4999999999999998E-2</v>
      </c>
      <c r="W197" s="164">
        <v>6.4930000000000002E-2</v>
      </c>
      <c r="X197" s="4" t="s">
        <v>459</v>
      </c>
      <c r="Y197" s="4" t="s">
        <v>164</v>
      </c>
      <c r="Z197" s="150">
        <v>300000</v>
      </c>
      <c r="AA197" s="150">
        <v>3.9790000000000001</v>
      </c>
      <c r="AB197" s="150">
        <v>96.37</v>
      </c>
      <c r="AD197" s="150">
        <v>1150.396</v>
      </c>
      <c r="AG197" s="2" t="s">
        <v>37</v>
      </c>
      <c r="AH197" s="164">
        <v>0</v>
      </c>
      <c r="AI197" s="164">
        <v>8.3402114903017698E-3</v>
      </c>
      <c r="AJ197" s="164">
        <v>4.9640023497178804E-4</v>
      </c>
    </row>
    <row r="198" spans="1:36">
      <c r="A198" s="2" t="s">
        <v>128</v>
      </c>
      <c r="B198" s="2">
        <v>7228</v>
      </c>
      <c r="C198" s="2" t="s">
        <v>2572</v>
      </c>
      <c r="D198" s="2" t="s">
        <v>2573</v>
      </c>
      <c r="E198" s="4" t="s">
        <v>362</v>
      </c>
      <c r="F198" s="2" t="s">
        <v>2574</v>
      </c>
      <c r="G198" s="2" t="s">
        <v>2575</v>
      </c>
      <c r="H198" s="2" t="s">
        <v>368</v>
      </c>
      <c r="I198" s="2" t="s">
        <v>214</v>
      </c>
      <c r="J198" s="2" t="s">
        <v>100</v>
      </c>
      <c r="K198" s="2" t="s">
        <v>101</v>
      </c>
      <c r="L198" s="2" t="s">
        <v>374</v>
      </c>
      <c r="M198" s="2" t="s">
        <v>391</v>
      </c>
      <c r="N198" s="2" t="s">
        <v>581</v>
      </c>
      <c r="O198" s="2" t="s">
        <v>164</v>
      </c>
      <c r="P198" s="2" t="s">
        <v>2576</v>
      </c>
      <c r="Q198" s="2" t="s">
        <v>111</v>
      </c>
      <c r="R198" s="2" t="s">
        <v>453</v>
      </c>
      <c r="S198" s="2" t="s">
        <v>105</v>
      </c>
      <c r="T198" s="150">
        <v>0.93</v>
      </c>
      <c r="U198" s="2" t="s">
        <v>2577</v>
      </c>
      <c r="V198" s="162">
        <v>3.875E-2</v>
      </c>
      <c r="W198" s="164">
        <v>5.7070000000000003E-2</v>
      </c>
      <c r="X198" s="4" t="s">
        <v>459</v>
      </c>
      <c r="Y198" s="4" t="s">
        <v>164</v>
      </c>
      <c r="Z198" s="150">
        <v>270000</v>
      </c>
      <c r="AA198" s="150">
        <v>3.681</v>
      </c>
      <c r="AB198" s="150">
        <v>98.298000000000002</v>
      </c>
      <c r="AD198" s="150">
        <v>977.596</v>
      </c>
      <c r="AG198" s="2" t="s">
        <v>37</v>
      </c>
      <c r="AH198" s="164">
        <v>2.7E-4</v>
      </c>
      <c r="AI198" s="164">
        <v>7.0874344415217897E-3</v>
      </c>
      <c r="AJ198" s="164">
        <v>4.2183631988344903E-4</v>
      </c>
    </row>
    <row r="199" spans="1:36">
      <c r="A199" s="2" t="s">
        <v>128</v>
      </c>
      <c r="B199" s="2">
        <v>7228</v>
      </c>
      <c r="C199" s="2" t="s">
        <v>2578</v>
      </c>
      <c r="D199" s="2" t="s">
        <v>2579</v>
      </c>
      <c r="E199" s="4" t="s">
        <v>362</v>
      </c>
      <c r="F199" s="2" t="s">
        <v>2580</v>
      </c>
      <c r="G199" s="2" t="s">
        <v>2581</v>
      </c>
      <c r="H199" s="2" t="s">
        <v>368</v>
      </c>
      <c r="I199" s="2" t="s">
        <v>214</v>
      </c>
      <c r="J199" s="2" t="s">
        <v>100</v>
      </c>
      <c r="K199" s="2" t="s">
        <v>101</v>
      </c>
      <c r="L199" s="2" t="s">
        <v>374</v>
      </c>
      <c r="M199" s="2" t="s">
        <v>204</v>
      </c>
      <c r="N199" s="2" t="s">
        <v>557</v>
      </c>
      <c r="O199" s="2" t="s">
        <v>164</v>
      </c>
      <c r="P199" s="2" t="s">
        <v>2582</v>
      </c>
      <c r="Q199" s="2" t="s">
        <v>477</v>
      </c>
      <c r="R199" s="2" t="s">
        <v>453</v>
      </c>
      <c r="S199" s="2" t="s">
        <v>105</v>
      </c>
      <c r="T199" s="150">
        <v>1.96</v>
      </c>
      <c r="U199" s="2" t="s">
        <v>127</v>
      </c>
      <c r="V199" s="162">
        <v>0.05</v>
      </c>
      <c r="W199" s="164">
        <v>6.1199999999999997E-2</v>
      </c>
      <c r="X199" s="4" t="s">
        <v>459</v>
      </c>
      <c r="Y199" s="4" t="s">
        <v>164</v>
      </c>
      <c r="Z199" s="150">
        <v>263000</v>
      </c>
      <c r="AA199" s="150">
        <v>3.681</v>
      </c>
      <c r="AB199" s="150">
        <v>99.620999999999995</v>
      </c>
      <c r="AD199" s="150">
        <v>964.43299999999999</v>
      </c>
      <c r="AG199" s="2" t="s">
        <v>37</v>
      </c>
      <c r="AH199" s="164">
        <v>2.92E-4</v>
      </c>
      <c r="AI199" s="164">
        <v>6.9920024809821497E-3</v>
      </c>
      <c r="AJ199" s="164">
        <v>4.1615631432354402E-4</v>
      </c>
    </row>
    <row r="200" spans="1:36">
      <c r="A200" s="2" t="s">
        <v>128</v>
      </c>
      <c r="B200" s="2">
        <v>7228</v>
      </c>
      <c r="C200" s="2" t="s">
        <v>2583</v>
      </c>
      <c r="D200" s="2" t="s">
        <v>2584</v>
      </c>
      <c r="E200" s="4" t="s">
        <v>362</v>
      </c>
      <c r="F200" s="2" t="s">
        <v>2585</v>
      </c>
      <c r="G200" s="2" t="s">
        <v>2586</v>
      </c>
      <c r="H200" s="2" t="s">
        <v>368</v>
      </c>
      <c r="I200" s="2" t="s">
        <v>214</v>
      </c>
      <c r="J200" s="2" t="s">
        <v>100</v>
      </c>
      <c r="K200" s="2" t="s">
        <v>101</v>
      </c>
      <c r="L200" s="2" t="s">
        <v>374</v>
      </c>
      <c r="M200" s="2" t="s">
        <v>391</v>
      </c>
      <c r="N200" s="2" t="s">
        <v>591</v>
      </c>
      <c r="O200" s="2" t="s">
        <v>164</v>
      </c>
      <c r="P200" s="2" t="s">
        <v>2576</v>
      </c>
      <c r="Q200" s="2" t="s">
        <v>111</v>
      </c>
      <c r="R200" s="2" t="s">
        <v>453</v>
      </c>
      <c r="S200" s="2" t="s">
        <v>105</v>
      </c>
      <c r="T200" s="150">
        <v>1.41</v>
      </c>
      <c r="U200" s="2" t="s">
        <v>2587</v>
      </c>
      <c r="V200" s="162">
        <v>4.9000000000000002E-2</v>
      </c>
      <c r="W200" s="164">
        <v>5.4469999999999998E-2</v>
      </c>
      <c r="X200" s="4" t="s">
        <v>459</v>
      </c>
      <c r="Y200" s="4" t="s">
        <v>164</v>
      </c>
      <c r="Z200" s="150">
        <v>252000</v>
      </c>
      <c r="AA200" s="150">
        <v>3.681</v>
      </c>
      <c r="AB200" s="150">
        <v>101.657</v>
      </c>
      <c r="AD200" s="150">
        <v>942.97900000000004</v>
      </c>
      <c r="AG200" s="2" t="s">
        <v>37</v>
      </c>
      <c r="AH200" s="164">
        <v>1.01E-4</v>
      </c>
      <c r="AI200" s="164">
        <v>6.8364632775654403E-3</v>
      </c>
      <c r="AJ200" s="164">
        <v>4.0689879163204398E-4</v>
      </c>
    </row>
    <row r="201" spans="1:36">
      <c r="A201" s="2" t="s">
        <v>128</v>
      </c>
      <c r="B201" s="2">
        <v>7228</v>
      </c>
      <c r="C201" s="2" t="s">
        <v>2487</v>
      </c>
      <c r="D201" s="2" t="s">
        <v>2488</v>
      </c>
      <c r="E201" s="4" t="s">
        <v>362</v>
      </c>
      <c r="F201" s="2" t="s">
        <v>2489</v>
      </c>
      <c r="G201" s="2" t="s">
        <v>2490</v>
      </c>
      <c r="H201" s="2" t="s">
        <v>368</v>
      </c>
      <c r="I201" s="2" t="s">
        <v>214</v>
      </c>
      <c r="J201" s="2" t="s">
        <v>100</v>
      </c>
      <c r="K201" s="2" t="s">
        <v>101</v>
      </c>
      <c r="L201" s="2" t="s">
        <v>374</v>
      </c>
      <c r="M201" s="2" t="s">
        <v>391</v>
      </c>
      <c r="N201" s="2" t="s">
        <v>591</v>
      </c>
      <c r="O201" s="2" t="s">
        <v>164</v>
      </c>
      <c r="P201" s="2" t="s">
        <v>2491</v>
      </c>
      <c r="Q201" s="2" t="s">
        <v>477</v>
      </c>
      <c r="R201" s="2" t="s">
        <v>453</v>
      </c>
      <c r="S201" s="2" t="s">
        <v>105</v>
      </c>
      <c r="T201" s="150">
        <v>1.02</v>
      </c>
      <c r="U201" s="2" t="s">
        <v>2492</v>
      </c>
      <c r="V201" s="162">
        <v>7.4999999999999997E-2</v>
      </c>
      <c r="W201" s="164">
        <v>5.8740000000000001E-2</v>
      </c>
      <c r="X201" s="4" t="s">
        <v>459</v>
      </c>
      <c r="Y201" s="4" t="s">
        <v>164</v>
      </c>
      <c r="Z201" s="150">
        <v>150000</v>
      </c>
      <c r="AA201" s="150">
        <v>3.681</v>
      </c>
      <c r="AB201" s="150">
        <v>104.881</v>
      </c>
      <c r="AD201" s="150">
        <v>579.10199999999998</v>
      </c>
      <c r="AG201" s="2" t="s">
        <v>37</v>
      </c>
      <c r="AH201" s="164">
        <v>3.7500000000000001E-4</v>
      </c>
      <c r="AI201" s="164">
        <v>4.1984044246055298E-3</v>
      </c>
      <c r="AJ201" s="164">
        <v>2.4988442383076402E-4</v>
      </c>
    </row>
    <row r="202" spans="1:36">
      <c r="A202" s="2" t="s">
        <v>128</v>
      </c>
      <c r="B202" s="2">
        <v>7228</v>
      </c>
      <c r="C202" s="2" t="s">
        <v>2588</v>
      </c>
      <c r="D202" s="2" t="s">
        <v>2589</v>
      </c>
      <c r="E202" s="4" t="s">
        <v>362</v>
      </c>
      <c r="F202" s="2" t="s">
        <v>2590</v>
      </c>
      <c r="G202" s="2" t="s">
        <v>2591</v>
      </c>
      <c r="H202" s="2" t="s">
        <v>368</v>
      </c>
      <c r="I202" s="2" t="s">
        <v>214</v>
      </c>
      <c r="J202" s="2" t="s">
        <v>100</v>
      </c>
      <c r="K202" s="2" t="s">
        <v>259</v>
      </c>
      <c r="L202" s="2" t="s">
        <v>374</v>
      </c>
      <c r="M202" s="2" t="s">
        <v>204</v>
      </c>
      <c r="N202" s="2" t="s">
        <v>554</v>
      </c>
      <c r="O202" s="2" t="s">
        <v>164</v>
      </c>
      <c r="P202" s="2" t="s">
        <v>1374</v>
      </c>
      <c r="Q202" s="2" t="s">
        <v>111</v>
      </c>
      <c r="R202" s="2" t="s">
        <v>453</v>
      </c>
      <c r="S202" s="2" t="s">
        <v>105</v>
      </c>
      <c r="T202" s="150">
        <v>1.91</v>
      </c>
      <c r="U202" s="2" t="s">
        <v>2592</v>
      </c>
      <c r="V202" s="162">
        <v>3.6249999999999998E-2</v>
      </c>
      <c r="W202" s="164">
        <v>5.4579999999999997E-2</v>
      </c>
      <c r="X202" s="4" t="s">
        <v>459</v>
      </c>
      <c r="Y202" s="4" t="s">
        <v>164</v>
      </c>
      <c r="Z202" s="150">
        <v>270000</v>
      </c>
      <c r="AA202" s="150">
        <v>3.681</v>
      </c>
      <c r="AB202" s="150">
        <v>97.99</v>
      </c>
      <c r="AD202" s="150">
        <v>973.89</v>
      </c>
      <c r="AG202" s="2" t="s">
        <v>37</v>
      </c>
      <c r="AH202" s="164">
        <v>2.9999999999999997E-4</v>
      </c>
      <c r="AI202" s="164">
        <v>7.0605666418994397E-3</v>
      </c>
      <c r="AJ202" s="164">
        <v>4.2023717793588403E-4</v>
      </c>
    </row>
    <row r="203" spans="1:36">
      <c r="A203" s="2" t="s">
        <v>128</v>
      </c>
      <c r="B203" s="2">
        <v>7228</v>
      </c>
      <c r="C203" s="2" t="s">
        <v>1943</v>
      </c>
      <c r="D203" s="2" t="s">
        <v>1944</v>
      </c>
      <c r="E203" s="4" t="s">
        <v>1380</v>
      </c>
      <c r="F203" s="2" t="s">
        <v>2493</v>
      </c>
      <c r="G203" s="2" t="s">
        <v>2494</v>
      </c>
      <c r="H203" s="2" t="s">
        <v>368</v>
      </c>
      <c r="I203" s="2" t="s">
        <v>214</v>
      </c>
      <c r="J203" s="2" t="s">
        <v>31</v>
      </c>
      <c r="K203" s="2" t="s">
        <v>101</v>
      </c>
      <c r="L203" s="2" t="s">
        <v>374</v>
      </c>
      <c r="M203" s="2" t="s">
        <v>204</v>
      </c>
      <c r="N203" s="2" t="s">
        <v>511</v>
      </c>
      <c r="O203" s="2" t="s">
        <v>164</v>
      </c>
      <c r="P203" s="2" t="s">
        <v>2495</v>
      </c>
      <c r="Q203" s="2" t="s">
        <v>111</v>
      </c>
      <c r="R203" s="2" t="s">
        <v>453</v>
      </c>
      <c r="S203" s="2" t="s">
        <v>1224</v>
      </c>
      <c r="T203" s="150">
        <v>5.15</v>
      </c>
      <c r="U203" s="2" t="s">
        <v>2496</v>
      </c>
      <c r="V203" s="162">
        <v>4.3749999999999997E-2</v>
      </c>
      <c r="W203" s="164">
        <v>5.2049999999999999E-2</v>
      </c>
      <c r="X203" s="4" t="s">
        <v>459</v>
      </c>
      <c r="Y203" s="4" t="s">
        <v>164</v>
      </c>
      <c r="Z203" s="150">
        <v>640000</v>
      </c>
      <c r="AA203" s="150">
        <v>3.9790000000000001</v>
      </c>
      <c r="AB203" s="150">
        <v>96.337000000000003</v>
      </c>
      <c r="AD203" s="150">
        <v>2496.9789999999998</v>
      </c>
      <c r="AG203" s="2" t="s">
        <v>37</v>
      </c>
      <c r="AH203" s="164">
        <v>4.2700000000000002E-4</v>
      </c>
      <c r="AI203" s="164">
        <v>1.81027424102524E-2</v>
      </c>
      <c r="AJ203" s="164">
        <v>1.0774553614776401E-3</v>
      </c>
    </row>
    <row r="204" spans="1:36">
      <c r="A204" s="2" t="s">
        <v>128</v>
      </c>
      <c r="B204" s="2">
        <v>7228</v>
      </c>
      <c r="C204" s="2" t="s">
        <v>2593</v>
      </c>
      <c r="D204" s="2" t="s">
        <v>2594</v>
      </c>
      <c r="E204" s="4" t="s">
        <v>362</v>
      </c>
      <c r="F204" s="2" t="s">
        <v>2595</v>
      </c>
      <c r="G204" s="2" t="s">
        <v>2596</v>
      </c>
      <c r="H204" s="2" t="s">
        <v>368</v>
      </c>
      <c r="I204" s="2" t="s">
        <v>214</v>
      </c>
      <c r="J204" s="2" t="s">
        <v>100</v>
      </c>
      <c r="K204" s="2" t="s">
        <v>101</v>
      </c>
      <c r="L204" s="2" t="s">
        <v>374</v>
      </c>
      <c r="M204" s="2" t="s">
        <v>204</v>
      </c>
      <c r="N204" s="2" t="s">
        <v>2066</v>
      </c>
      <c r="O204" s="2" t="s">
        <v>164</v>
      </c>
      <c r="P204" s="2" t="s">
        <v>2597</v>
      </c>
      <c r="Q204" s="2" t="s">
        <v>111</v>
      </c>
      <c r="R204" s="2" t="s">
        <v>453</v>
      </c>
      <c r="S204" s="2" t="s">
        <v>105</v>
      </c>
      <c r="T204" s="150">
        <v>2</v>
      </c>
      <c r="U204" s="2" t="s">
        <v>2598</v>
      </c>
      <c r="V204" s="162">
        <v>3.4500000000000003E-2</v>
      </c>
      <c r="W204" s="164">
        <v>5.8250000000000003E-2</v>
      </c>
      <c r="X204" s="4" t="s">
        <v>459</v>
      </c>
      <c r="Y204" s="4" t="s">
        <v>164</v>
      </c>
      <c r="Z204" s="150">
        <v>273000</v>
      </c>
      <c r="AA204" s="150">
        <v>3.681</v>
      </c>
      <c r="AB204" s="150">
        <v>96.599000000000004</v>
      </c>
      <c r="AD204" s="150">
        <v>970.73699999999997</v>
      </c>
      <c r="AG204" s="2" t="s">
        <v>37</v>
      </c>
      <c r="AH204" s="164">
        <v>1.44E-4</v>
      </c>
      <c r="AI204" s="164">
        <v>7.03770553456959E-3</v>
      </c>
      <c r="AJ204" s="164">
        <v>4.1887650991644001E-4</v>
      </c>
    </row>
    <row r="205" spans="1:36">
      <c r="A205" s="2" t="s">
        <v>128</v>
      </c>
      <c r="B205" s="2">
        <v>7228</v>
      </c>
      <c r="C205" s="2" t="s">
        <v>2497</v>
      </c>
      <c r="D205" s="2" t="s">
        <v>2498</v>
      </c>
      <c r="E205" s="4" t="s">
        <v>361</v>
      </c>
      <c r="F205" s="2" t="s">
        <v>2499</v>
      </c>
      <c r="G205" s="2" t="s">
        <v>2500</v>
      </c>
      <c r="H205" s="2" t="s">
        <v>368</v>
      </c>
      <c r="I205" s="2" t="s">
        <v>214</v>
      </c>
      <c r="J205" s="2" t="s">
        <v>100</v>
      </c>
      <c r="K205" s="2" t="s">
        <v>283</v>
      </c>
      <c r="L205" s="2" t="s">
        <v>374</v>
      </c>
      <c r="M205" s="2" t="s">
        <v>32</v>
      </c>
      <c r="N205" s="2" t="s">
        <v>509</v>
      </c>
      <c r="O205" s="2" t="s">
        <v>164</v>
      </c>
      <c r="P205" s="2" t="s">
        <v>1396</v>
      </c>
      <c r="Q205" s="2" t="s">
        <v>104</v>
      </c>
      <c r="R205" s="2" t="s">
        <v>453</v>
      </c>
      <c r="S205" s="2" t="s">
        <v>35</v>
      </c>
      <c r="T205" s="150">
        <v>3.25</v>
      </c>
      <c r="U205" s="2" t="s">
        <v>2501</v>
      </c>
      <c r="V205" s="162">
        <v>4.2999999999999997E-2</v>
      </c>
      <c r="W205" s="164">
        <v>8.4360000000000004E-2</v>
      </c>
      <c r="X205" s="4" t="s">
        <v>459</v>
      </c>
      <c r="Y205" s="4" t="s">
        <v>164</v>
      </c>
      <c r="Z205" s="150">
        <v>2388811.1</v>
      </c>
      <c r="AA205" s="150">
        <v>1</v>
      </c>
      <c r="AB205" s="150">
        <v>86.78</v>
      </c>
      <c r="AD205" s="150">
        <v>2073.0100000000002</v>
      </c>
      <c r="AG205" s="2" t="s">
        <v>37</v>
      </c>
      <c r="AH205" s="164">
        <v>2.0569999999999998E-3</v>
      </c>
      <c r="AI205" s="164">
        <v>1.5029031719522299E-2</v>
      </c>
      <c r="AJ205" s="164">
        <v>8.9451147439660204E-4</v>
      </c>
    </row>
    <row r="206" spans="1:36">
      <c r="A206" s="2" t="s">
        <v>128</v>
      </c>
      <c r="B206" s="2">
        <v>7229</v>
      </c>
      <c r="C206" s="2" t="s">
        <v>2246</v>
      </c>
      <c r="D206" s="2" t="s">
        <v>2247</v>
      </c>
      <c r="E206" s="4" t="s">
        <v>1380</v>
      </c>
      <c r="F206" s="2" t="s">
        <v>2248</v>
      </c>
      <c r="G206" s="2" t="s">
        <v>2249</v>
      </c>
      <c r="H206" s="2" t="s">
        <v>368</v>
      </c>
      <c r="I206" s="2" t="s">
        <v>219</v>
      </c>
      <c r="J206" s="2" t="s">
        <v>31</v>
      </c>
      <c r="K206" s="2" t="s">
        <v>31</v>
      </c>
      <c r="L206" s="2" t="s">
        <v>374</v>
      </c>
      <c r="M206" s="2" t="s">
        <v>32</v>
      </c>
      <c r="N206" s="2" t="s">
        <v>500</v>
      </c>
      <c r="O206" s="2" t="s">
        <v>164</v>
      </c>
      <c r="P206" s="2" t="s">
        <v>1391</v>
      </c>
      <c r="Q206" s="2" t="s">
        <v>217</v>
      </c>
      <c r="R206" s="2" t="s">
        <v>453</v>
      </c>
      <c r="S206" s="2" t="s">
        <v>35</v>
      </c>
      <c r="T206" s="150">
        <v>5.6740000000000004</v>
      </c>
      <c r="U206" s="2" t="s">
        <v>2250</v>
      </c>
      <c r="V206" s="162">
        <v>5.1499999999999997E-2</v>
      </c>
      <c r="W206" s="164">
        <v>2.9309999999999999E-2</v>
      </c>
      <c r="X206" s="4" t="s">
        <v>459</v>
      </c>
      <c r="Y206" s="4" t="s">
        <v>164</v>
      </c>
      <c r="Z206" s="150">
        <v>257958.28</v>
      </c>
      <c r="AA206" s="150">
        <v>1</v>
      </c>
      <c r="AB206" s="150">
        <v>154.27000000000001</v>
      </c>
      <c r="AD206" s="150">
        <v>397.952</v>
      </c>
      <c r="AG206" s="2" t="s">
        <v>37</v>
      </c>
      <c r="AH206" s="164">
        <v>8.2000000000000001E-5</v>
      </c>
      <c r="AI206" s="164">
        <v>2.41918602340081E-2</v>
      </c>
      <c r="AJ206" s="164">
        <v>2.7760090206606701E-3</v>
      </c>
    </row>
    <row r="207" spans="1:36">
      <c r="A207" s="2" t="s">
        <v>128</v>
      </c>
      <c r="B207" s="2">
        <v>7229</v>
      </c>
      <c r="C207" s="2" t="s">
        <v>2251</v>
      </c>
      <c r="D207" s="2" t="s">
        <v>2252</v>
      </c>
      <c r="E207" s="4" t="s">
        <v>1380</v>
      </c>
      <c r="F207" s="2" t="s">
        <v>2253</v>
      </c>
      <c r="G207" s="2" t="s">
        <v>2254</v>
      </c>
      <c r="H207" s="2" t="s">
        <v>368</v>
      </c>
      <c r="I207" s="2" t="s">
        <v>219</v>
      </c>
      <c r="J207" s="2" t="s">
        <v>31</v>
      </c>
      <c r="K207" s="2" t="s">
        <v>31</v>
      </c>
      <c r="L207" s="2" t="s">
        <v>374</v>
      </c>
      <c r="M207" s="2" t="s">
        <v>32</v>
      </c>
      <c r="N207" s="2" t="s">
        <v>484</v>
      </c>
      <c r="O207" s="2" t="s">
        <v>164</v>
      </c>
      <c r="P207" s="2" t="s">
        <v>2255</v>
      </c>
      <c r="Q207" s="2" t="s">
        <v>217</v>
      </c>
      <c r="R207" s="2" t="s">
        <v>453</v>
      </c>
      <c r="S207" s="2" t="s">
        <v>35</v>
      </c>
      <c r="T207" s="150">
        <v>3.3180000000000001</v>
      </c>
      <c r="U207" s="2" t="s">
        <v>2256</v>
      </c>
      <c r="V207" s="162">
        <v>2.75E-2</v>
      </c>
      <c r="W207" s="164">
        <v>2.7689999999999999E-2</v>
      </c>
      <c r="X207" s="4" t="s">
        <v>459</v>
      </c>
      <c r="Y207" s="4" t="s">
        <v>164</v>
      </c>
      <c r="Z207" s="150">
        <v>320507.92</v>
      </c>
      <c r="AA207" s="150">
        <v>1</v>
      </c>
      <c r="AB207" s="150">
        <v>110.77</v>
      </c>
      <c r="AD207" s="150">
        <v>355.02699999999999</v>
      </c>
      <c r="AG207" s="2" t="s">
        <v>37</v>
      </c>
      <c r="AH207" s="164">
        <v>3.5500000000000001E-4</v>
      </c>
      <c r="AI207" s="164">
        <v>2.15823749949134E-2</v>
      </c>
      <c r="AJ207" s="164">
        <v>2.47657133819487E-3</v>
      </c>
    </row>
    <row r="208" spans="1:36">
      <c r="A208" s="2" t="s">
        <v>128</v>
      </c>
      <c r="B208" s="2">
        <v>7229</v>
      </c>
      <c r="C208" s="2" t="s">
        <v>2251</v>
      </c>
      <c r="D208" s="2" t="s">
        <v>2252</v>
      </c>
      <c r="E208" s="4" t="s">
        <v>1380</v>
      </c>
      <c r="F208" s="2" t="s">
        <v>2257</v>
      </c>
      <c r="G208" s="2" t="s">
        <v>2258</v>
      </c>
      <c r="H208" s="2" t="s">
        <v>368</v>
      </c>
      <c r="I208" s="2" t="s">
        <v>1011</v>
      </c>
      <c r="J208" s="2" t="s">
        <v>31</v>
      </c>
      <c r="K208" s="2" t="s">
        <v>31</v>
      </c>
      <c r="L208" s="2" t="s">
        <v>374</v>
      </c>
      <c r="M208" s="2" t="s">
        <v>32</v>
      </c>
      <c r="N208" s="2" t="s">
        <v>484</v>
      </c>
      <c r="O208" s="2" t="s">
        <v>164</v>
      </c>
      <c r="P208" s="2" t="s">
        <v>2255</v>
      </c>
      <c r="Q208" s="2" t="s">
        <v>217</v>
      </c>
      <c r="R208" s="2" t="s">
        <v>453</v>
      </c>
      <c r="S208" s="2" t="s">
        <v>35</v>
      </c>
      <c r="T208" s="150">
        <v>3.532</v>
      </c>
      <c r="U208" s="2" t="s">
        <v>2259</v>
      </c>
      <c r="V208" s="162">
        <v>2.5000000000000001E-2</v>
      </c>
      <c r="W208" s="164">
        <v>5.5169999999999997E-2</v>
      </c>
      <c r="X208" s="4" t="s">
        <v>459</v>
      </c>
      <c r="Y208" s="4" t="s">
        <v>164</v>
      </c>
      <c r="Z208" s="150">
        <v>261250</v>
      </c>
      <c r="AA208" s="150">
        <v>1</v>
      </c>
      <c r="AB208" s="150">
        <v>90.36</v>
      </c>
      <c r="AD208" s="150">
        <v>236.065</v>
      </c>
      <c r="AG208" s="2" t="s">
        <v>37</v>
      </c>
      <c r="AH208" s="164">
        <v>3.0699999999999998E-4</v>
      </c>
      <c r="AI208" s="164">
        <v>1.4350625599678901E-2</v>
      </c>
      <c r="AJ208" s="164">
        <v>1.6467301700441501E-3</v>
      </c>
    </row>
    <row r="209" spans="1:36">
      <c r="A209" s="2" t="s">
        <v>128</v>
      </c>
      <c r="B209" s="2">
        <v>7229</v>
      </c>
      <c r="C209" s="2" t="s">
        <v>2260</v>
      </c>
      <c r="D209" s="2" t="s">
        <v>2261</v>
      </c>
      <c r="E209" s="4" t="s">
        <v>1380</v>
      </c>
      <c r="F209" s="2" t="s">
        <v>2599</v>
      </c>
      <c r="G209" s="2" t="s">
        <v>2600</v>
      </c>
      <c r="H209" s="2" t="s">
        <v>368</v>
      </c>
      <c r="I209" s="2" t="s">
        <v>1011</v>
      </c>
      <c r="J209" s="2" t="s">
        <v>31</v>
      </c>
      <c r="K209" s="2" t="s">
        <v>31</v>
      </c>
      <c r="L209" s="2" t="s">
        <v>374</v>
      </c>
      <c r="M209" s="2" t="s">
        <v>32</v>
      </c>
      <c r="N209" s="2" t="s">
        <v>491</v>
      </c>
      <c r="O209" s="2" t="s">
        <v>164</v>
      </c>
      <c r="P209" s="2" t="s">
        <v>2244</v>
      </c>
      <c r="Q209" s="2" t="s">
        <v>104</v>
      </c>
      <c r="R209" s="2" t="s">
        <v>453</v>
      </c>
      <c r="S209" s="2" t="s">
        <v>35</v>
      </c>
      <c r="T209" s="150">
        <v>1.845</v>
      </c>
      <c r="U209" s="2" t="s">
        <v>2407</v>
      </c>
      <c r="V209" s="162">
        <v>2.9499999999999998E-2</v>
      </c>
      <c r="W209" s="164">
        <v>5.2789999999999997E-2</v>
      </c>
      <c r="X209" s="4" t="s">
        <v>459</v>
      </c>
      <c r="Y209" s="4" t="s">
        <v>164</v>
      </c>
      <c r="Z209" s="150">
        <v>162400</v>
      </c>
      <c r="AA209" s="150">
        <v>1</v>
      </c>
      <c r="AB209" s="150">
        <v>96.75</v>
      </c>
      <c r="AD209" s="150">
        <v>157.12200000000001</v>
      </c>
      <c r="AG209" s="2" t="s">
        <v>37</v>
      </c>
      <c r="AH209" s="164">
        <v>4.1100000000000002E-4</v>
      </c>
      <c r="AI209" s="164">
        <v>9.5515820629136598E-3</v>
      </c>
      <c r="AJ209" s="164">
        <v>1.09604130115445E-3</v>
      </c>
    </row>
    <row r="210" spans="1:36">
      <c r="A210" s="2" t="s">
        <v>128</v>
      </c>
      <c r="B210" s="2">
        <v>7229</v>
      </c>
      <c r="C210" s="2" t="s">
        <v>2260</v>
      </c>
      <c r="D210" s="2" t="s">
        <v>2261</v>
      </c>
      <c r="E210" s="4" t="s">
        <v>1380</v>
      </c>
      <c r="F210" s="2" t="s">
        <v>2262</v>
      </c>
      <c r="G210" s="2" t="s">
        <v>2263</v>
      </c>
      <c r="H210" s="2" t="s">
        <v>368</v>
      </c>
      <c r="I210" s="2" t="s">
        <v>1011</v>
      </c>
      <c r="J210" s="2" t="s">
        <v>31</v>
      </c>
      <c r="K210" s="2" t="s">
        <v>31</v>
      </c>
      <c r="L210" s="2" t="s">
        <v>374</v>
      </c>
      <c r="M210" s="2" t="s">
        <v>32</v>
      </c>
      <c r="N210" s="2" t="s">
        <v>491</v>
      </c>
      <c r="O210" s="2" t="s">
        <v>164</v>
      </c>
      <c r="P210" s="2" t="s">
        <v>2244</v>
      </c>
      <c r="Q210" s="2" t="s">
        <v>104</v>
      </c>
      <c r="R210" s="2" t="s">
        <v>453</v>
      </c>
      <c r="S210" s="2" t="s">
        <v>35</v>
      </c>
      <c r="T210" s="150">
        <v>2.7250000000000001</v>
      </c>
      <c r="U210" s="2" t="s">
        <v>2264</v>
      </c>
      <c r="V210" s="162">
        <v>2.5499999999999998E-2</v>
      </c>
      <c r="W210" s="164">
        <v>5.373E-2</v>
      </c>
      <c r="X210" s="4" t="s">
        <v>459</v>
      </c>
      <c r="Y210" s="4" t="s">
        <v>164</v>
      </c>
      <c r="Z210" s="150">
        <v>152955</v>
      </c>
      <c r="AA210" s="150">
        <v>1</v>
      </c>
      <c r="AB210" s="150">
        <v>93.65</v>
      </c>
      <c r="AD210" s="150">
        <v>143.24199999999999</v>
      </c>
      <c r="AG210" s="2" t="s">
        <v>37</v>
      </c>
      <c r="AH210" s="164">
        <v>2.63E-4</v>
      </c>
      <c r="AI210" s="164">
        <v>8.70782660955478E-3</v>
      </c>
      <c r="AJ210" s="164">
        <v>9.992206049740421E-4</v>
      </c>
    </row>
    <row r="211" spans="1:36">
      <c r="A211" s="2" t="s">
        <v>128</v>
      </c>
      <c r="B211" s="2">
        <v>7229</v>
      </c>
      <c r="C211" s="2" t="s">
        <v>2265</v>
      </c>
      <c r="D211" s="2" t="s">
        <v>2266</v>
      </c>
      <c r="E211" s="4" t="s">
        <v>1380</v>
      </c>
      <c r="F211" s="2" t="s">
        <v>2267</v>
      </c>
      <c r="G211" s="2" t="s">
        <v>2268</v>
      </c>
      <c r="H211" s="2" t="s">
        <v>368</v>
      </c>
      <c r="I211" s="2" t="s">
        <v>1011</v>
      </c>
      <c r="J211" s="2" t="s">
        <v>31</v>
      </c>
      <c r="K211" s="2" t="s">
        <v>31</v>
      </c>
      <c r="L211" s="2" t="s">
        <v>374</v>
      </c>
      <c r="M211" s="2" t="s">
        <v>32</v>
      </c>
      <c r="N211" s="2" t="s">
        <v>489</v>
      </c>
      <c r="O211" s="2" t="s">
        <v>164</v>
      </c>
      <c r="P211" s="2" t="s">
        <v>2244</v>
      </c>
      <c r="Q211" s="2" t="s">
        <v>104</v>
      </c>
      <c r="R211" s="2" t="s">
        <v>453</v>
      </c>
      <c r="S211" s="2" t="s">
        <v>35</v>
      </c>
      <c r="T211" s="150">
        <v>4.4509999999999996</v>
      </c>
      <c r="U211" s="2" t="s">
        <v>2269</v>
      </c>
      <c r="V211" s="162">
        <v>2.18E-2</v>
      </c>
      <c r="W211" s="164">
        <v>5.4129999999999998E-2</v>
      </c>
      <c r="X211" s="4" t="s">
        <v>459</v>
      </c>
      <c r="Y211" s="4" t="s">
        <v>164</v>
      </c>
      <c r="Z211" s="150">
        <v>328903</v>
      </c>
      <c r="AA211" s="150">
        <v>1</v>
      </c>
      <c r="AB211" s="150">
        <v>87.63</v>
      </c>
      <c r="AD211" s="150">
        <v>288.21800000000002</v>
      </c>
      <c r="AG211" s="2" t="s">
        <v>37</v>
      </c>
      <c r="AH211" s="164">
        <v>2.0010000000000002E-3</v>
      </c>
      <c r="AI211" s="164">
        <v>1.7521002806911101E-2</v>
      </c>
      <c r="AJ211" s="164">
        <v>2.0105300449211301E-3</v>
      </c>
    </row>
    <row r="212" spans="1:36">
      <c r="A212" s="2" t="s">
        <v>128</v>
      </c>
      <c r="B212" s="2">
        <v>7229</v>
      </c>
      <c r="C212" s="2" t="s">
        <v>1847</v>
      </c>
      <c r="D212" s="2" t="s">
        <v>1848</v>
      </c>
      <c r="E212" s="4" t="s">
        <v>1380</v>
      </c>
      <c r="F212" s="2" t="s">
        <v>2517</v>
      </c>
      <c r="G212" s="2" t="s">
        <v>2518</v>
      </c>
      <c r="H212" s="2" t="s">
        <v>368</v>
      </c>
      <c r="I212" s="2" t="s">
        <v>1011</v>
      </c>
      <c r="J212" s="2" t="s">
        <v>31</v>
      </c>
      <c r="K212" s="2" t="s">
        <v>31</v>
      </c>
      <c r="L212" s="2" t="s">
        <v>374</v>
      </c>
      <c r="M212" s="2" t="s">
        <v>32</v>
      </c>
      <c r="N212" s="2" t="s">
        <v>500</v>
      </c>
      <c r="O212" s="2" t="s">
        <v>164</v>
      </c>
      <c r="P212" s="2" t="s">
        <v>2274</v>
      </c>
      <c r="Q212" s="2" t="s">
        <v>217</v>
      </c>
      <c r="R212" s="2" t="s">
        <v>453</v>
      </c>
      <c r="S212" s="2" t="s">
        <v>35</v>
      </c>
      <c r="T212" s="150">
        <v>8.0120000000000005</v>
      </c>
      <c r="U212" s="2" t="s">
        <v>2519</v>
      </c>
      <c r="V212" s="162">
        <v>2.4E-2</v>
      </c>
      <c r="W212" s="164">
        <v>5.2470000000000003E-2</v>
      </c>
      <c r="X212" s="4" t="s">
        <v>459</v>
      </c>
      <c r="Y212" s="4" t="s">
        <v>164</v>
      </c>
      <c r="Z212" s="150">
        <v>384000</v>
      </c>
      <c r="AA212" s="150">
        <v>1</v>
      </c>
      <c r="AB212" s="150">
        <v>80.510000000000005</v>
      </c>
      <c r="AD212" s="150">
        <v>309.15800000000002</v>
      </c>
      <c r="AG212" s="2" t="s">
        <v>37</v>
      </c>
      <c r="AH212" s="164">
        <v>5.1099999999999995E-4</v>
      </c>
      <c r="AI212" s="164">
        <v>1.8794006110150599E-2</v>
      </c>
      <c r="AJ212" s="164">
        <v>2.1566068087144302E-3</v>
      </c>
    </row>
    <row r="213" spans="1:36">
      <c r="A213" s="2" t="s">
        <v>128</v>
      </c>
      <c r="B213" s="2">
        <v>7229</v>
      </c>
      <c r="C213" s="2" t="s">
        <v>2270</v>
      </c>
      <c r="D213" s="2" t="s">
        <v>2271</v>
      </c>
      <c r="E213" s="4" t="s">
        <v>1380</v>
      </c>
      <c r="F213" s="2" t="s">
        <v>2272</v>
      </c>
      <c r="G213" s="2" t="s">
        <v>2273</v>
      </c>
      <c r="H213" s="2" t="s">
        <v>368</v>
      </c>
      <c r="I213" s="2" t="s">
        <v>219</v>
      </c>
      <c r="J213" s="2" t="s">
        <v>31</v>
      </c>
      <c r="K213" s="2" t="s">
        <v>31</v>
      </c>
      <c r="L213" s="2" t="s">
        <v>374</v>
      </c>
      <c r="M213" s="2" t="s">
        <v>32</v>
      </c>
      <c r="N213" s="2" t="s">
        <v>508</v>
      </c>
      <c r="O213" s="2" t="s">
        <v>164</v>
      </c>
      <c r="P213" s="2" t="s">
        <v>2274</v>
      </c>
      <c r="Q213" s="2" t="s">
        <v>217</v>
      </c>
      <c r="R213" s="2" t="s">
        <v>453</v>
      </c>
      <c r="S213" s="2" t="s">
        <v>35</v>
      </c>
      <c r="T213" s="150">
        <v>2.698</v>
      </c>
      <c r="U213" s="2" t="s">
        <v>65</v>
      </c>
      <c r="V213" s="162">
        <v>2.3400000000000001E-2</v>
      </c>
      <c r="W213" s="164">
        <v>2.1569999999999999E-2</v>
      </c>
      <c r="X213" s="4" t="s">
        <v>459</v>
      </c>
      <c r="Y213" s="4" t="s">
        <v>164</v>
      </c>
      <c r="Z213" s="150">
        <v>154000.01999999999</v>
      </c>
      <c r="AA213" s="150">
        <v>1</v>
      </c>
      <c r="AB213" s="150">
        <v>111.84</v>
      </c>
      <c r="AD213" s="150">
        <v>172.23400000000001</v>
      </c>
      <c r="AG213" s="2" t="s">
        <v>37</v>
      </c>
      <c r="AH213" s="164">
        <v>5.8999999999999998E-5</v>
      </c>
      <c r="AI213" s="164">
        <v>1.04702306363261E-2</v>
      </c>
      <c r="AJ213" s="164">
        <v>1.20145596137248E-3</v>
      </c>
    </row>
    <row r="214" spans="1:36">
      <c r="A214" s="2" t="s">
        <v>128</v>
      </c>
      <c r="B214" s="2">
        <v>7229</v>
      </c>
      <c r="C214" s="2" t="s">
        <v>2275</v>
      </c>
      <c r="D214" s="2" t="s">
        <v>2276</v>
      </c>
      <c r="E214" s="4" t="s">
        <v>1380</v>
      </c>
      <c r="F214" s="2" t="s">
        <v>2277</v>
      </c>
      <c r="G214" s="2" t="s">
        <v>2278</v>
      </c>
      <c r="H214" s="2" t="s">
        <v>368</v>
      </c>
      <c r="I214" s="2" t="s">
        <v>1011</v>
      </c>
      <c r="J214" s="2" t="s">
        <v>31</v>
      </c>
      <c r="K214" s="2" t="s">
        <v>31</v>
      </c>
      <c r="L214" s="2" t="s">
        <v>374</v>
      </c>
      <c r="M214" s="2" t="s">
        <v>32</v>
      </c>
      <c r="N214" s="2" t="s">
        <v>508</v>
      </c>
      <c r="O214" s="2" t="s">
        <v>164</v>
      </c>
      <c r="P214" s="2" t="s">
        <v>1391</v>
      </c>
      <c r="Q214" s="2" t="s">
        <v>217</v>
      </c>
      <c r="R214" s="2" t="s">
        <v>453</v>
      </c>
      <c r="S214" s="2" t="s">
        <v>35</v>
      </c>
      <c r="T214" s="150">
        <v>4.8369999999999997</v>
      </c>
      <c r="U214" s="2" t="s">
        <v>2279</v>
      </c>
      <c r="V214" s="162">
        <v>2.41E-2</v>
      </c>
      <c r="W214" s="164">
        <v>5.7450000000000001E-2</v>
      </c>
      <c r="X214" s="4" t="s">
        <v>459</v>
      </c>
      <c r="Y214" s="4" t="s">
        <v>164</v>
      </c>
      <c r="Z214" s="150">
        <v>133333.32999999999</v>
      </c>
      <c r="AA214" s="150">
        <v>1</v>
      </c>
      <c r="AB214" s="150">
        <v>85.75</v>
      </c>
      <c r="AD214" s="150">
        <v>114.333</v>
      </c>
      <c r="AG214" s="2" t="s">
        <v>37</v>
      </c>
      <c r="AH214" s="164">
        <v>8.6000000000000003E-5</v>
      </c>
      <c r="AI214" s="164">
        <v>6.9504218922759996E-3</v>
      </c>
      <c r="AJ214" s="164">
        <v>7.9755891790545604E-4</v>
      </c>
    </row>
    <row r="215" spans="1:36">
      <c r="A215" s="2" t="s">
        <v>128</v>
      </c>
      <c r="B215" s="2">
        <v>7229</v>
      </c>
      <c r="C215" s="2" t="s">
        <v>2275</v>
      </c>
      <c r="D215" s="2" t="s">
        <v>2276</v>
      </c>
      <c r="E215" s="4" t="s">
        <v>1380</v>
      </c>
      <c r="F215" s="2" t="s">
        <v>2280</v>
      </c>
      <c r="G215" s="2" t="s">
        <v>2281</v>
      </c>
      <c r="H215" s="2" t="s">
        <v>368</v>
      </c>
      <c r="I215" s="2" t="s">
        <v>1011</v>
      </c>
      <c r="J215" s="2" t="s">
        <v>31</v>
      </c>
      <c r="K215" s="2" t="s">
        <v>31</v>
      </c>
      <c r="L215" s="2" t="s">
        <v>374</v>
      </c>
      <c r="M215" s="2" t="s">
        <v>32</v>
      </c>
      <c r="N215" s="2" t="s">
        <v>508</v>
      </c>
      <c r="O215" s="2" t="s">
        <v>164</v>
      </c>
      <c r="P215" s="2" t="s">
        <v>1396</v>
      </c>
      <c r="Q215" s="2" t="s">
        <v>104</v>
      </c>
      <c r="R215" s="2" t="s">
        <v>453</v>
      </c>
      <c r="S215" s="2" t="s">
        <v>35</v>
      </c>
      <c r="T215" s="150">
        <v>6.7889999999999997</v>
      </c>
      <c r="U215" s="2" t="s">
        <v>2282</v>
      </c>
      <c r="V215" s="162">
        <v>4.9399999999999999E-2</v>
      </c>
      <c r="W215" s="164">
        <v>6.2219999999999998E-2</v>
      </c>
      <c r="X215" s="4" t="s">
        <v>459</v>
      </c>
      <c r="Y215" s="4" t="s">
        <v>164</v>
      </c>
      <c r="Z215" s="150">
        <v>153881</v>
      </c>
      <c r="AA215" s="150">
        <v>1</v>
      </c>
      <c r="AB215" s="150">
        <v>92.4</v>
      </c>
      <c r="AD215" s="150">
        <v>142.18600000000001</v>
      </c>
      <c r="AG215" s="2" t="s">
        <v>37</v>
      </c>
      <c r="AH215" s="164">
        <v>2.9E-4</v>
      </c>
      <c r="AI215" s="164">
        <v>8.6436123997088408E-3</v>
      </c>
      <c r="AJ215" s="164">
        <v>9.9185204281872891E-4</v>
      </c>
    </row>
    <row r="216" spans="1:36">
      <c r="A216" s="2" t="s">
        <v>128</v>
      </c>
      <c r="B216" s="2">
        <v>7229</v>
      </c>
      <c r="C216" s="2" t="s">
        <v>1867</v>
      </c>
      <c r="D216" s="2" t="s">
        <v>1868</v>
      </c>
      <c r="E216" s="4" t="s">
        <v>1380</v>
      </c>
      <c r="F216" s="2" t="s">
        <v>2283</v>
      </c>
      <c r="G216" s="2" t="s">
        <v>2284</v>
      </c>
      <c r="H216" s="2" t="s">
        <v>368</v>
      </c>
      <c r="I216" s="2" t="s">
        <v>1011</v>
      </c>
      <c r="J216" s="2" t="s">
        <v>31</v>
      </c>
      <c r="K216" s="2" t="s">
        <v>31</v>
      </c>
      <c r="L216" s="2" t="s">
        <v>374</v>
      </c>
      <c r="M216" s="2" t="s">
        <v>32</v>
      </c>
      <c r="N216" s="2" t="s">
        <v>495</v>
      </c>
      <c r="O216" s="2" t="s">
        <v>164</v>
      </c>
      <c r="P216" s="2" t="s">
        <v>2285</v>
      </c>
      <c r="Q216" s="2" t="s">
        <v>217</v>
      </c>
      <c r="R216" s="2" t="s">
        <v>453</v>
      </c>
      <c r="S216" s="2" t="s">
        <v>35</v>
      </c>
      <c r="T216" s="150">
        <v>3.41</v>
      </c>
      <c r="U216" s="2" t="s">
        <v>2286</v>
      </c>
      <c r="V216" s="162">
        <v>0.04</v>
      </c>
      <c r="W216" s="164">
        <v>5.0200000000000002E-2</v>
      </c>
      <c r="X216" s="4" t="s">
        <v>459</v>
      </c>
      <c r="Y216" s="4" t="s">
        <v>164</v>
      </c>
      <c r="Z216" s="150">
        <v>262500.03999999998</v>
      </c>
      <c r="AA216" s="150">
        <v>1</v>
      </c>
      <c r="AB216" s="150">
        <v>97.7</v>
      </c>
      <c r="AD216" s="150">
        <v>256.46300000000002</v>
      </c>
      <c r="AG216" s="2" t="s">
        <v>37</v>
      </c>
      <c r="AH216" s="164">
        <v>3.39E-4</v>
      </c>
      <c r="AI216" s="164">
        <v>1.5590579219242499E-2</v>
      </c>
      <c r="AJ216" s="164">
        <v>1.78901449211834E-3</v>
      </c>
    </row>
    <row r="217" spans="1:36">
      <c r="A217" s="2" t="s">
        <v>128</v>
      </c>
      <c r="B217" s="2">
        <v>7229</v>
      </c>
      <c r="C217" s="2" t="s">
        <v>2601</v>
      </c>
      <c r="D217" s="2" t="s">
        <v>2602</v>
      </c>
      <c r="E217" s="4" t="s">
        <v>1380</v>
      </c>
      <c r="F217" s="2" t="s">
        <v>2603</v>
      </c>
      <c r="G217" s="2" t="s">
        <v>2604</v>
      </c>
      <c r="H217" s="2" t="s">
        <v>368</v>
      </c>
      <c r="I217" s="2" t="s">
        <v>219</v>
      </c>
      <c r="J217" s="2" t="s">
        <v>31</v>
      </c>
      <c r="K217" s="2" t="s">
        <v>31</v>
      </c>
      <c r="L217" s="2" t="s">
        <v>374</v>
      </c>
      <c r="M217" s="2" t="s">
        <v>32</v>
      </c>
      <c r="N217" s="2" t="s">
        <v>508</v>
      </c>
      <c r="O217" s="2" t="s">
        <v>164</v>
      </c>
      <c r="P217" s="2" t="s">
        <v>2399</v>
      </c>
      <c r="Q217" s="2" t="s">
        <v>104</v>
      </c>
      <c r="R217" s="2" t="s">
        <v>453</v>
      </c>
      <c r="S217" s="2" t="s">
        <v>35</v>
      </c>
      <c r="T217" s="150">
        <v>2.036</v>
      </c>
      <c r="U217" s="2" t="s">
        <v>2605</v>
      </c>
      <c r="V217" s="162">
        <v>3.2000000000000001E-2</v>
      </c>
      <c r="W217" s="164">
        <v>2.1000000000000001E-2</v>
      </c>
      <c r="X217" s="4" t="s">
        <v>459</v>
      </c>
      <c r="Y217" s="4" t="s">
        <v>164</v>
      </c>
      <c r="Z217" s="150">
        <v>390141</v>
      </c>
      <c r="AA217" s="150">
        <v>1</v>
      </c>
      <c r="AB217" s="150">
        <v>116.39</v>
      </c>
      <c r="AD217" s="150">
        <v>454.08499999999998</v>
      </c>
      <c r="AG217" s="2" t="s">
        <v>37</v>
      </c>
      <c r="AH217" s="164">
        <v>2.7799999999999998E-4</v>
      </c>
      <c r="AI217" s="164">
        <v>2.7604225956626201E-2</v>
      </c>
      <c r="AJ217" s="164">
        <v>3.1675770082462001E-3</v>
      </c>
    </row>
    <row r="218" spans="1:36">
      <c r="A218" s="2" t="s">
        <v>128</v>
      </c>
      <c r="B218" s="2">
        <v>7229</v>
      </c>
      <c r="C218" s="2" t="s">
        <v>2601</v>
      </c>
      <c r="D218" s="2" t="s">
        <v>2602</v>
      </c>
      <c r="E218" s="4" t="s">
        <v>1380</v>
      </c>
      <c r="F218" s="2" t="s">
        <v>2606</v>
      </c>
      <c r="G218" s="2" t="s">
        <v>2607</v>
      </c>
      <c r="H218" s="2" t="s">
        <v>368</v>
      </c>
      <c r="I218" s="2" t="s">
        <v>1011</v>
      </c>
      <c r="J218" s="2" t="s">
        <v>31</v>
      </c>
      <c r="K218" s="2" t="s">
        <v>31</v>
      </c>
      <c r="L218" s="2" t="s">
        <v>374</v>
      </c>
      <c r="M218" s="2" t="s">
        <v>32</v>
      </c>
      <c r="N218" s="2" t="s">
        <v>508</v>
      </c>
      <c r="O218" s="2" t="s">
        <v>164</v>
      </c>
      <c r="P218" s="2" t="s">
        <v>2399</v>
      </c>
      <c r="Q218" s="2" t="s">
        <v>104</v>
      </c>
      <c r="R218" s="2" t="s">
        <v>453</v>
      </c>
      <c r="S218" s="2" t="s">
        <v>35</v>
      </c>
      <c r="T218" s="150">
        <v>1.244</v>
      </c>
      <c r="U218" s="2" t="s">
        <v>2608</v>
      </c>
      <c r="V218" s="162">
        <v>3.39E-2</v>
      </c>
      <c r="W218" s="164">
        <v>4.4760000000000001E-2</v>
      </c>
      <c r="X218" s="4" t="s">
        <v>459</v>
      </c>
      <c r="Y218" s="4" t="s">
        <v>164</v>
      </c>
      <c r="Z218" s="150">
        <v>127234</v>
      </c>
      <c r="AA218" s="150">
        <v>1</v>
      </c>
      <c r="AB218" s="150">
        <v>99.72</v>
      </c>
      <c r="AD218" s="150">
        <v>126.878</v>
      </c>
      <c r="AG218" s="2" t="s">
        <v>37</v>
      </c>
      <c r="AH218" s="164">
        <v>1.95E-4</v>
      </c>
      <c r="AI218" s="164">
        <v>7.7130076718385501E-3</v>
      </c>
      <c r="AJ218" s="164">
        <v>8.8506541730715399E-4</v>
      </c>
    </row>
    <row r="219" spans="1:36">
      <c r="A219" s="2" t="s">
        <v>128</v>
      </c>
      <c r="B219" s="2">
        <v>7229</v>
      </c>
      <c r="C219" s="2" t="s">
        <v>2287</v>
      </c>
      <c r="D219" s="2" t="s">
        <v>2288</v>
      </c>
      <c r="E219" s="4" t="s">
        <v>1380</v>
      </c>
      <c r="F219" s="2" t="s">
        <v>2289</v>
      </c>
      <c r="G219" s="2" t="s">
        <v>2290</v>
      </c>
      <c r="H219" s="2" t="s">
        <v>368</v>
      </c>
      <c r="I219" s="2" t="s">
        <v>219</v>
      </c>
      <c r="J219" s="2" t="s">
        <v>31</v>
      </c>
      <c r="K219" s="2" t="s">
        <v>31</v>
      </c>
      <c r="L219" s="2" t="s">
        <v>374</v>
      </c>
      <c r="M219" s="2" t="s">
        <v>32</v>
      </c>
      <c r="N219" s="2" t="s">
        <v>509</v>
      </c>
      <c r="O219" s="2" t="s">
        <v>164</v>
      </c>
      <c r="P219" s="2" t="s">
        <v>2244</v>
      </c>
      <c r="Q219" s="2" t="s">
        <v>104</v>
      </c>
      <c r="R219" s="2" t="s">
        <v>453</v>
      </c>
      <c r="S219" s="2" t="s">
        <v>35</v>
      </c>
      <c r="T219" s="150">
        <v>1.9430000000000001</v>
      </c>
      <c r="U219" s="2" t="s">
        <v>2291</v>
      </c>
      <c r="V219" s="162">
        <v>2.5700000000000001E-2</v>
      </c>
      <c r="W219" s="164">
        <v>2.477E-2</v>
      </c>
      <c r="X219" s="4" t="s">
        <v>459</v>
      </c>
      <c r="Y219" s="4" t="s">
        <v>164</v>
      </c>
      <c r="Z219" s="150">
        <v>330471</v>
      </c>
      <c r="AA219" s="150">
        <v>1</v>
      </c>
      <c r="AB219" s="150">
        <v>113.66</v>
      </c>
      <c r="AD219" s="150">
        <v>375.613</v>
      </c>
      <c r="AG219" s="2" t="s">
        <v>37</v>
      </c>
      <c r="AH219" s="164">
        <v>2.5799999999999998E-4</v>
      </c>
      <c r="AI219" s="164">
        <v>2.2833859214895901E-2</v>
      </c>
      <c r="AJ219" s="164">
        <v>2.6201787933587402E-3</v>
      </c>
    </row>
    <row r="220" spans="1:36">
      <c r="A220" s="2" t="s">
        <v>128</v>
      </c>
      <c r="B220" s="2">
        <v>7229</v>
      </c>
      <c r="C220" s="2" t="s">
        <v>2287</v>
      </c>
      <c r="D220" s="2" t="s">
        <v>2288</v>
      </c>
      <c r="E220" s="4" t="s">
        <v>1380</v>
      </c>
      <c r="F220" s="2" t="s">
        <v>2523</v>
      </c>
      <c r="G220" s="2" t="s">
        <v>2524</v>
      </c>
      <c r="H220" s="2" t="s">
        <v>368</v>
      </c>
      <c r="I220" s="2" t="s">
        <v>1011</v>
      </c>
      <c r="J220" s="2" t="s">
        <v>31</v>
      </c>
      <c r="K220" s="2" t="s">
        <v>31</v>
      </c>
      <c r="L220" s="2" t="s">
        <v>374</v>
      </c>
      <c r="M220" s="2" t="s">
        <v>32</v>
      </c>
      <c r="N220" s="2" t="s">
        <v>509</v>
      </c>
      <c r="O220" s="2" t="s">
        <v>164</v>
      </c>
      <c r="P220" s="2" t="s">
        <v>2244</v>
      </c>
      <c r="Q220" s="2" t="s">
        <v>104</v>
      </c>
      <c r="R220" s="2" t="s">
        <v>453</v>
      </c>
      <c r="S220" s="2" t="s">
        <v>35</v>
      </c>
      <c r="T220" s="150">
        <v>3.3340000000000001</v>
      </c>
      <c r="U220" s="2" t="s">
        <v>2525</v>
      </c>
      <c r="V220" s="162">
        <v>3.2500000000000001E-2</v>
      </c>
      <c r="W220" s="164">
        <v>5.5239999999999997E-2</v>
      </c>
      <c r="X220" s="4" t="s">
        <v>459</v>
      </c>
      <c r="Y220" s="4" t="s">
        <v>164</v>
      </c>
      <c r="Z220" s="150">
        <v>255000</v>
      </c>
      <c r="AA220" s="150">
        <v>1</v>
      </c>
      <c r="AB220" s="150">
        <v>93.05</v>
      </c>
      <c r="AD220" s="150">
        <v>237.27799999999999</v>
      </c>
      <c r="AG220" s="2" t="s">
        <v>37</v>
      </c>
      <c r="AH220" s="164">
        <v>7.4299999999999995E-4</v>
      </c>
      <c r="AI220" s="164">
        <v>1.4424304126303101E-2</v>
      </c>
      <c r="AJ220" s="164">
        <v>1.6551847598342401E-3</v>
      </c>
    </row>
    <row r="221" spans="1:36">
      <c r="A221" s="2" t="s">
        <v>128</v>
      </c>
      <c r="B221" s="2">
        <v>7229</v>
      </c>
      <c r="C221" s="2" t="s">
        <v>2287</v>
      </c>
      <c r="D221" s="2" t="s">
        <v>2288</v>
      </c>
      <c r="E221" s="4" t="s">
        <v>1380</v>
      </c>
      <c r="F221" s="2" t="s">
        <v>2292</v>
      </c>
      <c r="G221" s="2" t="s">
        <v>2293</v>
      </c>
      <c r="H221" s="2" t="s">
        <v>368</v>
      </c>
      <c r="I221" s="2" t="s">
        <v>219</v>
      </c>
      <c r="J221" s="2" t="s">
        <v>31</v>
      </c>
      <c r="K221" s="2" t="s">
        <v>31</v>
      </c>
      <c r="L221" s="2" t="s">
        <v>374</v>
      </c>
      <c r="M221" s="2" t="s">
        <v>32</v>
      </c>
      <c r="N221" s="2" t="s">
        <v>509</v>
      </c>
      <c r="O221" s="2" t="s">
        <v>164</v>
      </c>
      <c r="P221" s="2" t="s">
        <v>2244</v>
      </c>
      <c r="Q221" s="2" t="s">
        <v>104</v>
      </c>
      <c r="R221" s="2" t="s">
        <v>453</v>
      </c>
      <c r="S221" s="2" t="s">
        <v>35</v>
      </c>
      <c r="T221" s="150">
        <v>5.6210000000000004</v>
      </c>
      <c r="U221" s="2" t="s">
        <v>2294</v>
      </c>
      <c r="V221" s="162">
        <v>1.54E-2</v>
      </c>
      <c r="W221" s="164">
        <v>3.2969999999999999E-2</v>
      </c>
      <c r="X221" s="4" t="s">
        <v>459</v>
      </c>
      <c r="Y221" s="4" t="s">
        <v>164</v>
      </c>
      <c r="Z221" s="150">
        <v>228000</v>
      </c>
      <c r="AA221" s="150">
        <v>1</v>
      </c>
      <c r="AB221" s="150">
        <v>98.44</v>
      </c>
      <c r="AD221" s="150">
        <v>224.44300000000001</v>
      </c>
      <c r="AG221" s="2" t="s">
        <v>37</v>
      </c>
      <c r="AH221" s="164">
        <v>6.5099999999999999E-4</v>
      </c>
      <c r="AI221" s="164">
        <v>1.3644095946226099E-2</v>
      </c>
      <c r="AJ221" s="164">
        <v>1.56565609502978E-3</v>
      </c>
    </row>
    <row r="222" spans="1:36">
      <c r="A222" s="2" t="s">
        <v>128</v>
      </c>
      <c r="B222" s="2">
        <v>7229</v>
      </c>
      <c r="C222" s="2" t="s">
        <v>2295</v>
      </c>
      <c r="D222" s="2" t="s">
        <v>2296</v>
      </c>
      <c r="E222" s="4" t="s">
        <v>1380</v>
      </c>
      <c r="F222" s="2" t="s">
        <v>2297</v>
      </c>
      <c r="G222" s="2" t="s">
        <v>2298</v>
      </c>
      <c r="H222" s="2" t="s">
        <v>368</v>
      </c>
      <c r="I222" s="2" t="s">
        <v>219</v>
      </c>
      <c r="J222" s="2" t="s">
        <v>31</v>
      </c>
      <c r="K222" s="2" t="s">
        <v>31</v>
      </c>
      <c r="L222" s="2" t="s">
        <v>374</v>
      </c>
      <c r="M222" s="2" t="s">
        <v>32</v>
      </c>
      <c r="N222" s="2" t="s">
        <v>508</v>
      </c>
      <c r="O222" s="2" t="s">
        <v>164</v>
      </c>
      <c r="P222" s="2" t="s">
        <v>2299</v>
      </c>
      <c r="Q222" s="2" t="s">
        <v>217</v>
      </c>
      <c r="R222" s="2" t="s">
        <v>453</v>
      </c>
      <c r="S222" s="2" t="s">
        <v>35</v>
      </c>
      <c r="T222" s="150">
        <v>6.4809999999999999</v>
      </c>
      <c r="U222" s="2" t="s">
        <v>2300</v>
      </c>
      <c r="V222" s="162">
        <v>3.6799999999999999E-2</v>
      </c>
      <c r="W222" s="164">
        <v>3.6380000000000003E-2</v>
      </c>
      <c r="X222" s="4" t="s">
        <v>459</v>
      </c>
      <c r="Y222" s="4" t="s">
        <v>164</v>
      </c>
      <c r="Z222" s="150">
        <v>248000</v>
      </c>
      <c r="AA222" s="150">
        <v>1</v>
      </c>
      <c r="AB222" s="150">
        <v>101.74</v>
      </c>
      <c r="AD222" s="150">
        <v>252.315</v>
      </c>
      <c r="AG222" s="2" t="s">
        <v>37</v>
      </c>
      <c r="AH222" s="164">
        <v>0</v>
      </c>
      <c r="AI222" s="164">
        <v>1.53384588951291E-2</v>
      </c>
      <c r="AJ222" s="164">
        <v>1.76008375726535E-3</v>
      </c>
    </row>
    <row r="223" spans="1:36">
      <c r="A223" s="2" t="s">
        <v>128</v>
      </c>
      <c r="B223" s="2">
        <v>7229</v>
      </c>
      <c r="C223" s="2" t="s">
        <v>2295</v>
      </c>
      <c r="D223" s="2" t="s">
        <v>2296</v>
      </c>
      <c r="E223" s="4" t="s">
        <v>1380</v>
      </c>
      <c r="F223" s="2" t="s">
        <v>2301</v>
      </c>
      <c r="G223" s="2" t="s">
        <v>2302</v>
      </c>
      <c r="H223" s="2" t="s">
        <v>368</v>
      </c>
      <c r="I223" s="2" t="s">
        <v>219</v>
      </c>
      <c r="J223" s="2" t="s">
        <v>31</v>
      </c>
      <c r="K223" s="2" t="s">
        <v>31</v>
      </c>
      <c r="L223" s="2" t="s">
        <v>374</v>
      </c>
      <c r="M223" s="2" t="s">
        <v>32</v>
      </c>
      <c r="N223" s="2" t="s">
        <v>508</v>
      </c>
      <c r="O223" s="2" t="s">
        <v>164</v>
      </c>
      <c r="P223" s="2" t="s">
        <v>2299</v>
      </c>
      <c r="Q223" s="2" t="s">
        <v>217</v>
      </c>
      <c r="R223" s="2" t="s">
        <v>453</v>
      </c>
      <c r="S223" s="2" t="s">
        <v>35</v>
      </c>
      <c r="T223" s="150">
        <v>1.919</v>
      </c>
      <c r="U223" s="2" t="s">
        <v>2303</v>
      </c>
      <c r="V223" s="162">
        <v>3.4599999999999999E-2</v>
      </c>
      <c r="W223" s="164">
        <v>2.6380000000000001E-2</v>
      </c>
      <c r="X223" s="4" t="s">
        <v>459</v>
      </c>
      <c r="Y223" s="4" t="s">
        <v>164</v>
      </c>
      <c r="Z223" s="150">
        <v>154545.45000000001</v>
      </c>
      <c r="AA223" s="150">
        <v>1</v>
      </c>
      <c r="AB223" s="150">
        <v>115.44</v>
      </c>
      <c r="AD223" s="150">
        <v>178.40700000000001</v>
      </c>
      <c r="AG223" s="2" t="s">
        <v>37</v>
      </c>
      <c r="AH223" s="164">
        <v>1.2509999999999999E-3</v>
      </c>
      <c r="AI223" s="164">
        <v>1.08455318539441E-2</v>
      </c>
      <c r="AJ223" s="164">
        <v>1.24452166841174E-3</v>
      </c>
    </row>
    <row r="224" spans="1:36">
      <c r="A224" s="2" t="s">
        <v>128</v>
      </c>
      <c r="B224" s="2">
        <v>7229</v>
      </c>
      <c r="C224" s="2" t="s">
        <v>1883</v>
      </c>
      <c r="D224" s="2" t="s">
        <v>1884</v>
      </c>
      <c r="E224" s="4" t="s">
        <v>1380</v>
      </c>
      <c r="F224" s="2" t="s">
        <v>2502</v>
      </c>
      <c r="G224" s="2" t="s">
        <v>2503</v>
      </c>
      <c r="H224" s="2" t="s">
        <v>368</v>
      </c>
      <c r="I224" s="2" t="s">
        <v>1011</v>
      </c>
      <c r="J224" s="2" t="s">
        <v>31</v>
      </c>
      <c r="K224" s="2" t="s">
        <v>31</v>
      </c>
      <c r="L224" s="2" t="s">
        <v>374</v>
      </c>
      <c r="M224" s="2" t="s">
        <v>32</v>
      </c>
      <c r="N224" s="2" t="s">
        <v>491</v>
      </c>
      <c r="O224" s="2" t="s">
        <v>164</v>
      </c>
      <c r="P224" s="2" t="s">
        <v>2299</v>
      </c>
      <c r="Q224" s="2" t="s">
        <v>217</v>
      </c>
      <c r="R224" s="2" t="s">
        <v>453</v>
      </c>
      <c r="S224" s="2" t="s">
        <v>35</v>
      </c>
      <c r="T224" s="150">
        <v>2.355</v>
      </c>
      <c r="U224" s="2" t="s">
        <v>2504</v>
      </c>
      <c r="V224" s="162">
        <v>4.2999999999999997E-2</v>
      </c>
      <c r="W224" s="164">
        <v>5.3440000000000001E-2</v>
      </c>
      <c r="X224" s="4" t="s">
        <v>459</v>
      </c>
      <c r="Y224" s="4" t="s">
        <v>164</v>
      </c>
      <c r="Z224" s="150">
        <v>354025.64</v>
      </c>
      <c r="AA224" s="150">
        <v>1</v>
      </c>
      <c r="AB224" s="150">
        <v>98.8</v>
      </c>
      <c r="AD224" s="150">
        <v>349.77699999999999</v>
      </c>
      <c r="AG224" s="2" t="s">
        <v>37</v>
      </c>
      <c r="AH224" s="164">
        <v>2.92E-4</v>
      </c>
      <c r="AI224" s="164">
        <v>2.1263266082416798E-2</v>
      </c>
      <c r="AJ224" s="164">
        <v>2.43995368204546E-3</v>
      </c>
    </row>
    <row r="225" spans="1:36">
      <c r="A225" s="2" t="s">
        <v>128</v>
      </c>
      <c r="B225" s="2">
        <v>7229</v>
      </c>
      <c r="C225" s="2" t="s">
        <v>1891</v>
      </c>
      <c r="D225" s="2" t="s">
        <v>1892</v>
      </c>
      <c r="E225" s="4" t="s">
        <v>1380</v>
      </c>
      <c r="F225" s="2" t="s">
        <v>2304</v>
      </c>
      <c r="G225" s="2" t="s">
        <v>2305</v>
      </c>
      <c r="H225" s="2" t="s">
        <v>368</v>
      </c>
      <c r="I225" s="2" t="s">
        <v>1011</v>
      </c>
      <c r="J225" s="2" t="s">
        <v>31</v>
      </c>
      <c r="K225" s="2" t="s">
        <v>31</v>
      </c>
      <c r="L225" s="2" t="s">
        <v>374</v>
      </c>
      <c r="M225" s="2" t="s">
        <v>32</v>
      </c>
      <c r="N225" s="2" t="s">
        <v>484</v>
      </c>
      <c r="O225" s="2" t="s">
        <v>164</v>
      </c>
      <c r="P225" s="2" t="s">
        <v>2285</v>
      </c>
      <c r="Q225" s="2" t="s">
        <v>217</v>
      </c>
      <c r="R225" s="2" t="s">
        <v>453</v>
      </c>
      <c r="S225" s="2" t="s">
        <v>35</v>
      </c>
      <c r="T225" s="150">
        <v>2.7269999999999999</v>
      </c>
      <c r="U225" s="2" t="s">
        <v>2306</v>
      </c>
      <c r="V225" s="162">
        <v>2.7E-2</v>
      </c>
      <c r="W225" s="164">
        <v>5.2819999999999999E-2</v>
      </c>
      <c r="X225" s="4" t="s">
        <v>459</v>
      </c>
      <c r="Y225" s="4" t="s">
        <v>164</v>
      </c>
      <c r="Z225" s="150">
        <v>240000</v>
      </c>
      <c r="AA225" s="150">
        <v>1</v>
      </c>
      <c r="AB225" s="150">
        <v>93.45</v>
      </c>
      <c r="AD225" s="150">
        <v>224.28</v>
      </c>
      <c r="AG225" s="2" t="s">
        <v>37</v>
      </c>
      <c r="AH225" s="164">
        <v>3.21E-4</v>
      </c>
      <c r="AI225" s="164">
        <v>1.36341748772946E-2</v>
      </c>
      <c r="AJ225" s="164">
        <v>1.5645176552164599E-3</v>
      </c>
    </row>
    <row r="226" spans="1:36">
      <c r="A226" s="2" t="s">
        <v>128</v>
      </c>
      <c r="B226" s="2">
        <v>7229</v>
      </c>
      <c r="C226" s="2" t="s">
        <v>2307</v>
      </c>
      <c r="D226" s="2" t="s">
        <v>2308</v>
      </c>
      <c r="E226" s="4" t="s">
        <v>1380</v>
      </c>
      <c r="F226" s="2" t="s">
        <v>2309</v>
      </c>
      <c r="G226" s="2" t="s">
        <v>2310</v>
      </c>
      <c r="H226" s="2" t="s">
        <v>368</v>
      </c>
      <c r="I226" s="2" t="s">
        <v>1011</v>
      </c>
      <c r="J226" s="2" t="s">
        <v>31</v>
      </c>
      <c r="K226" s="2" t="s">
        <v>31</v>
      </c>
      <c r="L226" s="2" t="s">
        <v>374</v>
      </c>
      <c r="M226" s="2" t="s">
        <v>32</v>
      </c>
      <c r="N226" s="2" t="s">
        <v>529</v>
      </c>
      <c r="O226" s="2" t="s">
        <v>164</v>
      </c>
      <c r="P226" s="2" t="s">
        <v>2311</v>
      </c>
      <c r="Q226" s="2" t="s">
        <v>104</v>
      </c>
      <c r="R226" s="2" t="s">
        <v>453</v>
      </c>
      <c r="S226" s="2" t="s">
        <v>35</v>
      </c>
      <c r="T226" s="150">
        <v>2.5310000000000001</v>
      </c>
      <c r="U226" s="2" t="s">
        <v>2312</v>
      </c>
      <c r="V226" s="162">
        <v>3.6499999999999998E-2</v>
      </c>
      <c r="W226" s="164">
        <v>5.2229999999999999E-2</v>
      </c>
      <c r="X226" s="4" t="s">
        <v>459</v>
      </c>
      <c r="Y226" s="4" t="s">
        <v>164</v>
      </c>
      <c r="Z226" s="150">
        <v>477385.69</v>
      </c>
      <c r="AA226" s="150">
        <v>1</v>
      </c>
      <c r="AB226" s="150">
        <v>97.52</v>
      </c>
      <c r="AD226" s="150">
        <v>465.54700000000003</v>
      </c>
      <c r="AG226" s="2" t="s">
        <v>37</v>
      </c>
      <c r="AH226" s="164">
        <v>3.2400000000000001E-4</v>
      </c>
      <c r="AI226" s="164">
        <v>2.83009752712669E-2</v>
      </c>
      <c r="AJ226" s="164">
        <v>3.2475287921880898E-3</v>
      </c>
    </row>
    <row r="227" spans="1:36">
      <c r="A227" s="2" t="s">
        <v>128</v>
      </c>
      <c r="B227" s="2">
        <v>7229</v>
      </c>
      <c r="C227" s="2" t="s">
        <v>1899</v>
      </c>
      <c r="D227" s="2" t="s">
        <v>1900</v>
      </c>
      <c r="E227" s="4" t="s">
        <v>1380</v>
      </c>
      <c r="F227" s="2" t="s">
        <v>2313</v>
      </c>
      <c r="G227" s="2" t="s">
        <v>2314</v>
      </c>
      <c r="H227" s="2" t="s">
        <v>368</v>
      </c>
      <c r="I227" s="2" t="s">
        <v>219</v>
      </c>
      <c r="J227" s="2" t="s">
        <v>31</v>
      </c>
      <c r="K227" s="2" t="s">
        <v>31</v>
      </c>
      <c r="L227" s="2" t="s">
        <v>374</v>
      </c>
      <c r="M227" s="2" t="s">
        <v>32</v>
      </c>
      <c r="N227" s="2" t="s">
        <v>508</v>
      </c>
      <c r="O227" s="2" t="s">
        <v>164</v>
      </c>
      <c r="P227" s="2" t="s">
        <v>1396</v>
      </c>
      <c r="Q227" s="2" t="s">
        <v>104</v>
      </c>
      <c r="R227" s="2" t="s">
        <v>453</v>
      </c>
      <c r="S227" s="2" t="s">
        <v>35</v>
      </c>
      <c r="T227" s="150">
        <v>4.9459999999999997</v>
      </c>
      <c r="U227" s="2" t="s">
        <v>2315</v>
      </c>
      <c r="V227" s="162">
        <v>1.17E-2</v>
      </c>
      <c r="W227" s="164">
        <v>2.989E-2</v>
      </c>
      <c r="X227" s="4" t="s">
        <v>459</v>
      </c>
      <c r="Y227" s="4" t="s">
        <v>164</v>
      </c>
      <c r="Z227" s="150">
        <v>419160</v>
      </c>
      <c r="AA227" s="150">
        <v>1</v>
      </c>
      <c r="AB227" s="150">
        <v>101.71</v>
      </c>
      <c r="AD227" s="150">
        <v>426.32799999999997</v>
      </c>
      <c r="AG227" s="2" t="s">
        <v>37</v>
      </c>
      <c r="AH227" s="164">
        <v>5.8100000000000003E-4</v>
      </c>
      <c r="AI227" s="164">
        <v>2.5916825148241399E-2</v>
      </c>
      <c r="AJ227" s="164">
        <v>2.9739482496374901E-3</v>
      </c>
    </row>
    <row r="228" spans="1:36">
      <c r="A228" s="2" t="s">
        <v>128</v>
      </c>
      <c r="B228" s="2">
        <v>7229</v>
      </c>
      <c r="C228" s="2" t="s">
        <v>1899</v>
      </c>
      <c r="D228" s="2" t="s">
        <v>1900</v>
      </c>
      <c r="E228" s="4" t="s">
        <v>1380</v>
      </c>
      <c r="F228" s="2" t="s">
        <v>2609</v>
      </c>
      <c r="G228" s="2" t="s">
        <v>2610</v>
      </c>
      <c r="H228" s="2" t="s">
        <v>368</v>
      </c>
      <c r="I228" s="2" t="s">
        <v>219</v>
      </c>
      <c r="J228" s="2" t="s">
        <v>31</v>
      </c>
      <c r="K228" s="2" t="s">
        <v>31</v>
      </c>
      <c r="L228" s="2" t="s">
        <v>374</v>
      </c>
      <c r="M228" s="2" t="s">
        <v>32</v>
      </c>
      <c r="N228" s="2" t="s">
        <v>508</v>
      </c>
      <c r="O228" s="2" t="s">
        <v>164</v>
      </c>
      <c r="P228" s="2" t="s">
        <v>1396</v>
      </c>
      <c r="Q228" s="2" t="s">
        <v>104</v>
      </c>
      <c r="R228" s="2" t="s">
        <v>453</v>
      </c>
      <c r="S228" s="2" t="s">
        <v>35</v>
      </c>
      <c r="T228" s="150">
        <v>3.2109999999999999</v>
      </c>
      <c r="U228" s="2" t="s">
        <v>2611</v>
      </c>
      <c r="V228" s="162">
        <v>3.3500000000000002E-2</v>
      </c>
      <c r="W228" s="164">
        <v>2.5420000000000002E-2</v>
      </c>
      <c r="X228" s="4" t="s">
        <v>459</v>
      </c>
      <c r="Y228" s="4" t="s">
        <v>164</v>
      </c>
      <c r="Z228" s="150">
        <v>114400</v>
      </c>
      <c r="AA228" s="150">
        <v>1</v>
      </c>
      <c r="AB228" s="150">
        <v>114.62</v>
      </c>
      <c r="AD228" s="150">
        <v>131.125</v>
      </c>
      <c r="AG228" s="2" t="s">
        <v>37</v>
      </c>
      <c r="AH228" s="164">
        <v>2.7500000000000002E-4</v>
      </c>
      <c r="AI228" s="164">
        <v>7.9712190046112592E-3</v>
      </c>
      <c r="AJ228" s="164">
        <v>9.1469509365615302E-4</v>
      </c>
    </row>
    <row r="229" spans="1:36">
      <c r="A229" s="2" t="s">
        <v>128</v>
      </c>
      <c r="B229" s="2">
        <v>7229</v>
      </c>
      <c r="C229" s="2" t="s">
        <v>1891</v>
      </c>
      <c r="D229" s="2" t="s">
        <v>1892</v>
      </c>
      <c r="E229" s="4" t="s">
        <v>1380</v>
      </c>
      <c r="F229" s="2" t="s">
        <v>2318</v>
      </c>
      <c r="G229" s="2" t="s">
        <v>2319</v>
      </c>
      <c r="H229" s="2" t="s">
        <v>368</v>
      </c>
      <c r="I229" s="2" t="s">
        <v>1011</v>
      </c>
      <c r="J229" s="2" t="s">
        <v>31</v>
      </c>
      <c r="K229" s="2" t="s">
        <v>31</v>
      </c>
      <c r="L229" s="2" t="s">
        <v>374</v>
      </c>
      <c r="M229" s="2" t="s">
        <v>32</v>
      </c>
      <c r="N229" s="2" t="s">
        <v>484</v>
      </c>
      <c r="O229" s="2" t="s">
        <v>164</v>
      </c>
      <c r="P229" s="2" t="s">
        <v>2285</v>
      </c>
      <c r="Q229" s="2" t="s">
        <v>217</v>
      </c>
      <c r="R229" s="2" t="s">
        <v>453</v>
      </c>
      <c r="S229" s="2" t="s">
        <v>35</v>
      </c>
      <c r="T229" s="150">
        <v>5.0060000000000002</v>
      </c>
      <c r="U229" s="2" t="s">
        <v>2320</v>
      </c>
      <c r="V229" s="162">
        <v>5.7500000000000002E-2</v>
      </c>
      <c r="W229" s="164">
        <v>5.7119999999999997E-2</v>
      </c>
      <c r="X229" s="4" t="s">
        <v>459</v>
      </c>
      <c r="Y229" s="4" t="s">
        <v>164</v>
      </c>
      <c r="Z229" s="150">
        <v>140252</v>
      </c>
      <c r="AA229" s="150">
        <v>1</v>
      </c>
      <c r="AB229" s="150">
        <v>100.67</v>
      </c>
      <c r="AD229" s="150">
        <v>141.19200000000001</v>
      </c>
      <c r="AG229" s="2" t="s">
        <v>37</v>
      </c>
      <c r="AH229" s="164">
        <v>6.2299999999999996E-4</v>
      </c>
      <c r="AI229" s="164">
        <v>8.5831646641077192E-3</v>
      </c>
      <c r="AJ229" s="164">
        <v>9.8491568250232402E-4</v>
      </c>
    </row>
    <row r="230" spans="1:36">
      <c r="A230" s="2" t="s">
        <v>128</v>
      </c>
      <c r="B230" s="2">
        <v>7229</v>
      </c>
      <c r="C230" s="2" t="s">
        <v>2321</v>
      </c>
      <c r="D230" s="2" t="s">
        <v>2322</v>
      </c>
      <c r="E230" s="4" t="s">
        <v>1380</v>
      </c>
      <c r="F230" s="2" t="s">
        <v>2323</v>
      </c>
      <c r="G230" s="2" t="s">
        <v>2324</v>
      </c>
      <c r="H230" s="2" t="s">
        <v>368</v>
      </c>
      <c r="I230" s="2" t="s">
        <v>1011</v>
      </c>
      <c r="J230" s="2" t="s">
        <v>31</v>
      </c>
      <c r="K230" s="2" t="s">
        <v>31</v>
      </c>
      <c r="L230" s="2" t="s">
        <v>374</v>
      </c>
      <c r="M230" s="2" t="s">
        <v>32</v>
      </c>
      <c r="N230" s="2" t="s">
        <v>508</v>
      </c>
      <c r="O230" s="2" t="s">
        <v>164</v>
      </c>
      <c r="P230" s="2" t="s">
        <v>2274</v>
      </c>
      <c r="Q230" s="2" t="s">
        <v>217</v>
      </c>
      <c r="R230" s="2" t="s">
        <v>453</v>
      </c>
      <c r="S230" s="2" t="s">
        <v>35</v>
      </c>
      <c r="T230" s="150">
        <v>5.3819999999999997</v>
      </c>
      <c r="U230" s="2" t="s">
        <v>2325</v>
      </c>
      <c r="V230" s="162">
        <v>2.5499999999999998E-2</v>
      </c>
      <c r="W230" s="164">
        <v>5.2999999999999999E-2</v>
      </c>
      <c r="X230" s="4" t="s">
        <v>459</v>
      </c>
      <c r="Y230" s="4" t="s">
        <v>164</v>
      </c>
      <c r="Z230" s="150">
        <v>209520</v>
      </c>
      <c r="AA230" s="150">
        <v>1</v>
      </c>
      <c r="AB230" s="150">
        <v>87.11</v>
      </c>
      <c r="AD230" s="150">
        <v>182.51300000000001</v>
      </c>
      <c r="AG230" s="2" t="s">
        <v>37</v>
      </c>
      <c r="AH230" s="164">
        <v>1.54E-4</v>
      </c>
      <c r="AI230" s="164">
        <v>1.1095115098115199E-2</v>
      </c>
      <c r="AJ230" s="164">
        <v>1.2731612740693001E-3</v>
      </c>
    </row>
    <row r="231" spans="1:36">
      <c r="A231" s="2" t="s">
        <v>128</v>
      </c>
      <c r="B231" s="2">
        <v>7229</v>
      </c>
      <c r="C231" s="2" t="s">
        <v>2321</v>
      </c>
      <c r="D231" s="2" t="s">
        <v>2322</v>
      </c>
      <c r="E231" s="4" t="s">
        <v>1380</v>
      </c>
      <c r="F231" s="2" t="s">
        <v>2329</v>
      </c>
      <c r="G231" s="2" t="s">
        <v>2330</v>
      </c>
      <c r="H231" s="2" t="s">
        <v>368</v>
      </c>
      <c r="I231" s="2" t="s">
        <v>219</v>
      </c>
      <c r="J231" s="2" t="s">
        <v>31</v>
      </c>
      <c r="K231" s="2" t="s">
        <v>31</v>
      </c>
      <c r="L231" s="2" t="s">
        <v>374</v>
      </c>
      <c r="M231" s="2" t="s">
        <v>32</v>
      </c>
      <c r="N231" s="2" t="s">
        <v>508</v>
      </c>
      <c r="O231" s="2" t="s">
        <v>164</v>
      </c>
      <c r="P231" s="2" t="s">
        <v>2274</v>
      </c>
      <c r="Q231" s="2" t="s">
        <v>217</v>
      </c>
      <c r="R231" s="2" t="s">
        <v>453</v>
      </c>
      <c r="S231" s="2" t="s">
        <v>35</v>
      </c>
      <c r="T231" s="150">
        <v>5.6539999999999999</v>
      </c>
      <c r="U231" s="2" t="s">
        <v>2331</v>
      </c>
      <c r="V231" s="162">
        <v>5.8999999999999999E-3</v>
      </c>
      <c r="W231" s="164">
        <v>2.8559999999999999E-2</v>
      </c>
      <c r="X231" s="4" t="s">
        <v>459</v>
      </c>
      <c r="Y231" s="4" t="s">
        <v>164</v>
      </c>
      <c r="Z231" s="150">
        <v>224263</v>
      </c>
      <c r="AA231" s="150">
        <v>1</v>
      </c>
      <c r="AB231" s="150">
        <v>95.47</v>
      </c>
      <c r="AD231" s="150">
        <v>214.10400000000001</v>
      </c>
      <c r="AG231" s="2" t="s">
        <v>37</v>
      </c>
      <c r="AH231" s="164">
        <v>2.04E-4</v>
      </c>
      <c r="AI231" s="164">
        <v>1.30155601257168E-2</v>
      </c>
      <c r="AJ231" s="164">
        <v>1.4935317899674699E-3</v>
      </c>
    </row>
    <row r="232" spans="1:36">
      <c r="A232" s="2" t="s">
        <v>128</v>
      </c>
      <c r="B232" s="2">
        <v>7229</v>
      </c>
      <c r="C232" s="2" t="s">
        <v>2321</v>
      </c>
      <c r="D232" s="2" t="s">
        <v>2322</v>
      </c>
      <c r="E232" s="4" t="s">
        <v>1380</v>
      </c>
      <c r="F232" s="2" t="s">
        <v>2332</v>
      </c>
      <c r="G232" s="2" t="s">
        <v>2333</v>
      </c>
      <c r="H232" s="2" t="s">
        <v>368</v>
      </c>
      <c r="I232" s="2" t="s">
        <v>219</v>
      </c>
      <c r="J232" s="2" t="s">
        <v>31</v>
      </c>
      <c r="K232" s="2" t="s">
        <v>31</v>
      </c>
      <c r="L232" s="2" t="s">
        <v>374</v>
      </c>
      <c r="M232" s="2" t="s">
        <v>32</v>
      </c>
      <c r="N232" s="2" t="s">
        <v>508</v>
      </c>
      <c r="O232" s="2" t="s">
        <v>164</v>
      </c>
      <c r="P232" s="2" t="s">
        <v>2274</v>
      </c>
      <c r="Q232" s="2" t="s">
        <v>217</v>
      </c>
      <c r="R232" s="2" t="s">
        <v>453</v>
      </c>
      <c r="S232" s="2" t="s">
        <v>35</v>
      </c>
      <c r="T232" s="150">
        <v>1.466</v>
      </c>
      <c r="U232" s="2" t="s">
        <v>2334</v>
      </c>
      <c r="V232" s="162">
        <v>4.7500000000000001E-2</v>
      </c>
      <c r="W232" s="164">
        <v>1.567E-2</v>
      </c>
      <c r="X232" s="4" t="s">
        <v>459</v>
      </c>
      <c r="Y232" s="4" t="s">
        <v>164</v>
      </c>
      <c r="Z232" s="150">
        <v>394983.65</v>
      </c>
      <c r="AA232" s="150">
        <v>1</v>
      </c>
      <c r="AB232" s="150">
        <v>141.47999999999999</v>
      </c>
      <c r="AD232" s="150">
        <v>558.82299999999998</v>
      </c>
      <c r="AG232" s="2" t="s">
        <v>37</v>
      </c>
      <c r="AH232" s="164">
        <v>3.0600000000000001E-4</v>
      </c>
      <c r="AI232" s="164">
        <v>3.3971324719172302E-2</v>
      </c>
      <c r="AJ232" s="164">
        <v>3.8981997643837501E-3</v>
      </c>
    </row>
    <row r="233" spans="1:36">
      <c r="A233" s="2" t="s">
        <v>128</v>
      </c>
      <c r="B233" s="2">
        <v>7229</v>
      </c>
      <c r="C233" s="2" t="s">
        <v>2335</v>
      </c>
      <c r="D233" s="2" t="s">
        <v>2336</v>
      </c>
      <c r="E233" s="4" t="s">
        <v>1380</v>
      </c>
      <c r="F233" s="2" t="s">
        <v>2337</v>
      </c>
      <c r="G233" s="2" t="s">
        <v>2338</v>
      </c>
      <c r="H233" s="2" t="s">
        <v>368</v>
      </c>
      <c r="I233" s="2" t="s">
        <v>219</v>
      </c>
      <c r="J233" s="2" t="s">
        <v>31</v>
      </c>
      <c r="K233" s="2" t="s">
        <v>346</v>
      </c>
      <c r="L233" s="2" t="s">
        <v>374</v>
      </c>
      <c r="M233" s="2" t="s">
        <v>32</v>
      </c>
      <c r="N233" s="2" t="s">
        <v>509</v>
      </c>
      <c r="O233" s="2" t="s">
        <v>164</v>
      </c>
      <c r="P233" s="2" t="s">
        <v>2311</v>
      </c>
      <c r="Q233" s="2" t="s">
        <v>104</v>
      </c>
      <c r="R233" s="2" t="s">
        <v>453</v>
      </c>
      <c r="S233" s="2" t="s">
        <v>35</v>
      </c>
      <c r="T233" s="150">
        <v>0.499</v>
      </c>
      <c r="U233" s="2" t="s">
        <v>2339</v>
      </c>
      <c r="V233" s="162">
        <v>5.3499999999999999E-2</v>
      </c>
      <c r="W233" s="164">
        <v>1.9650000000000001E-2</v>
      </c>
      <c r="X233" s="4" t="s">
        <v>459</v>
      </c>
      <c r="Y233" s="4" t="s">
        <v>164</v>
      </c>
      <c r="Z233" s="150">
        <v>113055.55</v>
      </c>
      <c r="AA233" s="150">
        <v>1</v>
      </c>
      <c r="AB233" s="150">
        <v>117.67</v>
      </c>
      <c r="AD233" s="150">
        <v>133.03200000000001</v>
      </c>
      <c r="AG233" s="2" t="s">
        <v>37</v>
      </c>
      <c r="AH233" s="164">
        <v>1.7000000000000001E-4</v>
      </c>
      <c r="AI233" s="164">
        <v>8.0871584693551594E-3</v>
      </c>
      <c r="AJ233" s="164">
        <v>9.2799911396986197E-4</v>
      </c>
    </row>
    <row r="234" spans="1:36">
      <c r="A234" s="2" t="s">
        <v>128</v>
      </c>
      <c r="B234" s="2">
        <v>7229</v>
      </c>
      <c r="C234" s="2" t="s">
        <v>2340</v>
      </c>
      <c r="D234" s="2" t="s">
        <v>2341</v>
      </c>
      <c r="E234" s="4" t="s">
        <v>1380</v>
      </c>
      <c r="F234" s="2" t="s">
        <v>2342</v>
      </c>
      <c r="G234" s="2" t="s">
        <v>2343</v>
      </c>
      <c r="H234" s="2" t="s">
        <v>368</v>
      </c>
      <c r="I234" s="2" t="s">
        <v>219</v>
      </c>
      <c r="J234" s="2" t="s">
        <v>31</v>
      </c>
      <c r="K234" s="2" t="s">
        <v>31</v>
      </c>
      <c r="L234" s="2" t="s">
        <v>374</v>
      </c>
      <c r="M234" s="2" t="s">
        <v>32</v>
      </c>
      <c r="N234" s="2" t="s">
        <v>495</v>
      </c>
      <c r="O234" s="2" t="s">
        <v>164</v>
      </c>
      <c r="P234" s="2" t="s">
        <v>2285</v>
      </c>
      <c r="Q234" s="2" t="s">
        <v>217</v>
      </c>
      <c r="R234" s="2" t="s">
        <v>453</v>
      </c>
      <c r="S234" s="2" t="s">
        <v>35</v>
      </c>
      <c r="T234" s="150">
        <v>4.6710000000000003</v>
      </c>
      <c r="U234" s="2" t="s">
        <v>2344</v>
      </c>
      <c r="V234" s="162">
        <v>7.4999999999999997E-3</v>
      </c>
      <c r="W234" s="164">
        <v>3.499E-2</v>
      </c>
      <c r="X234" s="4" t="s">
        <v>459</v>
      </c>
      <c r="Y234" s="4" t="s">
        <v>164</v>
      </c>
      <c r="Z234" s="150">
        <v>163074</v>
      </c>
      <c r="AA234" s="150">
        <v>1</v>
      </c>
      <c r="AB234" s="150">
        <v>95.49</v>
      </c>
      <c r="AD234" s="150">
        <v>155.71899999999999</v>
      </c>
      <c r="AG234" s="2" t="s">
        <v>37</v>
      </c>
      <c r="AH234" s="164">
        <v>1.8799999999999999E-4</v>
      </c>
      <c r="AI234" s="164">
        <v>9.4663145241182401E-3</v>
      </c>
      <c r="AJ234" s="164">
        <v>1.08625687554287E-3</v>
      </c>
    </row>
    <row r="235" spans="1:36">
      <c r="A235" s="2" t="s">
        <v>128</v>
      </c>
      <c r="B235" s="2">
        <v>7229</v>
      </c>
      <c r="C235" s="2" t="s">
        <v>2345</v>
      </c>
      <c r="D235" s="2" t="s">
        <v>2346</v>
      </c>
      <c r="E235" s="4" t="s">
        <v>1380</v>
      </c>
      <c r="F235" s="2" t="s">
        <v>2347</v>
      </c>
      <c r="G235" s="2" t="s">
        <v>2348</v>
      </c>
      <c r="H235" s="2" t="s">
        <v>368</v>
      </c>
      <c r="I235" s="2" t="s">
        <v>219</v>
      </c>
      <c r="J235" s="2" t="s">
        <v>31</v>
      </c>
      <c r="K235" s="2" t="s">
        <v>31</v>
      </c>
      <c r="L235" s="2" t="s">
        <v>374</v>
      </c>
      <c r="M235" s="2" t="s">
        <v>32</v>
      </c>
      <c r="N235" s="2" t="s">
        <v>492</v>
      </c>
      <c r="O235" s="2" t="s">
        <v>164</v>
      </c>
      <c r="P235" s="2" t="s">
        <v>103</v>
      </c>
      <c r="Q235" s="2" t="s">
        <v>104</v>
      </c>
      <c r="R235" s="2" t="s">
        <v>453</v>
      </c>
      <c r="S235" s="2" t="s">
        <v>35</v>
      </c>
      <c r="T235" s="150">
        <v>5.62</v>
      </c>
      <c r="U235" s="2" t="s">
        <v>2349</v>
      </c>
      <c r="V235" s="162">
        <v>2.47E-2</v>
      </c>
      <c r="W235" s="164">
        <v>2.0109999999999999E-2</v>
      </c>
      <c r="X235" s="4" t="s">
        <v>459</v>
      </c>
      <c r="Y235" s="4" t="s">
        <v>164</v>
      </c>
      <c r="Z235" s="150">
        <v>211921</v>
      </c>
      <c r="AA235" s="150">
        <v>1</v>
      </c>
      <c r="AB235" s="150">
        <v>101.35</v>
      </c>
      <c r="AD235" s="150">
        <v>214.78200000000001</v>
      </c>
      <c r="AG235" s="2" t="s">
        <v>37</v>
      </c>
      <c r="AH235" s="164">
        <v>1.36E-4</v>
      </c>
      <c r="AI235" s="164">
        <v>1.3056779212691501E-2</v>
      </c>
      <c r="AJ235" s="164">
        <v>1.49826166837113E-3</v>
      </c>
    </row>
    <row r="236" spans="1:36">
      <c r="A236" s="2" t="s">
        <v>128</v>
      </c>
      <c r="B236" s="2">
        <v>7229</v>
      </c>
      <c r="C236" s="2" t="s">
        <v>2350</v>
      </c>
      <c r="D236" s="2" t="s">
        <v>2351</v>
      </c>
      <c r="E236" s="4" t="s">
        <v>1380</v>
      </c>
      <c r="F236" s="2" t="s">
        <v>2352</v>
      </c>
      <c r="G236" s="2" t="s">
        <v>2353</v>
      </c>
      <c r="H236" s="2" t="s">
        <v>368</v>
      </c>
      <c r="I236" s="2" t="s">
        <v>219</v>
      </c>
      <c r="J236" s="2" t="s">
        <v>31</v>
      </c>
      <c r="K236" s="2" t="s">
        <v>31</v>
      </c>
      <c r="L236" s="2" t="s">
        <v>374</v>
      </c>
      <c r="M236" s="2" t="s">
        <v>32</v>
      </c>
      <c r="N236" s="2" t="s">
        <v>495</v>
      </c>
      <c r="O236" s="2" t="s">
        <v>164</v>
      </c>
      <c r="P236" s="2" t="s">
        <v>1535</v>
      </c>
      <c r="Q236" s="2" t="s">
        <v>217</v>
      </c>
      <c r="R236" s="2" t="s">
        <v>453</v>
      </c>
      <c r="S236" s="2" t="s">
        <v>35</v>
      </c>
      <c r="T236" s="150">
        <v>1.23</v>
      </c>
      <c r="U236" s="2" t="s">
        <v>2354</v>
      </c>
      <c r="V236" s="162">
        <v>4.9500000000000002E-2</v>
      </c>
      <c r="W236" s="164">
        <v>3.8440000000000002E-2</v>
      </c>
      <c r="X236" s="4" t="s">
        <v>459</v>
      </c>
      <c r="Y236" s="4" t="s">
        <v>387</v>
      </c>
      <c r="Z236" s="150">
        <v>192637.54</v>
      </c>
      <c r="AA236" s="150">
        <v>1</v>
      </c>
      <c r="AB236" s="150">
        <v>138.41999999999999</v>
      </c>
      <c r="AD236" s="150">
        <v>266.649</v>
      </c>
      <c r="AG236" s="2" t="s">
        <v>37</v>
      </c>
      <c r="AH236" s="164">
        <v>5.2499999999999997E-4</v>
      </c>
      <c r="AI236" s="164">
        <v>1.6209815854545801E-2</v>
      </c>
      <c r="AJ236" s="164">
        <v>1.86007171834641E-3</v>
      </c>
    </row>
    <row r="237" spans="1:36">
      <c r="A237" s="2" t="s">
        <v>128</v>
      </c>
      <c r="B237" s="2">
        <v>7229</v>
      </c>
      <c r="C237" s="2" t="s">
        <v>2345</v>
      </c>
      <c r="D237" s="2" t="s">
        <v>2346</v>
      </c>
      <c r="E237" s="4" t="s">
        <v>1380</v>
      </c>
      <c r="F237" s="2" t="s">
        <v>2355</v>
      </c>
      <c r="G237" s="2" t="s">
        <v>2356</v>
      </c>
      <c r="H237" s="2" t="s">
        <v>368</v>
      </c>
      <c r="I237" s="2" t="s">
        <v>219</v>
      </c>
      <c r="J237" s="2" t="s">
        <v>31</v>
      </c>
      <c r="K237" s="2" t="s">
        <v>31</v>
      </c>
      <c r="L237" s="2" t="s">
        <v>374</v>
      </c>
      <c r="M237" s="2" t="s">
        <v>32</v>
      </c>
      <c r="N237" s="2" t="s">
        <v>492</v>
      </c>
      <c r="O237" s="2" t="s">
        <v>164</v>
      </c>
      <c r="P237" s="2" t="s">
        <v>1396</v>
      </c>
      <c r="Q237" s="2" t="s">
        <v>104</v>
      </c>
      <c r="R237" s="2" t="s">
        <v>453</v>
      </c>
      <c r="S237" s="2" t="s">
        <v>35</v>
      </c>
      <c r="T237" s="150">
        <v>4.3739999999999997</v>
      </c>
      <c r="U237" s="2" t="s">
        <v>2357</v>
      </c>
      <c r="V237" s="162">
        <v>3.1699999999999999E-2</v>
      </c>
      <c r="W237" s="164">
        <v>2.7449999999999999E-2</v>
      </c>
      <c r="X237" s="4" t="s">
        <v>459</v>
      </c>
      <c r="Y237" s="4" t="s">
        <v>164</v>
      </c>
      <c r="Z237" s="150">
        <v>200000</v>
      </c>
      <c r="AA237" s="150">
        <v>1</v>
      </c>
      <c r="AB237" s="150">
        <v>106.73</v>
      </c>
      <c r="AD237" s="150">
        <v>213.46</v>
      </c>
      <c r="AG237" s="2" t="s">
        <v>37</v>
      </c>
      <c r="AH237" s="164">
        <v>2.3699999999999999E-4</v>
      </c>
      <c r="AI237" s="164">
        <v>1.2976417733668999E-2</v>
      </c>
      <c r="AJ237" s="164">
        <v>1.4890402117108299E-3</v>
      </c>
    </row>
    <row r="238" spans="1:36">
      <c r="A238" s="2" t="s">
        <v>128</v>
      </c>
      <c r="B238" s="2">
        <v>7229</v>
      </c>
      <c r="C238" s="2" t="s">
        <v>2358</v>
      </c>
      <c r="D238" s="2" t="s">
        <v>2359</v>
      </c>
      <c r="E238" s="4" t="s">
        <v>1380</v>
      </c>
      <c r="F238" s="2" t="s">
        <v>2360</v>
      </c>
      <c r="G238" s="2" t="s">
        <v>2361</v>
      </c>
      <c r="H238" s="2" t="s">
        <v>368</v>
      </c>
      <c r="I238" s="2" t="s">
        <v>219</v>
      </c>
      <c r="J238" s="2" t="s">
        <v>31</v>
      </c>
      <c r="K238" s="2" t="s">
        <v>31</v>
      </c>
      <c r="L238" s="2" t="s">
        <v>374</v>
      </c>
      <c r="M238" s="2" t="s">
        <v>32</v>
      </c>
      <c r="N238" s="2" t="s">
        <v>484</v>
      </c>
      <c r="O238" s="2" t="s">
        <v>164</v>
      </c>
      <c r="P238" s="2" t="s">
        <v>2311</v>
      </c>
      <c r="Q238" s="2" t="s">
        <v>104</v>
      </c>
      <c r="R238" s="2" t="s">
        <v>453</v>
      </c>
      <c r="S238" s="2" t="s">
        <v>35</v>
      </c>
      <c r="T238" s="150">
        <v>3.9649999999999999</v>
      </c>
      <c r="U238" s="2" t="s">
        <v>2362</v>
      </c>
      <c r="V238" s="162">
        <v>1.7999999999999999E-2</v>
      </c>
      <c r="W238" s="164">
        <v>3.1009999999999999E-2</v>
      </c>
      <c r="X238" s="4" t="s">
        <v>459</v>
      </c>
      <c r="Y238" s="4" t="s">
        <v>164</v>
      </c>
      <c r="Z238" s="150">
        <v>123172.04</v>
      </c>
      <c r="AA238" s="150">
        <v>1</v>
      </c>
      <c r="AB238" s="150">
        <v>106.25</v>
      </c>
      <c r="AD238" s="150">
        <v>130.87</v>
      </c>
      <c r="AG238" s="2" t="s">
        <v>37</v>
      </c>
      <c r="AH238" s="164">
        <v>1.12E-4</v>
      </c>
      <c r="AI238" s="164">
        <v>7.9557180942914606E-3</v>
      </c>
      <c r="AJ238" s="164">
        <v>9.1291636864451796E-4</v>
      </c>
    </row>
    <row r="239" spans="1:36">
      <c r="A239" s="2" t="s">
        <v>128</v>
      </c>
      <c r="B239" s="2">
        <v>7229</v>
      </c>
      <c r="C239" s="2" t="s">
        <v>2358</v>
      </c>
      <c r="D239" s="2" t="s">
        <v>2359</v>
      </c>
      <c r="E239" s="4" t="s">
        <v>1380</v>
      </c>
      <c r="F239" s="2" t="s">
        <v>2363</v>
      </c>
      <c r="G239" s="2" t="s">
        <v>2364</v>
      </c>
      <c r="H239" s="2" t="s">
        <v>368</v>
      </c>
      <c r="I239" s="2" t="s">
        <v>219</v>
      </c>
      <c r="J239" s="2" t="s">
        <v>31</v>
      </c>
      <c r="K239" s="2" t="s">
        <v>31</v>
      </c>
      <c r="L239" s="2" t="s">
        <v>374</v>
      </c>
      <c r="M239" s="2" t="s">
        <v>32</v>
      </c>
      <c r="N239" s="2" t="s">
        <v>484</v>
      </c>
      <c r="O239" s="2" t="s">
        <v>164</v>
      </c>
      <c r="P239" s="2" t="s">
        <v>2255</v>
      </c>
      <c r="Q239" s="2" t="s">
        <v>217</v>
      </c>
      <c r="R239" s="2" t="s">
        <v>453</v>
      </c>
      <c r="S239" s="2" t="s">
        <v>35</v>
      </c>
      <c r="T239" s="150">
        <v>6.2869999999999999</v>
      </c>
      <c r="U239" s="2" t="s">
        <v>2365</v>
      </c>
      <c r="V239" s="162">
        <v>3.3000000000000002E-2</v>
      </c>
      <c r="W239" s="164">
        <v>3.5839999999999997E-2</v>
      </c>
      <c r="X239" s="4" t="s">
        <v>459</v>
      </c>
      <c r="Y239" s="4" t="s">
        <v>164</v>
      </c>
      <c r="Z239" s="150">
        <v>284050</v>
      </c>
      <c r="AA239" s="150">
        <v>1</v>
      </c>
      <c r="AB239" s="150">
        <v>101.75</v>
      </c>
      <c r="AD239" s="150">
        <v>289.02100000000002</v>
      </c>
      <c r="AG239" s="2" t="s">
        <v>37</v>
      </c>
      <c r="AH239" s="164">
        <v>2.2100000000000001E-4</v>
      </c>
      <c r="AI239" s="164">
        <v>1.7569828575613899E-2</v>
      </c>
      <c r="AJ239" s="164">
        <v>2.0161327878705599E-3</v>
      </c>
    </row>
    <row r="240" spans="1:36">
      <c r="A240" s="2" t="s">
        <v>128</v>
      </c>
      <c r="B240" s="2">
        <v>7229</v>
      </c>
      <c r="C240" s="2" t="s">
        <v>2182</v>
      </c>
      <c r="D240" s="2" t="s">
        <v>2183</v>
      </c>
      <c r="E240" s="4" t="s">
        <v>1380</v>
      </c>
      <c r="F240" s="2" t="s">
        <v>2366</v>
      </c>
      <c r="G240" s="2" t="s">
        <v>2367</v>
      </c>
      <c r="H240" s="2" t="s">
        <v>368</v>
      </c>
      <c r="I240" s="2" t="s">
        <v>219</v>
      </c>
      <c r="J240" s="2" t="s">
        <v>31</v>
      </c>
      <c r="K240" s="2" t="s">
        <v>31</v>
      </c>
      <c r="L240" s="2" t="s">
        <v>374</v>
      </c>
      <c r="M240" s="2" t="s">
        <v>32</v>
      </c>
      <c r="N240" s="2" t="s">
        <v>508</v>
      </c>
      <c r="O240" s="2" t="s">
        <v>164</v>
      </c>
      <c r="P240" s="2" t="s">
        <v>2255</v>
      </c>
      <c r="Q240" s="2" t="s">
        <v>217</v>
      </c>
      <c r="R240" s="2" t="s">
        <v>453</v>
      </c>
      <c r="S240" s="2" t="s">
        <v>35</v>
      </c>
      <c r="T240" s="150">
        <v>2.5910000000000002</v>
      </c>
      <c r="U240" s="2" t="s">
        <v>2264</v>
      </c>
      <c r="V240" s="162">
        <v>3.6499999999999998E-2</v>
      </c>
      <c r="W240" s="164">
        <v>3.3340000000000002E-2</v>
      </c>
      <c r="X240" s="4" t="s">
        <v>459</v>
      </c>
      <c r="Y240" s="4" t="s">
        <v>164</v>
      </c>
      <c r="Z240" s="150">
        <v>280000</v>
      </c>
      <c r="AA240" s="150">
        <v>1</v>
      </c>
      <c r="AB240" s="150">
        <v>105.3</v>
      </c>
      <c r="AD240" s="150">
        <v>294.83999999999997</v>
      </c>
      <c r="AG240" s="2" t="s">
        <v>37</v>
      </c>
      <c r="AH240" s="164">
        <v>1.57E-3</v>
      </c>
      <c r="AI240" s="164">
        <v>1.7923578209477101E-2</v>
      </c>
      <c r="AJ240" s="164">
        <v>2.0567254568576001E-3</v>
      </c>
    </row>
    <row r="241" spans="1:36">
      <c r="A241" s="2" t="s">
        <v>128</v>
      </c>
      <c r="B241" s="2">
        <v>7229</v>
      </c>
      <c r="C241" s="2" t="s">
        <v>2182</v>
      </c>
      <c r="D241" s="2" t="s">
        <v>2183</v>
      </c>
      <c r="E241" s="4" t="s">
        <v>1380</v>
      </c>
      <c r="F241" s="2" t="s">
        <v>2368</v>
      </c>
      <c r="G241" s="2" t="s">
        <v>2369</v>
      </c>
      <c r="H241" s="2" t="s">
        <v>368</v>
      </c>
      <c r="I241" s="2" t="s">
        <v>219</v>
      </c>
      <c r="J241" s="2" t="s">
        <v>31</v>
      </c>
      <c r="K241" s="2" t="s">
        <v>31</v>
      </c>
      <c r="L241" s="2" t="s">
        <v>374</v>
      </c>
      <c r="M241" s="2" t="s">
        <v>32</v>
      </c>
      <c r="N241" s="2" t="s">
        <v>508</v>
      </c>
      <c r="O241" s="2" t="s">
        <v>164</v>
      </c>
      <c r="P241" s="2" t="s">
        <v>2299</v>
      </c>
      <c r="Q241" s="2" t="s">
        <v>217</v>
      </c>
      <c r="R241" s="2" t="s">
        <v>453</v>
      </c>
      <c r="S241" s="2" t="s">
        <v>35</v>
      </c>
      <c r="T241" s="150">
        <v>3.2709999999999999</v>
      </c>
      <c r="U241" s="2" t="s">
        <v>1375</v>
      </c>
      <c r="V241" s="162">
        <v>1.7999999999999999E-2</v>
      </c>
      <c r="W241" s="164">
        <v>2.4129999999999999E-2</v>
      </c>
      <c r="X241" s="4" t="s">
        <v>459</v>
      </c>
      <c r="Y241" s="4" t="s">
        <v>164</v>
      </c>
      <c r="Z241" s="150">
        <v>135437.18</v>
      </c>
      <c r="AA241" s="150">
        <v>1</v>
      </c>
      <c r="AB241" s="150">
        <v>110.59</v>
      </c>
      <c r="AD241" s="150">
        <v>149.78</v>
      </c>
      <c r="AG241" s="2" t="s">
        <v>37</v>
      </c>
      <c r="AH241" s="164">
        <v>1.6200000000000001E-4</v>
      </c>
      <c r="AI241" s="164">
        <v>9.1052541665361496E-3</v>
      </c>
      <c r="AJ241" s="164">
        <v>1.0448253031067E-3</v>
      </c>
    </row>
    <row r="242" spans="1:36">
      <c r="A242" s="2" t="s">
        <v>128</v>
      </c>
      <c r="B242" s="2">
        <v>7229</v>
      </c>
      <c r="C242" s="2" t="s">
        <v>2370</v>
      </c>
      <c r="D242" s="2" t="s">
        <v>2371</v>
      </c>
      <c r="E242" s="4" t="s">
        <v>1380</v>
      </c>
      <c r="F242" s="2" t="s">
        <v>2372</v>
      </c>
      <c r="G242" s="2" t="s">
        <v>2373</v>
      </c>
      <c r="H242" s="2" t="s">
        <v>368</v>
      </c>
      <c r="I242" s="2" t="s">
        <v>1011</v>
      </c>
      <c r="J242" s="2" t="s">
        <v>31</v>
      </c>
      <c r="K242" s="2" t="s">
        <v>31</v>
      </c>
      <c r="L242" s="2" t="s">
        <v>374</v>
      </c>
      <c r="M242" s="2" t="s">
        <v>32</v>
      </c>
      <c r="N242" s="2" t="s">
        <v>489</v>
      </c>
      <c r="O242" s="2" t="s">
        <v>164</v>
      </c>
      <c r="P242" s="2" t="s">
        <v>1396</v>
      </c>
      <c r="Q242" s="2" t="s">
        <v>104</v>
      </c>
      <c r="R242" s="2" t="s">
        <v>453</v>
      </c>
      <c r="S242" s="2" t="s">
        <v>35</v>
      </c>
      <c r="T242" s="150">
        <v>6.827</v>
      </c>
      <c r="U242" s="2" t="s">
        <v>2374</v>
      </c>
      <c r="V242" s="162">
        <v>3.0499999999999999E-2</v>
      </c>
      <c r="W242" s="164">
        <v>5.3449999999999998E-2</v>
      </c>
      <c r="X242" s="4" t="s">
        <v>459</v>
      </c>
      <c r="Y242" s="4" t="s">
        <v>164</v>
      </c>
      <c r="Z242" s="150">
        <v>166845</v>
      </c>
      <c r="AA242" s="150">
        <v>1</v>
      </c>
      <c r="AB242" s="150">
        <v>86.75</v>
      </c>
      <c r="AD242" s="150">
        <v>144.738</v>
      </c>
      <c r="AG242" s="2" t="s">
        <v>37</v>
      </c>
      <c r="AH242" s="164">
        <v>2.4399999999999999E-4</v>
      </c>
      <c r="AI242" s="164">
        <v>8.7987502883512397E-3</v>
      </c>
      <c r="AJ242" s="164">
        <v>1.00965407102788E-3</v>
      </c>
    </row>
    <row r="243" spans="1:36">
      <c r="A243" s="2" t="s">
        <v>128</v>
      </c>
      <c r="B243" s="2">
        <v>7229</v>
      </c>
      <c r="C243" s="2" t="s">
        <v>2370</v>
      </c>
      <c r="D243" s="2" t="s">
        <v>2371</v>
      </c>
      <c r="E243" s="4" t="s">
        <v>1380</v>
      </c>
      <c r="F243" s="2" t="s">
        <v>2375</v>
      </c>
      <c r="G243" s="2" t="s">
        <v>2376</v>
      </c>
      <c r="H243" s="2" t="s">
        <v>368</v>
      </c>
      <c r="I243" s="2" t="s">
        <v>1011</v>
      </c>
      <c r="J243" s="2" t="s">
        <v>31</v>
      </c>
      <c r="K243" s="2" t="s">
        <v>31</v>
      </c>
      <c r="L243" s="2" t="s">
        <v>374</v>
      </c>
      <c r="M243" s="2" t="s">
        <v>32</v>
      </c>
      <c r="N243" s="2" t="s">
        <v>489</v>
      </c>
      <c r="O243" s="2" t="s">
        <v>164</v>
      </c>
      <c r="P243" s="2" t="s">
        <v>1391</v>
      </c>
      <c r="Q243" s="2" t="s">
        <v>477</v>
      </c>
      <c r="R243" s="2" t="s">
        <v>453</v>
      </c>
      <c r="S243" s="2" t="s">
        <v>35</v>
      </c>
      <c r="T243" s="150">
        <v>5.0819999999999999</v>
      </c>
      <c r="U243" s="2" t="s">
        <v>2377</v>
      </c>
      <c r="V243" s="162">
        <v>4.3799999999999999E-2</v>
      </c>
      <c r="W243" s="164">
        <v>4.9430000000000002E-2</v>
      </c>
      <c r="X243" s="4" t="s">
        <v>459</v>
      </c>
      <c r="Y243" s="4" t="s">
        <v>164</v>
      </c>
      <c r="Z243" s="150">
        <v>210000</v>
      </c>
      <c r="AA243" s="150">
        <v>1</v>
      </c>
      <c r="AB243" s="150">
        <v>98.59</v>
      </c>
      <c r="AD243" s="150">
        <v>207.03899999999999</v>
      </c>
      <c r="AG243" s="2" t="s">
        <v>37</v>
      </c>
      <c r="AH243" s="164">
        <v>4.2000000000000002E-4</v>
      </c>
      <c r="AI243" s="164">
        <v>1.2586079598805901E-2</v>
      </c>
      <c r="AJ243" s="164">
        <v>1.4442490227321201E-3</v>
      </c>
    </row>
    <row r="244" spans="1:36">
      <c r="A244" s="2" t="s">
        <v>128</v>
      </c>
      <c r="B244" s="2">
        <v>7229</v>
      </c>
      <c r="C244" s="2" t="s">
        <v>2378</v>
      </c>
      <c r="D244" s="2" t="s">
        <v>2379</v>
      </c>
      <c r="E244" s="4" t="s">
        <v>1380</v>
      </c>
      <c r="F244" s="2" t="s">
        <v>2380</v>
      </c>
      <c r="G244" s="2" t="s">
        <v>2381</v>
      </c>
      <c r="H244" s="2" t="s">
        <v>368</v>
      </c>
      <c r="I244" s="2" t="s">
        <v>219</v>
      </c>
      <c r="J244" s="2" t="s">
        <v>31</v>
      </c>
      <c r="K244" s="2" t="s">
        <v>31</v>
      </c>
      <c r="L244" s="2" t="s">
        <v>374</v>
      </c>
      <c r="M244" s="2" t="s">
        <v>32</v>
      </c>
      <c r="N244" s="2" t="s">
        <v>492</v>
      </c>
      <c r="O244" s="2" t="s">
        <v>164</v>
      </c>
      <c r="P244" s="2" t="s">
        <v>1391</v>
      </c>
      <c r="Q244" s="2" t="s">
        <v>217</v>
      </c>
      <c r="R244" s="2" t="s">
        <v>453</v>
      </c>
      <c r="S244" s="2" t="s">
        <v>35</v>
      </c>
      <c r="T244" s="150">
        <v>5.0140000000000002</v>
      </c>
      <c r="U244" s="2" t="s">
        <v>2382</v>
      </c>
      <c r="V244" s="162">
        <v>2.5899999999999999E-2</v>
      </c>
      <c r="W244" s="164">
        <v>2.1850000000000001E-2</v>
      </c>
      <c r="X244" s="4" t="s">
        <v>459</v>
      </c>
      <c r="Y244" s="4" t="s">
        <v>164</v>
      </c>
      <c r="Z244" s="150">
        <v>327000</v>
      </c>
      <c r="AA244" s="150">
        <v>1</v>
      </c>
      <c r="AB244" s="150">
        <v>102.82</v>
      </c>
      <c r="AD244" s="150">
        <v>336.221</v>
      </c>
      <c r="AG244" s="2" t="s">
        <v>37</v>
      </c>
      <c r="AH244" s="164">
        <v>0</v>
      </c>
      <c r="AI244" s="164">
        <v>2.0439189250440502E-2</v>
      </c>
      <c r="AJ244" s="164">
        <v>2.34539110202245E-3</v>
      </c>
    </row>
    <row r="245" spans="1:36">
      <c r="A245" s="2" t="s">
        <v>128</v>
      </c>
      <c r="B245" s="2">
        <v>7229</v>
      </c>
      <c r="C245" s="2" t="s">
        <v>2383</v>
      </c>
      <c r="D245" s="2" t="s">
        <v>2384</v>
      </c>
      <c r="E245" s="4" t="s">
        <v>1380</v>
      </c>
      <c r="F245" s="2" t="s">
        <v>2385</v>
      </c>
      <c r="G245" s="2" t="s">
        <v>2386</v>
      </c>
      <c r="H245" s="2" t="s">
        <v>368</v>
      </c>
      <c r="I245" s="2" t="s">
        <v>1011</v>
      </c>
      <c r="J245" s="2" t="s">
        <v>31</v>
      </c>
      <c r="K245" s="2" t="s">
        <v>31</v>
      </c>
      <c r="L245" s="2" t="s">
        <v>374</v>
      </c>
      <c r="M245" s="2" t="s">
        <v>32</v>
      </c>
      <c r="N245" s="2" t="s">
        <v>498</v>
      </c>
      <c r="O245" s="2" t="s">
        <v>164</v>
      </c>
      <c r="P245" s="2" t="s">
        <v>2274</v>
      </c>
      <c r="Q245" s="2" t="s">
        <v>217</v>
      </c>
      <c r="R245" s="2" t="s">
        <v>453</v>
      </c>
      <c r="S245" s="2" t="s">
        <v>35</v>
      </c>
      <c r="T245" s="150">
        <v>3.5369999999999999</v>
      </c>
      <c r="U245" s="2" t="s">
        <v>2387</v>
      </c>
      <c r="V245" s="162">
        <v>2.24E-2</v>
      </c>
      <c r="W245" s="164">
        <v>4.8939999999999997E-2</v>
      </c>
      <c r="X245" s="4" t="s">
        <v>459</v>
      </c>
      <c r="Y245" s="4" t="s">
        <v>164</v>
      </c>
      <c r="Z245" s="150">
        <v>180981.82</v>
      </c>
      <c r="AA245" s="150">
        <v>1</v>
      </c>
      <c r="AB245" s="150">
        <v>92.24</v>
      </c>
      <c r="AD245" s="150">
        <v>166.93799999999999</v>
      </c>
      <c r="AG245" s="2" t="s">
        <v>37</v>
      </c>
      <c r="AH245" s="164">
        <v>2.8200000000000002E-4</v>
      </c>
      <c r="AI245" s="164">
        <v>1.0148282733601501E-2</v>
      </c>
      <c r="AJ245" s="164">
        <v>1.1645125319089699E-3</v>
      </c>
    </row>
    <row r="246" spans="1:36">
      <c r="A246" s="2" t="s">
        <v>128</v>
      </c>
      <c r="B246" s="2">
        <v>7229</v>
      </c>
      <c r="C246" s="2" t="s">
        <v>1955</v>
      </c>
      <c r="D246" s="2" t="s">
        <v>1956</v>
      </c>
      <c r="E246" s="4" t="s">
        <v>1380</v>
      </c>
      <c r="F246" s="2" t="s">
        <v>2388</v>
      </c>
      <c r="G246" s="2" t="s">
        <v>2389</v>
      </c>
      <c r="H246" s="2" t="s">
        <v>368</v>
      </c>
      <c r="I246" s="2" t="s">
        <v>1011</v>
      </c>
      <c r="J246" s="2" t="s">
        <v>31</v>
      </c>
      <c r="K246" s="2" t="s">
        <v>31</v>
      </c>
      <c r="L246" s="2" t="s">
        <v>374</v>
      </c>
      <c r="M246" s="2" t="s">
        <v>32</v>
      </c>
      <c r="N246" s="2" t="s">
        <v>489</v>
      </c>
      <c r="O246" s="2" t="s">
        <v>164</v>
      </c>
      <c r="P246" s="2" t="s">
        <v>1391</v>
      </c>
      <c r="Q246" s="2" t="s">
        <v>217</v>
      </c>
      <c r="R246" s="2" t="s">
        <v>453</v>
      </c>
      <c r="S246" s="2" t="s">
        <v>35</v>
      </c>
      <c r="T246" s="150">
        <v>3.6509999999999998</v>
      </c>
      <c r="U246" s="2" t="s">
        <v>2390</v>
      </c>
      <c r="V246" s="162">
        <v>4.7E-2</v>
      </c>
      <c r="W246" s="164">
        <v>4.7649999999999998E-2</v>
      </c>
      <c r="X246" s="4" t="s">
        <v>459</v>
      </c>
      <c r="Y246" s="4" t="s">
        <v>164</v>
      </c>
      <c r="Z246" s="150">
        <v>183000</v>
      </c>
      <c r="AA246" s="150">
        <v>1</v>
      </c>
      <c r="AB246" s="150">
        <v>100.19</v>
      </c>
      <c r="AD246" s="150">
        <v>183.34800000000001</v>
      </c>
      <c r="AG246" s="2" t="s">
        <v>37</v>
      </c>
      <c r="AH246" s="164">
        <v>3.6699999999999998E-4</v>
      </c>
      <c r="AI246" s="164">
        <v>1.1145865013152E-2</v>
      </c>
      <c r="AJ246" s="164">
        <v>1.27898481225848E-3</v>
      </c>
    </row>
    <row r="247" spans="1:36">
      <c r="A247" s="2" t="s">
        <v>128</v>
      </c>
      <c r="B247" s="2">
        <v>7229</v>
      </c>
      <c r="C247" s="2" t="s">
        <v>1219</v>
      </c>
      <c r="D247" s="2" t="s">
        <v>1959</v>
      </c>
      <c r="E247" s="4" t="s">
        <v>1380</v>
      </c>
      <c r="F247" s="2" t="s">
        <v>2391</v>
      </c>
      <c r="G247" s="2" t="s">
        <v>2392</v>
      </c>
      <c r="H247" s="2" t="s">
        <v>368</v>
      </c>
      <c r="I247" s="2" t="s">
        <v>219</v>
      </c>
      <c r="J247" s="2" t="s">
        <v>31</v>
      </c>
      <c r="K247" s="2" t="s">
        <v>31</v>
      </c>
      <c r="L247" s="2" t="s">
        <v>374</v>
      </c>
      <c r="M247" s="2" t="s">
        <v>32</v>
      </c>
      <c r="N247" s="2" t="s">
        <v>492</v>
      </c>
      <c r="O247" s="2" t="s">
        <v>164</v>
      </c>
      <c r="P247" s="2" t="s">
        <v>103</v>
      </c>
      <c r="Q247" s="2" t="s">
        <v>104</v>
      </c>
      <c r="R247" s="2" t="s">
        <v>453</v>
      </c>
      <c r="S247" s="2" t="s">
        <v>35</v>
      </c>
      <c r="T247" s="150">
        <v>1.23</v>
      </c>
      <c r="U247" s="2" t="s">
        <v>2393</v>
      </c>
      <c r="V247" s="162">
        <v>8.3000000000000001E-3</v>
      </c>
      <c r="W247" s="164">
        <v>1.3979999999999999E-2</v>
      </c>
      <c r="X247" s="4" t="s">
        <v>459</v>
      </c>
      <c r="Y247" s="4" t="s">
        <v>164</v>
      </c>
      <c r="Z247" s="150">
        <v>171370</v>
      </c>
      <c r="AA247" s="150">
        <v>1</v>
      </c>
      <c r="AB247" s="150">
        <v>111.66</v>
      </c>
      <c r="AD247" s="150">
        <v>191.352</v>
      </c>
      <c r="AG247" s="2" t="s">
        <v>37</v>
      </c>
      <c r="AH247" s="164">
        <v>5.5999999999999999E-5</v>
      </c>
      <c r="AI247" s="164">
        <v>1.16324376382332E-2</v>
      </c>
      <c r="AJ247" s="164">
        <v>1.33481888137785E-3</v>
      </c>
    </row>
    <row r="248" spans="1:36">
      <c r="A248" s="2" t="s">
        <v>128</v>
      </c>
      <c r="B248" s="2">
        <v>7229</v>
      </c>
      <c r="C248" s="2" t="s">
        <v>1219</v>
      </c>
      <c r="D248" s="2" t="s">
        <v>1959</v>
      </c>
      <c r="E248" s="4" t="s">
        <v>1380</v>
      </c>
      <c r="F248" s="2" t="s">
        <v>2394</v>
      </c>
      <c r="G248" s="2" t="s">
        <v>2395</v>
      </c>
      <c r="H248" s="2" t="s">
        <v>368</v>
      </c>
      <c r="I248" s="2" t="s">
        <v>219</v>
      </c>
      <c r="J248" s="2" t="s">
        <v>31</v>
      </c>
      <c r="K248" s="2" t="s">
        <v>31</v>
      </c>
      <c r="L248" s="2" t="s">
        <v>374</v>
      </c>
      <c r="M248" s="2" t="s">
        <v>32</v>
      </c>
      <c r="N248" s="2" t="s">
        <v>492</v>
      </c>
      <c r="O248" s="2" t="s">
        <v>164</v>
      </c>
      <c r="P248" s="2" t="s">
        <v>216</v>
      </c>
      <c r="Q248" s="2" t="s">
        <v>217</v>
      </c>
      <c r="R248" s="2" t="s">
        <v>453</v>
      </c>
      <c r="S248" s="2" t="s">
        <v>35</v>
      </c>
      <c r="T248" s="150">
        <v>5.6390000000000002</v>
      </c>
      <c r="U248" s="2" t="s">
        <v>2396</v>
      </c>
      <c r="V248" s="162">
        <v>1E-3</v>
      </c>
      <c r="W248" s="164">
        <v>2.069E-2</v>
      </c>
      <c r="X248" s="4" t="s">
        <v>459</v>
      </c>
      <c r="Y248" s="4" t="s">
        <v>164</v>
      </c>
      <c r="Z248" s="150">
        <v>300000</v>
      </c>
      <c r="AA248" s="150">
        <v>1</v>
      </c>
      <c r="AB248" s="150">
        <v>97.7</v>
      </c>
      <c r="AD248" s="150">
        <v>293.10000000000002</v>
      </c>
      <c r="AG248" s="2" t="s">
        <v>37</v>
      </c>
      <c r="AH248" s="164">
        <v>3.0200000000000002E-4</v>
      </c>
      <c r="AI248" s="164">
        <v>1.78178021068978E-2</v>
      </c>
      <c r="AJ248" s="164">
        <v>2.0445876794361701E-3</v>
      </c>
    </row>
    <row r="249" spans="1:36">
      <c r="A249" s="2" t="s">
        <v>128</v>
      </c>
      <c r="B249" s="2">
        <v>7229</v>
      </c>
      <c r="C249" s="2" t="s">
        <v>2167</v>
      </c>
      <c r="D249" s="2" t="s">
        <v>2168</v>
      </c>
      <c r="E249" s="4" t="s">
        <v>1380</v>
      </c>
      <c r="F249" s="2" t="s">
        <v>2397</v>
      </c>
      <c r="G249" s="2" t="s">
        <v>2398</v>
      </c>
      <c r="H249" s="2" t="s">
        <v>368</v>
      </c>
      <c r="I249" s="2" t="s">
        <v>219</v>
      </c>
      <c r="J249" s="2" t="s">
        <v>31</v>
      </c>
      <c r="K249" s="2" t="s">
        <v>31</v>
      </c>
      <c r="L249" s="2" t="s">
        <v>374</v>
      </c>
      <c r="M249" s="2" t="s">
        <v>32</v>
      </c>
      <c r="N249" s="2" t="s">
        <v>508</v>
      </c>
      <c r="O249" s="2" t="s">
        <v>164</v>
      </c>
      <c r="P249" s="2" t="s">
        <v>2399</v>
      </c>
      <c r="Q249" s="2" t="s">
        <v>104</v>
      </c>
      <c r="R249" s="2" t="s">
        <v>453</v>
      </c>
      <c r="S249" s="2" t="s">
        <v>35</v>
      </c>
      <c r="T249" s="150">
        <v>6.3410000000000002</v>
      </c>
      <c r="U249" s="2" t="s">
        <v>2344</v>
      </c>
      <c r="V249" s="162">
        <v>3.5000000000000001E-3</v>
      </c>
      <c r="W249" s="164">
        <v>2.9829999999999999E-2</v>
      </c>
      <c r="X249" s="4" t="s">
        <v>459</v>
      </c>
      <c r="Y249" s="4" t="s">
        <v>164</v>
      </c>
      <c r="Z249" s="150">
        <v>200000</v>
      </c>
      <c r="AA249" s="150">
        <v>1</v>
      </c>
      <c r="AB249" s="150">
        <v>92.07</v>
      </c>
      <c r="AD249" s="150">
        <v>184.14</v>
      </c>
      <c r="AG249" s="2" t="s">
        <v>37</v>
      </c>
      <c r="AH249" s="164">
        <v>6.4999999999999994E-5</v>
      </c>
      <c r="AI249" s="164">
        <v>1.1194029614343799E-2</v>
      </c>
      <c r="AJ249" s="164">
        <v>1.28451168642571E-3</v>
      </c>
    </row>
    <row r="250" spans="1:36">
      <c r="A250" s="2" t="s">
        <v>128</v>
      </c>
      <c r="B250" s="2">
        <v>7229</v>
      </c>
      <c r="C250" s="2" t="s">
        <v>2537</v>
      </c>
      <c r="D250" s="2" t="s">
        <v>2538</v>
      </c>
      <c r="E250" s="4" t="s">
        <v>1380</v>
      </c>
      <c r="F250" s="2" t="s">
        <v>2539</v>
      </c>
      <c r="G250" s="2" t="s">
        <v>2540</v>
      </c>
      <c r="H250" s="2" t="s">
        <v>368</v>
      </c>
      <c r="I250" s="2" t="s">
        <v>1011</v>
      </c>
      <c r="J250" s="2" t="s">
        <v>31</v>
      </c>
      <c r="K250" s="2" t="s">
        <v>31</v>
      </c>
      <c r="L250" s="2" t="s">
        <v>374</v>
      </c>
      <c r="M250" s="2" t="s">
        <v>32</v>
      </c>
      <c r="N250" s="2" t="s">
        <v>489</v>
      </c>
      <c r="O250" s="2" t="s">
        <v>164</v>
      </c>
      <c r="P250" s="2" t="s">
        <v>1384</v>
      </c>
      <c r="Q250" s="2" t="s">
        <v>104</v>
      </c>
      <c r="R250" s="2" t="s">
        <v>453</v>
      </c>
      <c r="S250" s="2" t="s">
        <v>35</v>
      </c>
      <c r="T250" s="150">
        <v>2.633</v>
      </c>
      <c r="U250" s="2" t="s">
        <v>2407</v>
      </c>
      <c r="V250" s="162">
        <v>4.1000000000000002E-2</v>
      </c>
      <c r="W250" s="164">
        <v>4.7730000000000002E-2</v>
      </c>
      <c r="X250" s="4" t="s">
        <v>459</v>
      </c>
      <c r="Y250" s="4" t="s">
        <v>164</v>
      </c>
      <c r="Z250" s="150">
        <v>200000</v>
      </c>
      <c r="AA250" s="150">
        <v>1</v>
      </c>
      <c r="AB250" s="150">
        <v>99.32</v>
      </c>
      <c r="AD250" s="150">
        <v>198.64</v>
      </c>
      <c r="AG250" s="2" t="s">
        <v>37</v>
      </c>
      <c r="AH250" s="164">
        <v>2.7999999999999998E-4</v>
      </c>
      <c r="AI250" s="164">
        <v>1.2075497135838199E-2</v>
      </c>
      <c r="AJ250" s="164">
        <v>1.3856598316042399E-3</v>
      </c>
    </row>
    <row r="251" spans="1:36">
      <c r="A251" s="2" t="s">
        <v>128</v>
      </c>
      <c r="B251" s="2">
        <v>7229</v>
      </c>
      <c r="C251" s="2" t="s">
        <v>1962</v>
      </c>
      <c r="D251" s="2" t="s">
        <v>1963</v>
      </c>
      <c r="E251" s="4" t="s">
        <v>1380</v>
      </c>
      <c r="F251" s="2" t="s">
        <v>2400</v>
      </c>
      <c r="G251" s="2" t="s">
        <v>2401</v>
      </c>
      <c r="H251" s="2" t="s">
        <v>368</v>
      </c>
      <c r="I251" s="2" t="s">
        <v>1011</v>
      </c>
      <c r="J251" s="2" t="s">
        <v>31</v>
      </c>
      <c r="K251" s="2" t="s">
        <v>31</v>
      </c>
      <c r="L251" s="2" t="s">
        <v>374</v>
      </c>
      <c r="M251" s="2" t="s">
        <v>32</v>
      </c>
      <c r="N251" s="2" t="s">
        <v>508</v>
      </c>
      <c r="O251" s="2" t="s">
        <v>164</v>
      </c>
      <c r="P251" s="2" t="s">
        <v>2244</v>
      </c>
      <c r="Q251" s="2" t="s">
        <v>104</v>
      </c>
      <c r="R251" s="2" t="s">
        <v>453</v>
      </c>
      <c r="S251" s="2" t="s">
        <v>35</v>
      </c>
      <c r="T251" s="150">
        <v>5.6909999999999998</v>
      </c>
      <c r="U251" s="2" t="s">
        <v>2402</v>
      </c>
      <c r="V251" s="162">
        <v>5.4800000000000001E-2</v>
      </c>
      <c r="W251" s="164">
        <v>5.5469999999999998E-2</v>
      </c>
      <c r="X251" s="4" t="s">
        <v>459</v>
      </c>
      <c r="Y251" s="4" t="s">
        <v>164</v>
      </c>
      <c r="Z251" s="150">
        <v>223000</v>
      </c>
      <c r="AA251" s="150">
        <v>1</v>
      </c>
      <c r="AB251" s="150">
        <v>101.42</v>
      </c>
      <c r="AD251" s="150">
        <v>226.167</v>
      </c>
      <c r="AG251" s="2" t="s">
        <v>37</v>
      </c>
      <c r="AH251" s="164">
        <v>7.4299999999999995E-4</v>
      </c>
      <c r="AI251" s="164">
        <v>1.3748862920470501E-2</v>
      </c>
      <c r="AJ251" s="164">
        <v>1.5776780752643101E-3</v>
      </c>
    </row>
    <row r="252" spans="1:36">
      <c r="A252" s="2" t="s">
        <v>128</v>
      </c>
      <c r="B252" s="2">
        <v>7229</v>
      </c>
      <c r="C252" s="2" t="s">
        <v>2403</v>
      </c>
      <c r="D252" s="2" t="s">
        <v>2404</v>
      </c>
      <c r="E252" s="4" t="s">
        <v>1380</v>
      </c>
      <c r="F252" s="2" t="s">
        <v>2405</v>
      </c>
      <c r="G252" s="2" t="s">
        <v>2406</v>
      </c>
      <c r="H252" s="2" t="s">
        <v>368</v>
      </c>
      <c r="I252" s="2" t="s">
        <v>219</v>
      </c>
      <c r="J252" s="2" t="s">
        <v>31</v>
      </c>
      <c r="K252" s="2" t="s">
        <v>31</v>
      </c>
      <c r="L252" s="2" t="s">
        <v>374</v>
      </c>
      <c r="M252" s="2" t="s">
        <v>32</v>
      </c>
      <c r="N252" s="2" t="s">
        <v>508</v>
      </c>
      <c r="O252" s="2" t="s">
        <v>164</v>
      </c>
      <c r="P252" s="2" t="s">
        <v>2255</v>
      </c>
      <c r="Q252" s="2" t="s">
        <v>217</v>
      </c>
      <c r="R252" s="2" t="s">
        <v>453</v>
      </c>
      <c r="S252" s="2" t="s">
        <v>35</v>
      </c>
      <c r="T252" s="150">
        <v>2.75</v>
      </c>
      <c r="U252" s="2" t="s">
        <v>2407</v>
      </c>
      <c r="V252" s="162">
        <v>3.0000000000000001E-3</v>
      </c>
      <c r="W252" s="164">
        <v>2.997E-2</v>
      </c>
      <c r="X252" s="4" t="s">
        <v>459</v>
      </c>
      <c r="Y252" s="4" t="s">
        <v>164</v>
      </c>
      <c r="Z252" s="150">
        <v>138000</v>
      </c>
      <c r="AA252" s="150">
        <v>1</v>
      </c>
      <c r="AB252" s="150">
        <v>93.4</v>
      </c>
      <c r="AD252" s="150">
        <v>128.892</v>
      </c>
      <c r="AG252" s="2" t="s">
        <v>37</v>
      </c>
      <c r="AH252" s="164">
        <v>4.57E-4</v>
      </c>
      <c r="AI252" s="164">
        <v>7.8354559848593207E-3</v>
      </c>
      <c r="AJ252" s="164">
        <v>8.9911632609309896E-4</v>
      </c>
    </row>
    <row r="253" spans="1:36">
      <c r="A253" s="2" t="s">
        <v>128</v>
      </c>
      <c r="B253" s="2">
        <v>7229</v>
      </c>
      <c r="C253" s="2" t="s">
        <v>2408</v>
      </c>
      <c r="D253" s="2" t="s">
        <v>2409</v>
      </c>
      <c r="E253" s="4" t="s">
        <v>1380</v>
      </c>
      <c r="F253" s="2" t="s">
        <v>2541</v>
      </c>
      <c r="G253" s="2" t="s">
        <v>2542</v>
      </c>
      <c r="H253" s="2" t="s">
        <v>368</v>
      </c>
      <c r="I253" s="2" t="s">
        <v>1011</v>
      </c>
      <c r="J253" s="2" t="s">
        <v>31</v>
      </c>
      <c r="K253" s="2" t="s">
        <v>31</v>
      </c>
      <c r="L253" s="2" t="s">
        <v>374</v>
      </c>
      <c r="M253" s="2" t="s">
        <v>32</v>
      </c>
      <c r="N253" s="2" t="s">
        <v>492</v>
      </c>
      <c r="O253" s="2" t="s">
        <v>164</v>
      </c>
      <c r="P253" s="2" t="s">
        <v>103</v>
      </c>
      <c r="Q253" s="2" t="s">
        <v>104</v>
      </c>
      <c r="R253" s="2" t="s">
        <v>453</v>
      </c>
      <c r="S253" s="2" t="s">
        <v>35</v>
      </c>
      <c r="T253" s="150">
        <v>1.157</v>
      </c>
      <c r="U253" s="2" t="s">
        <v>2543</v>
      </c>
      <c r="V253" s="162">
        <v>2.98E-2</v>
      </c>
      <c r="W253" s="164">
        <v>4.4519999999999997E-2</v>
      </c>
      <c r="X253" s="4" t="s">
        <v>459</v>
      </c>
      <c r="Y253" s="4" t="s">
        <v>164</v>
      </c>
      <c r="Z253" s="150">
        <v>200000</v>
      </c>
      <c r="AA253" s="150">
        <v>1</v>
      </c>
      <c r="AB253" s="150">
        <v>100.79</v>
      </c>
      <c r="AD253" s="150">
        <v>201.58</v>
      </c>
      <c r="AG253" s="2" t="s">
        <v>37</v>
      </c>
      <c r="AH253" s="164">
        <v>1.5200000000000001E-4</v>
      </c>
      <c r="AI253" s="164">
        <v>1.2254222274679099E-2</v>
      </c>
      <c r="AJ253" s="164">
        <v>1.4061684900059501E-3</v>
      </c>
    </row>
    <row r="254" spans="1:36">
      <c r="A254" s="2" t="s">
        <v>128</v>
      </c>
      <c r="B254" s="2">
        <v>7229</v>
      </c>
      <c r="C254" s="2" t="s">
        <v>2408</v>
      </c>
      <c r="D254" s="2" t="s">
        <v>2409</v>
      </c>
      <c r="E254" s="4" t="s">
        <v>1380</v>
      </c>
      <c r="F254" s="2" t="s">
        <v>2410</v>
      </c>
      <c r="G254" s="2" t="s">
        <v>2411</v>
      </c>
      <c r="H254" s="2" t="s">
        <v>368</v>
      </c>
      <c r="I254" s="2" t="s">
        <v>219</v>
      </c>
      <c r="J254" s="2" t="s">
        <v>31</v>
      </c>
      <c r="K254" s="2" t="s">
        <v>31</v>
      </c>
      <c r="L254" s="2" t="s">
        <v>374</v>
      </c>
      <c r="M254" s="2" t="s">
        <v>32</v>
      </c>
      <c r="N254" s="2" t="s">
        <v>492</v>
      </c>
      <c r="O254" s="2" t="s">
        <v>164</v>
      </c>
      <c r="P254" s="2" t="s">
        <v>1396</v>
      </c>
      <c r="Q254" s="2" t="s">
        <v>104</v>
      </c>
      <c r="R254" s="2" t="s">
        <v>453</v>
      </c>
      <c r="S254" s="2" t="s">
        <v>35</v>
      </c>
      <c r="T254" s="150">
        <v>4.851</v>
      </c>
      <c r="U254" s="2" t="s">
        <v>2412</v>
      </c>
      <c r="V254" s="162">
        <v>3.3599999999999998E-2</v>
      </c>
      <c r="W254" s="164">
        <v>2.7230000000000001E-2</v>
      </c>
      <c r="X254" s="4" t="s">
        <v>459</v>
      </c>
      <c r="Y254" s="4" t="s">
        <v>164</v>
      </c>
      <c r="Z254" s="150">
        <v>200000</v>
      </c>
      <c r="AA254" s="150">
        <v>1</v>
      </c>
      <c r="AB254" s="150">
        <v>103.97</v>
      </c>
      <c r="AD254" s="150">
        <v>207.94</v>
      </c>
      <c r="AG254" s="2" t="s">
        <v>37</v>
      </c>
      <c r="AH254" s="164">
        <v>3.6099999999999999E-4</v>
      </c>
      <c r="AI254" s="164">
        <v>1.2640852166865699E-2</v>
      </c>
      <c r="AJ254" s="164">
        <v>1.4505341592014899E-3</v>
      </c>
    </row>
    <row r="255" spans="1:36">
      <c r="A255" s="2" t="s">
        <v>128</v>
      </c>
      <c r="B255" s="2">
        <v>7229</v>
      </c>
      <c r="C255" s="2" t="s">
        <v>2408</v>
      </c>
      <c r="D255" s="2" t="s">
        <v>2409</v>
      </c>
      <c r="E255" s="4" t="s">
        <v>1380</v>
      </c>
      <c r="F255" s="2" t="s">
        <v>2413</v>
      </c>
      <c r="G255" s="2" t="s">
        <v>2414</v>
      </c>
      <c r="H255" s="2" t="s">
        <v>368</v>
      </c>
      <c r="I255" s="2" t="s">
        <v>219</v>
      </c>
      <c r="J255" s="2" t="s">
        <v>31</v>
      </c>
      <c r="K255" s="2" t="s">
        <v>31</v>
      </c>
      <c r="L255" s="2" t="s">
        <v>374</v>
      </c>
      <c r="M255" s="2" t="s">
        <v>32</v>
      </c>
      <c r="N255" s="2" t="s">
        <v>492</v>
      </c>
      <c r="O255" s="2" t="s">
        <v>164</v>
      </c>
      <c r="P255" s="2" t="s">
        <v>103</v>
      </c>
      <c r="Q255" s="2" t="s">
        <v>104</v>
      </c>
      <c r="R255" s="2" t="s">
        <v>453</v>
      </c>
      <c r="S255" s="2" t="s">
        <v>35</v>
      </c>
      <c r="T255" s="150">
        <v>0.496</v>
      </c>
      <c r="U255" s="2" t="s">
        <v>2415</v>
      </c>
      <c r="V255" s="162">
        <v>8.6E-3</v>
      </c>
      <c r="W255" s="164">
        <v>1.3089999999999999E-2</v>
      </c>
      <c r="X255" s="4" t="s">
        <v>459</v>
      </c>
      <c r="Y255" s="4" t="s">
        <v>164</v>
      </c>
      <c r="Z255" s="150">
        <v>200000</v>
      </c>
      <c r="AA255" s="150">
        <v>1</v>
      </c>
      <c r="AB255" s="150">
        <v>113.09</v>
      </c>
      <c r="AD255" s="150">
        <v>226.18</v>
      </c>
      <c r="AG255" s="2" t="s">
        <v>37</v>
      </c>
      <c r="AH255" s="164">
        <v>8.0000000000000007E-5</v>
      </c>
      <c r="AI255" s="164">
        <v>1.3749677518042101E-2</v>
      </c>
      <c r="AJ255" s="164">
        <v>1.5777715501019199E-3</v>
      </c>
    </row>
    <row r="256" spans="1:36">
      <c r="A256" s="2" t="s">
        <v>128</v>
      </c>
      <c r="B256" s="2">
        <v>7229</v>
      </c>
      <c r="C256" s="2" t="s">
        <v>2408</v>
      </c>
      <c r="D256" s="2" t="s">
        <v>2409</v>
      </c>
      <c r="E256" s="4" t="s">
        <v>1380</v>
      </c>
      <c r="F256" s="2" t="s">
        <v>2416</v>
      </c>
      <c r="G256" s="2" t="s">
        <v>2417</v>
      </c>
      <c r="H256" s="2" t="s">
        <v>368</v>
      </c>
      <c r="I256" s="2" t="s">
        <v>219</v>
      </c>
      <c r="J256" s="2" t="s">
        <v>31</v>
      </c>
      <c r="K256" s="2" t="s">
        <v>31</v>
      </c>
      <c r="L256" s="2" t="s">
        <v>374</v>
      </c>
      <c r="M256" s="2" t="s">
        <v>32</v>
      </c>
      <c r="N256" s="2" t="s">
        <v>492</v>
      </c>
      <c r="O256" s="2" t="s">
        <v>164</v>
      </c>
      <c r="P256" s="2" t="s">
        <v>103</v>
      </c>
      <c r="Q256" s="2" t="s">
        <v>104</v>
      </c>
      <c r="R256" s="2" t="s">
        <v>453</v>
      </c>
      <c r="S256" s="2" t="s">
        <v>35</v>
      </c>
      <c r="T256" s="150">
        <v>5.93</v>
      </c>
      <c r="U256" s="2" t="s">
        <v>2418</v>
      </c>
      <c r="V256" s="162">
        <v>2.2013000000000001E-2</v>
      </c>
      <c r="W256" s="164">
        <v>1.9910000000000001E-2</v>
      </c>
      <c r="X256" s="4" t="s">
        <v>459</v>
      </c>
      <c r="Y256" s="4" t="s">
        <v>164</v>
      </c>
      <c r="Z256" s="150">
        <v>300000</v>
      </c>
      <c r="AA256" s="150">
        <v>1</v>
      </c>
      <c r="AB256" s="150">
        <v>113.48</v>
      </c>
      <c r="AD256" s="150">
        <v>340.44</v>
      </c>
      <c r="AG256" s="2" t="s">
        <v>37</v>
      </c>
      <c r="AH256" s="164">
        <v>4.2700000000000002E-4</v>
      </c>
      <c r="AI256" s="164">
        <v>2.0695641587418202E-2</v>
      </c>
      <c r="AJ256" s="164">
        <v>2.3748189341086701E-3</v>
      </c>
    </row>
    <row r="257" spans="1:36">
      <c r="A257" s="2" t="s">
        <v>128</v>
      </c>
      <c r="B257" s="2">
        <v>7229</v>
      </c>
      <c r="C257" s="2" t="s">
        <v>1974</v>
      </c>
      <c r="D257" s="2" t="s">
        <v>1975</v>
      </c>
      <c r="E257" s="4" t="s">
        <v>1380</v>
      </c>
      <c r="F257" s="2" t="s">
        <v>2419</v>
      </c>
      <c r="G257" s="2" t="s">
        <v>2420</v>
      </c>
      <c r="H257" s="2" t="s">
        <v>368</v>
      </c>
      <c r="I257" s="2" t="s">
        <v>219</v>
      </c>
      <c r="J257" s="2" t="s">
        <v>31</v>
      </c>
      <c r="K257" s="2" t="s">
        <v>31</v>
      </c>
      <c r="L257" s="2" t="s">
        <v>374</v>
      </c>
      <c r="M257" s="2" t="s">
        <v>32</v>
      </c>
      <c r="N257" s="2" t="s">
        <v>508</v>
      </c>
      <c r="O257" s="2" t="s">
        <v>164</v>
      </c>
      <c r="P257" s="2" t="s">
        <v>2274</v>
      </c>
      <c r="Q257" s="2" t="s">
        <v>217</v>
      </c>
      <c r="R257" s="2" t="s">
        <v>453</v>
      </c>
      <c r="S257" s="2" t="s">
        <v>35</v>
      </c>
      <c r="T257" s="150">
        <v>6.45</v>
      </c>
      <c r="U257" s="2" t="s">
        <v>2421</v>
      </c>
      <c r="V257" s="162">
        <v>3.61E-2</v>
      </c>
      <c r="W257" s="164">
        <v>2.9960000000000001E-2</v>
      </c>
      <c r="X257" s="4" t="s">
        <v>459</v>
      </c>
      <c r="Y257" s="4" t="s">
        <v>164</v>
      </c>
      <c r="Z257" s="150">
        <v>100000</v>
      </c>
      <c r="AA257" s="150">
        <v>1</v>
      </c>
      <c r="AB257" s="150">
        <v>107.22</v>
      </c>
      <c r="AD257" s="150">
        <v>107.22</v>
      </c>
      <c r="AG257" s="2" t="s">
        <v>37</v>
      </c>
      <c r="AH257" s="164">
        <v>2.1800000000000001E-4</v>
      </c>
      <c r="AI257" s="164">
        <v>6.51799638997468E-3</v>
      </c>
      <c r="AJ257" s="164">
        <v>7.4793821558903596E-4</v>
      </c>
    </row>
    <row r="258" spans="1:36">
      <c r="A258" s="2" t="s">
        <v>128</v>
      </c>
      <c r="B258" s="2">
        <v>7229</v>
      </c>
      <c r="C258" s="2" t="s">
        <v>2186</v>
      </c>
      <c r="D258" s="2" t="s">
        <v>2187</v>
      </c>
      <c r="E258" s="4" t="s">
        <v>1380</v>
      </c>
      <c r="F258" s="2" t="s">
        <v>2612</v>
      </c>
      <c r="G258" s="2" t="s">
        <v>2613</v>
      </c>
      <c r="H258" s="2" t="s">
        <v>368</v>
      </c>
      <c r="I258" s="2" t="s">
        <v>219</v>
      </c>
      <c r="J258" s="2" t="s">
        <v>31</v>
      </c>
      <c r="K258" s="2" t="s">
        <v>31</v>
      </c>
      <c r="L258" s="2" t="s">
        <v>374</v>
      </c>
      <c r="M258" s="2" t="s">
        <v>32</v>
      </c>
      <c r="N258" s="2" t="s">
        <v>508</v>
      </c>
      <c r="O258" s="2" t="s">
        <v>164</v>
      </c>
      <c r="P258" s="2" t="s">
        <v>1384</v>
      </c>
      <c r="Q258" s="2" t="s">
        <v>104</v>
      </c>
      <c r="R258" s="2" t="s">
        <v>453</v>
      </c>
      <c r="S258" s="2" t="s">
        <v>35</v>
      </c>
      <c r="T258" s="150">
        <v>3.2389999999999999</v>
      </c>
      <c r="U258" s="2" t="s">
        <v>1375</v>
      </c>
      <c r="V258" s="162">
        <v>2.75E-2</v>
      </c>
      <c r="W258" s="164">
        <v>2.4830000000000001E-2</v>
      </c>
      <c r="X258" s="4" t="s">
        <v>459</v>
      </c>
      <c r="Y258" s="4" t="s">
        <v>164</v>
      </c>
      <c r="Z258" s="150">
        <v>170000</v>
      </c>
      <c r="AA258" s="150">
        <v>1</v>
      </c>
      <c r="AB258" s="150">
        <v>112.38</v>
      </c>
      <c r="AD258" s="150">
        <v>191.04599999999999</v>
      </c>
      <c r="AG258" s="2" t="s">
        <v>37</v>
      </c>
      <c r="AH258" s="164">
        <v>3.3300000000000002E-4</v>
      </c>
      <c r="AI258" s="164">
        <v>1.16138513180293E-2</v>
      </c>
      <c r="AJ258" s="164">
        <v>1.3326861064672901E-3</v>
      </c>
    </row>
    <row r="259" spans="1:36">
      <c r="A259" s="2" t="s">
        <v>128</v>
      </c>
      <c r="B259" s="2">
        <v>7229</v>
      </c>
      <c r="C259" s="2" t="s">
        <v>1982</v>
      </c>
      <c r="D259" s="2" t="s">
        <v>1522</v>
      </c>
      <c r="E259" s="4" t="s">
        <v>1380</v>
      </c>
      <c r="F259" s="2" t="s">
        <v>2422</v>
      </c>
      <c r="G259" s="2" t="s">
        <v>2423</v>
      </c>
      <c r="H259" s="2" t="s">
        <v>368</v>
      </c>
      <c r="I259" s="2" t="s">
        <v>1011</v>
      </c>
      <c r="J259" s="2" t="s">
        <v>31</v>
      </c>
      <c r="K259" s="2" t="s">
        <v>31</v>
      </c>
      <c r="L259" s="2" t="s">
        <v>374</v>
      </c>
      <c r="M259" s="2" t="s">
        <v>32</v>
      </c>
      <c r="N259" s="2" t="s">
        <v>487</v>
      </c>
      <c r="O259" s="2" t="s">
        <v>164</v>
      </c>
      <c r="P259" s="2" t="s">
        <v>2311</v>
      </c>
      <c r="Q259" s="2" t="s">
        <v>104</v>
      </c>
      <c r="R259" s="2" t="s">
        <v>453</v>
      </c>
      <c r="S259" s="2" t="s">
        <v>35</v>
      </c>
      <c r="T259" s="150">
        <v>1.4410000000000001</v>
      </c>
      <c r="U259" s="2" t="s">
        <v>2424</v>
      </c>
      <c r="V259" s="162">
        <v>0.114</v>
      </c>
      <c r="W259" s="164">
        <v>6.4250000000000002E-2</v>
      </c>
      <c r="X259" s="4" t="s">
        <v>459</v>
      </c>
      <c r="Y259" s="4" t="s">
        <v>164</v>
      </c>
      <c r="Z259" s="150">
        <v>484810</v>
      </c>
      <c r="AA259" s="150">
        <v>1</v>
      </c>
      <c r="AB259" s="150">
        <v>100.84</v>
      </c>
      <c r="AD259" s="150">
        <v>488.88200000000001</v>
      </c>
      <c r="AG259" s="2" t="s">
        <v>37</v>
      </c>
      <c r="AH259" s="164">
        <v>1.5150000000000001E-3</v>
      </c>
      <c r="AI259" s="164">
        <v>2.9719583514215098E-2</v>
      </c>
      <c r="AJ259" s="164">
        <v>3.4103136810356102E-3</v>
      </c>
    </row>
    <row r="260" spans="1:36">
      <c r="A260" s="2" t="s">
        <v>128</v>
      </c>
      <c r="B260" s="2">
        <v>7229</v>
      </c>
      <c r="C260" s="2" t="s">
        <v>2428</v>
      </c>
      <c r="D260" s="2" t="s">
        <v>2429</v>
      </c>
      <c r="E260" s="4" t="s">
        <v>1380</v>
      </c>
      <c r="F260" s="2" t="s">
        <v>2430</v>
      </c>
      <c r="G260" s="2" t="s">
        <v>2431</v>
      </c>
      <c r="H260" s="2" t="s">
        <v>368</v>
      </c>
      <c r="I260" s="2" t="s">
        <v>219</v>
      </c>
      <c r="J260" s="2" t="s">
        <v>31</v>
      </c>
      <c r="K260" s="2" t="s">
        <v>31</v>
      </c>
      <c r="L260" s="2" t="s">
        <v>374</v>
      </c>
      <c r="M260" s="2" t="s">
        <v>32</v>
      </c>
      <c r="N260" s="2" t="s">
        <v>491</v>
      </c>
      <c r="O260" s="2" t="s">
        <v>164</v>
      </c>
      <c r="P260" s="2" t="s">
        <v>1374</v>
      </c>
      <c r="Q260" s="2" t="s">
        <v>104</v>
      </c>
      <c r="R260" s="2" t="s">
        <v>453</v>
      </c>
      <c r="S260" s="2" t="s">
        <v>35</v>
      </c>
      <c r="T260" s="150">
        <v>3.6669999999999998</v>
      </c>
      <c r="U260" s="2" t="s">
        <v>2432</v>
      </c>
      <c r="V260" s="162">
        <v>2.07E-2</v>
      </c>
      <c r="W260" s="164">
        <v>4.2130000000000001E-2</v>
      </c>
      <c r="X260" s="4" t="s">
        <v>459</v>
      </c>
      <c r="Y260" s="4" t="s">
        <v>164</v>
      </c>
      <c r="Z260" s="150">
        <v>308456</v>
      </c>
      <c r="AA260" s="150">
        <v>1</v>
      </c>
      <c r="AB260" s="150">
        <v>101.49</v>
      </c>
      <c r="AD260" s="150">
        <v>313.05200000000002</v>
      </c>
      <c r="AG260" s="2" t="s">
        <v>37</v>
      </c>
      <c r="AH260" s="164">
        <v>6.6600000000000003E-4</v>
      </c>
      <c r="AI260" s="164">
        <v>1.9030701076045299E-2</v>
      </c>
      <c r="AJ260" s="164">
        <v>2.18376748813771E-3</v>
      </c>
    </row>
    <row r="261" spans="1:36">
      <c r="A261" s="2" t="s">
        <v>128</v>
      </c>
      <c r="B261" s="2">
        <v>7229</v>
      </c>
      <c r="C261" s="2" t="s">
        <v>2433</v>
      </c>
      <c r="D261" s="2" t="s">
        <v>2434</v>
      </c>
      <c r="E261" s="4" t="s">
        <v>1380</v>
      </c>
      <c r="F261" s="2" t="s">
        <v>2435</v>
      </c>
      <c r="G261" s="2" t="s">
        <v>2436</v>
      </c>
      <c r="H261" s="2" t="s">
        <v>368</v>
      </c>
      <c r="I261" s="2" t="s">
        <v>219</v>
      </c>
      <c r="J261" s="2" t="s">
        <v>31</v>
      </c>
      <c r="K261" s="2" t="s">
        <v>31</v>
      </c>
      <c r="L261" s="2" t="s">
        <v>374</v>
      </c>
      <c r="M261" s="2" t="s">
        <v>32</v>
      </c>
      <c r="N261" s="2" t="s">
        <v>522</v>
      </c>
      <c r="O261" s="2" t="s">
        <v>164</v>
      </c>
      <c r="P261" s="2" t="s">
        <v>216</v>
      </c>
      <c r="Q261" s="2" t="s">
        <v>217</v>
      </c>
      <c r="R261" s="2" t="s">
        <v>453</v>
      </c>
      <c r="S261" s="2" t="s">
        <v>35</v>
      </c>
      <c r="T261" s="150">
        <v>12.143000000000001</v>
      </c>
      <c r="U261" s="2" t="s">
        <v>2437</v>
      </c>
      <c r="V261" s="162">
        <v>2.07E-2</v>
      </c>
      <c r="W261" s="164">
        <v>2.7869999999999999E-2</v>
      </c>
      <c r="X261" s="4" t="s">
        <v>459</v>
      </c>
      <c r="Y261" s="4" t="s">
        <v>164</v>
      </c>
      <c r="Z261" s="150">
        <v>144244.68</v>
      </c>
      <c r="AA261" s="150">
        <v>1</v>
      </c>
      <c r="AB261" s="150">
        <v>101.58</v>
      </c>
      <c r="AD261" s="150">
        <v>146.524</v>
      </c>
      <c r="AG261" s="2" t="s">
        <v>37</v>
      </c>
      <c r="AH261" s="164">
        <v>3.1999999999999999E-5</v>
      </c>
      <c r="AI261" s="164">
        <v>8.9073050467129208E-3</v>
      </c>
      <c r="AJ261" s="164">
        <v>1.0221106984030599E-3</v>
      </c>
    </row>
    <row r="262" spans="1:36">
      <c r="A262" s="2" t="s">
        <v>128</v>
      </c>
      <c r="B262" s="2">
        <v>7229</v>
      </c>
      <c r="C262" s="2" t="s">
        <v>2438</v>
      </c>
      <c r="D262" s="2" t="s">
        <v>2439</v>
      </c>
      <c r="E262" s="4" t="s">
        <v>1380</v>
      </c>
      <c r="F262" s="2" t="s">
        <v>2440</v>
      </c>
      <c r="G262" s="2" t="s">
        <v>2441</v>
      </c>
      <c r="H262" s="2" t="s">
        <v>368</v>
      </c>
      <c r="I262" s="2" t="s">
        <v>1011</v>
      </c>
      <c r="J262" s="2" t="s">
        <v>31</v>
      </c>
      <c r="K262" s="2" t="s">
        <v>31</v>
      </c>
      <c r="L262" s="2" t="s">
        <v>374</v>
      </c>
      <c r="M262" s="2" t="s">
        <v>2442</v>
      </c>
      <c r="N262" s="2" t="s">
        <v>498</v>
      </c>
      <c r="O262" s="2" t="s">
        <v>164</v>
      </c>
      <c r="P262" s="2" t="s">
        <v>2255</v>
      </c>
      <c r="Q262" s="2" t="s">
        <v>217</v>
      </c>
      <c r="R262" s="2" t="s">
        <v>453</v>
      </c>
      <c r="S262" s="2" t="s">
        <v>35</v>
      </c>
      <c r="T262" s="150">
        <v>4.1399999999999997</v>
      </c>
      <c r="U262" s="2" t="s">
        <v>2443</v>
      </c>
      <c r="V262" s="162">
        <v>6.7000000000000004E-2</v>
      </c>
      <c r="W262" s="164">
        <v>6.089E-2</v>
      </c>
      <c r="X262" s="4" t="s">
        <v>459</v>
      </c>
      <c r="Y262" s="4" t="s">
        <v>164</v>
      </c>
      <c r="Z262" s="150">
        <v>67000</v>
      </c>
      <c r="AA262" s="150">
        <v>1</v>
      </c>
      <c r="AB262" s="150">
        <v>103.21</v>
      </c>
      <c r="AD262" s="150">
        <v>69.150999999999996</v>
      </c>
      <c r="AG262" s="2" t="s">
        <v>37</v>
      </c>
      <c r="AH262" s="164">
        <v>0</v>
      </c>
      <c r="AI262" s="164">
        <v>4.2037307681796502E-3</v>
      </c>
      <c r="AJ262" s="164">
        <v>4.8237689950319699E-4</v>
      </c>
    </row>
    <row r="263" spans="1:36">
      <c r="A263" s="2" t="s">
        <v>128</v>
      </c>
      <c r="B263" s="2">
        <v>7229</v>
      </c>
      <c r="C263" s="2" t="s">
        <v>2444</v>
      </c>
      <c r="D263" s="2" t="s">
        <v>2445</v>
      </c>
      <c r="E263" s="4" t="s">
        <v>1380</v>
      </c>
      <c r="F263" s="2" t="s">
        <v>2446</v>
      </c>
      <c r="G263" s="2" t="s">
        <v>2447</v>
      </c>
      <c r="H263" s="2" t="s">
        <v>368</v>
      </c>
      <c r="I263" s="2" t="s">
        <v>219</v>
      </c>
      <c r="J263" s="2" t="s">
        <v>31</v>
      </c>
      <c r="K263" s="2" t="s">
        <v>31</v>
      </c>
      <c r="L263" s="2" t="s">
        <v>374</v>
      </c>
      <c r="M263" s="2" t="s">
        <v>32</v>
      </c>
      <c r="N263" s="2" t="s">
        <v>485</v>
      </c>
      <c r="O263" s="2" t="s">
        <v>164</v>
      </c>
      <c r="P263" s="2" t="s">
        <v>1527</v>
      </c>
      <c r="Q263" s="2" t="s">
        <v>204</v>
      </c>
      <c r="R263" s="2" t="s">
        <v>455</v>
      </c>
      <c r="S263" s="2" t="s">
        <v>35</v>
      </c>
      <c r="T263" s="150">
        <v>2.7650000000000001</v>
      </c>
      <c r="U263" s="2" t="s">
        <v>1375</v>
      </c>
      <c r="V263" s="162">
        <v>1.4800000000000001E-2</v>
      </c>
      <c r="W263" s="164">
        <v>3.6080000000000001E-2</v>
      </c>
      <c r="X263" s="4" t="s">
        <v>459</v>
      </c>
      <c r="Y263" s="4" t="s">
        <v>164</v>
      </c>
      <c r="Z263" s="150">
        <v>126000</v>
      </c>
      <c r="AA263" s="150">
        <v>1</v>
      </c>
      <c r="AB263" s="150">
        <v>103.65</v>
      </c>
      <c r="AD263" s="150">
        <v>130.59899999999999</v>
      </c>
      <c r="AG263" s="2" t="s">
        <v>37</v>
      </c>
      <c r="AH263" s="164">
        <v>1.45E-4</v>
      </c>
      <c r="AI263" s="164">
        <v>7.9392259889414594E-3</v>
      </c>
      <c r="AJ263" s="164">
        <v>9.1102390428756297E-4</v>
      </c>
    </row>
    <row r="264" spans="1:36">
      <c r="A264" s="2" t="s">
        <v>128</v>
      </c>
      <c r="B264" s="2">
        <v>7229</v>
      </c>
      <c r="C264" s="2" t="s">
        <v>2444</v>
      </c>
      <c r="D264" s="2" t="s">
        <v>2445</v>
      </c>
      <c r="E264" s="4" t="s">
        <v>1380</v>
      </c>
      <c r="F264" s="2" t="s">
        <v>2448</v>
      </c>
      <c r="G264" s="2" t="s">
        <v>2449</v>
      </c>
      <c r="H264" s="2" t="s">
        <v>368</v>
      </c>
      <c r="I264" s="2" t="s">
        <v>1011</v>
      </c>
      <c r="J264" s="2" t="s">
        <v>31</v>
      </c>
      <c r="K264" s="2" t="s">
        <v>31</v>
      </c>
      <c r="L264" s="2" t="s">
        <v>374</v>
      </c>
      <c r="M264" s="2" t="s">
        <v>32</v>
      </c>
      <c r="N264" s="2" t="s">
        <v>485</v>
      </c>
      <c r="O264" s="2" t="s">
        <v>164</v>
      </c>
      <c r="P264" s="2" t="s">
        <v>1527</v>
      </c>
      <c r="Q264" s="2" t="s">
        <v>204</v>
      </c>
      <c r="R264" s="2" t="s">
        <v>455</v>
      </c>
      <c r="S264" s="2" t="s">
        <v>35</v>
      </c>
      <c r="T264" s="150">
        <v>3.9910000000000001</v>
      </c>
      <c r="U264" s="2" t="s">
        <v>2450</v>
      </c>
      <c r="V264" s="162">
        <v>6.9500000000000006E-2</v>
      </c>
      <c r="W264" s="164">
        <v>6.2260000000000003E-2</v>
      </c>
      <c r="X264" s="4" t="s">
        <v>459</v>
      </c>
      <c r="Y264" s="4" t="s">
        <v>164</v>
      </c>
      <c r="Z264" s="150">
        <v>140000</v>
      </c>
      <c r="AA264" s="150">
        <v>1</v>
      </c>
      <c r="AB264" s="150">
        <v>105</v>
      </c>
      <c r="AD264" s="150">
        <v>147</v>
      </c>
      <c r="AG264" s="2" t="s">
        <v>37</v>
      </c>
      <c r="AH264" s="164">
        <v>5.9800000000000001E-4</v>
      </c>
      <c r="AI264" s="164">
        <v>8.9362569420469908E-3</v>
      </c>
      <c r="AJ264" s="164">
        <v>1.0254329200857001E-3</v>
      </c>
    </row>
    <row r="265" spans="1:36">
      <c r="A265" s="2" t="s">
        <v>128</v>
      </c>
      <c r="B265" s="2">
        <v>7229</v>
      </c>
      <c r="C265" s="2" t="s">
        <v>2544</v>
      </c>
      <c r="D265" s="2" t="s">
        <v>2545</v>
      </c>
      <c r="E265" s="4" t="s">
        <v>1380</v>
      </c>
      <c r="F265" s="2" t="s">
        <v>2546</v>
      </c>
      <c r="G265" s="2" t="s">
        <v>2547</v>
      </c>
      <c r="H265" s="2" t="s">
        <v>368</v>
      </c>
      <c r="I265" s="2" t="s">
        <v>219</v>
      </c>
      <c r="J265" s="2" t="s">
        <v>31</v>
      </c>
      <c r="K265" s="2" t="s">
        <v>31</v>
      </c>
      <c r="L265" s="2" t="s">
        <v>374</v>
      </c>
      <c r="M265" s="2" t="s">
        <v>32</v>
      </c>
      <c r="N265" s="2" t="s">
        <v>508</v>
      </c>
      <c r="O265" s="2" t="s">
        <v>164</v>
      </c>
      <c r="P265" s="2" t="s">
        <v>103</v>
      </c>
      <c r="Q265" s="2" t="s">
        <v>104</v>
      </c>
      <c r="R265" s="2" t="s">
        <v>453</v>
      </c>
      <c r="S265" s="2" t="s">
        <v>35</v>
      </c>
      <c r="T265" s="150">
        <v>1.954</v>
      </c>
      <c r="U265" s="2" t="s">
        <v>2407</v>
      </c>
      <c r="V265" s="162">
        <v>8.3000000000000001E-3</v>
      </c>
      <c r="W265" s="164">
        <v>1.721E-2</v>
      </c>
      <c r="X265" s="4" t="s">
        <v>459</v>
      </c>
      <c r="Y265" s="4" t="s">
        <v>164</v>
      </c>
      <c r="Z265" s="150">
        <v>232500</v>
      </c>
      <c r="AA265" s="150">
        <v>1</v>
      </c>
      <c r="AB265" s="150">
        <v>111.05</v>
      </c>
      <c r="AD265" s="150">
        <v>258.19099999999997</v>
      </c>
      <c r="AG265" s="2" t="s">
        <v>37</v>
      </c>
      <c r="AH265" s="164">
        <v>1.6899999999999999E-4</v>
      </c>
      <c r="AI265" s="164">
        <v>1.56956690488999E-2</v>
      </c>
      <c r="AJ265" s="164">
        <v>1.8010735199188799E-3</v>
      </c>
    </row>
    <row r="266" spans="1:36">
      <c r="A266" s="2" t="s">
        <v>128</v>
      </c>
      <c r="B266" s="2">
        <v>7229</v>
      </c>
      <c r="C266" s="2" t="s">
        <v>2451</v>
      </c>
      <c r="D266" s="2" t="s">
        <v>2452</v>
      </c>
      <c r="E266" s="4" t="s">
        <v>360</v>
      </c>
      <c r="F266" s="2" t="s">
        <v>2453</v>
      </c>
      <c r="G266" s="2" t="s">
        <v>2454</v>
      </c>
      <c r="H266" s="2" t="s">
        <v>368</v>
      </c>
      <c r="I266" s="2" t="s">
        <v>1011</v>
      </c>
      <c r="J266" s="2" t="s">
        <v>100</v>
      </c>
      <c r="K266" s="2" t="s">
        <v>101</v>
      </c>
      <c r="L266" s="2" t="s">
        <v>374</v>
      </c>
      <c r="M266" s="2" t="s">
        <v>32</v>
      </c>
      <c r="N266" s="2" t="s">
        <v>509</v>
      </c>
      <c r="O266" s="2" t="s">
        <v>164</v>
      </c>
      <c r="P266" s="2" t="s">
        <v>2274</v>
      </c>
      <c r="Q266" s="2" t="s">
        <v>217</v>
      </c>
      <c r="R266" s="2" t="s">
        <v>453</v>
      </c>
      <c r="S266" s="2" t="s">
        <v>35</v>
      </c>
      <c r="T266" s="150">
        <v>2.5939999999999999</v>
      </c>
      <c r="U266" s="2" t="s">
        <v>1375</v>
      </c>
      <c r="V266" s="162">
        <v>3.49E-2</v>
      </c>
      <c r="W266" s="164">
        <v>6.2030000000000002E-2</v>
      </c>
      <c r="X266" s="4" t="s">
        <v>459</v>
      </c>
      <c r="Y266" s="4" t="s">
        <v>164</v>
      </c>
      <c r="Z266" s="150">
        <v>326575</v>
      </c>
      <c r="AA266" s="150">
        <v>1</v>
      </c>
      <c r="AB266" s="150">
        <v>94.38</v>
      </c>
      <c r="AD266" s="150">
        <v>308.221</v>
      </c>
      <c r="AG266" s="2" t="s">
        <v>37</v>
      </c>
      <c r="AH266" s="164">
        <v>4.7399999999999997E-4</v>
      </c>
      <c r="AI266" s="164">
        <v>1.8737050238226399E-2</v>
      </c>
      <c r="AJ266" s="164">
        <v>2.1500711387530602E-3</v>
      </c>
    </row>
    <row r="267" spans="1:36">
      <c r="A267" s="2" t="s">
        <v>128</v>
      </c>
      <c r="B267" s="2">
        <v>7229</v>
      </c>
      <c r="C267" s="2" t="s">
        <v>2001</v>
      </c>
      <c r="D267" s="2" t="s">
        <v>2002</v>
      </c>
      <c r="E267" s="4" t="s">
        <v>1380</v>
      </c>
      <c r="F267" s="2" t="s">
        <v>2455</v>
      </c>
      <c r="G267" s="2" t="s">
        <v>2456</v>
      </c>
      <c r="H267" s="2" t="s">
        <v>368</v>
      </c>
      <c r="I267" s="2" t="s">
        <v>1011</v>
      </c>
      <c r="J267" s="2" t="s">
        <v>31</v>
      </c>
      <c r="K267" s="2" t="s">
        <v>31</v>
      </c>
      <c r="L267" s="2" t="s">
        <v>374</v>
      </c>
      <c r="M267" s="2" t="s">
        <v>32</v>
      </c>
      <c r="N267" s="2" t="s">
        <v>529</v>
      </c>
      <c r="O267" s="2" t="s">
        <v>164</v>
      </c>
      <c r="P267" s="2" t="s">
        <v>2285</v>
      </c>
      <c r="Q267" s="2" t="s">
        <v>217</v>
      </c>
      <c r="R267" s="2" t="s">
        <v>453</v>
      </c>
      <c r="S267" s="2" t="s">
        <v>35</v>
      </c>
      <c r="T267" s="150">
        <v>3.673</v>
      </c>
      <c r="U267" s="2" t="s">
        <v>2457</v>
      </c>
      <c r="V267" s="162">
        <v>4.7300000000000002E-2</v>
      </c>
      <c r="W267" s="164">
        <v>5.1670000000000001E-2</v>
      </c>
      <c r="X267" s="4" t="s">
        <v>459</v>
      </c>
      <c r="Y267" s="4" t="s">
        <v>164</v>
      </c>
      <c r="Z267" s="150">
        <v>300000</v>
      </c>
      <c r="AA267" s="150">
        <v>1</v>
      </c>
      <c r="AB267" s="150">
        <v>99.88</v>
      </c>
      <c r="AD267" s="150">
        <v>299.64</v>
      </c>
      <c r="AG267" s="2" t="s">
        <v>37</v>
      </c>
      <c r="AH267" s="164">
        <v>7.6000000000000004E-4</v>
      </c>
      <c r="AI267" s="164">
        <v>1.82153743545235E-2</v>
      </c>
      <c r="AJ267" s="164">
        <v>2.0902089807787599E-3</v>
      </c>
    </row>
    <row r="268" spans="1:36">
      <c r="A268" s="2" t="s">
        <v>128</v>
      </c>
      <c r="B268" s="2">
        <v>7229</v>
      </c>
      <c r="C268" s="2" t="s">
        <v>2005</v>
      </c>
      <c r="D268" s="2" t="s">
        <v>2006</v>
      </c>
      <c r="E268" s="4" t="s">
        <v>1380</v>
      </c>
      <c r="F268" s="2" t="s">
        <v>2458</v>
      </c>
      <c r="G268" s="2" t="s">
        <v>2459</v>
      </c>
      <c r="H268" s="2" t="s">
        <v>368</v>
      </c>
      <c r="I268" s="2" t="s">
        <v>219</v>
      </c>
      <c r="J268" s="2" t="s">
        <v>31</v>
      </c>
      <c r="K268" s="2" t="s">
        <v>31</v>
      </c>
      <c r="L268" s="2" t="s">
        <v>374</v>
      </c>
      <c r="M268" s="2" t="s">
        <v>32</v>
      </c>
      <c r="N268" s="2" t="s">
        <v>508</v>
      </c>
      <c r="O268" s="2" t="s">
        <v>164</v>
      </c>
      <c r="P268" s="2" t="s">
        <v>2460</v>
      </c>
      <c r="Q268" s="2" t="s">
        <v>104</v>
      </c>
      <c r="R268" s="2" t="s">
        <v>453</v>
      </c>
      <c r="S268" s="2" t="s">
        <v>35</v>
      </c>
      <c r="T268" s="150">
        <v>2.8639999999999999</v>
      </c>
      <c r="U268" s="2" t="s">
        <v>1520</v>
      </c>
      <c r="V268" s="162">
        <v>1.77E-2</v>
      </c>
      <c r="W268" s="164">
        <v>2.0539999999999999E-2</v>
      </c>
      <c r="X268" s="4" t="s">
        <v>459</v>
      </c>
      <c r="Y268" s="4" t="s">
        <v>164</v>
      </c>
      <c r="Z268" s="150">
        <v>170000</v>
      </c>
      <c r="AA268" s="150">
        <v>1</v>
      </c>
      <c r="AB268" s="150">
        <v>111.11</v>
      </c>
      <c r="AD268" s="150">
        <v>188.887</v>
      </c>
      <c r="AG268" s="2" t="s">
        <v>37</v>
      </c>
      <c r="AH268" s="164">
        <v>6.2000000000000003E-5</v>
      </c>
      <c r="AI268" s="164">
        <v>1.1482603843622E-2</v>
      </c>
      <c r="AJ268" s="164">
        <v>1.31762549643692E-3</v>
      </c>
    </row>
    <row r="269" spans="1:36">
      <c r="A269" s="2" t="s">
        <v>128</v>
      </c>
      <c r="B269" s="2">
        <v>7229</v>
      </c>
      <c r="C269" s="2" t="s">
        <v>2005</v>
      </c>
      <c r="D269" s="2" t="s">
        <v>2006</v>
      </c>
      <c r="E269" s="4" t="s">
        <v>1380</v>
      </c>
      <c r="F269" s="2" t="s">
        <v>2461</v>
      </c>
      <c r="G269" s="2" t="s">
        <v>2462</v>
      </c>
      <c r="H269" s="2" t="s">
        <v>368</v>
      </c>
      <c r="I269" s="2" t="s">
        <v>219</v>
      </c>
      <c r="J269" s="2" t="s">
        <v>31</v>
      </c>
      <c r="K269" s="2" t="s">
        <v>31</v>
      </c>
      <c r="L269" s="2" t="s">
        <v>374</v>
      </c>
      <c r="M269" s="2" t="s">
        <v>32</v>
      </c>
      <c r="N269" s="2" t="s">
        <v>508</v>
      </c>
      <c r="O269" s="2" t="s">
        <v>164</v>
      </c>
      <c r="P269" s="2" t="s">
        <v>1559</v>
      </c>
      <c r="Q269" s="2" t="s">
        <v>217</v>
      </c>
      <c r="R269" s="2" t="s">
        <v>453</v>
      </c>
      <c r="S269" s="2" t="s">
        <v>35</v>
      </c>
      <c r="T269" s="150">
        <v>10.805</v>
      </c>
      <c r="U269" s="2" t="s">
        <v>2463</v>
      </c>
      <c r="V269" s="162">
        <v>1.6899999999999998E-2</v>
      </c>
      <c r="W269" s="164">
        <v>3.1899999999999998E-2</v>
      </c>
      <c r="X269" s="4" t="s">
        <v>459</v>
      </c>
      <c r="Y269" s="4" t="s">
        <v>164</v>
      </c>
      <c r="Z269" s="150">
        <v>226074</v>
      </c>
      <c r="AA269" s="150">
        <v>1</v>
      </c>
      <c r="AB269" s="150">
        <v>94.27</v>
      </c>
      <c r="AD269" s="150">
        <v>213.12</v>
      </c>
      <c r="AG269" s="2" t="s">
        <v>37</v>
      </c>
      <c r="AH269" s="164">
        <v>8.3999999999999995E-5</v>
      </c>
      <c r="AI269" s="164">
        <v>1.29557463962689E-2</v>
      </c>
      <c r="AJ269" s="164">
        <v>1.48666818167524E-3</v>
      </c>
    </row>
    <row r="270" spans="1:36">
      <c r="A270" s="2" t="s">
        <v>128</v>
      </c>
      <c r="B270" s="2">
        <v>7229</v>
      </c>
      <c r="C270" s="2" t="s">
        <v>2009</v>
      </c>
      <c r="D270" s="2" t="s">
        <v>2010</v>
      </c>
      <c r="E270" s="4" t="s">
        <v>1380</v>
      </c>
      <c r="F270" s="2" t="s">
        <v>2464</v>
      </c>
      <c r="G270" s="2" t="s">
        <v>2465</v>
      </c>
      <c r="H270" s="2" t="s">
        <v>368</v>
      </c>
      <c r="I270" s="2" t="s">
        <v>219</v>
      </c>
      <c r="J270" s="2" t="s">
        <v>31</v>
      </c>
      <c r="K270" s="2" t="s">
        <v>31</v>
      </c>
      <c r="L270" s="2" t="s">
        <v>374</v>
      </c>
      <c r="M270" s="2" t="s">
        <v>32</v>
      </c>
      <c r="N270" s="2" t="s">
        <v>492</v>
      </c>
      <c r="O270" s="2" t="s">
        <v>164</v>
      </c>
      <c r="P270" s="2" t="s">
        <v>2399</v>
      </c>
      <c r="Q270" s="2" t="s">
        <v>104</v>
      </c>
      <c r="R270" s="2" t="s">
        <v>453</v>
      </c>
      <c r="S270" s="2" t="s">
        <v>35</v>
      </c>
      <c r="T270" s="150">
        <v>5.194</v>
      </c>
      <c r="U270" s="2" t="s">
        <v>2466</v>
      </c>
      <c r="V270" s="162">
        <v>3.7100000000000001E-2</v>
      </c>
      <c r="W270" s="164">
        <v>2.5149999999999999E-2</v>
      </c>
      <c r="X270" s="4" t="s">
        <v>459</v>
      </c>
      <c r="Y270" s="4" t="s">
        <v>164</v>
      </c>
      <c r="Z270" s="150">
        <v>300000</v>
      </c>
      <c r="AA270" s="150">
        <v>1</v>
      </c>
      <c r="AB270" s="150">
        <v>106.68</v>
      </c>
      <c r="AD270" s="150">
        <v>320.04000000000002</v>
      </c>
      <c r="AG270" s="2" t="s">
        <v>37</v>
      </c>
      <c r="AH270" s="164">
        <v>7.8100000000000001E-4</v>
      </c>
      <c r="AI270" s="164">
        <v>1.9455507970970901E-2</v>
      </c>
      <c r="AJ270" s="164">
        <v>2.23251395744371E-3</v>
      </c>
    </row>
    <row r="271" spans="1:36">
      <c r="A271" s="2" t="s">
        <v>128</v>
      </c>
      <c r="B271" s="2">
        <v>7229</v>
      </c>
      <c r="C271" s="2" t="s">
        <v>2467</v>
      </c>
      <c r="D271" s="2" t="s">
        <v>2468</v>
      </c>
      <c r="E271" s="4" t="s">
        <v>1380</v>
      </c>
      <c r="F271" s="2" t="s">
        <v>2469</v>
      </c>
      <c r="G271" s="2" t="s">
        <v>2470</v>
      </c>
      <c r="H271" s="2" t="s">
        <v>368</v>
      </c>
      <c r="I271" s="2" t="s">
        <v>1011</v>
      </c>
      <c r="J271" s="2" t="s">
        <v>31</v>
      </c>
      <c r="K271" s="2" t="s">
        <v>31</v>
      </c>
      <c r="L271" s="2" t="s">
        <v>374</v>
      </c>
      <c r="M271" s="2" t="s">
        <v>32</v>
      </c>
      <c r="N271" s="2" t="s">
        <v>489</v>
      </c>
      <c r="O271" s="2" t="s">
        <v>164</v>
      </c>
      <c r="P271" s="2" t="s">
        <v>1396</v>
      </c>
      <c r="Q271" s="2" t="s">
        <v>217</v>
      </c>
      <c r="R271" s="2" t="s">
        <v>453</v>
      </c>
      <c r="S271" s="2" t="s">
        <v>35</v>
      </c>
      <c r="T271" s="150">
        <v>5.4459999999999997</v>
      </c>
      <c r="U271" s="2" t="s">
        <v>2450</v>
      </c>
      <c r="V271" s="162">
        <v>4.6899999999999997E-2</v>
      </c>
      <c r="W271" s="164">
        <v>4.9889999999999997E-2</v>
      </c>
      <c r="X271" s="4" t="s">
        <v>459</v>
      </c>
      <c r="Y271" s="4" t="s">
        <v>164</v>
      </c>
      <c r="Z271" s="150">
        <v>210000</v>
      </c>
      <c r="AA271" s="150">
        <v>1</v>
      </c>
      <c r="AB271" s="150">
        <v>98.9</v>
      </c>
      <c r="AD271" s="150">
        <v>207.69</v>
      </c>
      <c r="AG271" s="2" t="s">
        <v>37</v>
      </c>
      <c r="AH271" s="164">
        <v>0</v>
      </c>
      <c r="AI271" s="164">
        <v>1.26256544509778E-2</v>
      </c>
      <c r="AJ271" s="164">
        <v>1.44879022566393E-3</v>
      </c>
    </row>
    <row r="272" spans="1:36">
      <c r="A272" s="2" t="s">
        <v>128</v>
      </c>
      <c r="B272" s="2">
        <v>7229</v>
      </c>
      <c r="C272" s="2" t="s">
        <v>2017</v>
      </c>
      <c r="D272" s="2" t="s">
        <v>2018</v>
      </c>
      <c r="E272" s="4" t="s">
        <v>1380</v>
      </c>
      <c r="F272" s="2" t="s">
        <v>2552</v>
      </c>
      <c r="G272" s="2" t="s">
        <v>2553</v>
      </c>
      <c r="H272" s="2" t="s">
        <v>368</v>
      </c>
      <c r="I272" s="2" t="s">
        <v>1011</v>
      </c>
      <c r="J272" s="2" t="s">
        <v>31</v>
      </c>
      <c r="K272" s="2" t="s">
        <v>31</v>
      </c>
      <c r="L272" s="2" t="s">
        <v>374</v>
      </c>
      <c r="M272" s="2" t="s">
        <v>32</v>
      </c>
      <c r="N272" s="2" t="s">
        <v>529</v>
      </c>
      <c r="O272" s="2" t="s">
        <v>164</v>
      </c>
      <c r="P272" s="2" t="s">
        <v>2285</v>
      </c>
      <c r="Q272" s="2" t="s">
        <v>217</v>
      </c>
      <c r="R272" s="2" t="s">
        <v>453</v>
      </c>
      <c r="S272" s="2" t="s">
        <v>35</v>
      </c>
      <c r="T272" s="150">
        <v>2.2029999999999998</v>
      </c>
      <c r="U272" s="2" t="s">
        <v>2554</v>
      </c>
      <c r="V272" s="162">
        <v>0.04</v>
      </c>
      <c r="W272" s="164">
        <v>4.7980000000000002E-2</v>
      </c>
      <c r="X272" s="4" t="s">
        <v>459</v>
      </c>
      <c r="Y272" s="4" t="s">
        <v>164</v>
      </c>
      <c r="Z272" s="150">
        <v>286736.8</v>
      </c>
      <c r="AA272" s="150">
        <v>1</v>
      </c>
      <c r="AB272" s="150">
        <v>101.47</v>
      </c>
      <c r="AD272" s="150">
        <v>290.952</v>
      </c>
      <c r="AG272" s="2" t="s">
        <v>37</v>
      </c>
      <c r="AH272" s="164">
        <v>4.2099999999999999E-4</v>
      </c>
      <c r="AI272" s="164">
        <v>1.7687213055901901E-2</v>
      </c>
      <c r="AJ272" s="164">
        <v>2.02960262330335E-3</v>
      </c>
    </row>
    <row r="273" spans="1:36">
      <c r="A273" s="2" t="s">
        <v>128</v>
      </c>
      <c r="B273" s="2">
        <v>7229</v>
      </c>
      <c r="C273" s="2" t="s">
        <v>2471</v>
      </c>
      <c r="D273" s="2" t="s">
        <v>2472</v>
      </c>
      <c r="E273" s="4" t="s">
        <v>1380</v>
      </c>
      <c r="F273" s="2" t="s">
        <v>2473</v>
      </c>
      <c r="G273" s="2" t="s">
        <v>2474</v>
      </c>
      <c r="H273" s="2" t="s">
        <v>368</v>
      </c>
      <c r="I273" s="2" t="s">
        <v>1011</v>
      </c>
      <c r="J273" s="2" t="s">
        <v>31</v>
      </c>
      <c r="K273" s="2" t="s">
        <v>31</v>
      </c>
      <c r="L273" s="2" t="s">
        <v>374</v>
      </c>
      <c r="M273" s="2" t="s">
        <v>32</v>
      </c>
      <c r="N273" s="2" t="s">
        <v>509</v>
      </c>
      <c r="O273" s="2" t="s">
        <v>164</v>
      </c>
      <c r="P273" s="2" t="s">
        <v>2244</v>
      </c>
      <c r="Q273" s="2" t="s">
        <v>104</v>
      </c>
      <c r="R273" s="2" t="s">
        <v>453</v>
      </c>
      <c r="S273" s="2" t="s">
        <v>35</v>
      </c>
      <c r="T273" s="150">
        <v>2.15</v>
      </c>
      <c r="U273" s="2" t="s">
        <v>2475</v>
      </c>
      <c r="V273" s="162">
        <v>2.6499999999999999E-2</v>
      </c>
      <c r="W273" s="164">
        <v>5.4269999999999999E-2</v>
      </c>
      <c r="X273" s="4" t="s">
        <v>459</v>
      </c>
      <c r="Y273" s="4" t="s">
        <v>164</v>
      </c>
      <c r="Z273" s="150">
        <v>282857.14</v>
      </c>
      <c r="AA273" s="150">
        <v>1</v>
      </c>
      <c r="AB273" s="150">
        <v>94.87</v>
      </c>
      <c r="AD273" s="150">
        <v>268.34699999999998</v>
      </c>
      <c r="AG273" s="2" t="s">
        <v>37</v>
      </c>
      <c r="AH273" s="164">
        <v>3.9500000000000001E-4</v>
      </c>
      <c r="AI273" s="164">
        <v>1.6313019643406201E-2</v>
      </c>
      <c r="AJ273" s="164">
        <v>1.87191432350664E-3</v>
      </c>
    </row>
    <row r="274" spans="1:36">
      <c r="A274" s="2" t="s">
        <v>128</v>
      </c>
      <c r="B274" s="2">
        <v>7229</v>
      </c>
      <c r="C274" s="2" t="s">
        <v>2614</v>
      </c>
      <c r="D274" s="2" t="s">
        <v>2615</v>
      </c>
      <c r="E274" s="4" t="s">
        <v>1380</v>
      </c>
      <c r="F274" s="2" t="s">
        <v>2616</v>
      </c>
      <c r="G274" s="2" t="s">
        <v>2617</v>
      </c>
      <c r="H274" s="2" t="s">
        <v>368</v>
      </c>
      <c r="I274" s="2" t="s">
        <v>219</v>
      </c>
      <c r="J274" s="2" t="s">
        <v>31</v>
      </c>
      <c r="K274" s="2" t="s">
        <v>31</v>
      </c>
      <c r="L274" s="2" t="s">
        <v>374</v>
      </c>
      <c r="M274" s="2" t="s">
        <v>32</v>
      </c>
      <c r="N274" s="2" t="s">
        <v>508</v>
      </c>
      <c r="O274" s="2" t="s">
        <v>164</v>
      </c>
      <c r="P274" s="2" t="s">
        <v>1391</v>
      </c>
      <c r="Q274" s="2" t="s">
        <v>217</v>
      </c>
      <c r="R274" s="2" t="s">
        <v>453</v>
      </c>
      <c r="S274" s="2" t="s">
        <v>35</v>
      </c>
      <c r="T274" s="150">
        <v>1.696</v>
      </c>
      <c r="U274" s="2" t="s">
        <v>2312</v>
      </c>
      <c r="V274" s="162">
        <v>2.1499999999999998E-2</v>
      </c>
      <c r="W274" s="164">
        <v>2.341E-2</v>
      </c>
      <c r="X274" s="4" t="s">
        <v>459</v>
      </c>
      <c r="Y274" s="4" t="s">
        <v>164</v>
      </c>
      <c r="Z274" s="150">
        <v>125300</v>
      </c>
      <c r="AA274" s="150">
        <v>1</v>
      </c>
      <c r="AB274" s="150">
        <v>113.52</v>
      </c>
      <c r="AD274" s="150">
        <v>142.24100000000001</v>
      </c>
      <c r="AG274" s="2" t="s">
        <v>37</v>
      </c>
      <c r="AH274" s="164">
        <v>6.3999999999999997E-5</v>
      </c>
      <c r="AI274" s="164">
        <v>8.6469264744262007E-3</v>
      </c>
      <c r="AJ274" s="164">
        <v>9.9223233194166405E-4</v>
      </c>
    </row>
    <row r="275" spans="1:36">
      <c r="A275" s="2" t="s">
        <v>128</v>
      </c>
      <c r="B275" s="2">
        <v>7229</v>
      </c>
      <c r="C275" s="2" t="s">
        <v>2497</v>
      </c>
      <c r="D275" s="2" t="s">
        <v>2498</v>
      </c>
      <c r="E275" s="4" t="s">
        <v>361</v>
      </c>
      <c r="F275" s="2" t="s">
        <v>2499</v>
      </c>
      <c r="G275" s="2" t="s">
        <v>2500</v>
      </c>
      <c r="H275" s="2" t="s">
        <v>368</v>
      </c>
      <c r="I275" s="2" t="s">
        <v>214</v>
      </c>
      <c r="J275" s="2" t="s">
        <v>100</v>
      </c>
      <c r="K275" s="2" t="s">
        <v>283</v>
      </c>
      <c r="L275" s="2" t="s">
        <v>374</v>
      </c>
      <c r="M275" s="2" t="s">
        <v>32</v>
      </c>
      <c r="N275" s="2" t="s">
        <v>509</v>
      </c>
      <c r="O275" s="2" t="s">
        <v>164</v>
      </c>
      <c r="P275" s="2" t="s">
        <v>1396</v>
      </c>
      <c r="Q275" s="2" t="s">
        <v>104</v>
      </c>
      <c r="R275" s="2" t="s">
        <v>453</v>
      </c>
      <c r="S275" s="2" t="s">
        <v>35</v>
      </c>
      <c r="T275" s="150">
        <v>3.25</v>
      </c>
      <c r="U275" s="2" t="s">
        <v>2501</v>
      </c>
      <c r="V275" s="162">
        <v>4.2999999999999997E-2</v>
      </c>
      <c r="W275" s="164">
        <v>8.4360000000000004E-2</v>
      </c>
      <c r="X275" s="4" t="s">
        <v>459</v>
      </c>
      <c r="Y275" s="4" t="s">
        <v>164</v>
      </c>
      <c r="Z275" s="150">
        <v>183754.49</v>
      </c>
      <c r="AA275" s="150">
        <v>1</v>
      </c>
      <c r="AB275" s="150">
        <v>86.78</v>
      </c>
      <c r="AD275" s="150">
        <v>159.46199999999999</v>
      </c>
      <c r="AG275" s="2" t="s">
        <v>37</v>
      </c>
      <c r="AH275" s="164">
        <v>1.5799999999999999E-4</v>
      </c>
      <c r="AI275" s="164">
        <v>9.6938415847436094E-3</v>
      </c>
      <c r="AJ275" s="164">
        <v>1.1123655404669699E-3</v>
      </c>
    </row>
    <row r="276" spans="1:36">
      <c r="A276" s="2" t="s">
        <v>128</v>
      </c>
      <c r="B276" s="2">
        <v>9817</v>
      </c>
      <c r="C276" s="2" t="s">
        <v>2265</v>
      </c>
      <c r="D276" s="2" t="s">
        <v>2266</v>
      </c>
      <c r="E276" s="4" t="s">
        <v>1380</v>
      </c>
      <c r="F276" s="2" t="s">
        <v>2267</v>
      </c>
      <c r="G276" s="2" t="s">
        <v>2268</v>
      </c>
      <c r="H276" s="2" t="s">
        <v>368</v>
      </c>
      <c r="I276" s="2" t="s">
        <v>1011</v>
      </c>
      <c r="J276" s="2" t="s">
        <v>31</v>
      </c>
      <c r="K276" s="2" t="s">
        <v>31</v>
      </c>
      <c r="L276" s="2" t="s">
        <v>374</v>
      </c>
      <c r="M276" s="2" t="s">
        <v>32</v>
      </c>
      <c r="N276" s="2" t="s">
        <v>489</v>
      </c>
      <c r="O276" s="2" t="s">
        <v>164</v>
      </c>
      <c r="P276" s="2" t="s">
        <v>2244</v>
      </c>
      <c r="Q276" s="2" t="s">
        <v>104</v>
      </c>
      <c r="R276" s="2" t="s">
        <v>453</v>
      </c>
      <c r="S276" s="2" t="s">
        <v>35</v>
      </c>
      <c r="T276" s="150">
        <v>4.4509999999999996</v>
      </c>
      <c r="U276" s="2" t="s">
        <v>2269</v>
      </c>
      <c r="V276" s="162">
        <v>2.18E-2</v>
      </c>
      <c r="W276" s="164">
        <v>5.4129999999999998E-2</v>
      </c>
      <c r="X276" s="4" t="s">
        <v>459</v>
      </c>
      <c r="Y276" s="4" t="s">
        <v>164</v>
      </c>
      <c r="Z276" s="150">
        <v>2364</v>
      </c>
      <c r="AA276" s="150">
        <v>1</v>
      </c>
      <c r="AB276" s="150">
        <v>87.63</v>
      </c>
      <c r="AD276" s="150">
        <v>2.0720000000000001</v>
      </c>
      <c r="AG276" s="2" t="s">
        <v>37</v>
      </c>
      <c r="AH276" s="164">
        <v>1.4E-5</v>
      </c>
      <c r="AI276" s="164">
        <v>2.1976180565847998E-2</v>
      </c>
      <c r="AJ276" s="164">
        <v>1.4280710317349299E-3</v>
      </c>
    </row>
    <row r="277" spans="1:36">
      <c r="A277" s="2" t="s">
        <v>128</v>
      </c>
      <c r="B277" s="2">
        <v>9817</v>
      </c>
      <c r="C277" s="2" t="s">
        <v>2275</v>
      </c>
      <c r="D277" s="2" t="s">
        <v>2276</v>
      </c>
      <c r="E277" s="4" t="s">
        <v>1380</v>
      </c>
      <c r="F277" s="2" t="s">
        <v>2520</v>
      </c>
      <c r="G277" s="2" t="s">
        <v>2521</v>
      </c>
      <c r="H277" s="2" t="s">
        <v>368</v>
      </c>
      <c r="I277" s="2" t="s">
        <v>1011</v>
      </c>
      <c r="J277" s="2" t="s">
        <v>31</v>
      </c>
      <c r="K277" s="2" t="s">
        <v>31</v>
      </c>
      <c r="L277" s="2" t="s">
        <v>374</v>
      </c>
      <c r="M277" s="2" t="s">
        <v>32</v>
      </c>
      <c r="N277" s="2" t="s">
        <v>508</v>
      </c>
      <c r="O277" s="2" t="s">
        <v>164</v>
      </c>
      <c r="P277" s="2" t="s">
        <v>1391</v>
      </c>
      <c r="Q277" s="2" t="s">
        <v>217</v>
      </c>
      <c r="R277" s="2" t="s">
        <v>453</v>
      </c>
      <c r="S277" s="2" t="s">
        <v>35</v>
      </c>
      <c r="T277" s="150">
        <v>1.8580000000000001</v>
      </c>
      <c r="U277" s="2" t="s">
        <v>2522</v>
      </c>
      <c r="V277" s="162">
        <v>3.85E-2</v>
      </c>
      <c r="W277" s="164">
        <v>4.768E-2</v>
      </c>
      <c r="X277" s="4" t="s">
        <v>459</v>
      </c>
      <c r="Y277" s="4" t="s">
        <v>164</v>
      </c>
      <c r="Z277" s="150">
        <v>2439.6999999999998</v>
      </c>
      <c r="AA277" s="150">
        <v>1</v>
      </c>
      <c r="AB277" s="150">
        <v>98.71</v>
      </c>
      <c r="AD277" s="150">
        <v>2.4079999999999999</v>
      </c>
      <c r="AG277" s="2" t="s">
        <v>37</v>
      </c>
      <c r="AH277" s="164">
        <v>3.0000000000000001E-6</v>
      </c>
      <c r="AI277" s="164">
        <v>2.5547564775807899E-2</v>
      </c>
      <c r="AJ277" s="164">
        <v>1.6601491363972599E-3</v>
      </c>
    </row>
    <row r="278" spans="1:36">
      <c r="A278" s="2" t="s">
        <v>128</v>
      </c>
      <c r="B278" s="2">
        <v>9817</v>
      </c>
      <c r="C278" s="2" t="s">
        <v>2275</v>
      </c>
      <c r="D278" s="2" t="s">
        <v>2276</v>
      </c>
      <c r="E278" s="4" t="s">
        <v>1380</v>
      </c>
      <c r="F278" s="2" t="s">
        <v>2280</v>
      </c>
      <c r="G278" s="2" t="s">
        <v>2281</v>
      </c>
      <c r="H278" s="2" t="s">
        <v>368</v>
      </c>
      <c r="I278" s="2" t="s">
        <v>1011</v>
      </c>
      <c r="J278" s="2" t="s">
        <v>31</v>
      </c>
      <c r="K278" s="2" t="s">
        <v>31</v>
      </c>
      <c r="L278" s="2" t="s">
        <v>374</v>
      </c>
      <c r="M278" s="2" t="s">
        <v>32</v>
      </c>
      <c r="N278" s="2" t="s">
        <v>508</v>
      </c>
      <c r="O278" s="2" t="s">
        <v>164</v>
      </c>
      <c r="P278" s="2" t="s">
        <v>1396</v>
      </c>
      <c r="Q278" s="2" t="s">
        <v>104</v>
      </c>
      <c r="R278" s="2" t="s">
        <v>453</v>
      </c>
      <c r="S278" s="2" t="s">
        <v>35</v>
      </c>
      <c r="T278" s="150">
        <v>6.7889999999999997</v>
      </c>
      <c r="U278" s="2" t="s">
        <v>2282</v>
      </c>
      <c r="V278" s="162">
        <v>4.9399999999999999E-2</v>
      </c>
      <c r="W278" s="164">
        <v>6.2219999999999998E-2</v>
      </c>
      <c r="X278" s="4" t="s">
        <v>459</v>
      </c>
      <c r="Y278" s="4" t="s">
        <v>164</v>
      </c>
      <c r="Z278" s="150">
        <v>1538</v>
      </c>
      <c r="AA278" s="150">
        <v>1</v>
      </c>
      <c r="AB278" s="150">
        <v>92.4</v>
      </c>
      <c r="AD278" s="150">
        <v>1.421</v>
      </c>
      <c r="AG278" s="2" t="s">
        <v>37</v>
      </c>
      <c r="AH278" s="164">
        <v>3.0000000000000001E-6</v>
      </c>
      <c r="AI278" s="164">
        <v>1.50757954950824E-2</v>
      </c>
      <c r="AJ278" s="164">
        <v>9.79665541169816E-4</v>
      </c>
    </row>
    <row r="279" spans="1:36">
      <c r="A279" s="2" t="s">
        <v>128</v>
      </c>
      <c r="B279" s="2">
        <v>9817</v>
      </c>
      <c r="C279" s="2" t="s">
        <v>1867</v>
      </c>
      <c r="D279" s="2" t="s">
        <v>1868</v>
      </c>
      <c r="E279" s="4" t="s">
        <v>1380</v>
      </c>
      <c r="F279" s="2" t="s">
        <v>2283</v>
      </c>
      <c r="G279" s="2" t="s">
        <v>2284</v>
      </c>
      <c r="H279" s="2" t="s">
        <v>368</v>
      </c>
      <c r="I279" s="2" t="s">
        <v>1011</v>
      </c>
      <c r="J279" s="2" t="s">
        <v>31</v>
      </c>
      <c r="K279" s="2" t="s">
        <v>31</v>
      </c>
      <c r="L279" s="2" t="s">
        <v>374</v>
      </c>
      <c r="M279" s="2" t="s">
        <v>32</v>
      </c>
      <c r="N279" s="2" t="s">
        <v>495</v>
      </c>
      <c r="O279" s="2" t="s">
        <v>164</v>
      </c>
      <c r="P279" s="2" t="s">
        <v>2285</v>
      </c>
      <c r="Q279" s="2" t="s">
        <v>217</v>
      </c>
      <c r="R279" s="2" t="s">
        <v>453</v>
      </c>
      <c r="S279" s="2" t="s">
        <v>35</v>
      </c>
      <c r="T279" s="150">
        <v>3.41</v>
      </c>
      <c r="U279" s="2" t="s">
        <v>2286</v>
      </c>
      <c r="V279" s="162">
        <v>0.04</v>
      </c>
      <c r="W279" s="164">
        <v>5.0200000000000002E-2</v>
      </c>
      <c r="X279" s="4" t="s">
        <v>459</v>
      </c>
      <c r="Y279" s="4" t="s">
        <v>164</v>
      </c>
      <c r="Z279" s="150">
        <v>2751.88</v>
      </c>
      <c r="AA279" s="150">
        <v>1</v>
      </c>
      <c r="AB279" s="150">
        <v>97.7</v>
      </c>
      <c r="AD279" s="150">
        <v>2.6890000000000001</v>
      </c>
      <c r="AG279" s="2" t="s">
        <v>37</v>
      </c>
      <c r="AH279" s="164">
        <v>3.9999999999999998E-6</v>
      </c>
      <c r="AI279" s="164">
        <v>2.8521738022440301E-2</v>
      </c>
      <c r="AJ279" s="164">
        <v>1.8534188742459401E-3</v>
      </c>
    </row>
    <row r="280" spans="1:36">
      <c r="A280" s="2" t="s">
        <v>128</v>
      </c>
      <c r="B280" s="2">
        <v>9817</v>
      </c>
      <c r="C280" s="2" t="s">
        <v>2287</v>
      </c>
      <c r="D280" s="2" t="s">
        <v>2288</v>
      </c>
      <c r="E280" s="4" t="s">
        <v>1380</v>
      </c>
      <c r="F280" s="2" t="s">
        <v>2523</v>
      </c>
      <c r="G280" s="2" t="s">
        <v>2524</v>
      </c>
      <c r="H280" s="2" t="s">
        <v>368</v>
      </c>
      <c r="I280" s="2" t="s">
        <v>1011</v>
      </c>
      <c r="J280" s="2" t="s">
        <v>31</v>
      </c>
      <c r="K280" s="2" t="s">
        <v>31</v>
      </c>
      <c r="L280" s="2" t="s">
        <v>374</v>
      </c>
      <c r="M280" s="2" t="s">
        <v>32</v>
      </c>
      <c r="N280" s="2" t="s">
        <v>509</v>
      </c>
      <c r="O280" s="2" t="s">
        <v>164</v>
      </c>
      <c r="P280" s="2" t="s">
        <v>2244</v>
      </c>
      <c r="Q280" s="2" t="s">
        <v>104</v>
      </c>
      <c r="R280" s="2" t="s">
        <v>453</v>
      </c>
      <c r="S280" s="2" t="s">
        <v>35</v>
      </c>
      <c r="T280" s="150">
        <v>3.3340000000000001</v>
      </c>
      <c r="U280" s="2" t="s">
        <v>2525</v>
      </c>
      <c r="V280" s="162">
        <v>3.2500000000000001E-2</v>
      </c>
      <c r="W280" s="164">
        <v>5.5239999999999997E-2</v>
      </c>
      <c r="X280" s="4" t="s">
        <v>459</v>
      </c>
      <c r="Y280" s="4" t="s">
        <v>164</v>
      </c>
      <c r="Z280" s="150">
        <v>2125</v>
      </c>
      <c r="AA280" s="150">
        <v>1</v>
      </c>
      <c r="AB280" s="150">
        <v>93.05</v>
      </c>
      <c r="AD280" s="150">
        <v>1.9770000000000001</v>
      </c>
      <c r="AG280" s="2" t="s">
        <v>37</v>
      </c>
      <c r="AH280" s="164">
        <v>6.0000000000000002E-6</v>
      </c>
      <c r="AI280" s="164">
        <v>2.09762206496533E-2</v>
      </c>
      <c r="AJ280" s="164">
        <v>1.3630909600188699E-3</v>
      </c>
    </row>
    <row r="281" spans="1:36">
      <c r="A281" s="2" t="s">
        <v>128</v>
      </c>
      <c r="B281" s="2">
        <v>9817</v>
      </c>
      <c r="C281" s="2" t="s">
        <v>1891</v>
      </c>
      <c r="D281" s="2" t="s">
        <v>1892</v>
      </c>
      <c r="E281" s="4" t="s">
        <v>1380</v>
      </c>
      <c r="F281" s="2" t="s">
        <v>2304</v>
      </c>
      <c r="G281" s="2" t="s">
        <v>2305</v>
      </c>
      <c r="H281" s="2" t="s">
        <v>368</v>
      </c>
      <c r="I281" s="2" t="s">
        <v>1011</v>
      </c>
      <c r="J281" s="2" t="s">
        <v>31</v>
      </c>
      <c r="K281" s="2" t="s">
        <v>31</v>
      </c>
      <c r="L281" s="2" t="s">
        <v>374</v>
      </c>
      <c r="M281" s="2" t="s">
        <v>32</v>
      </c>
      <c r="N281" s="2" t="s">
        <v>484</v>
      </c>
      <c r="O281" s="2" t="s">
        <v>164</v>
      </c>
      <c r="P281" s="2" t="s">
        <v>2285</v>
      </c>
      <c r="Q281" s="2" t="s">
        <v>217</v>
      </c>
      <c r="R281" s="2" t="s">
        <v>453</v>
      </c>
      <c r="S281" s="2" t="s">
        <v>35</v>
      </c>
      <c r="T281" s="150">
        <v>2.7269999999999999</v>
      </c>
      <c r="U281" s="2" t="s">
        <v>2306</v>
      </c>
      <c r="V281" s="162">
        <v>2.7E-2</v>
      </c>
      <c r="W281" s="164">
        <v>5.2819999999999999E-2</v>
      </c>
      <c r="X281" s="4" t="s">
        <v>459</v>
      </c>
      <c r="Y281" s="4" t="s">
        <v>164</v>
      </c>
      <c r="Z281" s="150">
        <v>2000</v>
      </c>
      <c r="AA281" s="150">
        <v>1</v>
      </c>
      <c r="AB281" s="150">
        <v>93.45</v>
      </c>
      <c r="AD281" s="150">
        <v>1.869</v>
      </c>
      <c r="AG281" s="2" t="s">
        <v>37</v>
      </c>
      <c r="AH281" s="164">
        <v>3.0000000000000001E-6</v>
      </c>
      <c r="AI281" s="164">
        <v>1.9827192916750402E-2</v>
      </c>
      <c r="AJ281" s="164">
        <v>1.28842406259773E-3</v>
      </c>
    </row>
    <row r="282" spans="1:36">
      <c r="A282" s="2" t="s">
        <v>128</v>
      </c>
      <c r="B282" s="2">
        <v>9817</v>
      </c>
      <c r="C282" s="2" t="s">
        <v>2307</v>
      </c>
      <c r="D282" s="2" t="s">
        <v>2308</v>
      </c>
      <c r="E282" s="4" t="s">
        <v>1380</v>
      </c>
      <c r="F282" s="2" t="s">
        <v>2309</v>
      </c>
      <c r="G282" s="2" t="s">
        <v>2310</v>
      </c>
      <c r="H282" s="2" t="s">
        <v>368</v>
      </c>
      <c r="I282" s="2" t="s">
        <v>1011</v>
      </c>
      <c r="J282" s="2" t="s">
        <v>31</v>
      </c>
      <c r="K282" s="2" t="s">
        <v>31</v>
      </c>
      <c r="L282" s="2" t="s">
        <v>374</v>
      </c>
      <c r="M282" s="2" t="s">
        <v>32</v>
      </c>
      <c r="N282" s="2" t="s">
        <v>529</v>
      </c>
      <c r="O282" s="2" t="s">
        <v>164</v>
      </c>
      <c r="P282" s="2" t="s">
        <v>2311</v>
      </c>
      <c r="Q282" s="2" t="s">
        <v>104</v>
      </c>
      <c r="R282" s="2" t="s">
        <v>453</v>
      </c>
      <c r="S282" s="2" t="s">
        <v>35</v>
      </c>
      <c r="T282" s="150">
        <v>2.5310000000000001</v>
      </c>
      <c r="U282" s="2" t="s">
        <v>2312</v>
      </c>
      <c r="V282" s="162">
        <v>3.6499999999999998E-2</v>
      </c>
      <c r="W282" s="164">
        <v>5.2229999999999999E-2</v>
      </c>
      <c r="X282" s="4" t="s">
        <v>459</v>
      </c>
      <c r="Y282" s="4" t="s">
        <v>164</v>
      </c>
      <c r="Z282" s="150">
        <v>5303</v>
      </c>
      <c r="AA282" s="150">
        <v>1</v>
      </c>
      <c r="AB282" s="150">
        <v>97.52</v>
      </c>
      <c r="AD282" s="150">
        <v>5.1710000000000003</v>
      </c>
      <c r="AG282" s="2" t="s">
        <v>37</v>
      </c>
      <c r="AH282" s="164">
        <v>3.9999999999999998E-6</v>
      </c>
      <c r="AI282" s="164">
        <v>5.4861446044621003E-2</v>
      </c>
      <c r="AJ282" s="164">
        <v>3.5650435989393599E-3</v>
      </c>
    </row>
    <row r="283" spans="1:36">
      <c r="A283" s="2" t="s">
        <v>128</v>
      </c>
      <c r="B283" s="2">
        <v>9817</v>
      </c>
      <c r="C283" s="2" t="s">
        <v>1899</v>
      </c>
      <c r="D283" s="2" t="s">
        <v>1900</v>
      </c>
      <c r="E283" s="4" t="s">
        <v>1380</v>
      </c>
      <c r="F283" s="2" t="s">
        <v>2609</v>
      </c>
      <c r="G283" s="2" t="s">
        <v>2610</v>
      </c>
      <c r="H283" s="2" t="s">
        <v>368</v>
      </c>
      <c r="I283" s="2" t="s">
        <v>219</v>
      </c>
      <c r="J283" s="2" t="s">
        <v>31</v>
      </c>
      <c r="K283" s="2" t="s">
        <v>31</v>
      </c>
      <c r="L283" s="2" t="s">
        <v>374</v>
      </c>
      <c r="M283" s="2" t="s">
        <v>32</v>
      </c>
      <c r="N283" s="2" t="s">
        <v>508</v>
      </c>
      <c r="O283" s="2" t="s">
        <v>164</v>
      </c>
      <c r="P283" s="2" t="s">
        <v>1396</v>
      </c>
      <c r="Q283" s="2" t="s">
        <v>104</v>
      </c>
      <c r="R283" s="2" t="s">
        <v>453</v>
      </c>
      <c r="S283" s="2" t="s">
        <v>35</v>
      </c>
      <c r="T283" s="150">
        <v>3.2109999999999999</v>
      </c>
      <c r="U283" s="2" t="s">
        <v>2611</v>
      </c>
      <c r="V283" s="162">
        <v>3.3500000000000002E-2</v>
      </c>
      <c r="W283" s="164">
        <v>2.5420000000000002E-2</v>
      </c>
      <c r="X283" s="4" t="s">
        <v>459</v>
      </c>
      <c r="Y283" s="4" t="s">
        <v>164</v>
      </c>
      <c r="Z283" s="150">
        <v>5391.7</v>
      </c>
      <c r="AA283" s="150">
        <v>1</v>
      </c>
      <c r="AB283" s="150">
        <v>114.62</v>
      </c>
      <c r="AD283" s="150">
        <v>6.18</v>
      </c>
      <c r="AG283" s="2" t="s">
        <v>37</v>
      </c>
      <c r="AH283" s="164">
        <v>1.2999999999999999E-5</v>
      </c>
      <c r="AI283" s="164">
        <v>6.5559865600664805E-2</v>
      </c>
      <c r="AJ283" s="164">
        <v>4.2602555356794202E-3</v>
      </c>
    </row>
    <row r="284" spans="1:36">
      <c r="A284" s="2" t="s">
        <v>128</v>
      </c>
      <c r="B284" s="2">
        <v>9817</v>
      </c>
      <c r="C284" s="2" t="s">
        <v>2321</v>
      </c>
      <c r="D284" s="2" t="s">
        <v>2322</v>
      </c>
      <c r="E284" s="4" t="s">
        <v>1380</v>
      </c>
      <c r="F284" s="2" t="s">
        <v>2329</v>
      </c>
      <c r="G284" s="2" t="s">
        <v>2330</v>
      </c>
      <c r="H284" s="2" t="s">
        <v>368</v>
      </c>
      <c r="I284" s="2" t="s">
        <v>219</v>
      </c>
      <c r="J284" s="2" t="s">
        <v>31</v>
      </c>
      <c r="K284" s="2" t="s">
        <v>31</v>
      </c>
      <c r="L284" s="2" t="s">
        <v>374</v>
      </c>
      <c r="M284" s="2" t="s">
        <v>32</v>
      </c>
      <c r="N284" s="2" t="s">
        <v>508</v>
      </c>
      <c r="O284" s="2" t="s">
        <v>164</v>
      </c>
      <c r="P284" s="2" t="s">
        <v>2274</v>
      </c>
      <c r="Q284" s="2" t="s">
        <v>217</v>
      </c>
      <c r="R284" s="2" t="s">
        <v>453</v>
      </c>
      <c r="S284" s="2" t="s">
        <v>35</v>
      </c>
      <c r="T284" s="150">
        <v>5.6539999999999999</v>
      </c>
      <c r="U284" s="2" t="s">
        <v>2331</v>
      </c>
      <c r="V284" s="162">
        <v>5.8999999999999999E-3</v>
      </c>
      <c r="W284" s="164">
        <v>2.8559999999999999E-2</v>
      </c>
      <c r="X284" s="4" t="s">
        <v>459</v>
      </c>
      <c r="Y284" s="4" t="s">
        <v>164</v>
      </c>
      <c r="Z284" s="150">
        <v>1557</v>
      </c>
      <c r="AA284" s="150">
        <v>1</v>
      </c>
      <c r="AB284" s="150">
        <v>95.47</v>
      </c>
      <c r="AD284" s="150">
        <v>1.486</v>
      </c>
      <c r="AG284" s="2" t="s">
        <v>37</v>
      </c>
      <c r="AH284" s="164">
        <v>9.9999999999999995E-7</v>
      </c>
      <c r="AI284" s="164">
        <v>1.57691202877779E-2</v>
      </c>
      <c r="AJ284" s="164">
        <v>1.0247196418614901E-3</v>
      </c>
    </row>
    <row r="285" spans="1:36">
      <c r="A285" s="2" t="s">
        <v>128</v>
      </c>
      <c r="B285" s="2">
        <v>9817</v>
      </c>
      <c r="C285" s="2" t="s">
        <v>2321</v>
      </c>
      <c r="D285" s="2" t="s">
        <v>2322</v>
      </c>
      <c r="E285" s="4" t="s">
        <v>1380</v>
      </c>
      <c r="F285" s="2" t="s">
        <v>2332</v>
      </c>
      <c r="G285" s="2" t="s">
        <v>2333</v>
      </c>
      <c r="H285" s="2" t="s">
        <v>368</v>
      </c>
      <c r="I285" s="2" t="s">
        <v>219</v>
      </c>
      <c r="J285" s="2" t="s">
        <v>31</v>
      </c>
      <c r="K285" s="2" t="s">
        <v>31</v>
      </c>
      <c r="L285" s="2" t="s">
        <v>374</v>
      </c>
      <c r="M285" s="2" t="s">
        <v>32</v>
      </c>
      <c r="N285" s="2" t="s">
        <v>508</v>
      </c>
      <c r="O285" s="2" t="s">
        <v>164</v>
      </c>
      <c r="P285" s="2" t="s">
        <v>2274</v>
      </c>
      <c r="Q285" s="2" t="s">
        <v>217</v>
      </c>
      <c r="R285" s="2" t="s">
        <v>453</v>
      </c>
      <c r="S285" s="2" t="s">
        <v>35</v>
      </c>
      <c r="T285" s="150">
        <v>1.466</v>
      </c>
      <c r="U285" s="2" t="s">
        <v>2334</v>
      </c>
      <c r="V285" s="162">
        <v>4.7500000000000001E-2</v>
      </c>
      <c r="W285" s="164">
        <v>1.567E-2</v>
      </c>
      <c r="X285" s="4" t="s">
        <v>459</v>
      </c>
      <c r="Y285" s="4" t="s">
        <v>164</v>
      </c>
      <c r="Z285" s="150">
        <v>912.67</v>
      </c>
      <c r="AA285" s="150">
        <v>1</v>
      </c>
      <c r="AB285" s="150">
        <v>141.47999999999999</v>
      </c>
      <c r="AD285" s="150">
        <v>1.2909999999999999</v>
      </c>
      <c r="AG285" s="2" t="s">
        <v>37</v>
      </c>
      <c r="AH285" s="164">
        <v>9.9999999999999995E-7</v>
      </c>
      <c r="AI285" s="164">
        <v>1.36981134021514E-2</v>
      </c>
      <c r="AJ285" s="164">
        <v>8.9014007144773801E-4</v>
      </c>
    </row>
    <row r="286" spans="1:36">
      <c r="A286" s="2" t="s">
        <v>128</v>
      </c>
      <c r="B286" s="2">
        <v>9817</v>
      </c>
      <c r="C286" s="2" t="s">
        <v>2340</v>
      </c>
      <c r="D286" s="2" t="s">
        <v>2341</v>
      </c>
      <c r="E286" s="4" t="s">
        <v>1380</v>
      </c>
      <c r="F286" s="2" t="s">
        <v>2342</v>
      </c>
      <c r="G286" s="2" t="s">
        <v>2343</v>
      </c>
      <c r="H286" s="2" t="s">
        <v>368</v>
      </c>
      <c r="I286" s="2" t="s">
        <v>219</v>
      </c>
      <c r="J286" s="2" t="s">
        <v>31</v>
      </c>
      <c r="K286" s="2" t="s">
        <v>31</v>
      </c>
      <c r="L286" s="2" t="s">
        <v>374</v>
      </c>
      <c r="M286" s="2" t="s">
        <v>32</v>
      </c>
      <c r="N286" s="2" t="s">
        <v>495</v>
      </c>
      <c r="O286" s="2" t="s">
        <v>164</v>
      </c>
      <c r="P286" s="2" t="s">
        <v>2285</v>
      </c>
      <c r="Q286" s="2" t="s">
        <v>217</v>
      </c>
      <c r="R286" s="2" t="s">
        <v>453</v>
      </c>
      <c r="S286" s="2" t="s">
        <v>35</v>
      </c>
      <c r="T286" s="150">
        <v>4.6710000000000003</v>
      </c>
      <c r="U286" s="2" t="s">
        <v>2344</v>
      </c>
      <c r="V286" s="162">
        <v>7.4999999999999997E-3</v>
      </c>
      <c r="W286" s="164">
        <v>3.499E-2</v>
      </c>
      <c r="X286" s="4" t="s">
        <v>459</v>
      </c>
      <c r="Y286" s="4" t="s">
        <v>164</v>
      </c>
      <c r="Z286" s="150">
        <v>1529</v>
      </c>
      <c r="AA286" s="150">
        <v>1</v>
      </c>
      <c r="AB286" s="150">
        <v>95.49</v>
      </c>
      <c r="AD286" s="150">
        <v>1.46</v>
      </c>
      <c r="AG286" s="2" t="s">
        <v>37</v>
      </c>
      <c r="AH286" s="164">
        <v>1.9999999999999999E-6</v>
      </c>
      <c r="AI286" s="164">
        <v>1.54887835116519E-2</v>
      </c>
      <c r="AJ286" s="164">
        <v>1.00650260783613E-3</v>
      </c>
    </row>
    <row r="287" spans="1:36">
      <c r="A287" s="2" t="s">
        <v>128</v>
      </c>
      <c r="B287" s="2">
        <v>9817</v>
      </c>
      <c r="C287" s="2" t="s">
        <v>2350</v>
      </c>
      <c r="D287" s="2" t="s">
        <v>2351</v>
      </c>
      <c r="E287" s="4" t="s">
        <v>1380</v>
      </c>
      <c r="F287" s="2" t="s">
        <v>2352</v>
      </c>
      <c r="G287" s="2" t="s">
        <v>2353</v>
      </c>
      <c r="H287" s="2" t="s">
        <v>368</v>
      </c>
      <c r="I287" s="2" t="s">
        <v>219</v>
      </c>
      <c r="J287" s="2" t="s">
        <v>31</v>
      </c>
      <c r="K287" s="2" t="s">
        <v>31</v>
      </c>
      <c r="L287" s="2" t="s">
        <v>374</v>
      </c>
      <c r="M287" s="2" t="s">
        <v>32</v>
      </c>
      <c r="N287" s="2" t="s">
        <v>495</v>
      </c>
      <c r="O287" s="2" t="s">
        <v>164</v>
      </c>
      <c r="P287" s="2" t="s">
        <v>1535</v>
      </c>
      <c r="Q287" s="2" t="s">
        <v>217</v>
      </c>
      <c r="R287" s="2" t="s">
        <v>453</v>
      </c>
      <c r="S287" s="2" t="s">
        <v>35</v>
      </c>
      <c r="T287" s="150">
        <v>1.23</v>
      </c>
      <c r="U287" s="2" t="s">
        <v>2354</v>
      </c>
      <c r="V287" s="162">
        <v>4.9500000000000002E-2</v>
      </c>
      <c r="W287" s="164">
        <v>3.8440000000000002E-2</v>
      </c>
      <c r="X287" s="4" t="s">
        <v>459</v>
      </c>
      <c r="Y287" s="4" t="s">
        <v>387</v>
      </c>
      <c r="Z287" s="150">
        <v>677</v>
      </c>
      <c r="AA287" s="150">
        <v>1</v>
      </c>
      <c r="AB287" s="150">
        <v>138.41999999999999</v>
      </c>
      <c r="AD287" s="150">
        <v>0.93700000000000006</v>
      </c>
      <c r="AG287" s="2" t="s">
        <v>37</v>
      </c>
      <c r="AH287" s="164">
        <v>1.9999999999999999E-6</v>
      </c>
      <c r="AI287" s="164">
        <v>9.9412144969195908E-3</v>
      </c>
      <c r="AJ287" s="164">
        <v>6.4600672536230404E-4</v>
      </c>
    </row>
    <row r="288" spans="1:36">
      <c r="A288" s="2" t="s">
        <v>128</v>
      </c>
      <c r="B288" s="2">
        <v>9817</v>
      </c>
      <c r="C288" s="2" t="s">
        <v>2358</v>
      </c>
      <c r="D288" s="2" t="s">
        <v>2359</v>
      </c>
      <c r="E288" s="4" t="s">
        <v>1380</v>
      </c>
      <c r="F288" s="2" t="s">
        <v>2360</v>
      </c>
      <c r="G288" s="2" t="s">
        <v>2361</v>
      </c>
      <c r="H288" s="2" t="s">
        <v>368</v>
      </c>
      <c r="I288" s="2" t="s">
        <v>219</v>
      </c>
      <c r="J288" s="2" t="s">
        <v>31</v>
      </c>
      <c r="K288" s="2" t="s">
        <v>31</v>
      </c>
      <c r="L288" s="2" t="s">
        <v>374</v>
      </c>
      <c r="M288" s="2" t="s">
        <v>32</v>
      </c>
      <c r="N288" s="2" t="s">
        <v>484</v>
      </c>
      <c r="O288" s="2" t="s">
        <v>164</v>
      </c>
      <c r="P288" s="2" t="s">
        <v>2311</v>
      </c>
      <c r="Q288" s="2" t="s">
        <v>104</v>
      </c>
      <c r="R288" s="2" t="s">
        <v>453</v>
      </c>
      <c r="S288" s="2" t="s">
        <v>35</v>
      </c>
      <c r="T288" s="150">
        <v>3.9649999999999999</v>
      </c>
      <c r="U288" s="2" t="s">
        <v>2362</v>
      </c>
      <c r="V288" s="162">
        <v>1.7999999999999999E-2</v>
      </c>
      <c r="W288" s="164">
        <v>3.1009999999999999E-2</v>
      </c>
      <c r="X288" s="4" t="s">
        <v>459</v>
      </c>
      <c r="Y288" s="4" t="s">
        <v>164</v>
      </c>
      <c r="Z288" s="150">
        <v>7359.02</v>
      </c>
      <c r="AA288" s="150">
        <v>1</v>
      </c>
      <c r="AB288" s="150">
        <v>106.25</v>
      </c>
      <c r="AD288" s="150">
        <v>7.819</v>
      </c>
      <c r="AG288" s="2" t="s">
        <v>37</v>
      </c>
      <c r="AH288" s="164">
        <v>6.9999999999999999E-6</v>
      </c>
      <c r="AI288" s="164">
        <v>8.2947032393987999E-2</v>
      </c>
      <c r="AJ288" s="164">
        <v>5.3901201701225697E-3</v>
      </c>
    </row>
    <row r="289" spans="1:36">
      <c r="A289" s="2" t="s">
        <v>128</v>
      </c>
      <c r="B289" s="2">
        <v>9817</v>
      </c>
      <c r="C289" s="2" t="s">
        <v>2370</v>
      </c>
      <c r="D289" s="2" t="s">
        <v>2371</v>
      </c>
      <c r="E289" s="4" t="s">
        <v>1380</v>
      </c>
      <c r="F289" s="2" t="s">
        <v>2618</v>
      </c>
      <c r="G289" s="2" t="s">
        <v>2619</v>
      </c>
      <c r="H289" s="2" t="s">
        <v>368</v>
      </c>
      <c r="I289" s="2" t="s">
        <v>1011</v>
      </c>
      <c r="J289" s="2" t="s">
        <v>31</v>
      </c>
      <c r="K289" s="2" t="s">
        <v>31</v>
      </c>
      <c r="L289" s="2" t="s">
        <v>374</v>
      </c>
      <c r="M289" s="2" t="s">
        <v>32</v>
      </c>
      <c r="N289" s="2" t="s">
        <v>489</v>
      </c>
      <c r="O289" s="2" t="s">
        <v>164</v>
      </c>
      <c r="P289" s="2" t="s">
        <v>1396</v>
      </c>
      <c r="Q289" s="2" t="s">
        <v>104</v>
      </c>
      <c r="R289" s="2" t="s">
        <v>453</v>
      </c>
      <c r="S289" s="2" t="s">
        <v>35</v>
      </c>
      <c r="T289" s="150">
        <v>3.62</v>
      </c>
      <c r="U289" s="2" t="s">
        <v>1375</v>
      </c>
      <c r="V289" s="162">
        <v>1.7899999999999999E-2</v>
      </c>
      <c r="W289" s="164">
        <v>4.5850000000000002E-2</v>
      </c>
      <c r="X289" s="4" t="s">
        <v>459</v>
      </c>
      <c r="Y289" s="4" t="s">
        <v>164</v>
      </c>
      <c r="Z289" s="150">
        <v>6000</v>
      </c>
      <c r="AA289" s="150">
        <v>1</v>
      </c>
      <c r="AB289" s="150">
        <v>91.09</v>
      </c>
      <c r="AD289" s="150">
        <v>5.4649999999999999</v>
      </c>
      <c r="AG289" s="2" t="s">
        <v>37</v>
      </c>
      <c r="AH289" s="164">
        <v>1.7E-5</v>
      </c>
      <c r="AI289" s="164">
        <v>5.7979422240346599E-2</v>
      </c>
      <c r="AJ289" s="164">
        <v>3.7676580373042501E-3</v>
      </c>
    </row>
    <row r="290" spans="1:36">
      <c r="A290" s="2" t="s">
        <v>128</v>
      </c>
      <c r="B290" s="2">
        <v>9817</v>
      </c>
      <c r="C290" s="2" t="s">
        <v>2370</v>
      </c>
      <c r="D290" s="2" t="s">
        <v>2371</v>
      </c>
      <c r="E290" s="4" t="s">
        <v>1380</v>
      </c>
      <c r="F290" s="2" t="s">
        <v>2372</v>
      </c>
      <c r="G290" s="2" t="s">
        <v>2373</v>
      </c>
      <c r="H290" s="2" t="s">
        <v>368</v>
      </c>
      <c r="I290" s="2" t="s">
        <v>1011</v>
      </c>
      <c r="J290" s="2" t="s">
        <v>31</v>
      </c>
      <c r="K290" s="2" t="s">
        <v>31</v>
      </c>
      <c r="L290" s="2" t="s">
        <v>374</v>
      </c>
      <c r="M290" s="2" t="s">
        <v>32</v>
      </c>
      <c r="N290" s="2" t="s">
        <v>489</v>
      </c>
      <c r="O290" s="2" t="s">
        <v>164</v>
      </c>
      <c r="P290" s="2" t="s">
        <v>1396</v>
      </c>
      <c r="Q290" s="2" t="s">
        <v>104</v>
      </c>
      <c r="R290" s="2" t="s">
        <v>453</v>
      </c>
      <c r="S290" s="2" t="s">
        <v>35</v>
      </c>
      <c r="T290" s="150">
        <v>6.827</v>
      </c>
      <c r="U290" s="2" t="s">
        <v>2374</v>
      </c>
      <c r="V290" s="162">
        <v>3.0499999999999999E-2</v>
      </c>
      <c r="W290" s="164">
        <v>5.3449999999999998E-2</v>
      </c>
      <c r="X290" s="4" t="s">
        <v>459</v>
      </c>
      <c r="Y290" s="4" t="s">
        <v>164</v>
      </c>
      <c r="Z290" s="150">
        <v>1546</v>
      </c>
      <c r="AA290" s="150">
        <v>1</v>
      </c>
      <c r="AB290" s="150">
        <v>86.75</v>
      </c>
      <c r="AD290" s="150">
        <v>1.341</v>
      </c>
      <c r="AG290" s="2" t="s">
        <v>37</v>
      </c>
      <c r="AH290" s="164">
        <v>1.9999999999999999E-6</v>
      </c>
      <c r="AI290" s="164">
        <v>1.4227575664132901E-2</v>
      </c>
      <c r="AJ290" s="164">
        <v>9.2454594632063105E-4</v>
      </c>
    </row>
    <row r="291" spans="1:36">
      <c r="A291" s="2" t="s">
        <v>128</v>
      </c>
      <c r="B291" s="2">
        <v>9817</v>
      </c>
      <c r="C291" s="2" t="s">
        <v>2370</v>
      </c>
      <c r="D291" s="2" t="s">
        <v>2371</v>
      </c>
      <c r="E291" s="4" t="s">
        <v>1380</v>
      </c>
      <c r="F291" s="2" t="s">
        <v>2508</v>
      </c>
      <c r="G291" s="2" t="s">
        <v>2509</v>
      </c>
      <c r="H291" s="2" t="s">
        <v>368</v>
      </c>
      <c r="I291" s="2" t="s">
        <v>1011</v>
      </c>
      <c r="J291" s="2" t="s">
        <v>31</v>
      </c>
      <c r="K291" s="2" t="s">
        <v>31</v>
      </c>
      <c r="L291" s="2" t="s">
        <v>374</v>
      </c>
      <c r="M291" s="2" t="s">
        <v>32</v>
      </c>
      <c r="N291" s="2" t="s">
        <v>489</v>
      </c>
      <c r="O291" s="2" t="s">
        <v>164</v>
      </c>
      <c r="P291" s="2" t="s">
        <v>1396</v>
      </c>
      <c r="Q291" s="2" t="s">
        <v>104</v>
      </c>
      <c r="R291" s="2" t="s">
        <v>453</v>
      </c>
      <c r="S291" s="2" t="s">
        <v>35</v>
      </c>
      <c r="T291" s="150">
        <v>7.6909999999999998</v>
      </c>
      <c r="U291" s="2" t="s">
        <v>2510</v>
      </c>
      <c r="V291" s="162">
        <v>2.63E-2</v>
      </c>
      <c r="W291" s="164">
        <v>5.4850000000000003E-2</v>
      </c>
      <c r="X291" s="4" t="s">
        <v>459</v>
      </c>
      <c r="Y291" s="4" t="s">
        <v>164</v>
      </c>
      <c r="Z291" s="150">
        <v>1016</v>
      </c>
      <c r="AA291" s="150">
        <v>1</v>
      </c>
      <c r="AB291" s="150">
        <v>81.459999999999994</v>
      </c>
      <c r="AD291" s="150">
        <v>0.82799999999999996</v>
      </c>
      <c r="AG291" s="2" t="s">
        <v>37</v>
      </c>
      <c r="AH291" s="164">
        <v>9.9999999999999995E-7</v>
      </c>
      <c r="AI291" s="164">
        <v>8.7799096049141993E-3</v>
      </c>
      <c r="AJ291" s="164">
        <v>5.7054202528324495E-4</v>
      </c>
    </row>
    <row r="292" spans="1:36">
      <c r="A292" s="2" t="s">
        <v>128</v>
      </c>
      <c r="B292" s="2">
        <v>9817</v>
      </c>
      <c r="C292" s="2" t="s">
        <v>1219</v>
      </c>
      <c r="D292" s="2" t="s">
        <v>1959</v>
      </c>
      <c r="E292" s="4" t="s">
        <v>1380</v>
      </c>
      <c r="F292" s="2" t="s">
        <v>2620</v>
      </c>
      <c r="G292" s="2" t="s">
        <v>2621</v>
      </c>
      <c r="H292" s="2" t="s">
        <v>368</v>
      </c>
      <c r="I292" s="2" t="s">
        <v>1011</v>
      </c>
      <c r="J292" s="2" t="s">
        <v>31</v>
      </c>
      <c r="K292" s="2" t="s">
        <v>31</v>
      </c>
      <c r="L292" s="2" t="s">
        <v>374</v>
      </c>
      <c r="M292" s="2" t="s">
        <v>32</v>
      </c>
      <c r="N292" s="2" t="s">
        <v>492</v>
      </c>
      <c r="O292" s="2" t="s">
        <v>164</v>
      </c>
      <c r="P292" s="2" t="s">
        <v>216</v>
      </c>
      <c r="Q292" s="2" t="s">
        <v>217</v>
      </c>
      <c r="R292" s="2" t="s">
        <v>453</v>
      </c>
      <c r="S292" s="2" t="s">
        <v>35</v>
      </c>
      <c r="T292" s="150">
        <v>0.91200000000000003</v>
      </c>
      <c r="U292" s="2" t="s">
        <v>2622</v>
      </c>
      <c r="V292" s="162">
        <v>2.0199999999999999E-2</v>
      </c>
      <c r="W292" s="164">
        <v>4.2029999999999998E-2</v>
      </c>
      <c r="X292" s="4" t="s">
        <v>459</v>
      </c>
      <c r="Y292" s="4" t="s">
        <v>164</v>
      </c>
      <c r="Z292" s="150">
        <v>2860</v>
      </c>
      <c r="AA292" s="150">
        <v>1</v>
      </c>
      <c r="AB292" s="150">
        <v>98.27</v>
      </c>
      <c r="AD292" s="150">
        <v>2.8109999999999999</v>
      </c>
      <c r="AG292" s="2" t="s">
        <v>37</v>
      </c>
      <c r="AH292" s="164">
        <v>3.0000000000000001E-6</v>
      </c>
      <c r="AI292" s="164">
        <v>2.9815281910525002E-2</v>
      </c>
      <c r="AJ292" s="164">
        <v>1.9374768182238099E-3</v>
      </c>
    </row>
    <row r="293" spans="1:36">
      <c r="A293" s="2" t="s">
        <v>128</v>
      </c>
      <c r="B293" s="2">
        <v>9817</v>
      </c>
      <c r="C293" s="2" t="s">
        <v>2408</v>
      </c>
      <c r="D293" s="2" t="s">
        <v>2409</v>
      </c>
      <c r="E293" s="4" t="s">
        <v>1380</v>
      </c>
      <c r="F293" s="2" t="s">
        <v>2623</v>
      </c>
      <c r="G293" s="2" t="s">
        <v>2624</v>
      </c>
      <c r="H293" s="2" t="s">
        <v>368</v>
      </c>
      <c r="I293" s="2" t="s">
        <v>1011</v>
      </c>
      <c r="J293" s="2" t="s">
        <v>31</v>
      </c>
      <c r="K293" s="2" t="s">
        <v>31</v>
      </c>
      <c r="L293" s="2" t="s">
        <v>374</v>
      </c>
      <c r="M293" s="2" t="s">
        <v>32</v>
      </c>
      <c r="N293" s="2" t="s">
        <v>492</v>
      </c>
      <c r="O293" s="2" t="s">
        <v>164</v>
      </c>
      <c r="P293" s="2" t="s">
        <v>103</v>
      </c>
      <c r="Q293" s="2" t="s">
        <v>104</v>
      </c>
      <c r="R293" s="2" t="s">
        <v>453</v>
      </c>
      <c r="S293" s="2" t="s">
        <v>35</v>
      </c>
      <c r="T293" s="150">
        <v>0.43</v>
      </c>
      <c r="U293" s="2" t="s">
        <v>2625</v>
      </c>
      <c r="V293" s="162">
        <v>1.09E-2</v>
      </c>
      <c r="W293" s="164">
        <v>4.6129999999999997E-2</v>
      </c>
      <c r="X293" s="4" t="s">
        <v>459</v>
      </c>
      <c r="Y293" s="4" t="s">
        <v>164</v>
      </c>
      <c r="Z293" s="150">
        <v>5000</v>
      </c>
      <c r="AA293" s="150">
        <v>1</v>
      </c>
      <c r="AB293" s="150">
        <v>99.16</v>
      </c>
      <c r="AD293" s="150">
        <v>4.9580000000000002</v>
      </c>
      <c r="AG293" s="2" t="s">
        <v>37</v>
      </c>
      <c r="AH293" s="164">
        <v>6.9999999999999999E-6</v>
      </c>
      <c r="AI293" s="164">
        <v>5.25966947465214E-2</v>
      </c>
      <c r="AJ293" s="164">
        <v>3.41787399805219E-3</v>
      </c>
    </row>
    <row r="294" spans="1:36">
      <c r="A294" s="2" t="s">
        <v>128</v>
      </c>
      <c r="B294" s="2">
        <v>9817</v>
      </c>
      <c r="C294" s="2" t="s">
        <v>2408</v>
      </c>
      <c r="D294" s="2" t="s">
        <v>2409</v>
      </c>
      <c r="E294" s="4" t="s">
        <v>1380</v>
      </c>
      <c r="F294" s="2" t="s">
        <v>2541</v>
      </c>
      <c r="G294" s="2" t="s">
        <v>2542</v>
      </c>
      <c r="H294" s="2" t="s">
        <v>368</v>
      </c>
      <c r="I294" s="2" t="s">
        <v>1011</v>
      </c>
      <c r="J294" s="2" t="s">
        <v>31</v>
      </c>
      <c r="K294" s="2" t="s">
        <v>31</v>
      </c>
      <c r="L294" s="2" t="s">
        <v>374</v>
      </c>
      <c r="M294" s="2" t="s">
        <v>32</v>
      </c>
      <c r="N294" s="2" t="s">
        <v>492</v>
      </c>
      <c r="O294" s="2" t="s">
        <v>164</v>
      </c>
      <c r="P294" s="2" t="s">
        <v>103</v>
      </c>
      <c r="Q294" s="2" t="s">
        <v>104</v>
      </c>
      <c r="R294" s="2" t="s">
        <v>453</v>
      </c>
      <c r="S294" s="2" t="s">
        <v>35</v>
      </c>
      <c r="T294" s="150">
        <v>1.157</v>
      </c>
      <c r="U294" s="2" t="s">
        <v>2543</v>
      </c>
      <c r="V294" s="162">
        <v>2.98E-2</v>
      </c>
      <c r="W294" s="164">
        <v>4.4519999999999997E-2</v>
      </c>
      <c r="X294" s="4" t="s">
        <v>459</v>
      </c>
      <c r="Y294" s="4" t="s">
        <v>164</v>
      </c>
      <c r="Z294" s="150">
        <v>2050</v>
      </c>
      <c r="AA294" s="150">
        <v>1</v>
      </c>
      <c r="AB294" s="150">
        <v>100.79</v>
      </c>
      <c r="AD294" s="150">
        <v>2.0659999999999998</v>
      </c>
      <c r="AG294" s="2" t="s">
        <v>37</v>
      </c>
      <c r="AH294" s="164">
        <v>1.9999999999999999E-6</v>
      </c>
      <c r="AI294" s="164">
        <v>2.1919126200441501E-2</v>
      </c>
      <c r="AJ294" s="164">
        <v>1.42436348636657E-3</v>
      </c>
    </row>
    <row r="295" spans="1:36">
      <c r="A295" s="2" t="s">
        <v>128</v>
      </c>
      <c r="B295" s="2">
        <v>9817</v>
      </c>
      <c r="C295" s="2" t="s">
        <v>2408</v>
      </c>
      <c r="D295" s="2" t="s">
        <v>2409</v>
      </c>
      <c r="E295" s="4" t="s">
        <v>1380</v>
      </c>
      <c r="F295" s="2" t="s">
        <v>2626</v>
      </c>
      <c r="G295" s="2" t="s">
        <v>2627</v>
      </c>
      <c r="H295" s="2" t="s">
        <v>368</v>
      </c>
      <c r="I295" s="2" t="s">
        <v>219</v>
      </c>
      <c r="J295" s="2" t="s">
        <v>31</v>
      </c>
      <c r="K295" s="2" t="s">
        <v>31</v>
      </c>
      <c r="L295" s="2" t="s">
        <v>374</v>
      </c>
      <c r="M295" s="2" t="s">
        <v>32</v>
      </c>
      <c r="N295" s="2" t="s">
        <v>492</v>
      </c>
      <c r="O295" s="2" t="s">
        <v>164</v>
      </c>
      <c r="P295" s="2" t="s">
        <v>103</v>
      </c>
      <c r="Q295" s="2" t="s">
        <v>104</v>
      </c>
      <c r="R295" s="2" t="s">
        <v>453</v>
      </c>
      <c r="S295" s="2" t="s">
        <v>35</v>
      </c>
      <c r="T295" s="150">
        <v>2.2160000000000002</v>
      </c>
      <c r="U295" s="2" t="s">
        <v>2628</v>
      </c>
      <c r="V295" s="162">
        <v>3.8E-3</v>
      </c>
      <c r="W295" s="164">
        <v>1.7170000000000001E-2</v>
      </c>
      <c r="X295" s="4" t="s">
        <v>459</v>
      </c>
      <c r="Y295" s="4" t="s">
        <v>164</v>
      </c>
      <c r="Z295" s="150">
        <v>7012</v>
      </c>
      <c r="AA295" s="150">
        <v>1</v>
      </c>
      <c r="AB295" s="150">
        <v>107.22</v>
      </c>
      <c r="AD295" s="150">
        <v>7.5179999999999998</v>
      </c>
      <c r="AG295" s="2" t="s">
        <v>37</v>
      </c>
      <c r="AH295" s="164">
        <v>1.9999999999999999E-6</v>
      </c>
      <c r="AI295" s="164">
        <v>7.9757152655068303E-2</v>
      </c>
      <c r="AJ295" s="164">
        <v>5.1828332470733101E-3</v>
      </c>
    </row>
    <row r="296" spans="1:36">
      <c r="A296" s="2" t="s">
        <v>128</v>
      </c>
      <c r="B296" s="2">
        <v>9817</v>
      </c>
      <c r="C296" s="2" t="s">
        <v>1974</v>
      </c>
      <c r="D296" s="2" t="s">
        <v>1975</v>
      </c>
      <c r="E296" s="4" t="s">
        <v>1380</v>
      </c>
      <c r="F296" s="2" t="s">
        <v>2514</v>
      </c>
      <c r="G296" s="2" t="s">
        <v>2515</v>
      </c>
      <c r="H296" s="2" t="s">
        <v>368</v>
      </c>
      <c r="I296" s="2" t="s">
        <v>219</v>
      </c>
      <c r="J296" s="2" t="s">
        <v>31</v>
      </c>
      <c r="K296" s="2" t="s">
        <v>31</v>
      </c>
      <c r="L296" s="2" t="s">
        <v>374</v>
      </c>
      <c r="M296" s="2" t="s">
        <v>32</v>
      </c>
      <c r="N296" s="2" t="s">
        <v>508</v>
      </c>
      <c r="O296" s="2" t="s">
        <v>164</v>
      </c>
      <c r="P296" s="2" t="s">
        <v>2274</v>
      </c>
      <c r="Q296" s="2" t="s">
        <v>217</v>
      </c>
      <c r="R296" s="2" t="s">
        <v>453</v>
      </c>
      <c r="S296" s="2" t="s">
        <v>35</v>
      </c>
      <c r="T296" s="150">
        <v>1.24</v>
      </c>
      <c r="U296" s="2" t="s">
        <v>2516</v>
      </c>
      <c r="V296" s="162">
        <v>2.3E-2</v>
      </c>
      <c r="W296" s="164">
        <v>1.95E-2</v>
      </c>
      <c r="X296" s="4" t="s">
        <v>459</v>
      </c>
      <c r="Y296" s="4" t="s">
        <v>164</v>
      </c>
      <c r="Z296" s="150">
        <v>6130.93</v>
      </c>
      <c r="AA296" s="150">
        <v>1</v>
      </c>
      <c r="AB296" s="150">
        <v>114.63</v>
      </c>
      <c r="AD296" s="150">
        <v>7.0279999999999996</v>
      </c>
      <c r="AG296" s="2" t="s">
        <v>37</v>
      </c>
      <c r="AH296" s="164">
        <v>6.0000000000000002E-6</v>
      </c>
      <c r="AI296" s="164">
        <v>7.4554966753098403E-2</v>
      </c>
      <c r="AJ296" s="164">
        <v>4.8447812836739804E-3</v>
      </c>
    </row>
    <row r="297" spans="1:36">
      <c r="A297" s="2" t="s">
        <v>128</v>
      </c>
      <c r="B297" s="2">
        <v>9817</v>
      </c>
      <c r="C297" s="2" t="s">
        <v>1974</v>
      </c>
      <c r="D297" s="2" t="s">
        <v>1975</v>
      </c>
      <c r="E297" s="4" t="s">
        <v>1380</v>
      </c>
      <c r="F297" s="2" t="s">
        <v>2629</v>
      </c>
      <c r="G297" s="2" t="s">
        <v>2630</v>
      </c>
      <c r="H297" s="2" t="s">
        <v>368</v>
      </c>
      <c r="I297" s="2" t="s">
        <v>219</v>
      </c>
      <c r="J297" s="2" t="s">
        <v>31</v>
      </c>
      <c r="K297" s="2" t="s">
        <v>31</v>
      </c>
      <c r="L297" s="2" t="s">
        <v>374</v>
      </c>
      <c r="M297" s="2" t="s">
        <v>32</v>
      </c>
      <c r="N297" s="2" t="s">
        <v>508</v>
      </c>
      <c r="O297" s="2" t="s">
        <v>164</v>
      </c>
      <c r="P297" s="2" t="s">
        <v>2274</v>
      </c>
      <c r="Q297" s="2" t="s">
        <v>217</v>
      </c>
      <c r="R297" s="2" t="s">
        <v>453</v>
      </c>
      <c r="S297" s="2" t="s">
        <v>35</v>
      </c>
      <c r="T297" s="150">
        <v>1.962</v>
      </c>
      <c r="U297" s="2" t="s">
        <v>2631</v>
      </c>
      <c r="V297" s="162">
        <v>2.1499999999999998E-2</v>
      </c>
      <c r="W297" s="164">
        <v>1.797E-2</v>
      </c>
      <c r="X297" s="4" t="s">
        <v>459</v>
      </c>
      <c r="Y297" s="4" t="s">
        <v>164</v>
      </c>
      <c r="Z297" s="150">
        <v>3737.69</v>
      </c>
      <c r="AA297" s="150">
        <v>1</v>
      </c>
      <c r="AB297" s="150">
        <v>115.25</v>
      </c>
      <c r="AD297" s="150">
        <v>4.3079999999999998</v>
      </c>
      <c r="AG297" s="2" t="s">
        <v>37</v>
      </c>
      <c r="AH297" s="164">
        <v>3.0000000000000001E-6</v>
      </c>
      <c r="AI297" s="164">
        <v>4.5697889539161402E-2</v>
      </c>
      <c r="AJ297" s="164">
        <v>2.96957117123963E-3</v>
      </c>
    </row>
    <row r="298" spans="1:36">
      <c r="A298" s="2" t="s">
        <v>128</v>
      </c>
      <c r="B298" s="2">
        <v>9817</v>
      </c>
      <c r="C298" s="2" t="s">
        <v>2186</v>
      </c>
      <c r="D298" s="2" t="s">
        <v>2187</v>
      </c>
      <c r="E298" s="4" t="s">
        <v>1380</v>
      </c>
      <c r="F298" s="2" t="s">
        <v>2612</v>
      </c>
      <c r="G298" s="2" t="s">
        <v>2613</v>
      </c>
      <c r="H298" s="2" t="s">
        <v>368</v>
      </c>
      <c r="I298" s="2" t="s">
        <v>219</v>
      </c>
      <c r="J298" s="2" t="s">
        <v>31</v>
      </c>
      <c r="K298" s="2" t="s">
        <v>31</v>
      </c>
      <c r="L298" s="2" t="s">
        <v>374</v>
      </c>
      <c r="M298" s="2" t="s">
        <v>32</v>
      </c>
      <c r="N298" s="2" t="s">
        <v>508</v>
      </c>
      <c r="O298" s="2" t="s">
        <v>164</v>
      </c>
      <c r="P298" s="2" t="s">
        <v>1384</v>
      </c>
      <c r="Q298" s="2" t="s">
        <v>104</v>
      </c>
      <c r="R298" s="2" t="s">
        <v>453</v>
      </c>
      <c r="S298" s="2" t="s">
        <v>35</v>
      </c>
      <c r="T298" s="150">
        <v>3.2389999999999999</v>
      </c>
      <c r="U298" s="2" t="s">
        <v>1375</v>
      </c>
      <c r="V298" s="162">
        <v>2.75E-2</v>
      </c>
      <c r="W298" s="164">
        <v>2.4830000000000001E-2</v>
      </c>
      <c r="X298" s="4" t="s">
        <v>459</v>
      </c>
      <c r="Y298" s="4" t="s">
        <v>164</v>
      </c>
      <c r="Z298" s="150">
        <v>4250</v>
      </c>
      <c r="AA298" s="150">
        <v>1</v>
      </c>
      <c r="AB298" s="150">
        <v>112.38</v>
      </c>
      <c r="AD298" s="150">
        <v>4.7759999999999998</v>
      </c>
      <c r="AG298" s="2" t="s">
        <v>37</v>
      </c>
      <c r="AH298" s="164">
        <v>7.9999999999999996E-6</v>
      </c>
      <c r="AI298" s="164">
        <v>5.0667548126986303E-2</v>
      </c>
      <c r="AJ298" s="164">
        <v>3.2925128874136699E-3</v>
      </c>
    </row>
    <row r="299" spans="1:36">
      <c r="A299" s="2" t="s">
        <v>128</v>
      </c>
      <c r="B299" s="2">
        <v>9817</v>
      </c>
      <c r="C299" s="2" t="s">
        <v>1982</v>
      </c>
      <c r="D299" s="2" t="s">
        <v>1522</v>
      </c>
      <c r="E299" s="4" t="s">
        <v>1380</v>
      </c>
      <c r="F299" s="2" t="s">
        <v>2422</v>
      </c>
      <c r="G299" s="2" t="s">
        <v>2423</v>
      </c>
      <c r="H299" s="2" t="s">
        <v>368</v>
      </c>
      <c r="I299" s="2" t="s">
        <v>1011</v>
      </c>
      <c r="J299" s="2" t="s">
        <v>31</v>
      </c>
      <c r="K299" s="2" t="s">
        <v>31</v>
      </c>
      <c r="L299" s="2" t="s">
        <v>374</v>
      </c>
      <c r="M299" s="2" t="s">
        <v>32</v>
      </c>
      <c r="N299" s="2" t="s">
        <v>487</v>
      </c>
      <c r="O299" s="2" t="s">
        <v>164</v>
      </c>
      <c r="P299" s="2" t="s">
        <v>2311</v>
      </c>
      <c r="Q299" s="2" t="s">
        <v>104</v>
      </c>
      <c r="R299" s="2" t="s">
        <v>453</v>
      </c>
      <c r="S299" s="2" t="s">
        <v>35</v>
      </c>
      <c r="T299" s="150">
        <v>1.4410000000000001</v>
      </c>
      <c r="U299" s="2" t="s">
        <v>2424</v>
      </c>
      <c r="V299" s="162">
        <v>0.114</v>
      </c>
      <c r="W299" s="164">
        <v>6.4250000000000002E-2</v>
      </c>
      <c r="X299" s="4" t="s">
        <v>459</v>
      </c>
      <c r="Y299" s="4" t="s">
        <v>164</v>
      </c>
      <c r="Z299" s="150">
        <v>2971</v>
      </c>
      <c r="AA299" s="150">
        <v>1</v>
      </c>
      <c r="AB299" s="150">
        <v>100.84</v>
      </c>
      <c r="AD299" s="150">
        <v>2.996</v>
      </c>
      <c r="AG299" s="2" t="s">
        <v>37</v>
      </c>
      <c r="AH299" s="164">
        <v>9.0000000000000002E-6</v>
      </c>
      <c r="AI299" s="164">
        <v>3.17824534579845E-2</v>
      </c>
      <c r="AJ299" s="164">
        <v>2.0653088904514002E-3</v>
      </c>
    </row>
    <row r="300" spans="1:36">
      <c r="A300" s="2" t="s">
        <v>128</v>
      </c>
      <c r="B300" s="2">
        <v>9817</v>
      </c>
      <c r="C300" s="2" t="s">
        <v>2428</v>
      </c>
      <c r="D300" s="2" t="s">
        <v>2429</v>
      </c>
      <c r="E300" s="4" t="s">
        <v>1380</v>
      </c>
      <c r="F300" s="2" t="s">
        <v>2430</v>
      </c>
      <c r="G300" s="2" t="s">
        <v>2431</v>
      </c>
      <c r="H300" s="2" t="s">
        <v>368</v>
      </c>
      <c r="I300" s="2" t="s">
        <v>219</v>
      </c>
      <c r="J300" s="2" t="s">
        <v>31</v>
      </c>
      <c r="K300" s="2" t="s">
        <v>31</v>
      </c>
      <c r="L300" s="2" t="s">
        <v>374</v>
      </c>
      <c r="M300" s="2" t="s">
        <v>32</v>
      </c>
      <c r="N300" s="2" t="s">
        <v>491</v>
      </c>
      <c r="O300" s="2" t="s">
        <v>164</v>
      </c>
      <c r="P300" s="2" t="s">
        <v>1374</v>
      </c>
      <c r="Q300" s="2" t="s">
        <v>104</v>
      </c>
      <c r="R300" s="2" t="s">
        <v>453</v>
      </c>
      <c r="S300" s="2" t="s">
        <v>35</v>
      </c>
      <c r="T300" s="150">
        <v>3.6669999999999998</v>
      </c>
      <c r="U300" s="2" t="s">
        <v>2432</v>
      </c>
      <c r="V300" s="162">
        <v>2.07E-2</v>
      </c>
      <c r="W300" s="164">
        <v>4.2130000000000001E-2</v>
      </c>
      <c r="X300" s="4" t="s">
        <v>459</v>
      </c>
      <c r="Y300" s="4" t="s">
        <v>164</v>
      </c>
      <c r="Z300" s="150">
        <v>2367</v>
      </c>
      <c r="AA300" s="150">
        <v>1</v>
      </c>
      <c r="AB300" s="150">
        <v>101.49</v>
      </c>
      <c r="AD300" s="150">
        <v>2.4020000000000001</v>
      </c>
      <c r="AG300" s="2" t="s">
        <v>37</v>
      </c>
      <c r="AH300" s="164">
        <v>5.0000000000000004E-6</v>
      </c>
      <c r="AI300" s="164">
        <v>2.5484342975866301E-2</v>
      </c>
      <c r="AJ300" s="164">
        <v>1.6560408146258699E-3</v>
      </c>
    </row>
    <row r="301" spans="1:36">
      <c r="A301" s="2" t="s">
        <v>128</v>
      </c>
      <c r="B301" s="2">
        <v>9817</v>
      </c>
      <c r="C301" s="2" t="s">
        <v>2005</v>
      </c>
      <c r="D301" s="2" t="s">
        <v>2006</v>
      </c>
      <c r="E301" s="4" t="s">
        <v>1380</v>
      </c>
      <c r="F301" s="2" t="s">
        <v>2461</v>
      </c>
      <c r="G301" s="2" t="s">
        <v>2462</v>
      </c>
      <c r="H301" s="2" t="s">
        <v>368</v>
      </c>
      <c r="I301" s="2" t="s">
        <v>219</v>
      </c>
      <c r="J301" s="2" t="s">
        <v>31</v>
      </c>
      <c r="K301" s="2" t="s">
        <v>31</v>
      </c>
      <c r="L301" s="2" t="s">
        <v>374</v>
      </c>
      <c r="M301" s="2" t="s">
        <v>32</v>
      </c>
      <c r="N301" s="2" t="s">
        <v>508</v>
      </c>
      <c r="O301" s="2" t="s">
        <v>164</v>
      </c>
      <c r="P301" s="2" t="s">
        <v>1559</v>
      </c>
      <c r="Q301" s="2" t="s">
        <v>217</v>
      </c>
      <c r="R301" s="2" t="s">
        <v>453</v>
      </c>
      <c r="S301" s="2" t="s">
        <v>35</v>
      </c>
      <c r="T301" s="150">
        <v>10.805</v>
      </c>
      <c r="U301" s="2" t="s">
        <v>2463</v>
      </c>
      <c r="V301" s="162">
        <v>1.6899999999999998E-2</v>
      </c>
      <c r="W301" s="164">
        <v>3.1899999999999998E-2</v>
      </c>
      <c r="X301" s="4" t="s">
        <v>459</v>
      </c>
      <c r="Y301" s="4" t="s">
        <v>164</v>
      </c>
      <c r="Z301" s="150">
        <v>2131</v>
      </c>
      <c r="AA301" s="150">
        <v>1</v>
      </c>
      <c r="AB301" s="150">
        <v>94.27</v>
      </c>
      <c r="AD301" s="150">
        <v>2.0089999999999999</v>
      </c>
      <c r="AG301" s="2" t="s">
        <v>37</v>
      </c>
      <c r="AH301" s="164">
        <v>9.9999999999999995E-7</v>
      </c>
      <c r="AI301" s="164">
        <v>2.1311248228541701E-2</v>
      </c>
      <c r="AJ301" s="164">
        <v>1.38486194878597E-3</v>
      </c>
    </row>
    <row r="302" spans="1:36">
      <c r="A302" s="2" t="s">
        <v>128</v>
      </c>
      <c r="B302" s="2">
        <v>9817</v>
      </c>
      <c r="C302" s="2" t="s">
        <v>2009</v>
      </c>
      <c r="D302" s="2" t="s">
        <v>2010</v>
      </c>
      <c r="E302" s="4" t="s">
        <v>1380</v>
      </c>
      <c r="F302" s="2" t="s">
        <v>2632</v>
      </c>
      <c r="G302" s="2" t="s">
        <v>2633</v>
      </c>
      <c r="H302" s="2" t="s">
        <v>368</v>
      </c>
      <c r="I302" s="2" t="s">
        <v>219</v>
      </c>
      <c r="J302" s="2" t="s">
        <v>31</v>
      </c>
      <c r="K302" s="2" t="s">
        <v>31</v>
      </c>
      <c r="L302" s="2" t="s">
        <v>374</v>
      </c>
      <c r="M302" s="2" t="s">
        <v>32</v>
      </c>
      <c r="N302" s="2" t="s">
        <v>492</v>
      </c>
      <c r="O302" s="2" t="s">
        <v>164</v>
      </c>
      <c r="P302" s="2" t="s">
        <v>103</v>
      </c>
      <c r="Q302" s="2" t="s">
        <v>104</v>
      </c>
      <c r="R302" s="2" t="s">
        <v>453</v>
      </c>
      <c r="S302" s="2" t="s">
        <v>35</v>
      </c>
      <c r="T302" s="150">
        <v>3.54</v>
      </c>
      <c r="U302" s="2" t="s">
        <v>2634</v>
      </c>
      <c r="V302" s="162">
        <v>1.7500000000000002E-2</v>
      </c>
      <c r="W302" s="164">
        <v>1.8929999999999999E-2</v>
      </c>
      <c r="X302" s="4" t="s">
        <v>459</v>
      </c>
      <c r="Y302" s="4" t="s">
        <v>164</v>
      </c>
      <c r="Z302" s="150">
        <v>4512.28</v>
      </c>
      <c r="AA302" s="150">
        <v>1</v>
      </c>
      <c r="AB302" s="150">
        <v>111.16</v>
      </c>
      <c r="AD302" s="150">
        <v>5.016</v>
      </c>
      <c r="AG302" s="2" t="s">
        <v>37</v>
      </c>
      <c r="AH302" s="164">
        <v>1.9999999999999999E-6</v>
      </c>
      <c r="AI302" s="164">
        <v>5.3210398327482603E-2</v>
      </c>
      <c r="AJ302" s="164">
        <v>3.4577540993016602E-3</v>
      </c>
    </row>
    <row r="303" spans="1:36">
      <c r="A303" s="2" t="s">
        <v>128</v>
      </c>
      <c r="B303" s="2">
        <v>9817</v>
      </c>
      <c r="C303" s="2" t="s">
        <v>2548</v>
      </c>
      <c r="D303" s="2" t="s">
        <v>2549</v>
      </c>
      <c r="E303" s="4" t="s">
        <v>1380</v>
      </c>
      <c r="F303" s="2" t="s">
        <v>2550</v>
      </c>
      <c r="G303" s="2" t="s">
        <v>2551</v>
      </c>
      <c r="H303" s="2" t="s">
        <v>368</v>
      </c>
      <c r="I303" s="2" t="s">
        <v>1011</v>
      </c>
      <c r="J303" s="2" t="s">
        <v>31</v>
      </c>
      <c r="K303" s="2" t="s">
        <v>31</v>
      </c>
      <c r="L303" s="2" t="s">
        <v>374</v>
      </c>
      <c r="M303" s="2" t="s">
        <v>32</v>
      </c>
      <c r="N303" s="2" t="s">
        <v>484</v>
      </c>
      <c r="O303" s="2" t="s">
        <v>164</v>
      </c>
      <c r="P303" s="2" t="s">
        <v>1391</v>
      </c>
      <c r="Q303" s="2" t="s">
        <v>217</v>
      </c>
      <c r="R303" s="2" t="s">
        <v>453</v>
      </c>
      <c r="S303" s="2" t="s">
        <v>35</v>
      </c>
      <c r="T303" s="150">
        <v>0.16400000000000001</v>
      </c>
      <c r="U303" s="2" t="s">
        <v>2534</v>
      </c>
      <c r="V303" s="162">
        <v>0.1065</v>
      </c>
      <c r="W303" s="164">
        <v>5.5160000000000001E-2</v>
      </c>
      <c r="X303" s="4" t="s">
        <v>459</v>
      </c>
      <c r="Y303" s="4" t="s">
        <v>164</v>
      </c>
      <c r="Z303" s="150">
        <v>1013.16</v>
      </c>
      <c r="AA303" s="150">
        <v>1</v>
      </c>
      <c r="AB303" s="150">
        <v>100.66</v>
      </c>
      <c r="AD303" s="150">
        <v>1.02</v>
      </c>
      <c r="AG303" s="2" t="s">
        <v>37</v>
      </c>
      <c r="AH303" s="164">
        <v>9.9999999999999995E-7</v>
      </c>
      <c r="AI303" s="164">
        <v>1.08189943068236E-2</v>
      </c>
      <c r="AJ303" s="164">
        <v>7.0304720676032202E-4</v>
      </c>
    </row>
    <row r="304" spans="1:36">
      <c r="A304" s="2" t="s">
        <v>128</v>
      </c>
      <c r="B304" s="2">
        <v>9817</v>
      </c>
      <c r="C304" s="2" t="s">
        <v>2017</v>
      </c>
      <c r="D304" s="2" t="s">
        <v>2018</v>
      </c>
      <c r="E304" s="4" t="s">
        <v>1380</v>
      </c>
      <c r="F304" s="2" t="s">
        <v>2552</v>
      </c>
      <c r="G304" s="2" t="s">
        <v>2553</v>
      </c>
      <c r="H304" s="2" t="s">
        <v>368</v>
      </c>
      <c r="I304" s="2" t="s">
        <v>1011</v>
      </c>
      <c r="J304" s="2" t="s">
        <v>31</v>
      </c>
      <c r="K304" s="2" t="s">
        <v>31</v>
      </c>
      <c r="L304" s="2" t="s">
        <v>374</v>
      </c>
      <c r="M304" s="2" t="s">
        <v>32</v>
      </c>
      <c r="N304" s="2" t="s">
        <v>529</v>
      </c>
      <c r="O304" s="2" t="s">
        <v>164</v>
      </c>
      <c r="P304" s="2" t="s">
        <v>2285</v>
      </c>
      <c r="Q304" s="2" t="s">
        <v>217</v>
      </c>
      <c r="R304" s="2" t="s">
        <v>453</v>
      </c>
      <c r="S304" s="2" t="s">
        <v>35</v>
      </c>
      <c r="T304" s="150">
        <v>2.2029999999999998</v>
      </c>
      <c r="U304" s="2" t="s">
        <v>2554</v>
      </c>
      <c r="V304" s="162">
        <v>0.04</v>
      </c>
      <c r="W304" s="164">
        <v>4.7980000000000002E-2</v>
      </c>
      <c r="X304" s="4" t="s">
        <v>459</v>
      </c>
      <c r="Y304" s="4" t="s">
        <v>164</v>
      </c>
      <c r="Z304" s="150">
        <v>2000</v>
      </c>
      <c r="AA304" s="150">
        <v>1</v>
      </c>
      <c r="AB304" s="150">
        <v>101.47</v>
      </c>
      <c r="AD304" s="150">
        <v>2.0289999999999999</v>
      </c>
      <c r="AG304" s="2" t="s">
        <v>37</v>
      </c>
      <c r="AH304" s="164">
        <v>3.0000000000000001E-6</v>
      </c>
      <c r="AI304" s="164">
        <v>2.15287882853148E-2</v>
      </c>
      <c r="AJ304" s="164">
        <v>1.3989982839143001E-3</v>
      </c>
    </row>
    <row r="305" spans="1:36">
      <c r="A305" s="2" t="s">
        <v>128</v>
      </c>
      <c r="B305" s="2">
        <v>9817</v>
      </c>
      <c r="C305" s="2" t="s">
        <v>2635</v>
      </c>
      <c r="D305" s="2" t="s">
        <v>2636</v>
      </c>
      <c r="E305" s="4" t="s">
        <v>1380</v>
      </c>
      <c r="F305" s="2" t="s">
        <v>2637</v>
      </c>
      <c r="G305" s="2" t="s">
        <v>2638</v>
      </c>
      <c r="H305" s="2" t="s">
        <v>368</v>
      </c>
      <c r="I305" s="2" t="s">
        <v>219</v>
      </c>
      <c r="J305" s="2" t="s">
        <v>31</v>
      </c>
      <c r="K305" s="2" t="s">
        <v>31</v>
      </c>
      <c r="L305" s="2" t="s">
        <v>374</v>
      </c>
      <c r="M305" s="2" t="s">
        <v>32</v>
      </c>
      <c r="N305" s="2" t="s">
        <v>495</v>
      </c>
      <c r="O305" s="2" t="s">
        <v>164</v>
      </c>
      <c r="P305" s="2" t="s">
        <v>2285</v>
      </c>
      <c r="Q305" s="2" t="s">
        <v>217</v>
      </c>
      <c r="R305" s="2" t="s">
        <v>453</v>
      </c>
      <c r="S305" s="2" t="s">
        <v>35</v>
      </c>
      <c r="T305" s="150">
        <v>4.5060000000000002</v>
      </c>
      <c r="U305" s="2" t="s">
        <v>2374</v>
      </c>
      <c r="V305" s="162">
        <v>7.4999999999999997E-3</v>
      </c>
      <c r="W305" s="164">
        <v>3.1960000000000002E-2</v>
      </c>
      <c r="X305" s="4" t="s">
        <v>459</v>
      </c>
      <c r="Y305" s="4" t="s">
        <v>164</v>
      </c>
      <c r="Z305" s="150">
        <v>931.95</v>
      </c>
      <c r="AA305" s="150">
        <v>1</v>
      </c>
      <c r="AB305" s="150">
        <v>97.89</v>
      </c>
      <c r="AD305" s="150">
        <v>0.91200000000000003</v>
      </c>
      <c r="AG305" s="2" t="s">
        <v>37</v>
      </c>
      <c r="AH305" s="164">
        <v>9.9999999999999995E-7</v>
      </c>
      <c r="AI305" s="164">
        <v>9.6779388134336994E-3</v>
      </c>
      <c r="AJ305" s="164">
        <v>6.28898366800184E-4</v>
      </c>
    </row>
    <row r="306" spans="1:36">
      <c r="A306" s="2" t="s">
        <v>144</v>
      </c>
      <c r="B306" s="2">
        <v>969</v>
      </c>
      <c r="C306" s="2" t="s">
        <v>2246</v>
      </c>
      <c r="D306" s="2" t="s">
        <v>2247</v>
      </c>
      <c r="E306" s="4" t="s">
        <v>1380</v>
      </c>
      <c r="F306" s="2" t="s">
        <v>2248</v>
      </c>
      <c r="G306" s="2" t="s">
        <v>2249</v>
      </c>
      <c r="H306" s="2" t="s">
        <v>368</v>
      </c>
      <c r="I306" s="2" t="s">
        <v>219</v>
      </c>
      <c r="J306" s="2" t="s">
        <v>31</v>
      </c>
      <c r="K306" s="2" t="s">
        <v>31</v>
      </c>
      <c r="L306" s="2" t="s">
        <v>374</v>
      </c>
      <c r="M306" s="2" t="s">
        <v>32</v>
      </c>
      <c r="N306" s="2" t="s">
        <v>500</v>
      </c>
      <c r="O306" s="2" t="s">
        <v>164</v>
      </c>
      <c r="P306" s="2" t="s">
        <v>1391</v>
      </c>
      <c r="Q306" s="2" t="s">
        <v>217</v>
      </c>
      <c r="R306" s="2" t="s">
        <v>453</v>
      </c>
      <c r="S306" s="2" t="s">
        <v>35</v>
      </c>
      <c r="T306" s="150">
        <v>5.6740000000000004</v>
      </c>
      <c r="U306" s="2" t="s">
        <v>2250</v>
      </c>
      <c r="V306" s="162">
        <v>5.1499999999999997E-2</v>
      </c>
      <c r="W306" s="164">
        <v>2.9309999999999999E-2</v>
      </c>
      <c r="X306" s="4" t="s">
        <v>459</v>
      </c>
      <c r="Y306" s="4" t="s">
        <v>164</v>
      </c>
      <c r="Z306" s="150">
        <v>110104.15</v>
      </c>
      <c r="AA306" s="150">
        <v>1</v>
      </c>
      <c r="AB306" s="150">
        <v>154.27000000000001</v>
      </c>
      <c r="AD306" s="150">
        <v>169.858</v>
      </c>
      <c r="AG306" s="2" t="s">
        <v>37</v>
      </c>
      <c r="AH306" s="164">
        <v>3.4999999999999997E-5</v>
      </c>
      <c r="AI306" s="164">
        <v>2.7733018005190398E-2</v>
      </c>
      <c r="AJ306" s="164">
        <v>2.3126465273406501E-3</v>
      </c>
    </row>
    <row r="307" spans="1:36">
      <c r="A307" s="2" t="s">
        <v>144</v>
      </c>
      <c r="B307" s="2">
        <v>969</v>
      </c>
      <c r="C307" s="2" t="s">
        <v>2251</v>
      </c>
      <c r="D307" s="2" t="s">
        <v>2252</v>
      </c>
      <c r="E307" s="4" t="s">
        <v>1380</v>
      </c>
      <c r="F307" s="2" t="s">
        <v>2253</v>
      </c>
      <c r="G307" s="2" t="s">
        <v>2254</v>
      </c>
      <c r="H307" s="2" t="s">
        <v>368</v>
      </c>
      <c r="I307" s="2" t="s">
        <v>219</v>
      </c>
      <c r="J307" s="2" t="s">
        <v>31</v>
      </c>
      <c r="K307" s="2" t="s">
        <v>31</v>
      </c>
      <c r="L307" s="2" t="s">
        <v>374</v>
      </c>
      <c r="M307" s="2" t="s">
        <v>32</v>
      </c>
      <c r="N307" s="2" t="s">
        <v>484</v>
      </c>
      <c r="O307" s="2" t="s">
        <v>164</v>
      </c>
      <c r="P307" s="2" t="s">
        <v>2255</v>
      </c>
      <c r="Q307" s="2" t="s">
        <v>217</v>
      </c>
      <c r="R307" s="2" t="s">
        <v>453</v>
      </c>
      <c r="S307" s="2" t="s">
        <v>35</v>
      </c>
      <c r="T307" s="150">
        <v>3.3180000000000001</v>
      </c>
      <c r="U307" s="2" t="s">
        <v>2256</v>
      </c>
      <c r="V307" s="162">
        <v>2.75E-2</v>
      </c>
      <c r="W307" s="164">
        <v>2.7689999999999999E-2</v>
      </c>
      <c r="X307" s="4" t="s">
        <v>459</v>
      </c>
      <c r="Y307" s="4" t="s">
        <v>164</v>
      </c>
      <c r="Z307" s="150">
        <v>57079</v>
      </c>
      <c r="AA307" s="150">
        <v>1</v>
      </c>
      <c r="AB307" s="150">
        <v>110.77</v>
      </c>
      <c r="AD307" s="150">
        <v>63.225999999999999</v>
      </c>
      <c r="AG307" s="2" t="s">
        <v>37</v>
      </c>
      <c r="AH307" s="164">
        <v>6.3E-5</v>
      </c>
      <c r="AI307" s="164">
        <v>1.03231081471032E-2</v>
      </c>
      <c r="AJ307" s="164">
        <v>8.6084032409642697E-4</v>
      </c>
    </row>
    <row r="308" spans="1:36">
      <c r="A308" s="2" t="s">
        <v>144</v>
      </c>
      <c r="B308" s="2">
        <v>969</v>
      </c>
      <c r="C308" s="2" t="s">
        <v>2251</v>
      </c>
      <c r="D308" s="2" t="s">
        <v>2252</v>
      </c>
      <c r="E308" s="4" t="s">
        <v>1380</v>
      </c>
      <c r="F308" s="2" t="s">
        <v>2257</v>
      </c>
      <c r="G308" s="2" t="s">
        <v>2258</v>
      </c>
      <c r="H308" s="2" t="s">
        <v>368</v>
      </c>
      <c r="I308" s="2" t="s">
        <v>1011</v>
      </c>
      <c r="J308" s="2" t="s">
        <v>31</v>
      </c>
      <c r="K308" s="2" t="s">
        <v>31</v>
      </c>
      <c r="L308" s="2" t="s">
        <v>374</v>
      </c>
      <c r="M308" s="2" t="s">
        <v>32</v>
      </c>
      <c r="N308" s="2" t="s">
        <v>484</v>
      </c>
      <c r="O308" s="2" t="s">
        <v>164</v>
      </c>
      <c r="P308" s="2" t="s">
        <v>2255</v>
      </c>
      <c r="Q308" s="2" t="s">
        <v>217</v>
      </c>
      <c r="R308" s="2" t="s">
        <v>453</v>
      </c>
      <c r="S308" s="2" t="s">
        <v>35</v>
      </c>
      <c r="T308" s="150">
        <v>3.532</v>
      </c>
      <c r="U308" s="2" t="s">
        <v>2259</v>
      </c>
      <c r="V308" s="162">
        <v>2.5000000000000001E-2</v>
      </c>
      <c r="W308" s="164">
        <v>5.5169999999999997E-2</v>
      </c>
      <c r="X308" s="4" t="s">
        <v>459</v>
      </c>
      <c r="Y308" s="4" t="s">
        <v>164</v>
      </c>
      <c r="Z308" s="150">
        <v>93835.3</v>
      </c>
      <c r="AA308" s="150">
        <v>1</v>
      </c>
      <c r="AB308" s="150">
        <v>90.36</v>
      </c>
      <c r="AD308" s="150">
        <v>84.79</v>
      </c>
      <c r="AG308" s="2" t="s">
        <v>37</v>
      </c>
      <c r="AH308" s="164">
        <v>1.1E-4</v>
      </c>
      <c r="AI308" s="164">
        <v>1.3843771890233701E-2</v>
      </c>
      <c r="AJ308" s="164">
        <v>1.15442722394127E-3</v>
      </c>
    </row>
    <row r="309" spans="1:36">
      <c r="A309" s="2" t="s">
        <v>144</v>
      </c>
      <c r="B309" s="2">
        <v>969</v>
      </c>
      <c r="C309" s="2" t="s">
        <v>2260</v>
      </c>
      <c r="D309" s="2" t="s">
        <v>2261</v>
      </c>
      <c r="E309" s="4" t="s">
        <v>1380</v>
      </c>
      <c r="F309" s="2" t="s">
        <v>2262</v>
      </c>
      <c r="G309" s="2" t="s">
        <v>2263</v>
      </c>
      <c r="H309" s="2" t="s">
        <v>368</v>
      </c>
      <c r="I309" s="2" t="s">
        <v>1011</v>
      </c>
      <c r="J309" s="2" t="s">
        <v>31</v>
      </c>
      <c r="K309" s="2" t="s">
        <v>31</v>
      </c>
      <c r="L309" s="2" t="s">
        <v>374</v>
      </c>
      <c r="M309" s="2" t="s">
        <v>32</v>
      </c>
      <c r="N309" s="2" t="s">
        <v>491</v>
      </c>
      <c r="O309" s="2" t="s">
        <v>164</v>
      </c>
      <c r="P309" s="2" t="s">
        <v>2244</v>
      </c>
      <c r="Q309" s="2" t="s">
        <v>104</v>
      </c>
      <c r="R309" s="2" t="s">
        <v>453</v>
      </c>
      <c r="S309" s="2" t="s">
        <v>35</v>
      </c>
      <c r="T309" s="150">
        <v>2.7250000000000001</v>
      </c>
      <c r="U309" s="2" t="s">
        <v>2264</v>
      </c>
      <c r="V309" s="162">
        <v>2.5499999999999998E-2</v>
      </c>
      <c r="W309" s="164">
        <v>5.373E-2</v>
      </c>
      <c r="X309" s="4" t="s">
        <v>459</v>
      </c>
      <c r="Y309" s="4" t="s">
        <v>164</v>
      </c>
      <c r="Z309" s="150">
        <v>76477</v>
      </c>
      <c r="AA309" s="150">
        <v>1</v>
      </c>
      <c r="AB309" s="150">
        <v>93.65</v>
      </c>
      <c r="AD309" s="150">
        <v>71.620999999999995</v>
      </c>
      <c r="AG309" s="2" t="s">
        <v>37</v>
      </c>
      <c r="AH309" s="164">
        <v>1.3100000000000001E-4</v>
      </c>
      <c r="AI309" s="164">
        <v>1.16936634539759E-2</v>
      </c>
      <c r="AJ309" s="164">
        <v>9.75130444644226E-4</v>
      </c>
    </row>
    <row r="310" spans="1:36">
      <c r="A310" s="2" t="s">
        <v>144</v>
      </c>
      <c r="B310" s="2">
        <v>969</v>
      </c>
      <c r="C310" s="2" t="s">
        <v>2265</v>
      </c>
      <c r="D310" s="2" t="s">
        <v>2266</v>
      </c>
      <c r="E310" s="4" t="s">
        <v>1380</v>
      </c>
      <c r="F310" s="2" t="s">
        <v>2267</v>
      </c>
      <c r="G310" s="2" t="s">
        <v>2268</v>
      </c>
      <c r="H310" s="2" t="s">
        <v>368</v>
      </c>
      <c r="I310" s="2" t="s">
        <v>1011</v>
      </c>
      <c r="J310" s="2" t="s">
        <v>31</v>
      </c>
      <c r="K310" s="2" t="s">
        <v>31</v>
      </c>
      <c r="L310" s="2" t="s">
        <v>374</v>
      </c>
      <c r="M310" s="2" t="s">
        <v>32</v>
      </c>
      <c r="N310" s="2" t="s">
        <v>489</v>
      </c>
      <c r="O310" s="2" t="s">
        <v>164</v>
      </c>
      <c r="P310" s="2" t="s">
        <v>2244</v>
      </c>
      <c r="Q310" s="2" t="s">
        <v>104</v>
      </c>
      <c r="R310" s="2" t="s">
        <v>453</v>
      </c>
      <c r="S310" s="2" t="s">
        <v>35</v>
      </c>
      <c r="T310" s="150">
        <v>4.4509999999999996</v>
      </c>
      <c r="U310" s="2" t="s">
        <v>2269</v>
      </c>
      <c r="V310" s="162">
        <v>2.18E-2</v>
      </c>
      <c r="W310" s="164">
        <v>5.4129999999999998E-2</v>
      </c>
      <c r="X310" s="4" t="s">
        <v>459</v>
      </c>
      <c r="Y310" s="4" t="s">
        <v>164</v>
      </c>
      <c r="Z310" s="150">
        <v>281740</v>
      </c>
      <c r="AA310" s="150">
        <v>1</v>
      </c>
      <c r="AB310" s="150">
        <v>87.63</v>
      </c>
      <c r="AD310" s="150">
        <v>246.88900000000001</v>
      </c>
      <c r="AG310" s="2" t="s">
        <v>37</v>
      </c>
      <c r="AH310" s="164">
        <v>1.714E-3</v>
      </c>
      <c r="AI310" s="164">
        <v>4.0310045421802297E-2</v>
      </c>
      <c r="AJ310" s="164">
        <v>3.3614403792702201E-3</v>
      </c>
    </row>
    <row r="311" spans="1:36">
      <c r="A311" s="2" t="s">
        <v>144</v>
      </c>
      <c r="B311" s="2">
        <v>969</v>
      </c>
      <c r="C311" s="2" t="s">
        <v>2270</v>
      </c>
      <c r="D311" s="2" t="s">
        <v>2271</v>
      </c>
      <c r="E311" s="4" t="s">
        <v>1380</v>
      </c>
      <c r="F311" s="2" t="s">
        <v>2272</v>
      </c>
      <c r="G311" s="2" t="s">
        <v>2273</v>
      </c>
      <c r="H311" s="2" t="s">
        <v>368</v>
      </c>
      <c r="I311" s="2" t="s">
        <v>219</v>
      </c>
      <c r="J311" s="2" t="s">
        <v>31</v>
      </c>
      <c r="K311" s="2" t="s">
        <v>31</v>
      </c>
      <c r="L311" s="2" t="s">
        <v>374</v>
      </c>
      <c r="M311" s="2" t="s">
        <v>32</v>
      </c>
      <c r="N311" s="2" t="s">
        <v>508</v>
      </c>
      <c r="O311" s="2" t="s">
        <v>164</v>
      </c>
      <c r="P311" s="2" t="s">
        <v>2274</v>
      </c>
      <c r="Q311" s="2" t="s">
        <v>217</v>
      </c>
      <c r="R311" s="2" t="s">
        <v>453</v>
      </c>
      <c r="S311" s="2" t="s">
        <v>35</v>
      </c>
      <c r="T311" s="150">
        <v>2.698</v>
      </c>
      <c r="U311" s="2" t="s">
        <v>65</v>
      </c>
      <c r="V311" s="162">
        <v>2.3400000000000001E-2</v>
      </c>
      <c r="W311" s="164">
        <v>2.1569999999999999E-2</v>
      </c>
      <c r="X311" s="4" t="s">
        <v>459</v>
      </c>
      <c r="Y311" s="4" t="s">
        <v>164</v>
      </c>
      <c r="Z311" s="150">
        <v>66000.02</v>
      </c>
      <c r="AA311" s="150">
        <v>1</v>
      </c>
      <c r="AB311" s="150">
        <v>111.84</v>
      </c>
      <c r="AD311" s="150">
        <v>73.813999999999993</v>
      </c>
      <c r="AG311" s="2" t="s">
        <v>37</v>
      </c>
      <c r="AH311" s="164">
        <v>2.5000000000000001E-5</v>
      </c>
      <c r="AI311" s="164">
        <v>1.2051835386651499E-2</v>
      </c>
      <c r="AJ311" s="164">
        <v>1.0049982749733299E-3</v>
      </c>
    </row>
    <row r="312" spans="1:36">
      <c r="A312" s="2" t="s">
        <v>144</v>
      </c>
      <c r="B312" s="2">
        <v>969</v>
      </c>
      <c r="C312" s="2" t="s">
        <v>2275</v>
      </c>
      <c r="D312" s="2" t="s">
        <v>2276</v>
      </c>
      <c r="E312" s="4" t="s">
        <v>1380</v>
      </c>
      <c r="F312" s="2" t="s">
        <v>2277</v>
      </c>
      <c r="G312" s="2" t="s">
        <v>2278</v>
      </c>
      <c r="H312" s="2" t="s">
        <v>368</v>
      </c>
      <c r="I312" s="2" t="s">
        <v>1011</v>
      </c>
      <c r="J312" s="2" t="s">
        <v>31</v>
      </c>
      <c r="K312" s="2" t="s">
        <v>31</v>
      </c>
      <c r="L312" s="2" t="s">
        <v>374</v>
      </c>
      <c r="M312" s="2" t="s">
        <v>32</v>
      </c>
      <c r="N312" s="2" t="s">
        <v>508</v>
      </c>
      <c r="O312" s="2" t="s">
        <v>164</v>
      </c>
      <c r="P312" s="2" t="s">
        <v>1391</v>
      </c>
      <c r="Q312" s="2" t="s">
        <v>217</v>
      </c>
      <c r="R312" s="2" t="s">
        <v>453</v>
      </c>
      <c r="S312" s="2" t="s">
        <v>35</v>
      </c>
      <c r="T312" s="150">
        <v>4.8369999999999997</v>
      </c>
      <c r="U312" s="2" t="s">
        <v>2279</v>
      </c>
      <c r="V312" s="162">
        <v>2.41E-2</v>
      </c>
      <c r="W312" s="164">
        <v>5.7450000000000001E-2</v>
      </c>
      <c r="X312" s="4" t="s">
        <v>459</v>
      </c>
      <c r="Y312" s="4" t="s">
        <v>164</v>
      </c>
      <c r="Z312" s="150">
        <v>62222.22</v>
      </c>
      <c r="AA312" s="150">
        <v>1</v>
      </c>
      <c r="AB312" s="150">
        <v>85.75</v>
      </c>
      <c r="AD312" s="150">
        <v>53.356000000000002</v>
      </c>
      <c r="AG312" s="2" t="s">
        <v>37</v>
      </c>
      <c r="AH312" s="164">
        <v>4.0000000000000003E-5</v>
      </c>
      <c r="AI312" s="164">
        <v>8.7114730282333002E-3</v>
      </c>
      <c r="AJ312" s="164">
        <v>7.2644664359987495E-4</v>
      </c>
    </row>
    <row r="313" spans="1:36">
      <c r="A313" s="2" t="s">
        <v>144</v>
      </c>
      <c r="B313" s="2">
        <v>969</v>
      </c>
      <c r="C313" s="2" t="s">
        <v>2275</v>
      </c>
      <c r="D313" s="2" t="s">
        <v>2276</v>
      </c>
      <c r="E313" s="4" t="s">
        <v>1380</v>
      </c>
      <c r="F313" s="2" t="s">
        <v>2280</v>
      </c>
      <c r="G313" s="2" t="s">
        <v>2281</v>
      </c>
      <c r="H313" s="2" t="s">
        <v>368</v>
      </c>
      <c r="I313" s="2" t="s">
        <v>1011</v>
      </c>
      <c r="J313" s="2" t="s">
        <v>31</v>
      </c>
      <c r="K313" s="2" t="s">
        <v>31</v>
      </c>
      <c r="L313" s="2" t="s">
        <v>374</v>
      </c>
      <c r="M313" s="2" t="s">
        <v>32</v>
      </c>
      <c r="N313" s="2" t="s">
        <v>508</v>
      </c>
      <c r="O313" s="2" t="s">
        <v>164</v>
      </c>
      <c r="P313" s="2" t="s">
        <v>1396</v>
      </c>
      <c r="Q313" s="2" t="s">
        <v>104</v>
      </c>
      <c r="R313" s="2" t="s">
        <v>453</v>
      </c>
      <c r="S313" s="2" t="s">
        <v>35</v>
      </c>
      <c r="T313" s="150">
        <v>6.7889999999999997</v>
      </c>
      <c r="U313" s="2" t="s">
        <v>2282</v>
      </c>
      <c r="V313" s="162">
        <v>4.9399999999999999E-2</v>
      </c>
      <c r="W313" s="164">
        <v>6.2219999999999998E-2</v>
      </c>
      <c r="X313" s="4" t="s">
        <v>459</v>
      </c>
      <c r="Y313" s="4" t="s">
        <v>164</v>
      </c>
      <c r="Z313" s="150">
        <v>71811</v>
      </c>
      <c r="AA313" s="150">
        <v>1</v>
      </c>
      <c r="AB313" s="150">
        <v>92.4</v>
      </c>
      <c r="AD313" s="150">
        <v>66.352999999999994</v>
      </c>
      <c r="AG313" s="2" t="s">
        <v>37</v>
      </c>
      <c r="AH313" s="164">
        <v>1.35E-4</v>
      </c>
      <c r="AI313" s="164">
        <v>1.08336527554437E-2</v>
      </c>
      <c r="AJ313" s="164">
        <v>9.0341445776302601E-4</v>
      </c>
    </row>
    <row r="314" spans="1:36">
      <c r="A314" s="2" t="s">
        <v>144</v>
      </c>
      <c r="B314" s="2">
        <v>969</v>
      </c>
      <c r="C314" s="2" t="s">
        <v>1867</v>
      </c>
      <c r="D314" s="2" t="s">
        <v>1868</v>
      </c>
      <c r="E314" s="4" t="s">
        <v>1380</v>
      </c>
      <c r="F314" s="2" t="s">
        <v>2283</v>
      </c>
      <c r="G314" s="2" t="s">
        <v>2284</v>
      </c>
      <c r="H314" s="2" t="s">
        <v>368</v>
      </c>
      <c r="I314" s="2" t="s">
        <v>1011</v>
      </c>
      <c r="J314" s="2" t="s">
        <v>31</v>
      </c>
      <c r="K314" s="2" t="s">
        <v>31</v>
      </c>
      <c r="L314" s="2" t="s">
        <v>374</v>
      </c>
      <c r="M314" s="2" t="s">
        <v>32</v>
      </c>
      <c r="N314" s="2" t="s">
        <v>495</v>
      </c>
      <c r="O314" s="2" t="s">
        <v>164</v>
      </c>
      <c r="P314" s="2" t="s">
        <v>2285</v>
      </c>
      <c r="Q314" s="2" t="s">
        <v>217</v>
      </c>
      <c r="R314" s="2" t="s">
        <v>453</v>
      </c>
      <c r="S314" s="2" t="s">
        <v>35</v>
      </c>
      <c r="T314" s="150">
        <v>3.41</v>
      </c>
      <c r="U314" s="2" t="s">
        <v>2286</v>
      </c>
      <c r="V314" s="162">
        <v>0.04</v>
      </c>
      <c r="W314" s="164">
        <v>5.0200000000000002E-2</v>
      </c>
      <c r="X314" s="4" t="s">
        <v>459</v>
      </c>
      <c r="Y314" s="4" t="s">
        <v>164</v>
      </c>
      <c r="Z314" s="150">
        <v>61250.01</v>
      </c>
      <c r="AA314" s="150">
        <v>1</v>
      </c>
      <c r="AB314" s="150">
        <v>97.7</v>
      </c>
      <c r="AD314" s="150">
        <v>59.841000000000001</v>
      </c>
      <c r="AG314" s="2" t="s">
        <v>37</v>
      </c>
      <c r="AH314" s="164">
        <v>7.8999999999999996E-5</v>
      </c>
      <c r="AI314" s="164">
        <v>9.7704078544756604E-3</v>
      </c>
      <c r="AJ314" s="164">
        <v>8.1475084288071601E-4</v>
      </c>
    </row>
    <row r="315" spans="1:36">
      <c r="A315" s="2" t="s">
        <v>144</v>
      </c>
      <c r="B315" s="2">
        <v>969</v>
      </c>
      <c r="C315" s="2" t="s">
        <v>2601</v>
      </c>
      <c r="D315" s="2" t="s">
        <v>2602</v>
      </c>
      <c r="E315" s="4" t="s">
        <v>1380</v>
      </c>
      <c r="F315" s="2" t="s">
        <v>2603</v>
      </c>
      <c r="G315" s="2" t="s">
        <v>2604</v>
      </c>
      <c r="H315" s="2" t="s">
        <v>368</v>
      </c>
      <c r="I315" s="2" t="s">
        <v>219</v>
      </c>
      <c r="J315" s="2" t="s">
        <v>31</v>
      </c>
      <c r="K315" s="2" t="s">
        <v>31</v>
      </c>
      <c r="L315" s="2" t="s">
        <v>374</v>
      </c>
      <c r="M315" s="2" t="s">
        <v>32</v>
      </c>
      <c r="N315" s="2" t="s">
        <v>508</v>
      </c>
      <c r="O315" s="2" t="s">
        <v>164</v>
      </c>
      <c r="P315" s="2" t="s">
        <v>2399</v>
      </c>
      <c r="Q315" s="2" t="s">
        <v>104</v>
      </c>
      <c r="R315" s="2" t="s">
        <v>453</v>
      </c>
      <c r="S315" s="2" t="s">
        <v>35</v>
      </c>
      <c r="T315" s="150">
        <v>2.036</v>
      </c>
      <c r="U315" s="2" t="s">
        <v>2605</v>
      </c>
      <c r="V315" s="162">
        <v>3.2000000000000001E-2</v>
      </c>
      <c r="W315" s="164">
        <v>2.1000000000000001E-2</v>
      </c>
      <c r="X315" s="4" t="s">
        <v>459</v>
      </c>
      <c r="Y315" s="4" t="s">
        <v>164</v>
      </c>
      <c r="Z315" s="150">
        <v>120000</v>
      </c>
      <c r="AA315" s="150">
        <v>1</v>
      </c>
      <c r="AB315" s="150">
        <v>116.39</v>
      </c>
      <c r="AD315" s="150">
        <v>139.66800000000001</v>
      </c>
      <c r="AG315" s="2" t="s">
        <v>37</v>
      </c>
      <c r="AH315" s="164">
        <v>8.6000000000000003E-5</v>
      </c>
      <c r="AI315" s="164">
        <v>2.2803886974702699E-2</v>
      </c>
      <c r="AJ315" s="164">
        <v>1.90160804035265E-3</v>
      </c>
    </row>
    <row r="316" spans="1:36">
      <c r="A316" s="2" t="s">
        <v>144</v>
      </c>
      <c r="B316" s="2">
        <v>969</v>
      </c>
      <c r="C316" s="2" t="s">
        <v>2287</v>
      </c>
      <c r="D316" s="2" t="s">
        <v>2288</v>
      </c>
      <c r="E316" s="4" t="s">
        <v>1380</v>
      </c>
      <c r="F316" s="2" t="s">
        <v>2289</v>
      </c>
      <c r="G316" s="2" t="s">
        <v>2290</v>
      </c>
      <c r="H316" s="2" t="s">
        <v>368</v>
      </c>
      <c r="I316" s="2" t="s">
        <v>219</v>
      </c>
      <c r="J316" s="2" t="s">
        <v>31</v>
      </c>
      <c r="K316" s="2" t="s">
        <v>31</v>
      </c>
      <c r="L316" s="2" t="s">
        <v>374</v>
      </c>
      <c r="M316" s="2" t="s">
        <v>32</v>
      </c>
      <c r="N316" s="2" t="s">
        <v>509</v>
      </c>
      <c r="O316" s="2" t="s">
        <v>164</v>
      </c>
      <c r="P316" s="2" t="s">
        <v>2244</v>
      </c>
      <c r="Q316" s="2" t="s">
        <v>104</v>
      </c>
      <c r="R316" s="2" t="s">
        <v>453</v>
      </c>
      <c r="S316" s="2" t="s">
        <v>35</v>
      </c>
      <c r="T316" s="150">
        <v>1.9430000000000001</v>
      </c>
      <c r="U316" s="2" t="s">
        <v>2291</v>
      </c>
      <c r="V316" s="162">
        <v>2.5700000000000001E-2</v>
      </c>
      <c r="W316" s="164">
        <v>2.477E-2</v>
      </c>
      <c r="X316" s="4" t="s">
        <v>459</v>
      </c>
      <c r="Y316" s="4" t="s">
        <v>164</v>
      </c>
      <c r="Z316" s="150">
        <v>128455</v>
      </c>
      <c r="AA316" s="150">
        <v>1</v>
      </c>
      <c r="AB316" s="150">
        <v>113.66</v>
      </c>
      <c r="AD316" s="150">
        <v>146.00200000000001</v>
      </c>
      <c r="AG316" s="2" t="s">
        <v>37</v>
      </c>
      <c r="AH316" s="164">
        <v>1E-4</v>
      </c>
      <c r="AI316" s="164">
        <v>2.3838044751108799E-2</v>
      </c>
      <c r="AJ316" s="164">
        <v>1.9878460902425098E-3</v>
      </c>
    </row>
    <row r="317" spans="1:36">
      <c r="A317" s="2" t="s">
        <v>144</v>
      </c>
      <c r="B317" s="2">
        <v>969</v>
      </c>
      <c r="C317" s="2" t="s">
        <v>2287</v>
      </c>
      <c r="D317" s="2" t="s">
        <v>2288</v>
      </c>
      <c r="E317" s="4" t="s">
        <v>1380</v>
      </c>
      <c r="F317" s="2" t="s">
        <v>2523</v>
      </c>
      <c r="G317" s="2" t="s">
        <v>2524</v>
      </c>
      <c r="H317" s="2" t="s">
        <v>368</v>
      </c>
      <c r="I317" s="2" t="s">
        <v>1011</v>
      </c>
      <c r="J317" s="2" t="s">
        <v>31</v>
      </c>
      <c r="K317" s="2" t="s">
        <v>31</v>
      </c>
      <c r="L317" s="2" t="s">
        <v>374</v>
      </c>
      <c r="M317" s="2" t="s">
        <v>32</v>
      </c>
      <c r="N317" s="2" t="s">
        <v>509</v>
      </c>
      <c r="O317" s="2" t="s">
        <v>164</v>
      </c>
      <c r="P317" s="2" t="s">
        <v>2244</v>
      </c>
      <c r="Q317" s="2" t="s">
        <v>104</v>
      </c>
      <c r="R317" s="2" t="s">
        <v>453</v>
      </c>
      <c r="S317" s="2" t="s">
        <v>35</v>
      </c>
      <c r="T317" s="150">
        <v>3.3340000000000001</v>
      </c>
      <c r="U317" s="2" t="s">
        <v>2525</v>
      </c>
      <c r="V317" s="162">
        <v>3.2500000000000001E-2</v>
      </c>
      <c r="W317" s="164">
        <v>5.5239999999999997E-2</v>
      </c>
      <c r="X317" s="4" t="s">
        <v>459</v>
      </c>
      <c r="Y317" s="4" t="s">
        <v>164</v>
      </c>
      <c r="Z317" s="150">
        <v>36493.050000000003</v>
      </c>
      <c r="AA317" s="150">
        <v>1</v>
      </c>
      <c r="AB317" s="150">
        <v>93.05</v>
      </c>
      <c r="AD317" s="150">
        <v>33.957000000000001</v>
      </c>
      <c r="AG317" s="2" t="s">
        <v>37</v>
      </c>
      <c r="AH317" s="164">
        <v>1.06E-4</v>
      </c>
      <c r="AI317" s="164">
        <v>5.5441951064424504E-3</v>
      </c>
      <c r="AJ317" s="164">
        <v>4.6232846195872E-4</v>
      </c>
    </row>
    <row r="318" spans="1:36">
      <c r="A318" s="2" t="s">
        <v>144</v>
      </c>
      <c r="B318" s="2">
        <v>969</v>
      </c>
      <c r="C318" s="2" t="s">
        <v>2287</v>
      </c>
      <c r="D318" s="2" t="s">
        <v>2288</v>
      </c>
      <c r="E318" s="4" t="s">
        <v>1380</v>
      </c>
      <c r="F318" s="2" t="s">
        <v>2292</v>
      </c>
      <c r="G318" s="2" t="s">
        <v>2293</v>
      </c>
      <c r="H318" s="2" t="s">
        <v>368</v>
      </c>
      <c r="I318" s="2" t="s">
        <v>219</v>
      </c>
      <c r="J318" s="2" t="s">
        <v>31</v>
      </c>
      <c r="K318" s="2" t="s">
        <v>31</v>
      </c>
      <c r="L318" s="2" t="s">
        <v>374</v>
      </c>
      <c r="M318" s="2" t="s">
        <v>32</v>
      </c>
      <c r="N318" s="2" t="s">
        <v>509</v>
      </c>
      <c r="O318" s="2" t="s">
        <v>164</v>
      </c>
      <c r="P318" s="2" t="s">
        <v>2244</v>
      </c>
      <c r="Q318" s="2" t="s">
        <v>104</v>
      </c>
      <c r="R318" s="2" t="s">
        <v>453</v>
      </c>
      <c r="S318" s="2" t="s">
        <v>35</v>
      </c>
      <c r="T318" s="150">
        <v>5.6210000000000004</v>
      </c>
      <c r="U318" s="2" t="s">
        <v>2294</v>
      </c>
      <c r="V318" s="162">
        <v>1.54E-2</v>
      </c>
      <c r="W318" s="164">
        <v>3.2969999999999999E-2</v>
      </c>
      <c r="X318" s="4" t="s">
        <v>459</v>
      </c>
      <c r="Y318" s="4" t="s">
        <v>164</v>
      </c>
      <c r="Z318" s="150">
        <v>109000</v>
      </c>
      <c r="AA318" s="150">
        <v>1</v>
      </c>
      <c r="AB318" s="150">
        <v>98.44</v>
      </c>
      <c r="AD318" s="150">
        <v>107.3</v>
      </c>
      <c r="AG318" s="2" t="s">
        <v>37</v>
      </c>
      <c r="AH318" s="164">
        <v>3.1100000000000002E-4</v>
      </c>
      <c r="AI318" s="164">
        <v>1.7519030492531E-2</v>
      </c>
      <c r="AJ318" s="164">
        <v>1.46090573421703E-3</v>
      </c>
    </row>
    <row r="319" spans="1:36">
      <c r="A319" s="2" t="s">
        <v>144</v>
      </c>
      <c r="B319" s="2">
        <v>969</v>
      </c>
      <c r="C319" s="2" t="s">
        <v>2295</v>
      </c>
      <c r="D319" s="2" t="s">
        <v>2296</v>
      </c>
      <c r="E319" s="4" t="s">
        <v>1380</v>
      </c>
      <c r="F319" s="2" t="s">
        <v>2297</v>
      </c>
      <c r="G319" s="2" t="s">
        <v>2298</v>
      </c>
      <c r="H319" s="2" t="s">
        <v>368</v>
      </c>
      <c r="I319" s="2" t="s">
        <v>219</v>
      </c>
      <c r="J319" s="2" t="s">
        <v>31</v>
      </c>
      <c r="K319" s="2" t="s">
        <v>31</v>
      </c>
      <c r="L319" s="2" t="s">
        <v>374</v>
      </c>
      <c r="M319" s="2" t="s">
        <v>32</v>
      </c>
      <c r="N319" s="2" t="s">
        <v>508</v>
      </c>
      <c r="O319" s="2" t="s">
        <v>164</v>
      </c>
      <c r="P319" s="2" t="s">
        <v>2299</v>
      </c>
      <c r="Q319" s="2" t="s">
        <v>217</v>
      </c>
      <c r="R319" s="2" t="s">
        <v>453</v>
      </c>
      <c r="S319" s="2" t="s">
        <v>35</v>
      </c>
      <c r="T319" s="150">
        <v>6.4809999999999999</v>
      </c>
      <c r="U319" s="2" t="s">
        <v>2300</v>
      </c>
      <c r="V319" s="162">
        <v>3.6799999999999999E-2</v>
      </c>
      <c r="W319" s="164">
        <v>3.6380000000000003E-2</v>
      </c>
      <c r="X319" s="4" t="s">
        <v>459</v>
      </c>
      <c r="Y319" s="4" t="s">
        <v>164</v>
      </c>
      <c r="Z319" s="150">
        <v>89000</v>
      </c>
      <c r="AA319" s="150">
        <v>1</v>
      </c>
      <c r="AB319" s="150">
        <v>101.74</v>
      </c>
      <c r="AD319" s="150">
        <v>90.549000000000007</v>
      </c>
      <c r="AG319" s="2" t="s">
        <v>37</v>
      </c>
      <c r="AH319" s="164">
        <v>0</v>
      </c>
      <c r="AI319" s="164">
        <v>1.4784059627957501E-2</v>
      </c>
      <c r="AJ319" s="164">
        <v>1.2328374846255099E-3</v>
      </c>
    </row>
    <row r="320" spans="1:36">
      <c r="A320" s="2" t="s">
        <v>144</v>
      </c>
      <c r="B320" s="2">
        <v>969</v>
      </c>
      <c r="C320" s="2" t="s">
        <v>2295</v>
      </c>
      <c r="D320" s="2" t="s">
        <v>2296</v>
      </c>
      <c r="E320" s="4" t="s">
        <v>1380</v>
      </c>
      <c r="F320" s="2" t="s">
        <v>2301</v>
      </c>
      <c r="G320" s="2" t="s">
        <v>2302</v>
      </c>
      <c r="H320" s="2" t="s">
        <v>368</v>
      </c>
      <c r="I320" s="2" t="s">
        <v>219</v>
      </c>
      <c r="J320" s="2" t="s">
        <v>31</v>
      </c>
      <c r="K320" s="2" t="s">
        <v>31</v>
      </c>
      <c r="L320" s="2" t="s">
        <v>374</v>
      </c>
      <c r="M320" s="2" t="s">
        <v>32</v>
      </c>
      <c r="N320" s="2" t="s">
        <v>508</v>
      </c>
      <c r="O320" s="2" t="s">
        <v>164</v>
      </c>
      <c r="P320" s="2" t="s">
        <v>2299</v>
      </c>
      <c r="Q320" s="2" t="s">
        <v>217</v>
      </c>
      <c r="R320" s="2" t="s">
        <v>453</v>
      </c>
      <c r="S320" s="2" t="s">
        <v>35</v>
      </c>
      <c r="T320" s="150">
        <v>1.919</v>
      </c>
      <c r="U320" s="2" t="s">
        <v>2303</v>
      </c>
      <c r="V320" s="162">
        <v>3.4599999999999999E-2</v>
      </c>
      <c r="W320" s="164">
        <v>2.6380000000000001E-2</v>
      </c>
      <c r="X320" s="4" t="s">
        <v>459</v>
      </c>
      <c r="Y320" s="4" t="s">
        <v>164</v>
      </c>
      <c r="Z320" s="150">
        <v>46363.64</v>
      </c>
      <c r="AA320" s="150">
        <v>1</v>
      </c>
      <c r="AB320" s="150">
        <v>115.44</v>
      </c>
      <c r="AD320" s="150">
        <v>53.521999999999998</v>
      </c>
      <c r="AG320" s="2" t="s">
        <v>37</v>
      </c>
      <c r="AH320" s="164">
        <v>3.7500000000000001E-4</v>
      </c>
      <c r="AI320" s="164">
        <v>8.73867944373714E-3</v>
      </c>
      <c r="AJ320" s="164">
        <v>7.2871537693155195E-4</v>
      </c>
    </row>
    <row r="321" spans="1:36">
      <c r="A321" s="2" t="s">
        <v>144</v>
      </c>
      <c r="B321" s="2">
        <v>969</v>
      </c>
      <c r="C321" s="2" t="s">
        <v>1883</v>
      </c>
      <c r="D321" s="2" t="s">
        <v>1884</v>
      </c>
      <c r="E321" s="4" t="s">
        <v>1380</v>
      </c>
      <c r="F321" s="2" t="s">
        <v>2639</v>
      </c>
      <c r="G321" s="2" t="s">
        <v>2640</v>
      </c>
      <c r="H321" s="2" t="s">
        <v>368</v>
      </c>
      <c r="I321" s="2" t="s">
        <v>1011</v>
      </c>
      <c r="J321" s="2" t="s">
        <v>31</v>
      </c>
      <c r="K321" s="2" t="s">
        <v>31</v>
      </c>
      <c r="L321" s="2" t="s">
        <v>374</v>
      </c>
      <c r="M321" s="2" t="s">
        <v>32</v>
      </c>
      <c r="N321" s="2" t="s">
        <v>491</v>
      </c>
      <c r="O321" s="2" t="s">
        <v>164</v>
      </c>
      <c r="P321" s="2" t="s">
        <v>2299</v>
      </c>
      <c r="Q321" s="2" t="s">
        <v>217</v>
      </c>
      <c r="R321" s="2" t="s">
        <v>453</v>
      </c>
      <c r="S321" s="2" t="s">
        <v>35</v>
      </c>
      <c r="T321" s="150">
        <v>0.59</v>
      </c>
      <c r="U321" s="2" t="s">
        <v>2641</v>
      </c>
      <c r="V321" s="162">
        <v>4.2000000000000003E-2</v>
      </c>
      <c r="W321" s="164">
        <v>5.2499999999999998E-2</v>
      </c>
      <c r="X321" s="4" t="s">
        <v>459</v>
      </c>
      <c r="Y321" s="4" t="s">
        <v>164</v>
      </c>
      <c r="Z321" s="150">
        <v>35654.21</v>
      </c>
      <c r="AA321" s="150">
        <v>1</v>
      </c>
      <c r="AB321" s="150">
        <v>101.08</v>
      </c>
      <c r="AD321" s="150">
        <v>36.039000000000001</v>
      </c>
      <c r="AG321" s="2" t="s">
        <v>37</v>
      </c>
      <c r="AH321" s="164">
        <v>9.7999999999999997E-5</v>
      </c>
      <c r="AI321" s="164">
        <v>5.8842080105854502E-3</v>
      </c>
      <c r="AJ321" s="164">
        <v>4.9068201734422305E-4</v>
      </c>
    </row>
    <row r="322" spans="1:36">
      <c r="A322" s="2" t="s">
        <v>144</v>
      </c>
      <c r="B322" s="2">
        <v>969</v>
      </c>
      <c r="C322" s="2" t="s">
        <v>1891</v>
      </c>
      <c r="D322" s="2" t="s">
        <v>1892</v>
      </c>
      <c r="E322" s="4" t="s">
        <v>1380</v>
      </c>
      <c r="F322" s="2" t="s">
        <v>2304</v>
      </c>
      <c r="G322" s="2" t="s">
        <v>2305</v>
      </c>
      <c r="H322" s="2" t="s">
        <v>368</v>
      </c>
      <c r="I322" s="2" t="s">
        <v>1011</v>
      </c>
      <c r="J322" s="2" t="s">
        <v>31</v>
      </c>
      <c r="K322" s="2" t="s">
        <v>31</v>
      </c>
      <c r="L322" s="2" t="s">
        <v>374</v>
      </c>
      <c r="M322" s="2" t="s">
        <v>32</v>
      </c>
      <c r="N322" s="2" t="s">
        <v>484</v>
      </c>
      <c r="O322" s="2" t="s">
        <v>164</v>
      </c>
      <c r="P322" s="2" t="s">
        <v>2285</v>
      </c>
      <c r="Q322" s="2" t="s">
        <v>217</v>
      </c>
      <c r="R322" s="2" t="s">
        <v>453</v>
      </c>
      <c r="S322" s="2" t="s">
        <v>35</v>
      </c>
      <c r="T322" s="150">
        <v>2.7269999999999999</v>
      </c>
      <c r="U322" s="2" t="s">
        <v>2306</v>
      </c>
      <c r="V322" s="162">
        <v>2.7E-2</v>
      </c>
      <c r="W322" s="164">
        <v>5.2819999999999999E-2</v>
      </c>
      <c r="X322" s="4" t="s">
        <v>459</v>
      </c>
      <c r="Y322" s="4" t="s">
        <v>164</v>
      </c>
      <c r="Z322" s="150">
        <v>120000</v>
      </c>
      <c r="AA322" s="150">
        <v>1</v>
      </c>
      <c r="AB322" s="150">
        <v>93.45</v>
      </c>
      <c r="AD322" s="150">
        <v>112.14</v>
      </c>
      <c r="AG322" s="2" t="s">
        <v>37</v>
      </c>
      <c r="AH322" s="164">
        <v>1.6000000000000001E-4</v>
      </c>
      <c r="AI322" s="164">
        <v>1.8309332741523899E-2</v>
      </c>
      <c r="AJ322" s="164">
        <v>1.52680875823486E-3</v>
      </c>
    </row>
    <row r="323" spans="1:36">
      <c r="A323" s="2" t="s">
        <v>144</v>
      </c>
      <c r="B323" s="2">
        <v>969</v>
      </c>
      <c r="C323" s="2" t="s">
        <v>2307</v>
      </c>
      <c r="D323" s="2" t="s">
        <v>2308</v>
      </c>
      <c r="E323" s="4" t="s">
        <v>1380</v>
      </c>
      <c r="F323" s="2" t="s">
        <v>2309</v>
      </c>
      <c r="G323" s="2" t="s">
        <v>2310</v>
      </c>
      <c r="H323" s="2" t="s">
        <v>368</v>
      </c>
      <c r="I323" s="2" t="s">
        <v>1011</v>
      </c>
      <c r="J323" s="2" t="s">
        <v>31</v>
      </c>
      <c r="K323" s="2" t="s">
        <v>31</v>
      </c>
      <c r="L323" s="2" t="s">
        <v>374</v>
      </c>
      <c r="M323" s="2" t="s">
        <v>32</v>
      </c>
      <c r="N323" s="2" t="s">
        <v>529</v>
      </c>
      <c r="O323" s="2" t="s">
        <v>164</v>
      </c>
      <c r="P323" s="2" t="s">
        <v>2311</v>
      </c>
      <c r="Q323" s="2" t="s">
        <v>104</v>
      </c>
      <c r="R323" s="2" t="s">
        <v>453</v>
      </c>
      <c r="S323" s="2" t="s">
        <v>35</v>
      </c>
      <c r="T323" s="150">
        <v>2.5310000000000001</v>
      </c>
      <c r="U323" s="2" t="s">
        <v>2312</v>
      </c>
      <c r="V323" s="162">
        <v>3.6499999999999998E-2</v>
      </c>
      <c r="W323" s="164">
        <v>5.2229999999999999E-2</v>
      </c>
      <c r="X323" s="4" t="s">
        <v>459</v>
      </c>
      <c r="Y323" s="4" t="s">
        <v>164</v>
      </c>
      <c r="Z323" s="150">
        <v>165450.82</v>
      </c>
      <c r="AA323" s="150">
        <v>1</v>
      </c>
      <c r="AB323" s="150">
        <v>97.52</v>
      </c>
      <c r="AD323" s="150">
        <v>161.34800000000001</v>
      </c>
      <c r="AG323" s="2" t="s">
        <v>37</v>
      </c>
      <c r="AH323" s="164">
        <v>1.12E-4</v>
      </c>
      <c r="AI323" s="164">
        <v>2.6343567163079E-2</v>
      </c>
      <c r="AJ323" s="164">
        <v>2.1967807148164601E-3</v>
      </c>
    </row>
    <row r="324" spans="1:36">
      <c r="A324" s="2" t="s">
        <v>144</v>
      </c>
      <c r="B324" s="2">
        <v>969</v>
      </c>
      <c r="C324" s="2" t="s">
        <v>1899</v>
      </c>
      <c r="D324" s="2" t="s">
        <v>1900</v>
      </c>
      <c r="E324" s="4" t="s">
        <v>1380</v>
      </c>
      <c r="F324" s="2" t="s">
        <v>2313</v>
      </c>
      <c r="G324" s="2" t="s">
        <v>2314</v>
      </c>
      <c r="H324" s="2" t="s">
        <v>368</v>
      </c>
      <c r="I324" s="2" t="s">
        <v>219</v>
      </c>
      <c r="J324" s="2" t="s">
        <v>31</v>
      </c>
      <c r="K324" s="2" t="s">
        <v>31</v>
      </c>
      <c r="L324" s="2" t="s">
        <v>374</v>
      </c>
      <c r="M324" s="2" t="s">
        <v>32</v>
      </c>
      <c r="N324" s="2" t="s">
        <v>508</v>
      </c>
      <c r="O324" s="2" t="s">
        <v>164</v>
      </c>
      <c r="P324" s="2" t="s">
        <v>1396</v>
      </c>
      <c r="Q324" s="2" t="s">
        <v>104</v>
      </c>
      <c r="R324" s="2" t="s">
        <v>453</v>
      </c>
      <c r="S324" s="2" t="s">
        <v>35</v>
      </c>
      <c r="T324" s="150">
        <v>4.9459999999999997</v>
      </c>
      <c r="U324" s="2" t="s">
        <v>2315</v>
      </c>
      <c r="V324" s="162">
        <v>1.17E-2</v>
      </c>
      <c r="W324" s="164">
        <v>2.989E-2</v>
      </c>
      <c r="X324" s="4" t="s">
        <v>459</v>
      </c>
      <c r="Y324" s="4" t="s">
        <v>164</v>
      </c>
      <c r="Z324" s="150">
        <v>120553.13</v>
      </c>
      <c r="AA324" s="150">
        <v>1</v>
      </c>
      <c r="AB324" s="150">
        <v>101.71</v>
      </c>
      <c r="AD324" s="150">
        <v>122.61499999999999</v>
      </c>
      <c r="AG324" s="2" t="s">
        <v>37</v>
      </c>
      <c r="AH324" s="164">
        <v>1.6699999999999999E-4</v>
      </c>
      <c r="AI324" s="164">
        <v>2.0019540754705301E-2</v>
      </c>
      <c r="AJ324" s="164">
        <v>1.6694223973986099E-3</v>
      </c>
    </row>
    <row r="325" spans="1:36">
      <c r="A325" s="2" t="s">
        <v>144</v>
      </c>
      <c r="B325" s="2">
        <v>969</v>
      </c>
      <c r="C325" s="2" t="s">
        <v>1899</v>
      </c>
      <c r="D325" s="2" t="s">
        <v>1900</v>
      </c>
      <c r="E325" s="4" t="s">
        <v>1380</v>
      </c>
      <c r="F325" s="2" t="s">
        <v>2316</v>
      </c>
      <c r="G325" s="2" t="s">
        <v>2317</v>
      </c>
      <c r="H325" s="2" t="s">
        <v>368</v>
      </c>
      <c r="I325" s="2" t="s">
        <v>219</v>
      </c>
      <c r="J325" s="2" t="s">
        <v>31</v>
      </c>
      <c r="K325" s="2" t="s">
        <v>31</v>
      </c>
      <c r="L325" s="2" t="s">
        <v>374</v>
      </c>
      <c r="M325" s="2" t="s">
        <v>32</v>
      </c>
      <c r="N325" s="2" t="s">
        <v>508</v>
      </c>
      <c r="O325" s="2" t="s">
        <v>164</v>
      </c>
      <c r="P325" s="2" t="s">
        <v>1396</v>
      </c>
      <c r="Q325" s="2" t="s">
        <v>104</v>
      </c>
      <c r="R325" s="2" t="s">
        <v>453</v>
      </c>
      <c r="S325" s="2" t="s">
        <v>35</v>
      </c>
      <c r="T325" s="150">
        <v>4.7320000000000002</v>
      </c>
      <c r="U325" s="2" t="s">
        <v>2294</v>
      </c>
      <c r="V325" s="162">
        <v>1.3299999999999999E-2</v>
      </c>
      <c r="W325" s="164">
        <v>2.9340000000000001E-2</v>
      </c>
      <c r="X325" s="4" t="s">
        <v>459</v>
      </c>
      <c r="Y325" s="4" t="s">
        <v>164</v>
      </c>
      <c r="Z325" s="150">
        <v>66500</v>
      </c>
      <c r="AA325" s="150">
        <v>1</v>
      </c>
      <c r="AB325" s="150">
        <v>103.34</v>
      </c>
      <c r="AD325" s="150">
        <v>68.721000000000004</v>
      </c>
      <c r="AG325" s="2" t="s">
        <v>37</v>
      </c>
      <c r="AH325" s="164">
        <v>5.5999999999999999E-5</v>
      </c>
      <c r="AI325" s="164">
        <v>1.12202379727442E-2</v>
      </c>
      <c r="AJ325" s="164">
        <v>9.3565166181143E-4</v>
      </c>
    </row>
    <row r="326" spans="1:36">
      <c r="A326" s="2" t="s">
        <v>144</v>
      </c>
      <c r="B326" s="2">
        <v>969</v>
      </c>
      <c r="C326" s="2" t="s">
        <v>1891</v>
      </c>
      <c r="D326" s="2" t="s">
        <v>1892</v>
      </c>
      <c r="E326" s="4" t="s">
        <v>1380</v>
      </c>
      <c r="F326" s="2" t="s">
        <v>2318</v>
      </c>
      <c r="G326" s="2" t="s">
        <v>2319</v>
      </c>
      <c r="H326" s="2" t="s">
        <v>368</v>
      </c>
      <c r="I326" s="2" t="s">
        <v>1011</v>
      </c>
      <c r="J326" s="2" t="s">
        <v>31</v>
      </c>
      <c r="K326" s="2" t="s">
        <v>31</v>
      </c>
      <c r="L326" s="2" t="s">
        <v>374</v>
      </c>
      <c r="M326" s="2" t="s">
        <v>32</v>
      </c>
      <c r="N326" s="2" t="s">
        <v>484</v>
      </c>
      <c r="O326" s="2" t="s">
        <v>164</v>
      </c>
      <c r="P326" s="2" t="s">
        <v>2285</v>
      </c>
      <c r="Q326" s="2" t="s">
        <v>217</v>
      </c>
      <c r="R326" s="2" t="s">
        <v>453</v>
      </c>
      <c r="S326" s="2" t="s">
        <v>35</v>
      </c>
      <c r="T326" s="150">
        <v>5.0060000000000002</v>
      </c>
      <c r="U326" s="2" t="s">
        <v>2320</v>
      </c>
      <c r="V326" s="162">
        <v>5.7500000000000002E-2</v>
      </c>
      <c r="W326" s="164">
        <v>5.7119999999999997E-2</v>
      </c>
      <c r="X326" s="4" t="s">
        <v>459</v>
      </c>
      <c r="Y326" s="4" t="s">
        <v>164</v>
      </c>
      <c r="Z326" s="150">
        <v>70828</v>
      </c>
      <c r="AA326" s="150">
        <v>1</v>
      </c>
      <c r="AB326" s="150">
        <v>100.67</v>
      </c>
      <c r="AD326" s="150">
        <v>71.302999999999997</v>
      </c>
      <c r="AG326" s="2" t="s">
        <v>37</v>
      </c>
      <c r="AH326" s="164">
        <v>3.1500000000000001E-4</v>
      </c>
      <c r="AI326" s="164">
        <v>1.16417163307183E-2</v>
      </c>
      <c r="AJ326" s="164">
        <v>9.7079859247492495E-4</v>
      </c>
    </row>
    <row r="327" spans="1:36">
      <c r="A327" s="2" t="s">
        <v>144</v>
      </c>
      <c r="B327" s="2">
        <v>969</v>
      </c>
      <c r="C327" s="2" t="s">
        <v>2321</v>
      </c>
      <c r="D327" s="2" t="s">
        <v>2322</v>
      </c>
      <c r="E327" s="4" t="s">
        <v>1380</v>
      </c>
      <c r="F327" s="2" t="s">
        <v>2323</v>
      </c>
      <c r="G327" s="2" t="s">
        <v>2324</v>
      </c>
      <c r="H327" s="2" t="s">
        <v>368</v>
      </c>
      <c r="I327" s="2" t="s">
        <v>1011</v>
      </c>
      <c r="J327" s="2" t="s">
        <v>31</v>
      </c>
      <c r="K327" s="2" t="s">
        <v>31</v>
      </c>
      <c r="L327" s="2" t="s">
        <v>374</v>
      </c>
      <c r="M327" s="2" t="s">
        <v>32</v>
      </c>
      <c r="N327" s="2" t="s">
        <v>508</v>
      </c>
      <c r="O327" s="2" t="s">
        <v>164</v>
      </c>
      <c r="P327" s="2" t="s">
        <v>2274</v>
      </c>
      <c r="Q327" s="2" t="s">
        <v>217</v>
      </c>
      <c r="R327" s="2" t="s">
        <v>453</v>
      </c>
      <c r="S327" s="2" t="s">
        <v>35</v>
      </c>
      <c r="T327" s="150">
        <v>5.3819999999999997</v>
      </c>
      <c r="U327" s="2" t="s">
        <v>2325</v>
      </c>
      <c r="V327" s="162">
        <v>2.5499999999999998E-2</v>
      </c>
      <c r="W327" s="164">
        <v>5.2999999999999999E-2</v>
      </c>
      <c r="X327" s="4" t="s">
        <v>459</v>
      </c>
      <c r="Y327" s="4" t="s">
        <v>164</v>
      </c>
      <c r="Z327" s="150">
        <v>90967.49</v>
      </c>
      <c r="AA327" s="150">
        <v>1</v>
      </c>
      <c r="AB327" s="150">
        <v>87.11</v>
      </c>
      <c r="AD327" s="150">
        <v>79.242000000000004</v>
      </c>
      <c r="AG327" s="2" t="s">
        <v>37</v>
      </c>
      <c r="AH327" s="164">
        <v>6.7000000000000002E-5</v>
      </c>
      <c r="AI327" s="164">
        <v>1.29379715259441E-2</v>
      </c>
      <c r="AJ327" s="164">
        <v>1.0788928530860501E-3</v>
      </c>
    </row>
    <row r="328" spans="1:36">
      <c r="A328" s="2" t="s">
        <v>144</v>
      </c>
      <c r="B328" s="2">
        <v>969</v>
      </c>
      <c r="C328" s="2" t="s">
        <v>2321</v>
      </c>
      <c r="D328" s="2" t="s">
        <v>2322</v>
      </c>
      <c r="E328" s="4" t="s">
        <v>1380</v>
      </c>
      <c r="F328" s="2" t="s">
        <v>2329</v>
      </c>
      <c r="G328" s="2" t="s">
        <v>2330</v>
      </c>
      <c r="H328" s="2" t="s">
        <v>368</v>
      </c>
      <c r="I328" s="2" t="s">
        <v>219</v>
      </c>
      <c r="J328" s="2" t="s">
        <v>31</v>
      </c>
      <c r="K328" s="2" t="s">
        <v>31</v>
      </c>
      <c r="L328" s="2" t="s">
        <v>374</v>
      </c>
      <c r="M328" s="2" t="s">
        <v>32</v>
      </c>
      <c r="N328" s="2" t="s">
        <v>508</v>
      </c>
      <c r="O328" s="2" t="s">
        <v>164</v>
      </c>
      <c r="P328" s="2" t="s">
        <v>2274</v>
      </c>
      <c r="Q328" s="2" t="s">
        <v>217</v>
      </c>
      <c r="R328" s="2" t="s">
        <v>453</v>
      </c>
      <c r="S328" s="2" t="s">
        <v>35</v>
      </c>
      <c r="T328" s="150">
        <v>5.6539999999999999</v>
      </c>
      <c r="U328" s="2" t="s">
        <v>2331</v>
      </c>
      <c r="V328" s="162">
        <v>5.8999999999999999E-3</v>
      </c>
      <c r="W328" s="164">
        <v>2.8559999999999999E-2</v>
      </c>
      <c r="X328" s="4" t="s">
        <v>459</v>
      </c>
      <c r="Y328" s="4" t="s">
        <v>164</v>
      </c>
      <c r="Z328" s="150">
        <v>112131</v>
      </c>
      <c r="AA328" s="150">
        <v>1</v>
      </c>
      <c r="AB328" s="150">
        <v>95.47</v>
      </c>
      <c r="AD328" s="150">
        <v>107.051</v>
      </c>
      <c r="AG328" s="2" t="s">
        <v>37</v>
      </c>
      <c r="AH328" s="164">
        <v>1.02E-4</v>
      </c>
      <c r="AI328" s="164">
        <v>1.74785170855104E-2</v>
      </c>
      <c r="AJ328" s="164">
        <v>1.45752733558622E-3</v>
      </c>
    </row>
    <row r="329" spans="1:36">
      <c r="A329" s="2" t="s">
        <v>144</v>
      </c>
      <c r="B329" s="2">
        <v>969</v>
      </c>
      <c r="C329" s="2" t="s">
        <v>2321</v>
      </c>
      <c r="D329" s="2" t="s">
        <v>2322</v>
      </c>
      <c r="E329" s="4" t="s">
        <v>1380</v>
      </c>
      <c r="F329" s="2" t="s">
        <v>2332</v>
      </c>
      <c r="G329" s="2" t="s">
        <v>2333</v>
      </c>
      <c r="H329" s="2" t="s">
        <v>368</v>
      </c>
      <c r="I329" s="2" t="s">
        <v>219</v>
      </c>
      <c r="J329" s="2" t="s">
        <v>31</v>
      </c>
      <c r="K329" s="2" t="s">
        <v>31</v>
      </c>
      <c r="L329" s="2" t="s">
        <v>374</v>
      </c>
      <c r="M329" s="2" t="s">
        <v>32</v>
      </c>
      <c r="N329" s="2" t="s">
        <v>508</v>
      </c>
      <c r="O329" s="2" t="s">
        <v>164</v>
      </c>
      <c r="P329" s="2" t="s">
        <v>2274</v>
      </c>
      <c r="Q329" s="2" t="s">
        <v>217</v>
      </c>
      <c r="R329" s="2" t="s">
        <v>453</v>
      </c>
      <c r="S329" s="2" t="s">
        <v>35</v>
      </c>
      <c r="T329" s="150">
        <v>1.466</v>
      </c>
      <c r="U329" s="2" t="s">
        <v>2334</v>
      </c>
      <c r="V329" s="162">
        <v>4.7500000000000001E-2</v>
      </c>
      <c r="W329" s="164">
        <v>1.567E-2</v>
      </c>
      <c r="X329" s="4" t="s">
        <v>459</v>
      </c>
      <c r="Y329" s="4" t="s">
        <v>164</v>
      </c>
      <c r="Z329" s="150">
        <v>71646.39</v>
      </c>
      <c r="AA329" s="150">
        <v>1</v>
      </c>
      <c r="AB329" s="150">
        <v>141.47999999999999</v>
      </c>
      <c r="AD329" s="150">
        <v>101.36499999999999</v>
      </c>
      <c r="AG329" s="2" t="s">
        <v>37</v>
      </c>
      <c r="AH329" s="164">
        <v>5.5999999999999999E-5</v>
      </c>
      <c r="AI329" s="164">
        <v>1.6550126951394E-2</v>
      </c>
      <c r="AJ329" s="164">
        <v>1.3801092118436199E-3</v>
      </c>
    </row>
    <row r="330" spans="1:36">
      <c r="A330" s="2" t="s">
        <v>144</v>
      </c>
      <c r="B330" s="2">
        <v>969</v>
      </c>
      <c r="C330" s="2" t="s">
        <v>2335</v>
      </c>
      <c r="D330" s="2" t="s">
        <v>2336</v>
      </c>
      <c r="E330" s="4" t="s">
        <v>1380</v>
      </c>
      <c r="F330" s="2" t="s">
        <v>2337</v>
      </c>
      <c r="G330" s="2" t="s">
        <v>2338</v>
      </c>
      <c r="H330" s="2" t="s">
        <v>368</v>
      </c>
      <c r="I330" s="2" t="s">
        <v>219</v>
      </c>
      <c r="J330" s="2" t="s">
        <v>31</v>
      </c>
      <c r="K330" s="2" t="s">
        <v>346</v>
      </c>
      <c r="L330" s="2" t="s">
        <v>374</v>
      </c>
      <c r="M330" s="2" t="s">
        <v>32</v>
      </c>
      <c r="N330" s="2" t="s">
        <v>509</v>
      </c>
      <c r="O330" s="2" t="s">
        <v>164</v>
      </c>
      <c r="P330" s="2" t="s">
        <v>2311</v>
      </c>
      <c r="Q330" s="2" t="s">
        <v>104</v>
      </c>
      <c r="R330" s="2" t="s">
        <v>453</v>
      </c>
      <c r="S330" s="2" t="s">
        <v>35</v>
      </c>
      <c r="T330" s="150">
        <v>0.499</v>
      </c>
      <c r="U330" s="2" t="s">
        <v>2339</v>
      </c>
      <c r="V330" s="162">
        <v>5.3499999999999999E-2</v>
      </c>
      <c r="W330" s="164">
        <v>1.9650000000000001E-2</v>
      </c>
      <c r="X330" s="4" t="s">
        <v>459</v>
      </c>
      <c r="Y330" s="4" t="s">
        <v>164</v>
      </c>
      <c r="Z330" s="150">
        <v>58750</v>
      </c>
      <c r="AA330" s="150">
        <v>1</v>
      </c>
      <c r="AB330" s="150">
        <v>117.67</v>
      </c>
      <c r="AD330" s="150">
        <v>69.131</v>
      </c>
      <c r="AG330" s="2" t="s">
        <v>37</v>
      </c>
      <c r="AH330" s="164">
        <v>8.7999999999999998E-5</v>
      </c>
      <c r="AI330" s="164">
        <v>1.1287183613526699E-2</v>
      </c>
      <c r="AJ330" s="164">
        <v>9.4123423503325305E-4</v>
      </c>
    </row>
    <row r="331" spans="1:36">
      <c r="A331" s="2" t="s">
        <v>144</v>
      </c>
      <c r="B331" s="2">
        <v>969</v>
      </c>
      <c r="C331" s="2" t="s">
        <v>2340</v>
      </c>
      <c r="D331" s="2" t="s">
        <v>2341</v>
      </c>
      <c r="E331" s="4" t="s">
        <v>1380</v>
      </c>
      <c r="F331" s="2" t="s">
        <v>2342</v>
      </c>
      <c r="G331" s="2" t="s">
        <v>2343</v>
      </c>
      <c r="H331" s="2" t="s">
        <v>368</v>
      </c>
      <c r="I331" s="2" t="s">
        <v>219</v>
      </c>
      <c r="J331" s="2" t="s">
        <v>31</v>
      </c>
      <c r="K331" s="2" t="s">
        <v>31</v>
      </c>
      <c r="L331" s="2" t="s">
        <v>374</v>
      </c>
      <c r="M331" s="2" t="s">
        <v>32</v>
      </c>
      <c r="N331" s="2" t="s">
        <v>495</v>
      </c>
      <c r="O331" s="2" t="s">
        <v>164</v>
      </c>
      <c r="P331" s="2" t="s">
        <v>2285</v>
      </c>
      <c r="Q331" s="2" t="s">
        <v>217</v>
      </c>
      <c r="R331" s="2" t="s">
        <v>453</v>
      </c>
      <c r="S331" s="2" t="s">
        <v>35</v>
      </c>
      <c r="T331" s="150">
        <v>4.6710000000000003</v>
      </c>
      <c r="U331" s="2" t="s">
        <v>2344</v>
      </c>
      <c r="V331" s="162">
        <v>7.4999999999999997E-3</v>
      </c>
      <c r="W331" s="164">
        <v>3.499E-2</v>
      </c>
      <c r="X331" s="4" t="s">
        <v>459</v>
      </c>
      <c r="Y331" s="4" t="s">
        <v>164</v>
      </c>
      <c r="Z331" s="150">
        <v>71345</v>
      </c>
      <c r="AA331" s="150">
        <v>1</v>
      </c>
      <c r="AB331" s="150">
        <v>95.49</v>
      </c>
      <c r="AD331" s="150">
        <v>68.126999999999995</v>
      </c>
      <c r="AG331" s="2" t="s">
        <v>37</v>
      </c>
      <c r="AH331" s="164">
        <v>8.2000000000000001E-5</v>
      </c>
      <c r="AI331" s="164">
        <v>1.11232936152096E-2</v>
      </c>
      <c r="AJ331" s="164">
        <v>9.2756750624798105E-4</v>
      </c>
    </row>
    <row r="332" spans="1:36">
      <c r="A332" s="2" t="s">
        <v>144</v>
      </c>
      <c r="B332" s="2">
        <v>969</v>
      </c>
      <c r="C332" s="2" t="s">
        <v>2345</v>
      </c>
      <c r="D332" s="2" t="s">
        <v>2346</v>
      </c>
      <c r="E332" s="4" t="s">
        <v>1380</v>
      </c>
      <c r="F332" s="2" t="s">
        <v>2347</v>
      </c>
      <c r="G332" s="2" t="s">
        <v>2348</v>
      </c>
      <c r="H332" s="2" t="s">
        <v>368</v>
      </c>
      <c r="I332" s="2" t="s">
        <v>219</v>
      </c>
      <c r="J332" s="2" t="s">
        <v>31</v>
      </c>
      <c r="K332" s="2" t="s">
        <v>31</v>
      </c>
      <c r="L332" s="2" t="s">
        <v>374</v>
      </c>
      <c r="M332" s="2" t="s">
        <v>32</v>
      </c>
      <c r="N332" s="2" t="s">
        <v>492</v>
      </c>
      <c r="O332" s="2" t="s">
        <v>164</v>
      </c>
      <c r="P332" s="2" t="s">
        <v>103</v>
      </c>
      <c r="Q332" s="2" t="s">
        <v>104</v>
      </c>
      <c r="R332" s="2" t="s">
        <v>453</v>
      </c>
      <c r="S332" s="2" t="s">
        <v>35</v>
      </c>
      <c r="T332" s="150">
        <v>5.62</v>
      </c>
      <c r="U332" s="2" t="s">
        <v>2349</v>
      </c>
      <c r="V332" s="162">
        <v>2.47E-2</v>
      </c>
      <c r="W332" s="164">
        <v>2.0109999999999999E-2</v>
      </c>
      <c r="X332" s="4" t="s">
        <v>459</v>
      </c>
      <c r="Y332" s="4" t="s">
        <v>164</v>
      </c>
      <c r="Z332" s="150">
        <v>100915</v>
      </c>
      <c r="AA332" s="150">
        <v>1</v>
      </c>
      <c r="AB332" s="150">
        <v>101.35</v>
      </c>
      <c r="AD332" s="150">
        <v>102.277</v>
      </c>
      <c r="AG332" s="2" t="s">
        <v>37</v>
      </c>
      <c r="AH332" s="164">
        <v>6.4999999999999994E-5</v>
      </c>
      <c r="AI332" s="164">
        <v>1.6699037621229099E-2</v>
      </c>
      <c r="AJ332" s="164">
        <v>1.3925268197438399E-3</v>
      </c>
    </row>
    <row r="333" spans="1:36">
      <c r="A333" s="2" t="s">
        <v>144</v>
      </c>
      <c r="B333" s="2">
        <v>969</v>
      </c>
      <c r="C333" s="2" t="s">
        <v>2350</v>
      </c>
      <c r="D333" s="2" t="s">
        <v>2351</v>
      </c>
      <c r="E333" s="4" t="s">
        <v>1380</v>
      </c>
      <c r="F333" s="2" t="s">
        <v>2352</v>
      </c>
      <c r="G333" s="2" t="s">
        <v>2353</v>
      </c>
      <c r="H333" s="2" t="s">
        <v>368</v>
      </c>
      <c r="I333" s="2" t="s">
        <v>219</v>
      </c>
      <c r="J333" s="2" t="s">
        <v>31</v>
      </c>
      <c r="K333" s="2" t="s">
        <v>31</v>
      </c>
      <c r="L333" s="2" t="s">
        <v>374</v>
      </c>
      <c r="M333" s="2" t="s">
        <v>32</v>
      </c>
      <c r="N333" s="2" t="s">
        <v>495</v>
      </c>
      <c r="O333" s="2" t="s">
        <v>164</v>
      </c>
      <c r="P333" s="2" t="s">
        <v>1535</v>
      </c>
      <c r="Q333" s="2" t="s">
        <v>217</v>
      </c>
      <c r="R333" s="2" t="s">
        <v>453</v>
      </c>
      <c r="S333" s="2" t="s">
        <v>35</v>
      </c>
      <c r="T333" s="150">
        <v>1.23</v>
      </c>
      <c r="U333" s="2" t="s">
        <v>2354</v>
      </c>
      <c r="V333" s="162">
        <v>4.9500000000000002E-2</v>
      </c>
      <c r="W333" s="164">
        <v>3.8440000000000002E-2</v>
      </c>
      <c r="X333" s="4" t="s">
        <v>459</v>
      </c>
      <c r="Y333" s="4" t="s">
        <v>387</v>
      </c>
      <c r="Z333" s="150">
        <v>70246.02</v>
      </c>
      <c r="AA333" s="150">
        <v>1</v>
      </c>
      <c r="AB333" s="150">
        <v>138.41999999999999</v>
      </c>
      <c r="AD333" s="150">
        <v>97.234999999999999</v>
      </c>
      <c r="AG333" s="2" t="s">
        <v>37</v>
      </c>
      <c r="AH333" s="164">
        <v>1.9100000000000001E-4</v>
      </c>
      <c r="AI333" s="164">
        <v>1.5875687203624599E-2</v>
      </c>
      <c r="AJ333" s="164">
        <v>1.3238679206762701E-3</v>
      </c>
    </row>
    <row r="334" spans="1:36">
      <c r="A334" s="2" t="s">
        <v>144</v>
      </c>
      <c r="B334" s="2">
        <v>969</v>
      </c>
      <c r="C334" s="2" t="s">
        <v>2345</v>
      </c>
      <c r="D334" s="2" t="s">
        <v>2346</v>
      </c>
      <c r="E334" s="4" t="s">
        <v>1380</v>
      </c>
      <c r="F334" s="2" t="s">
        <v>2355</v>
      </c>
      <c r="G334" s="2" t="s">
        <v>2356</v>
      </c>
      <c r="H334" s="2" t="s">
        <v>368</v>
      </c>
      <c r="I334" s="2" t="s">
        <v>219</v>
      </c>
      <c r="J334" s="2" t="s">
        <v>31</v>
      </c>
      <c r="K334" s="2" t="s">
        <v>31</v>
      </c>
      <c r="L334" s="2" t="s">
        <v>374</v>
      </c>
      <c r="M334" s="2" t="s">
        <v>32</v>
      </c>
      <c r="N334" s="2" t="s">
        <v>492</v>
      </c>
      <c r="O334" s="2" t="s">
        <v>164</v>
      </c>
      <c r="P334" s="2" t="s">
        <v>1396</v>
      </c>
      <c r="Q334" s="2" t="s">
        <v>104</v>
      </c>
      <c r="R334" s="2" t="s">
        <v>453</v>
      </c>
      <c r="S334" s="2" t="s">
        <v>35</v>
      </c>
      <c r="T334" s="150">
        <v>4.3739999999999997</v>
      </c>
      <c r="U334" s="2" t="s">
        <v>2357</v>
      </c>
      <c r="V334" s="162">
        <v>3.1699999999999999E-2</v>
      </c>
      <c r="W334" s="164">
        <v>2.7449999999999999E-2</v>
      </c>
      <c r="X334" s="4" t="s">
        <v>459</v>
      </c>
      <c r="Y334" s="4" t="s">
        <v>164</v>
      </c>
      <c r="Z334" s="150">
        <v>100000</v>
      </c>
      <c r="AA334" s="150">
        <v>1</v>
      </c>
      <c r="AB334" s="150">
        <v>106.73</v>
      </c>
      <c r="AD334" s="150">
        <v>106.73</v>
      </c>
      <c r="AG334" s="2" t="s">
        <v>37</v>
      </c>
      <c r="AH334" s="164">
        <v>1.18E-4</v>
      </c>
      <c r="AI334" s="164">
        <v>1.7426030707177201E-2</v>
      </c>
      <c r="AJ334" s="164">
        <v>1.45315051512758E-3</v>
      </c>
    </row>
    <row r="335" spans="1:36">
      <c r="A335" s="2" t="s">
        <v>144</v>
      </c>
      <c r="B335" s="2">
        <v>969</v>
      </c>
      <c r="C335" s="2" t="s">
        <v>2358</v>
      </c>
      <c r="D335" s="2" t="s">
        <v>2359</v>
      </c>
      <c r="E335" s="4" t="s">
        <v>1380</v>
      </c>
      <c r="F335" s="2" t="s">
        <v>2360</v>
      </c>
      <c r="G335" s="2" t="s">
        <v>2361</v>
      </c>
      <c r="H335" s="2" t="s">
        <v>368</v>
      </c>
      <c r="I335" s="2" t="s">
        <v>219</v>
      </c>
      <c r="J335" s="2" t="s">
        <v>31</v>
      </c>
      <c r="K335" s="2" t="s">
        <v>31</v>
      </c>
      <c r="L335" s="2" t="s">
        <v>374</v>
      </c>
      <c r="M335" s="2" t="s">
        <v>32</v>
      </c>
      <c r="N335" s="2" t="s">
        <v>484</v>
      </c>
      <c r="O335" s="2" t="s">
        <v>164</v>
      </c>
      <c r="P335" s="2" t="s">
        <v>2311</v>
      </c>
      <c r="Q335" s="2" t="s">
        <v>104</v>
      </c>
      <c r="R335" s="2" t="s">
        <v>453</v>
      </c>
      <c r="S335" s="2" t="s">
        <v>35</v>
      </c>
      <c r="T335" s="150">
        <v>3.9649999999999999</v>
      </c>
      <c r="U335" s="2" t="s">
        <v>2362</v>
      </c>
      <c r="V335" s="162">
        <v>1.7999999999999999E-2</v>
      </c>
      <c r="W335" s="164">
        <v>3.1009999999999999E-2</v>
      </c>
      <c r="X335" s="4" t="s">
        <v>459</v>
      </c>
      <c r="Y335" s="4" t="s">
        <v>164</v>
      </c>
      <c r="Z335" s="150">
        <v>55215.06</v>
      </c>
      <c r="AA335" s="150">
        <v>1</v>
      </c>
      <c r="AB335" s="150">
        <v>106.25</v>
      </c>
      <c r="AD335" s="150">
        <v>58.665999999999997</v>
      </c>
      <c r="AG335" s="2" t="s">
        <v>37</v>
      </c>
      <c r="AH335" s="164">
        <v>5.0000000000000002E-5</v>
      </c>
      <c r="AI335" s="164">
        <v>9.5785209336624599E-3</v>
      </c>
      <c r="AJ335" s="164">
        <v>7.9874946066628601E-4</v>
      </c>
    </row>
    <row r="336" spans="1:36">
      <c r="A336" s="2" t="s">
        <v>144</v>
      </c>
      <c r="B336" s="2">
        <v>969</v>
      </c>
      <c r="C336" s="2" t="s">
        <v>2358</v>
      </c>
      <c r="D336" s="2" t="s">
        <v>2359</v>
      </c>
      <c r="E336" s="4" t="s">
        <v>1380</v>
      </c>
      <c r="F336" s="2" t="s">
        <v>2363</v>
      </c>
      <c r="G336" s="2" t="s">
        <v>2364</v>
      </c>
      <c r="H336" s="2" t="s">
        <v>368</v>
      </c>
      <c r="I336" s="2" t="s">
        <v>219</v>
      </c>
      <c r="J336" s="2" t="s">
        <v>31</v>
      </c>
      <c r="K336" s="2" t="s">
        <v>31</v>
      </c>
      <c r="L336" s="2" t="s">
        <v>374</v>
      </c>
      <c r="M336" s="2" t="s">
        <v>32</v>
      </c>
      <c r="N336" s="2" t="s">
        <v>484</v>
      </c>
      <c r="O336" s="2" t="s">
        <v>164</v>
      </c>
      <c r="P336" s="2" t="s">
        <v>2255</v>
      </c>
      <c r="Q336" s="2" t="s">
        <v>217</v>
      </c>
      <c r="R336" s="2" t="s">
        <v>453</v>
      </c>
      <c r="S336" s="2" t="s">
        <v>35</v>
      </c>
      <c r="T336" s="150">
        <v>6.2869999999999999</v>
      </c>
      <c r="U336" s="2" t="s">
        <v>2365</v>
      </c>
      <c r="V336" s="162">
        <v>3.3000000000000002E-2</v>
      </c>
      <c r="W336" s="164">
        <v>3.5839999999999997E-2</v>
      </c>
      <c r="X336" s="4" t="s">
        <v>459</v>
      </c>
      <c r="Y336" s="4" t="s">
        <v>164</v>
      </c>
      <c r="Z336" s="150">
        <v>163935.9</v>
      </c>
      <c r="AA336" s="150">
        <v>1</v>
      </c>
      <c r="AB336" s="150">
        <v>101.75</v>
      </c>
      <c r="AD336" s="150">
        <v>166.80500000000001</v>
      </c>
      <c r="AG336" s="2" t="s">
        <v>37</v>
      </c>
      <c r="AH336" s="164">
        <v>1.2799999999999999E-4</v>
      </c>
      <c r="AI336" s="164">
        <v>2.7234565613120799E-2</v>
      </c>
      <c r="AJ336" s="164">
        <v>2.2710807592966299E-3</v>
      </c>
    </row>
    <row r="337" spans="1:36">
      <c r="A337" s="2" t="s">
        <v>144</v>
      </c>
      <c r="B337" s="2">
        <v>969</v>
      </c>
      <c r="C337" s="2" t="s">
        <v>2182</v>
      </c>
      <c r="D337" s="2" t="s">
        <v>2183</v>
      </c>
      <c r="E337" s="4" t="s">
        <v>1380</v>
      </c>
      <c r="F337" s="2" t="s">
        <v>2366</v>
      </c>
      <c r="G337" s="2" t="s">
        <v>2367</v>
      </c>
      <c r="H337" s="2" t="s">
        <v>368</v>
      </c>
      <c r="I337" s="2" t="s">
        <v>219</v>
      </c>
      <c r="J337" s="2" t="s">
        <v>31</v>
      </c>
      <c r="K337" s="2" t="s">
        <v>31</v>
      </c>
      <c r="L337" s="2" t="s">
        <v>374</v>
      </c>
      <c r="M337" s="2" t="s">
        <v>32</v>
      </c>
      <c r="N337" s="2" t="s">
        <v>508</v>
      </c>
      <c r="O337" s="2" t="s">
        <v>164</v>
      </c>
      <c r="P337" s="2" t="s">
        <v>2255</v>
      </c>
      <c r="Q337" s="2" t="s">
        <v>217</v>
      </c>
      <c r="R337" s="2" t="s">
        <v>453</v>
      </c>
      <c r="S337" s="2" t="s">
        <v>35</v>
      </c>
      <c r="T337" s="150">
        <v>2.5910000000000002</v>
      </c>
      <c r="U337" s="2" t="s">
        <v>2264</v>
      </c>
      <c r="V337" s="162">
        <v>3.6499999999999998E-2</v>
      </c>
      <c r="W337" s="164">
        <v>3.3340000000000002E-2</v>
      </c>
      <c r="X337" s="4" t="s">
        <v>459</v>
      </c>
      <c r="Y337" s="4" t="s">
        <v>164</v>
      </c>
      <c r="Z337" s="150">
        <v>80000</v>
      </c>
      <c r="AA337" s="150">
        <v>1</v>
      </c>
      <c r="AB337" s="150">
        <v>105.3</v>
      </c>
      <c r="AD337" s="150">
        <v>84.24</v>
      </c>
      <c r="AG337" s="2" t="s">
        <v>37</v>
      </c>
      <c r="AH337" s="164">
        <v>4.4900000000000002E-4</v>
      </c>
      <c r="AI337" s="164">
        <v>1.37540412889778E-2</v>
      </c>
      <c r="AJ337" s="164">
        <v>1.14694462095331E-3</v>
      </c>
    </row>
    <row r="338" spans="1:36">
      <c r="A338" s="2" t="s">
        <v>144</v>
      </c>
      <c r="B338" s="2">
        <v>969</v>
      </c>
      <c r="C338" s="2" t="s">
        <v>2182</v>
      </c>
      <c r="D338" s="2" t="s">
        <v>2183</v>
      </c>
      <c r="E338" s="4" t="s">
        <v>1380</v>
      </c>
      <c r="F338" s="2" t="s">
        <v>2368</v>
      </c>
      <c r="G338" s="2" t="s">
        <v>2369</v>
      </c>
      <c r="H338" s="2" t="s">
        <v>368</v>
      </c>
      <c r="I338" s="2" t="s">
        <v>219</v>
      </c>
      <c r="J338" s="2" t="s">
        <v>31</v>
      </c>
      <c r="K338" s="2" t="s">
        <v>31</v>
      </c>
      <c r="L338" s="2" t="s">
        <v>374</v>
      </c>
      <c r="M338" s="2" t="s">
        <v>32</v>
      </c>
      <c r="N338" s="2" t="s">
        <v>508</v>
      </c>
      <c r="O338" s="2" t="s">
        <v>164</v>
      </c>
      <c r="P338" s="2" t="s">
        <v>2299</v>
      </c>
      <c r="Q338" s="2" t="s">
        <v>217</v>
      </c>
      <c r="R338" s="2" t="s">
        <v>453</v>
      </c>
      <c r="S338" s="2" t="s">
        <v>35</v>
      </c>
      <c r="T338" s="150">
        <v>3.2709999999999999</v>
      </c>
      <c r="U338" s="2" t="s">
        <v>1375</v>
      </c>
      <c r="V338" s="162">
        <v>1.7999999999999999E-2</v>
      </c>
      <c r="W338" s="164">
        <v>2.4129999999999999E-2</v>
      </c>
      <c r="X338" s="4" t="s">
        <v>459</v>
      </c>
      <c r="Y338" s="4" t="s">
        <v>164</v>
      </c>
      <c r="Z338" s="150">
        <v>60495.06</v>
      </c>
      <c r="AA338" s="150">
        <v>1</v>
      </c>
      <c r="AB338" s="150">
        <v>110.59</v>
      </c>
      <c r="AD338" s="150">
        <v>66.900999999999996</v>
      </c>
      <c r="AG338" s="2" t="s">
        <v>37</v>
      </c>
      <c r="AH338" s="164">
        <v>7.2000000000000002E-5</v>
      </c>
      <c r="AI338" s="164">
        <v>1.09231459221738E-2</v>
      </c>
      <c r="AJ338" s="164">
        <v>9.10877261170159E-4</v>
      </c>
    </row>
    <row r="339" spans="1:36">
      <c r="A339" s="2" t="s">
        <v>144</v>
      </c>
      <c r="B339" s="2">
        <v>969</v>
      </c>
      <c r="C339" s="2" t="s">
        <v>2370</v>
      </c>
      <c r="D339" s="2" t="s">
        <v>2371</v>
      </c>
      <c r="E339" s="4" t="s">
        <v>1380</v>
      </c>
      <c r="F339" s="2" t="s">
        <v>2372</v>
      </c>
      <c r="G339" s="2" t="s">
        <v>2373</v>
      </c>
      <c r="H339" s="2" t="s">
        <v>368</v>
      </c>
      <c r="I339" s="2" t="s">
        <v>1011</v>
      </c>
      <c r="J339" s="2" t="s">
        <v>31</v>
      </c>
      <c r="K339" s="2" t="s">
        <v>31</v>
      </c>
      <c r="L339" s="2" t="s">
        <v>374</v>
      </c>
      <c r="M339" s="2" t="s">
        <v>32</v>
      </c>
      <c r="N339" s="2" t="s">
        <v>489</v>
      </c>
      <c r="O339" s="2" t="s">
        <v>164</v>
      </c>
      <c r="P339" s="2" t="s">
        <v>1396</v>
      </c>
      <c r="Q339" s="2" t="s">
        <v>104</v>
      </c>
      <c r="R339" s="2" t="s">
        <v>453</v>
      </c>
      <c r="S339" s="2" t="s">
        <v>35</v>
      </c>
      <c r="T339" s="150">
        <v>6.827</v>
      </c>
      <c r="U339" s="2" t="s">
        <v>2374</v>
      </c>
      <c r="V339" s="162">
        <v>3.0499999999999999E-2</v>
      </c>
      <c r="W339" s="164">
        <v>5.3449999999999998E-2</v>
      </c>
      <c r="X339" s="4" t="s">
        <v>459</v>
      </c>
      <c r="Y339" s="4" t="s">
        <v>164</v>
      </c>
      <c r="Z339" s="150">
        <v>73032</v>
      </c>
      <c r="AA339" s="150">
        <v>1</v>
      </c>
      <c r="AB339" s="150">
        <v>86.75</v>
      </c>
      <c r="AD339" s="150">
        <v>63.354999999999997</v>
      </c>
      <c r="AG339" s="2" t="s">
        <v>37</v>
      </c>
      <c r="AH339" s="164">
        <v>1.07E-4</v>
      </c>
      <c r="AI339" s="164">
        <v>1.03441460341159E-2</v>
      </c>
      <c r="AJ339" s="164">
        <v>8.6259466602681297E-4</v>
      </c>
    </row>
    <row r="340" spans="1:36">
      <c r="A340" s="2" t="s">
        <v>144</v>
      </c>
      <c r="B340" s="2">
        <v>969</v>
      </c>
      <c r="C340" s="2" t="s">
        <v>2370</v>
      </c>
      <c r="D340" s="2" t="s">
        <v>2371</v>
      </c>
      <c r="E340" s="4" t="s">
        <v>1380</v>
      </c>
      <c r="F340" s="2" t="s">
        <v>2375</v>
      </c>
      <c r="G340" s="2" t="s">
        <v>2376</v>
      </c>
      <c r="H340" s="2" t="s">
        <v>368</v>
      </c>
      <c r="I340" s="2" t="s">
        <v>1011</v>
      </c>
      <c r="J340" s="2" t="s">
        <v>31</v>
      </c>
      <c r="K340" s="2" t="s">
        <v>31</v>
      </c>
      <c r="L340" s="2" t="s">
        <v>374</v>
      </c>
      <c r="M340" s="2" t="s">
        <v>32</v>
      </c>
      <c r="N340" s="2" t="s">
        <v>489</v>
      </c>
      <c r="O340" s="2" t="s">
        <v>164</v>
      </c>
      <c r="P340" s="2" t="s">
        <v>1391</v>
      </c>
      <c r="Q340" s="2" t="s">
        <v>477</v>
      </c>
      <c r="R340" s="2" t="s">
        <v>453</v>
      </c>
      <c r="S340" s="2" t="s">
        <v>35</v>
      </c>
      <c r="T340" s="150">
        <v>5.0819999999999999</v>
      </c>
      <c r="U340" s="2" t="s">
        <v>2377</v>
      </c>
      <c r="V340" s="162">
        <v>4.3799999999999999E-2</v>
      </c>
      <c r="W340" s="164">
        <v>4.9430000000000002E-2</v>
      </c>
      <c r="X340" s="4" t="s">
        <v>459</v>
      </c>
      <c r="Y340" s="4" t="s">
        <v>164</v>
      </c>
      <c r="Z340" s="150">
        <v>32000</v>
      </c>
      <c r="AA340" s="150">
        <v>1</v>
      </c>
      <c r="AB340" s="150">
        <v>98.59</v>
      </c>
      <c r="AD340" s="150">
        <v>31.548999999999999</v>
      </c>
      <c r="AG340" s="2" t="s">
        <v>37</v>
      </c>
      <c r="AH340" s="164">
        <v>6.3999999999999997E-5</v>
      </c>
      <c r="AI340" s="164">
        <v>5.15103867304967E-3</v>
      </c>
      <c r="AJ340" s="164">
        <v>4.2954328653290499E-4</v>
      </c>
    </row>
    <row r="341" spans="1:36">
      <c r="A341" s="2" t="s">
        <v>144</v>
      </c>
      <c r="B341" s="2">
        <v>969</v>
      </c>
      <c r="C341" s="2" t="s">
        <v>2378</v>
      </c>
      <c r="D341" s="2" t="s">
        <v>2379</v>
      </c>
      <c r="E341" s="4" t="s">
        <v>1380</v>
      </c>
      <c r="F341" s="2" t="s">
        <v>2380</v>
      </c>
      <c r="G341" s="2" t="s">
        <v>2381</v>
      </c>
      <c r="H341" s="2" t="s">
        <v>368</v>
      </c>
      <c r="I341" s="2" t="s">
        <v>219</v>
      </c>
      <c r="J341" s="2" t="s">
        <v>31</v>
      </c>
      <c r="K341" s="2" t="s">
        <v>31</v>
      </c>
      <c r="L341" s="2" t="s">
        <v>374</v>
      </c>
      <c r="M341" s="2" t="s">
        <v>32</v>
      </c>
      <c r="N341" s="2" t="s">
        <v>492</v>
      </c>
      <c r="O341" s="2" t="s">
        <v>164</v>
      </c>
      <c r="P341" s="2" t="s">
        <v>1391</v>
      </c>
      <c r="Q341" s="2" t="s">
        <v>217</v>
      </c>
      <c r="R341" s="2" t="s">
        <v>453</v>
      </c>
      <c r="S341" s="2" t="s">
        <v>35</v>
      </c>
      <c r="T341" s="150">
        <v>5.0140000000000002</v>
      </c>
      <c r="U341" s="2" t="s">
        <v>2382</v>
      </c>
      <c r="V341" s="162">
        <v>2.5899999999999999E-2</v>
      </c>
      <c r="W341" s="164">
        <v>2.1850000000000001E-2</v>
      </c>
      <c r="X341" s="4" t="s">
        <v>459</v>
      </c>
      <c r="Y341" s="4" t="s">
        <v>164</v>
      </c>
      <c r="Z341" s="150">
        <v>93000</v>
      </c>
      <c r="AA341" s="150">
        <v>1</v>
      </c>
      <c r="AB341" s="150">
        <v>102.82</v>
      </c>
      <c r="AD341" s="150">
        <v>95.623000000000005</v>
      </c>
      <c r="AG341" s="2" t="s">
        <v>37</v>
      </c>
      <c r="AH341" s="164">
        <v>0</v>
      </c>
      <c r="AI341" s="164">
        <v>1.56125022383596E-2</v>
      </c>
      <c r="AJ341" s="164">
        <v>1.3019210198429499E-3</v>
      </c>
    </row>
    <row r="342" spans="1:36">
      <c r="A342" s="2" t="s">
        <v>144</v>
      </c>
      <c r="B342" s="2">
        <v>969</v>
      </c>
      <c r="C342" s="2" t="s">
        <v>2383</v>
      </c>
      <c r="D342" s="2" t="s">
        <v>2384</v>
      </c>
      <c r="E342" s="4" t="s">
        <v>1380</v>
      </c>
      <c r="F342" s="2" t="s">
        <v>2385</v>
      </c>
      <c r="G342" s="2" t="s">
        <v>2386</v>
      </c>
      <c r="H342" s="2" t="s">
        <v>368</v>
      </c>
      <c r="I342" s="2" t="s">
        <v>1011</v>
      </c>
      <c r="J342" s="2" t="s">
        <v>31</v>
      </c>
      <c r="K342" s="2" t="s">
        <v>31</v>
      </c>
      <c r="L342" s="2" t="s">
        <v>374</v>
      </c>
      <c r="M342" s="2" t="s">
        <v>32</v>
      </c>
      <c r="N342" s="2" t="s">
        <v>498</v>
      </c>
      <c r="O342" s="2" t="s">
        <v>164</v>
      </c>
      <c r="P342" s="2" t="s">
        <v>2274</v>
      </c>
      <c r="Q342" s="2" t="s">
        <v>217</v>
      </c>
      <c r="R342" s="2" t="s">
        <v>453</v>
      </c>
      <c r="S342" s="2" t="s">
        <v>35</v>
      </c>
      <c r="T342" s="150">
        <v>3.5369999999999999</v>
      </c>
      <c r="U342" s="2" t="s">
        <v>2387</v>
      </c>
      <c r="V342" s="162">
        <v>2.24E-2</v>
      </c>
      <c r="W342" s="164">
        <v>4.8939999999999997E-2</v>
      </c>
      <c r="X342" s="4" t="s">
        <v>459</v>
      </c>
      <c r="Y342" s="4" t="s">
        <v>164</v>
      </c>
      <c r="Z342" s="150">
        <v>80436.36</v>
      </c>
      <c r="AA342" s="150">
        <v>1</v>
      </c>
      <c r="AB342" s="150">
        <v>92.24</v>
      </c>
      <c r="AD342" s="150">
        <v>74.194000000000003</v>
      </c>
      <c r="AG342" s="2" t="s">
        <v>37</v>
      </c>
      <c r="AH342" s="164">
        <v>1.25E-4</v>
      </c>
      <c r="AI342" s="164">
        <v>1.21138912071327E-2</v>
      </c>
      <c r="AJ342" s="164">
        <v>1.0101730878159299E-3</v>
      </c>
    </row>
    <row r="343" spans="1:36">
      <c r="A343" s="2" t="s">
        <v>144</v>
      </c>
      <c r="B343" s="2">
        <v>969</v>
      </c>
      <c r="C343" s="2" t="s">
        <v>1955</v>
      </c>
      <c r="D343" s="2" t="s">
        <v>1956</v>
      </c>
      <c r="E343" s="4" t="s">
        <v>1380</v>
      </c>
      <c r="F343" s="2" t="s">
        <v>2388</v>
      </c>
      <c r="G343" s="2" t="s">
        <v>2389</v>
      </c>
      <c r="H343" s="2" t="s">
        <v>368</v>
      </c>
      <c r="I343" s="2" t="s">
        <v>1011</v>
      </c>
      <c r="J343" s="2" t="s">
        <v>31</v>
      </c>
      <c r="K343" s="2" t="s">
        <v>31</v>
      </c>
      <c r="L343" s="2" t="s">
        <v>374</v>
      </c>
      <c r="M343" s="2" t="s">
        <v>32</v>
      </c>
      <c r="N343" s="2" t="s">
        <v>489</v>
      </c>
      <c r="O343" s="2" t="s">
        <v>164</v>
      </c>
      <c r="P343" s="2" t="s">
        <v>1391</v>
      </c>
      <c r="Q343" s="2" t="s">
        <v>217</v>
      </c>
      <c r="R343" s="2" t="s">
        <v>453</v>
      </c>
      <c r="S343" s="2" t="s">
        <v>35</v>
      </c>
      <c r="T343" s="150">
        <v>3.6509999999999998</v>
      </c>
      <c r="U343" s="2" t="s">
        <v>2390</v>
      </c>
      <c r="V343" s="162">
        <v>4.7E-2</v>
      </c>
      <c r="W343" s="164">
        <v>4.7649999999999998E-2</v>
      </c>
      <c r="X343" s="4" t="s">
        <v>459</v>
      </c>
      <c r="Y343" s="4" t="s">
        <v>164</v>
      </c>
      <c r="Z343" s="150">
        <v>61000</v>
      </c>
      <c r="AA343" s="150">
        <v>1</v>
      </c>
      <c r="AB343" s="150">
        <v>100.19</v>
      </c>
      <c r="AD343" s="150">
        <v>61.116</v>
      </c>
      <c r="AG343" s="2" t="s">
        <v>37</v>
      </c>
      <c r="AH343" s="164">
        <v>1.22E-4</v>
      </c>
      <c r="AI343" s="164">
        <v>9.9785210352925108E-3</v>
      </c>
      <c r="AJ343" s="164">
        <v>8.3210532715717795E-4</v>
      </c>
    </row>
    <row r="344" spans="1:36">
      <c r="A344" s="2" t="s">
        <v>144</v>
      </c>
      <c r="B344" s="2">
        <v>969</v>
      </c>
      <c r="C344" s="2" t="s">
        <v>1219</v>
      </c>
      <c r="D344" s="2" t="s">
        <v>1959</v>
      </c>
      <c r="E344" s="4" t="s">
        <v>1380</v>
      </c>
      <c r="F344" s="2" t="s">
        <v>2391</v>
      </c>
      <c r="G344" s="2" t="s">
        <v>2392</v>
      </c>
      <c r="H344" s="2" t="s">
        <v>368</v>
      </c>
      <c r="I344" s="2" t="s">
        <v>219</v>
      </c>
      <c r="J344" s="2" t="s">
        <v>31</v>
      </c>
      <c r="K344" s="2" t="s">
        <v>31</v>
      </c>
      <c r="L344" s="2" t="s">
        <v>374</v>
      </c>
      <c r="M344" s="2" t="s">
        <v>32</v>
      </c>
      <c r="N344" s="2" t="s">
        <v>492</v>
      </c>
      <c r="O344" s="2" t="s">
        <v>164</v>
      </c>
      <c r="P344" s="2" t="s">
        <v>103</v>
      </c>
      <c r="Q344" s="2" t="s">
        <v>104</v>
      </c>
      <c r="R344" s="2" t="s">
        <v>453</v>
      </c>
      <c r="S344" s="2" t="s">
        <v>35</v>
      </c>
      <c r="T344" s="150">
        <v>1.23</v>
      </c>
      <c r="U344" s="2" t="s">
        <v>2393</v>
      </c>
      <c r="V344" s="162">
        <v>8.3000000000000001E-3</v>
      </c>
      <c r="W344" s="164">
        <v>1.3979999999999999E-2</v>
      </c>
      <c r="X344" s="4" t="s">
        <v>459</v>
      </c>
      <c r="Y344" s="4" t="s">
        <v>164</v>
      </c>
      <c r="Z344" s="150">
        <v>78737</v>
      </c>
      <c r="AA344" s="150">
        <v>1</v>
      </c>
      <c r="AB344" s="150">
        <v>111.66</v>
      </c>
      <c r="AD344" s="150">
        <v>87.918000000000006</v>
      </c>
      <c r="AG344" s="2" t="s">
        <v>37</v>
      </c>
      <c r="AH344" s="164">
        <v>2.5999999999999998E-5</v>
      </c>
      <c r="AI344" s="164">
        <v>1.4354512656934699E-2</v>
      </c>
      <c r="AJ344" s="164">
        <v>1.19701771518392E-3</v>
      </c>
    </row>
    <row r="345" spans="1:36">
      <c r="A345" s="2" t="s">
        <v>144</v>
      </c>
      <c r="B345" s="2">
        <v>969</v>
      </c>
      <c r="C345" s="2" t="s">
        <v>1219</v>
      </c>
      <c r="D345" s="2" t="s">
        <v>1959</v>
      </c>
      <c r="E345" s="4" t="s">
        <v>1380</v>
      </c>
      <c r="F345" s="2" t="s">
        <v>2394</v>
      </c>
      <c r="G345" s="2" t="s">
        <v>2395</v>
      </c>
      <c r="H345" s="2" t="s">
        <v>368</v>
      </c>
      <c r="I345" s="2" t="s">
        <v>219</v>
      </c>
      <c r="J345" s="2" t="s">
        <v>31</v>
      </c>
      <c r="K345" s="2" t="s">
        <v>31</v>
      </c>
      <c r="L345" s="2" t="s">
        <v>374</v>
      </c>
      <c r="M345" s="2" t="s">
        <v>32</v>
      </c>
      <c r="N345" s="2" t="s">
        <v>492</v>
      </c>
      <c r="O345" s="2" t="s">
        <v>164</v>
      </c>
      <c r="P345" s="2" t="s">
        <v>216</v>
      </c>
      <c r="Q345" s="2" t="s">
        <v>217</v>
      </c>
      <c r="R345" s="2" t="s">
        <v>453</v>
      </c>
      <c r="S345" s="2" t="s">
        <v>35</v>
      </c>
      <c r="T345" s="150">
        <v>5.6390000000000002</v>
      </c>
      <c r="U345" s="2" t="s">
        <v>2396</v>
      </c>
      <c r="V345" s="162">
        <v>1E-3</v>
      </c>
      <c r="W345" s="164">
        <v>2.069E-2</v>
      </c>
      <c r="X345" s="4" t="s">
        <v>459</v>
      </c>
      <c r="Y345" s="4" t="s">
        <v>164</v>
      </c>
      <c r="Z345" s="150">
        <v>102000</v>
      </c>
      <c r="AA345" s="150">
        <v>1</v>
      </c>
      <c r="AB345" s="150">
        <v>97.7</v>
      </c>
      <c r="AD345" s="150">
        <v>99.653999999999996</v>
      </c>
      <c r="AG345" s="2" t="s">
        <v>37</v>
      </c>
      <c r="AH345" s="164">
        <v>1.03E-4</v>
      </c>
      <c r="AI345" s="164">
        <v>1.6270717362438299E-2</v>
      </c>
      <c r="AJ345" s="164">
        <v>1.3568093453998301E-3</v>
      </c>
    </row>
    <row r="346" spans="1:36">
      <c r="A346" s="2" t="s">
        <v>144</v>
      </c>
      <c r="B346" s="2">
        <v>969</v>
      </c>
      <c r="C346" s="2" t="s">
        <v>2537</v>
      </c>
      <c r="D346" s="2" t="s">
        <v>2538</v>
      </c>
      <c r="E346" s="4" t="s">
        <v>1380</v>
      </c>
      <c r="F346" s="2" t="s">
        <v>2539</v>
      </c>
      <c r="G346" s="2" t="s">
        <v>2540</v>
      </c>
      <c r="H346" s="2" t="s">
        <v>368</v>
      </c>
      <c r="I346" s="2" t="s">
        <v>1011</v>
      </c>
      <c r="J346" s="2" t="s">
        <v>31</v>
      </c>
      <c r="K346" s="2" t="s">
        <v>31</v>
      </c>
      <c r="L346" s="2" t="s">
        <v>374</v>
      </c>
      <c r="M346" s="2" t="s">
        <v>32</v>
      </c>
      <c r="N346" s="2" t="s">
        <v>489</v>
      </c>
      <c r="O346" s="2" t="s">
        <v>164</v>
      </c>
      <c r="P346" s="2" t="s">
        <v>1384</v>
      </c>
      <c r="Q346" s="2" t="s">
        <v>104</v>
      </c>
      <c r="R346" s="2" t="s">
        <v>453</v>
      </c>
      <c r="S346" s="2" t="s">
        <v>35</v>
      </c>
      <c r="T346" s="150">
        <v>2.633</v>
      </c>
      <c r="U346" s="2" t="s">
        <v>2407</v>
      </c>
      <c r="V346" s="162">
        <v>4.1000000000000002E-2</v>
      </c>
      <c r="W346" s="164">
        <v>4.7730000000000002E-2</v>
      </c>
      <c r="X346" s="4" t="s">
        <v>459</v>
      </c>
      <c r="Y346" s="4" t="s">
        <v>164</v>
      </c>
      <c r="Z346" s="150">
        <v>69900</v>
      </c>
      <c r="AA346" s="150">
        <v>1</v>
      </c>
      <c r="AB346" s="150">
        <v>99.32</v>
      </c>
      <c r="AD346" s="150">
        <v>69.424999999999997</v>
      </c>
      <c r="AG346" s="2" t="s">
        <v>37</v>
      </c>
      <c r="AH346" s="164">
        <v>9.7999999999999997E-5</v>
      </c>
      <c r="AI346" s="164">
        <v>1.13351129533959E-2</v>
      </c>
      <c r="AJ346" s="164">
        <v>9.4523104567195097E-4</v>
      </c>
    </row>
    <row r="347" spans="1:36">
      <c r="A347" s="2" t="s">
        <v>144</v>
      </c>
      <c r="B347" s="2">
        <v>969</v>
      </c>
      <c r="C347" s="2" t="s">
        <v>1962</v>
      </c>
      <c r="D347" s="2" t="s">
        <v>1963</v>
      </c>
      <c r="E347" s="4" t="s">
        <v>1380</v>
      </c>
      <c r="F347" s="2" t="s">
        <v>2400</v>
      </c>
      <c r="G347" s="2" t="s">
        <v>2401</v>
      </c>
      <c r="H347" s="2" t="s">
        <v>368</v>
      </c>
      <c r="I347" s="2" t="s">
        <v>1011</v>
      </c>
      <c r="J347" s="2" t="s">
        <v>31</v>
      </c>
      <c r="K347" s="2" t="s">
        <v>31</v>
      </c>
      <c r="L347" s="2" t="s">
        <v>374</v>
      </c>
      <c r="M347" s="2" t="s">
        <v>32</v>
      </c>
      <c r="N347" s="2" t="s">
        <v>508</v>
      </c>
      <c r="O347" s="2" t="s">
        <v>164</v>
      </c>
      <c r="P347" s="2" t="s">
        <v>2244</v>
      </c>
      <c r="Q347" s="2" t="s">
        <v>104</v>
      </c>
      <c r="R347" s="2" t="s">
        <v>453</v>
      </c>
      <c r="S347" s="2" t="s">
        <v>35</v>
      </c>
      <c r="T347" s="150">
        <v>5.6909999999999998</v>
      </c>
      <c r="U347" s="2" t="s">
        <v>2402</v>
      </c>
      <c r="V347" s="162">
        <v>5.4800000000000001E-2</v>
      </c>
      <c r="W347" s="164">
        <v>5.5469999999999998E-2</v>
      </c>
      <c r="X347" s="4" t="s">
        <v>459</v>
      </c>
      <c r="Y347" s="4" t="s">
        <v>164</v>
      </c>
      <c r="Z347" s="150">
        <v>100000</v>
      </c>
      <c r="AA347" s="150">
        <v>1</v>
      </c>
      <c r="AB347" s="150">
        <v>101.42</v>
      </c>
      <c r="AD347" s="150">
        <v>101.42</v>
      </c>
      <c r="AG347" s="2" t="s">
        <v>37</v>
      </c>
      <c r="AH347" s="164">
        <v>3.3300000000000002E-4</v>
      </c>
      <c r="AI347" s="164">
        <v>1.65590558823378E-2</v>
      </c>
      <c r="AJ347" s="164">
        <v>1.38085379222561E-3</v>
      </c>
    </row>
    <row r="348" spans="1:36">
      <c r="A348" s="2" t="s">
        <v>144</v>
      </c>
      <c r="B348" s="2">
        <v>969</v>
      </c>
      <c r="C348" s="2" t="s">
        <v>2403</v>
      </c>
      <c r="D348" s="2" t="s">
        <v>2404</v>
      </c>
      <c r="E348" s="4" t="s">
        <v>1380</v>
      </c>
      <c r="F348" s="2" t="s">
        <v>2405</v>
      </c>
      <c r="G348" s="2" t="s">
        <v>2406</v>
      </c>
      <c r="H348" s="2" t="s">
        <v>368</v>
      </c>
      <c r="I348" s="2" t="s">
        <v>219</v>
      </c>
      <c r="J348" s="2" t="s">
        <v>31</v>
      </c>
      <c r="K348" s="2" t="s">
        <v>31</v>
      </c>
      <c r="L348" s="2" t="s">
        <v>374</v>
      </c>
      <c r="M348" s="2" t="s">
        <v>32</v>
      </c>
      <c r="N348" s="2" t="s">
        <v>508</v>
      </c>
      <c r="O348" s="2" t="s">
        <v>164</v>
      </c>
      <c r="P348" s="2" t="s">
        <v>2255</v>
      </c>
      <c r="Q348" s="2" t="s">
        <v>217</v>
      </c>
      <c r="R348" s="2" t="s">
        <v>453</v>
      </c>
      <c r="S348" s="2" t="s">
        <v>35</v>
      </c>
      <c r="T348" s="150">
        <v>2.75</v>
      </c>
      <c r="U348" s="2" t="s">
        <v>2407</v>
      </c>
      <c r="V348" s="162">
        <v>3.0000000000000001E-3</v>
      </c>
      <c r="W348" s="164">
        <v>2.997E-2</v>
      </c>
      <c r="X348" s="4" t="s">
        <v>459</v>
      </c>
      <c r="Y348" s="4" t="s">
        <v>164</v>
      </c>
      <c r="Z348" s="150">
        <v>69000</v>
      </c>
      <c r="AA348" s="150">
        <v>1</v>
      </c>
      <c r="AB348" s="150">
        <v>93.4</v>
      </c>
      <c r="AD348" s="150">
        <v>64.445999999999998</v>
      </c>
      <c r="AG348" s="2" t="s">
        <v>37</v>
      </c>
      <c r="AH348" s="164">
        <v>2.2800000000000001E-4</v>
      </c>
      <c r="AI348" s="164">
        <v>1.0522233439096199E-2</v>
      </c>
      <c r="AJ348" s="164">
        <v>8.77445311514213E-4</v>
      </c>
    </row>
    <row r="349" spans="1:36">
      <c r="A349" s="2" t="s">
        <v>144</v>
      </c>
      <c r="B349" s="2">
        <v>969</v>
      </c>
      <c r="C349" s="2" t="s">
        <v>2408</v>
      </c>
      <c r="D349" s="2" t="s">
        <v>2409</v>
      </c>
      <c r="E349" s="4" t="s">
        <v>1380</v>
      </c>
      <c r="F349" s="2" t="s">
        <v>2541</v>
      </c>
      <c r="G349" s="2" t="s">
        <v>2542</v>
      </c>
      <c r="H349" s="2" t="s">
        <v>368</v>
      </c>
      <c r="I349" s="2" t="s">
        <v>1011</v>
      </c>
      <c r="J349" s="2" t="s">
        <v>31</v>
      </c>
      <c r="K349" s="2" t="s">
        <v>31</v>
      </c>
      <c r="L349" s="2" t="s">
        <v>374</v>
      </c>
      <c r="M349" s="2" t="s">
        <v>32</v>
      </c>
      <c r="N349" s="2" t="s">
        <v>492</v>
      </c>
      <c r="O349" s="2" t="s">
        <v>164</v>
      </c>
      <c r="P349" s="2" t="s">
        <v>103</v>
      </c>
      <c r="Q349" s="2" t="s">
        <v>104</v>
      </c>
      <c r="R349" s="2" t="s">
        <v>453</v>
      </c>
      <c r="S349" s="2" t="s">
        <v>35</v>
      </c>
      <c r="T349" s="150">
        <v>1.157</v>
      </c>
      <c r="U349" s="2" t="s">
        <v>2543</v>
      </c>
      <c r="V349" s="162">
        <v>2.98E-2</v>
      </c>
      <c r="W349" s="164">
        <v>4.4519999999999997E-2</v>
      </c>
      <c r="X349" s="4" t="s">
        <v>459</v>
      </c>
      <c r="Y349" s="4" t="s">
        <v>164</v>
      </c>
      <c r="Z349" s="150">
        <v>150000</v>
      </c>
      <c r="AA349" s="150">
        <v>1</v>
      </c>
      <c r="AB349" s="150">
        <v>100.79</v>
      </c>
      <c r="AD349" s="150">
        <v>151.185</v>
      </c>
      <c r="AG349" s="2" t="s">
        <v>37</v>
      </c>
      <c r="AH349" s="164">
        <v>1.1400000000000001E-4</v>
      </c>
      <c r="AI349" s="164">
        <v>2.4684291693662298E-2</v>
      </c>
      <c r="AJ349" s="164">
        <v>2.0584143223982298E-3</v>
      </c>
    </row>
    <row r="350" spans="1:36">
      <c r="A350" s="2" t="s">
        <v>144</v>
      </c>
      <c r="B350" s="2">
        <v>969</v>
      </c>
      <c r="C350" s="2" t="s">
        <v>2408</v>
      </c>
      <c r="D350" s="2" t="s">
        <v>2409</v>
      </c>
      <c r="E350" s="4" t="s">
        <v>1380</v>
      </c>
      <c r="F350" s="2" t="s">
        <v>2410</v>
      </c>
      <c r="G350" s="2" t="s">
        <v>2411</v>
      </c>
      <c r="H350" s="2" t="s">
        <v>368</v>
      </c>
      <c r="I350" s="2" t="s">
        <v>219</v>
      </c>
      <c r="J350" s="2" t="s">
        <v>31</v>
      </c>
      <c r="K350" s="2" t="s">
        <v>31</v>
      </c>
      <c r="L350" s="2" t="s">
        <v>374</v>
      </c>
      <c r="M350" s="2" t="s">
        <v>32</v>
      </c>
      <c r="N350" s="2" t="s">
        <v>492</v>
      </c>
      <c r="O350" s="2" t="s">
        <v>164</v>
      </c>
      <c r="P350" s="2" t="s">
        <v>1396</v>
      </c>
      <c r="Q350" s="2" t="s">
        <v>104</v>
      </c>
      <c r="R350" s="2" t="s">
        <v>453</v>
      </c>
      <c r="S350" s="2" t="s">
        <v>35</v>
      </c>
      <c r="T350" s="150">
        <v>4.851</v>
      </c>
      <c r="U350" s="2" t="s">
        <v>2412</v>
      </c>
      <c r="V350" s="162">
        <v>3.3599999999999998E-2</v>
      </c>
      <c r="W350" s="164">
        <v>2.7230000000000001E-2</v>
      </c>
      <c r="X350" s="4" t="s">
        <v>459</v>
      </c>
      <c r="Y350" s="4" t="s">
        <v>164</v>
      </c>
      <c r="Z350" s="150">
        <v>100000</v>
      </c>
      <c r="AA350" s="150">
        <v>1</v>
      </c>
      <c r="AB350" s="150">
        <v>103.97</v>
      </c>
      <c r="AD350" s="150">
        <v>103.97</v>
      </c>
      <c r="AG350" s="2" t="s">
        <v>37</v>
      </c>
      <c r="AH350" s="164">
        <v>1.8000000000000001E-4</v>
      </c>
      <c r="AI350" s="164">
        <v>1.6975399724774801E-2</v>
      </c>
      <c r="AJ350" s="164">
        <v>1.41557255746102E-3</v>
      </c>
    </row>
    <row r="351" spans="1:36">
      <c r="A351" s="2" t="s">
        <v>144</v>
      </c>
      <c r="B351" s="2">
        <v>969</v>
      </c>
      <c r="C351" s="2" t="s">
        <v>2408</v>
      </c>
      <c r="D351" s="2" t="s">
        <v>2409</v>
      </c>
      <c r="E351" s="4" t="s">
        <v>1380</v>
      </c>
      <c r="F351" s="2" t="s">
        <v>2413</v>
      </c>
      <c r="G351" s="2" t="s">
        <v>2414</v>
      </c>
      <c r="H351" s="2" t="s">
        <v>368</v>
      </c>
      <c r="I351" s="2" t="s">
        <v>219</v>
      </c>
      <c r="J351" s="2" t="s">
        <v>31</v>
      </c>
      <c r="K351" s="2" t="s">
        <v>31</v>
      </c>
      <c r="L351" s="2" t="s">
        <v>374</v>
      </c>
      <c r="M351" s="2" t="s">
        <v>32</v>
      </c>
      <c r="N351" s="2" t="s">
        <v>492</v>
      </c>
      <c r="O351" s="2" t="s">
        <v>164</v>
      </c>
      <c r="P351" s="2" t="s">
        <v>103</v>
      </c>
      <c r="Q351" s="2" t="s">
        <v>104</v>
      </c>
      <c r="R351" s="2" t="s">
        <v>453</v>
      </c>
      <c r="S351" s="2" t="s">
        <v>35</v>
      </c>
      <c r="T351" s="150">
        <v>0.496</v>
      </c>
      <c r="U351" s="2" t="s">
        <v>2415</v>
      </c>
      <c r="V351" s="162">
        <v>8.6E-3</v>
      </c>
      <c r="W351" s="164">
        <v>1.3089999999999999E-2</v>
      </c>
      <c r="X351" s="4" t="s">
        <v>459</v>
      </c>
      <c r="Y351" s="4" t="s">
        <v>164</v>
      </c>
      <c r="Z351" s="150">
        <v>140000</v>
      </c>
      <c r="AA351" s="150">
        <v>1</v>
      </c>
      <c r="AB351" s="150">
        <v>113.09</v>
      </c>
      <c r="AD351" s="150">
        <v>158.32599999999999</v>
      </c>
      <c r="AG351" s="2" t="s">
        <v>37</v>
      </c>
      <c r="AH351" s="164">
        <v>5.5999999999999999E-5</v>
      </c>
      <c r="AI351" s="164">
        <v>2.5850217724581001E-2</v>
      </c>
      <c r="AJ351" s="164">
        <v>2.1556404802594302E-3</v>
      </c>
    </row>
    <row r="352" spans="1:36">
      <c r="A352" s="2" t="s">
        <v>144</v>
      </c>
      <c r="B352" s="2">
        <v>969</v>
      </c>
      <c r="C352" s="2" t="s">
        <v>2408</v>
      </c>
      <c r="D352" s="2" t="s">
        <v>2409</v>
      </c>
      <c r="E352" s="4" t="s">
        <v>1380</v>
      </c>
      <c r="F352" s="2" t="s">
        <v>2416</v>
      </c>
      <c r="G352" s="2" t="s">
        <v>2417</v>
      </c>
      <c r="H352" s="2" t="s">
        <v>368</v>
      </c>
      <c r="I352" s="2" t="s">
        <v>219</v>
      </c>
      <c r="J352" s="2" t="s">
        <v>31</v>
      </c>
      <c r="K352" s="2" t="s">
        <v>31</v>
      </c>
      <c r="L352" s="2" t="s">
        <v>374</v>
      </c>
      <c r="M352" s="2" t="s">
        <v>32</v>
      </c>
      <c r="N352" s="2" t="s">
        <v>492</v>
      </c>
      <c r="O352" s="2" t="s">
        <v>164</v>
      </c>
      <c r="P352" s="2" t="s">
        <v>103</v>
      </c>
      <c r="Q352" s="2" t="s">
        <v>104</v>
      </c>
      <c r="R352" s="2" t="s">
        <v>453</v>
      </c>
      <c r="S352" s="2" t="s">
        <v>35</v>
      </c>
      <c r="T352" s="150">
        <v>5.93</v>
      </c>
      <c r="U352" s="2" t="s">
        <v>2418</v>
      </c>
      <c r="V352" s="162">
        <v>2.2013000000000001E-2</v>
      </c>
      <c r="W352" s="164">
        <v>1.9910000000000001E-2</v>
      </c>
      <c r="X352" s="4" t="s">
        <v>459</v>
      </c>
      <c r="Y352" s="4" t="s">
        <v>164</v>
      </c>
      <c r="Z352" s="150">
        <v>210000</v>
      </c>
      <c r="AA352" s="150">
        <v>1</v>
      </c>
      <c r="AB352" s="150">
        <v>113.48</v>
      </c>
      <c r="AD352" s="150">
        <v>238.30799999999999</v>
      </c>
      <c r="AG352" s="2" t="s">
        <v>37</v>
      </c>
      <c r="AH352" s="164">
        <v>2.99E-4</v>
      </c>
      <c r="AI352" s="164">
        <v>3.8909046432736599E-2</v>
      </c>
      <c r="AJ352" s="164">
        <v>3.2446115708706399E-3</v>
      </c>
    </row>
    <row r="353" spans="1:36">
      <c r="A353" s="2" t="s">
        <v>144</v>
      </c>
      <c r="B353" s="2">
        <v>969</v>
      </c>
      <c r="C353" s="2" t="s">
        <v>1974</v>
      </c>
      <c r="D353" s="2" t="s">
        <v>1975</v>
      </c>
      <c r="E353" s="4" t="s">
        <v>1380</v>
      </c>
      <c r="F353" s="2" t="s">
        <v>2419</v>
      </c>
      <c r="G353" s="2" t="s">
        <v>2420</v>
      </c>
      <c r="H353" s="2" t="s">
        <v>368</v>
      </c>
      <c r="I353" s="2" t="s">
        <v>219</v>
      </c>
      <c r="J353" s="2" t="s">
        <v>31</v>
      </c>
      <c r="K353" s="2" t="s">
        <v>31</v>
      </c>
      <c r="L353" s="2" t="s">
        <v>374</v>
      </c>
      <c r="M353" s="2" t="s">
        <v>32</v>
      </c>
      <c r="N353" s="2" t="s">
        <v>508</v>
      </c>
      <c r="O353" s="2" t="s">
        <v>164</v>
      </c>
      <c r="P353" s="2" t="s">
        <v>2274</v>
      </c>
      <c r="Q353" s="2" t="s">
        <v>217</v>
      </c>
      <c r="R353" s="2" t="s">
        <v>453</v>
      </c>
      <c r="S353" s="2" t="s">
        <v>35</v>
      </c>
      <c r="T353" s="150">
        <v>6.45</v>
      </c>
      <c r="U353" s="2" t="s">
        <v>2421</v>
      </c>
      <c r="V353" s="162">
        <v>3.61E-2</v>
      </c>
      <c r="W353" s="164">
        <v>2.9960000000000001E-2</v>
      </c>
      <c r="X353" s="4" t="s">
        <v>459</v>
      </c>
      <c r="Y353" s="4" t="s">
        <v>164</v>
      </c>
      <c r="Z353" s="150">
        <v>70000</v>
      </c>
      <c r="AA353" s="150">
        <v>1</v>
      </c>
      <c r="AB353" s="150">
        <v>107.22</v>
      </c>
      <c r="AD353" s="150">
        <v>75.054000000000002</v>
      </c>
      <c r="AG353" s="2" t="s">
        <v>37</v>
      </c>
      <c r="AH353" s="164">
        <v>1.5200000000000001E-4</v>
      </c>
      <c r="AI353" s="164">
        <v>1.2254223823634201E-2</v>
      </c>
      <c r="AJ353" s="164">
        <v>1.0218753748935201E-3</v>
      </c>
    </row>
    <row r="354" spans="1:36">
      <c r="A354" s="2" t="s">
        <v>144</v>
      </c>
      <c r="B354" s="2">
        <v>969</v>
      </c>
      <c r="C354" s="2" t="s">
        <v>1982</v>
      </c>
      <c r="D354" s="2" t="s">
        <v>1522</v>
      </c>
      <c r="E354" s="4" t="s">
        <v>1380</v>
      </c>
      <c r="F354" s="2" t="s">
        <v>2422</v>
      </c>
      <c r="G354" s="2" t="s">
        <v>2423</v>
      </c>
      <c r="H354" s="2" t="s">
        <v>368</v>
      </c>
      <c r="I354" s="2" t="s">
        <v>1011</v>
      </c>
      <c r="J354" s="2" t="s">
        <v>31</v>
      </c>
      <c r="K354" s="2" t="s">
        <v>31</v>
      </c>
      <c r="L354" s="2" t="s">
        <v>374</v>
      </c>
      <c r="M354" s="2" t="s">
        <v>32</v>
      </c>
      <c r="N354" s="2" t="s">
        <v>487</v>
      </c>
      <c r="O354" s="2" t="s">
        <v>164</v>
      </c>
      <c r="P354" s="2" t="s">
        <v>2311</v>
      </c>
      <c r="Q354" s="2" t="s">
        <v>104</v>
      </c>
      <c r="R354" s="2" t="s">
        <v>453</v>
      </c>
      <c r="S354" s="2" t="s">
        <v>35</v>
      </c>
      <c r="T354" s="150">
        <v>1.4410000000000001</v>
      </c>
      <c r="U354" s="2" t="s">
        <v>2424</v>
      </c>
      <c r="V354" s="162">
        <v>0.114</v>
      </c>
      <c r="W354" s="164">
        <v>6.4250000000000002E-2</v>
      </c>
      <c r="X354" s="4" t="s">
        <v>459</v>
      </c>
      <c r="Y354" s="4" t="s">
        <v>164</v>
      </c>
      <c r="Z354" s="150">
        <v>170185</v>
      </c>
      <c r="AA354" s="150">
        <v>1</v>
      </c>
      <c r="AB354" s="150">
        <v>100.84</v>
      </c>
      <c r="AD354" s="150">
        <v>171.61500000000001</v>
      </c>
      <c r="AG354" s="2" t="s">
        <v>37</v>
      </c>
      <c r="AH354" s="164">
        <v>5.3200000000000003E-4</v>
      </c>
      <c r="AI354" s="164">
        <v>2.8019867776656202E-2</v>
      </c>
      <c r="AJ354" s="164">
        <v>2.3365668279629898E-3</v>
      </c>
    </row>
    <row r="355" spans="1:36">
      <c r="A355" s="2" t="s">
        <v>144</v>
      </c>
      <c r="B355" s="2">
        <v>969</v>
      </c>
      <c r="C355" s="2" t="s">
        <v>2428</v>
      </c>
      <c r="D355" s="2" t="s">
        <v>2429</v>
      </c>
      <c r="E355" s="4" t="s">
        <v>1380</v>
      </c>
      <c r="F355" s="2" t="s">
        <v>2430</v>
      </c>
      <c r="G355" s="2" t="s">
        <v>2431</v>
      </c>
      <c r="H355" s="2" t="s">
        <v>368</v>
      </c>
      <c r="I355" s="2" t="s">
        <v>219</v>
      </c>
      <c r="J355" s="2" t="s">
        <v>31</v>
      </c>
      <c r="K355" s="2" t="s">
        <v>31</v>
      </c>
      <c r="L355" s="2" t="s">
        <v>374</v>
      </c>
      <c r="M355" s="2" t="s">
        <v>32</v>
      </c>
      <c r="N355" s="2" t="s">
        <v>491</v>
      </c>
      <c r="O355" s="2" t="s">
        <v>164</v>
      </c>
      <c r="P355" s="2" t="s">
        <v>1374</v>
      </c>
      <c r="Q355" s="2" t="s">
        <v>104</v>
      </c>
      <c r="R355" s="2" t="s">
        <v>453</v>
      </c>
      <c r="S355" s="2" t="s">
        <v>35</v>
      </c>
      <c r="T355" s="150">
        <v>3.6669999999999998</v>
      </c>
      <c r="U355" s="2" t="s">
        <v>2432</v>
      </c>
      <c r="V355" s="162">
        <v>2.07E-2</v>
      </c>
      <c r="W355" s="164">
        <v>4.2130000000000001E-2</v>
      </c>
      <c r="X355" s="4" t="s">
        <v>459</v>
      </c>
      <c r="Y355" s="4" t="s">
        <v>164</v>
      </c>
      <c r="Z355" s="150">
        <v>138535</v>
      </c>
      <c r="AA355" s="150">
        <v>1</v>
      </c>
      <c r="AB355" s="150">
        <v>101.49</v>
      </c>
      <c r="AD355" s="150">
        <v>140.59899999999999</v>
      </c>
      <c r="AG355" s="2" t="s">
        <v>37</v>
      </c>
      <c r="AH355" s="164">
        <v>2.99E-4</v>
      </c>
      <c r="AI355" s="164">
        <v>2.2955921296380299E-2</v>
      </c>
      <c r="AJ355" s="164">
        <v>1.91428612847124E-3</v>
      </c>
    </row>
    <row r="356" spans="1:36">
      <c r="A356" s="2" t="s">
        <v>144</v>
      </c>
      <c r="B356" s="2">
        <v>969</v>
      </c>
      <c r="C356" s="2" t="s">
        <v>2433</v>
      </c>
      <c r="D356" s="2" t="s">
        <v>2434</v>
      </c>
      <c r="E356" s="4" t="s">
        <v>1380</v>
      </c>
      <c r="F356" s="2" t="s">
        <v>2435</v>
      </c>
      <c r="G356" s="2" t="s">
        <v>2436</v>
      </c>
      <c r="H356" s="2" t="s">
        <v>368</v>
      </c>
      <c r="I356" s="2" t="s">
        <v>219</v>
      </c>
      <c r="J356" s="2" t="s">
        <v>31</v>
      </c>
      <c r="K356" s="2" t="s">
        <v>31</v>
      </c>
      <c r="L356" s="2" t="s">
        <v>374</v>
      </c>
      <c r="M356" s="2" t="s">
        <v>32</v>
      </c>
      <c r="N356" s="2" t="s">
        <v>522</v>
      </c>
      <c r="O356" s="2" t="s">
        <v>164</v>
      </c>
      <c r="P356" s="2" t="s">
        <v>216</v>
      </c>
      <c r="Q356" s="2" t="s">
        <v>217</v>
      </c>
      <c r="R356" s="2" t="s">
        <v>453</v>
      </c>
      <c r="S356" s="2" t="s">
        <v>35</v>
      </c>
      <c r="T356" s="150">
        <v>12.143000000000001</v>
      </c>
      <c r="U356" s="2" t="s">
        <v>2437</v>
      </c>
      <c r="V356" s="162">
        <v>2.07E-2</v>
      </c>
      <c r="W356" s="164">
        <v>2.7869999999999999E-2</v>
      </c>
      <c r="X356" s="4" t="s">
        <v>459</v>
      </c>
      <c r="Y356" s="4" t="s">
        <v>164</v>
      </c>
      <c r="Z356" s="150">
        <v>65829.789999999994</v>
      </c>
      <c r="AA356" s="150">
        <v>1</v>
      </c>
      <c r="AB356" s="150">
        <v>101.58</v>
      </c>
      <c r="AD356" s="150">
        <v>66.87</v>
      </c>
      <c r="AG356" s="2" t="s">
        <v>37</v>
      </c>
      <c r="AH356" s="164">
        <v>1.4E-5</v>
      </c>
      <c r="AI356" s="164">
        <v>1.09179887816961E-2</v>
      </c>
      <c r="AJ356" s="164">
        <v>9.1044720905629505E-4</v>
      </c>
    </row>
    <row r="357" spans="1:36">
      <c r="A357" s="2" t="s">
        <v>144</v>
      </c>
      <c r="B357" s="2">
        <v>969</v>
      </c>
      <c r="C357" s="2" t="s">
        <v>2438</v>
      </c>
      <c r="D357" s="2" t="s">
        <v>2439</v>
      </c>
      <c r="E357" s="4" t="s">
        <v>1380</v>
      </c>
      <c r="F357" s="2" t="s">
        <v>2440</v>
      </c>
      <c r="G357" s="2" t="s">
        <v>2441</v>
      </c>
      <c r="H357" s="2" t="s">
        <v>368</v>
      </c>
      <c r="I357" s="2" t="s">
        <v>1011</v>
      </c>
      <c r="J357" s="2" t="s">
        <v>31</v>
      </c>
      <c r="K357" s="2" t="s">
        <v>31</v>
      </c>
      <c r="L357" s="2" t="s">
        <v>374</v>
      </c>
      <c r="M357" s="2" t="s">
        <v>2442</v>
      </c>
      <c r="N357" s="2" t="s">
        <v>498</v>
      </c>
      <c r="O357" s="2" t="s">
        <v>164</v>
      </c>
      <c r="P357" s="2" t="s">
        <v>2255</v>
      </c>
      <c r="Q357" s="2" t="s">
        <v>217</v>
      </c>
      <c r="R357" s="2" t="s">
        <v>453</v>
      </c>
      <c r="S357" s="2" t="s">
        <v>35</v>
      </c>
      <c r="T357" s="150">
        <v>4.1399999999999997</v>
      </c>
      <c r="U357" s="2" t="s">
        <v>2443</v>
      </c>
      <c r="V357" s="162">
        <v>6.7000000000000004E-2</v>
      </c>
      <c r="W357" s="164">
        <v>6.089E-2</v>
      </c>
      <c r="X357" s="4" t="s">
        <v>459</v>
      </c>
      <c r="Y357" s="4" t="s">
        <v>164</v>
      </c>
      <c r="Z357" s="150">
        <v>48000</v>
      </c>
      <c r="AA357" s="150">
        <v>1</v>
      </c>
      <c r="AB357" s="150">
        <v>103.21</v>
      </c>
      <c r="AD357" s="150">
        <v>49.540999999999997</v>
      </c>
      <c r="AG357" s="2" t="s">
        <v>37</v>
      </c>
      <c r="AH357" s="164">
        <v>0</v>
      </c>
      <c r="AI357" s="164">
        <v>8.0886302076091394E-3</v>
      </c>
      <c r="AJ357" s="164">
        <v>6.7450800187231696E-4</v>
      </c>
    </row>
    <row r="358" spans="1:36">
      <c r="A358" s="2" t="s">
        <v>144</v>
      </c>
      <c r="B358" s="2">
        <v>969</v>
      </c>
      <c r="C358" s="2" t="s">
        <v>2444</v>
      </c>
      <c r="D358" s="2" t="s">
        <v>2445</v>
      </c>
      <c r="E358" s="4" t="s">
        <v>1380</v>
      </c>
      <c r="F358" s="2" t="s">
        <v>2446</v>
      </c>
      <c r="G358" s="2" t="s">
        <v>2447</v>
      </c>
      <c r="H358" s="2" t="s">
        <v>368</v>
      </c>
      <c r="I358" s="2" t="s">
        <v>219</v>
      </c>
      <c r="J358" s="2" t="s">
        <v>31</v>
      </c>
      <c r="K358" s="2" t="s">
        <v>31</v>
      </c>
      <c r="L358" s="2" t="s">
        <v>374</v>
      </c>
      <c r="M358" s="2" t="s">
        <v>32</v>
      </c>
      <c r="N358" s="2" t="s">
        <v>485</v>
      </c>
      <c r="O358" s="2" t="s">
        <v>164</v>
      </c>
      <c r="P358" s="2" t="s">
        <v>1527</v>
      </c>
      <c r="Q358" s="2" t="s">
        <v>204</v>
      </c>
      <c r="R358" s="2" t="s">
        <v>455</v>
      </c>
      <c r="S358" s="2" t="s">
        <v>35</v>
      </c>
      <c r="T358" s="150">
        <v>2.7650000000000001</v>
      </c>
      <c r="U358" s="2" t="s">
        <v>1375</v>
      </c>
      <c r="V358" s="162">
        <v>1.4800000000000001E-2</v>
      </c>
      <c r="W358" s="164">
        <v>3.6080000000000001E-2</v>
      </c>
      <c r="X358" s="4" t="s">
        <v>459</v>
      </c>
      <c r="Y358" s="4" t="s">
        <v>164</v>
      </c>
      <c r="Z358" s="150">
        <v>56637</v>
      </c>
      <c r="AA358" s="150">
        <v>1</v>
      </c>
      <c r="AB358" s="150">
        <v>103.65</v>
      </c>
      <c r="AD358" s="150">
        <v>58.704000000000001</v>
      </c>
      <c r="AG358" s="2" t="s">
        <v>37</v>
      </c>
      <c r="AH358" s="164">
        <v>6.4999999999999994E-5</v>
      </c>
      <c r="AI358" s="164">
        <v>9.5847659688449507E-3</v>
      </c>
      <c r="AJ358" s="164">
        <v>7.9927023193341598E-4</v>
      </c>
    </row>
    <row r="359" spans="1:36">
      <c r="A359" s="2" t="s">
        <v>144</v>
      </c>
      <c r="B359" s="2">
        <v>969</v>
      </c>
      <c r="C359" s="2" t="s">
        <v>2444</v>
      </c>
      <c r="D359" s="2" t="s">
        <v>2445</v>
      </c>
      <c r="E359" s="4" t="s">
        <v>1380</v>
      </c>
      <c r="F359" s="2" t="s">
        <v>2448</v>
      </c>
      <c r="G359" s="2" t="s">
        <v>2449</v>
      </c>
      <c r="H359" s="2" t="s">
        <v>368</v>
      </c>
      <c r="I359" s="2" t="s">
        <v>1011</v>
      </c>
      <c r="J359" s="2" t="s">
        <v>31</v>
      </c>
      <c r="K359" s="2" t="s">
        <v>31</v>
      </c>
      <c r="L359" s="2" t="s">
        <v>374</v>
      </c>
      <c r="M359" s="2" t="s">
        <v>32</v>
      </c>
      <c r="N359" s="2" t="s">
        <v>485</v>
      </c>
      <c r="O359" s="2" t="s">
        <v>164</v>
      </c>
      <c r="P359" s="2" t="s">
        <v>1527</v>
      </c>
      <c r="Q359" s="2" t="s">
        <v>204</v>
      </c>
      <c r="R359" s="2" t="s">
        <v>455</v>
      </c>
      <c r="S359" s="2" t="s">
        <v>35</v>
      </c>
      <c r="T359" s="150">
        <v>3.9910000000000001</v>
      </c>
      <c r="U359" s="2" t="s">
        <v>2450</v>
      </c>
      <c r="V359" s="162">
        <v>6.9500000000000006E-2</v>
      </c>
      <c r="W359" s="164">
        <v>6.2260000000000003E-2</v>
      </c>
      <c r="X359" s="4" t="s">
        <v>459</v>
      </c>
      <c r="Y359" s="4" t="s">
        <v>164</v>
      </c>
      <c r="Z359" s="150">
        <v>70000</v>
      </c>
      <c r="AA359" s="150">
        <v>1</v>
      </c>
      <c r="AB359" s="150">
        <v>105</v>
      </c>
      <c r="AD359" s="150">
        <v>73.5</v>
      </c>
      <c r="AG359" s="2" t="s">
        <v>37</v>
      </c>
      <c r="AH359" s="164">
        <v>2.99E-4</v>
      </c>
      <c r="AI359" s="164">
        <v>1.20004989878902E-2</v>
      </c>
      <c r="AJ359" s="164">
        <v>1.0007173509029999E-3</v>
      </c>
    </row>
    <row r="360" spans="1:36">
      <c r="A360" s="2" t="s">
        <v>144</v>
      </c>
      <c r="B360" s="2">
        <v>969</v>
      </c>
      <c r="C360" s="2" t="s">
        <v>2451</v>
      </c>
      <c r="D360" s="2" t="s">
        <v>2452</v>
      </c>
      <c r="E360" s="4" t="s">
        <v>360</v>
      </c>
      <c r="F360" s="2" t="s">
        <v>2453</v>
      </c>
      <c r="G360" s="2" t="s">
        <v>2454</v>
      </c>
      <c r="H360" s="2" t="s">
        <v>368</v>
      </c>
      <c r="I360" s="2" t="s">
        <v>1011</v>
      </c>
      <c r="J360" s="2" t="s">
        <v>100</v>
      </c>
      <c r="K360" s="2" t="s">
        <v>101</v>
      </c>
      <c r="L360" s="2" t="s">
        <v>374</v>
      </c>
      <c r="M360" s="2" t="s">
        <v>32</v>
      </c>
      <c r="N360" s="2" t="s">
        <v>509</v>
      </c>
      <c r="O360" s="2" t="s">
        <v>164</v>
      </c>
      <c r="P360" s="2" t="s">
        <v>2274</v>
      </c>
      <c r="Q360" s="2" t="s">
        <v>217</v>
      </c>
      <c r="R360" s="2" t="s">
        <v>453</v>
      </c>
      <c r="S360" s="2" t="s">
        <v>35</v>
      </c>
      <c r="T360" s="150">
        <v>2.5939999999999999</v>
      </c>
      <c r="U360" s="2" t="s">
        <v>1375</v>
      </c>
      <c r="V360" s="162">
        <v>3.49E-2</v>
      </c>
      <c r="W360" s="164">
        <v>6.2030000000000002E-2</v>
      </c>
      <c r="X360" s="4" t="s">
        <v>459</v>
      </c>
      <c r="Y360" s="4" t="s">
        <v>164</v>
      </c>
      <c r="Z360" s="150">
        <v>87800</v>
      </c>
      <c r="AA360" s="150">
        <v>1</v>
      </c>
      <c r="AB360" s="150">
        <v>94.38</v>
      </c>
      <c r="AD360" s="150">
        <v>82.866</v>
      </c>
      <c r="AG360" s="2" t="s">
        <v>37</v>
      </c>
      <c r="AH360" s="164">
        <v>1.27E-4</v>
      </c>
      <c r="AI360" s="164">
        <v>1.3529646652392899E-2</v>
      </c>
      <c r="AJ360" s="164">
        <v>1.12823243185961E-3</v>
      </c>
    </row>
    <row r="361" spans="1:36">
      <c r="A361" s="2" t="s">
        <v>144</v>
      </c>
      <c r="B361" s="2">
        <v>969</v>
      </c>
      <c r="C361" s="2" t="s">
        <v>2001</v>
      </c>
      <c r="D361" s="2" t="s">
        <v>2002</v>
      </c>
      <c r="E361" s="4" t="s">
        <v>1380</v>
      </c>
      <c r="F361" s="2" t="s">
        <v>2455</v>
      </c>
      <c r="G361" s="2" t="s">
        <v>2456</v>
      </c>
      <c r="H361" s="2" t="s">
        <v>368</v>
      </c>
      <c r="I361" s="2" t="s">
        <v>1011</v>
      </c>
      <c r="J361" s="2" t="s">
        <v>31</v>
      </c>
      <c r="K361" s="2" t="s">
        <v>31</v>
      </c>
      <c r="L361" s="2" t="s">
        <v>374</v>
      </c>
      <c r="M361" s="2" t="s">
        <v>32</v>
      </c>
      <c r="N361" s="2" t="s">
        <v>529</v>
      </c>
      <c r="O361" s="2" t="s">
        <v>164</v>
      </c>
      <c r="P361" s="2" t="s">
        <v>2285</v>
      </c>
      <c r="Q361" s="2" t="s">
        <v>217</v>
      </c>
      <c r="R361" s="2" t="s">
        <v>453</v>
      </c>
      <c r="S361" s="2" t="s">
        <v>35</v>
      </c>
      <c r="T361" s="150">
        <v>3.673</v>
      </c>
      <c r="U361" s="2" t="s">
        <v>2457</v>
      </c>
      <c r="V361" s="162">
        <v>4.7300000000000002E-2</v>
      </c>
      <c r="W361" s="164">
        <v>5.1670000000000001E-2</v>
      </c>
      <c r="X361" s="4" t="s">
        <v>459</v>
      </c>
      <c r="Y361" s="4" t="s">
        <v>164</v>
      </c>
      <c r="Z361" s="150">
        <v>70000</v>
      </c>
      <c r="AA361" s="150">
        <v>1</v>
      </c>
      <c r="AB361" s="150">
        <v>99.88</v>
      </c>
      <c r="AD361" s="150">
        <v>69.915999999999997</v>
      </c>
      <c r="AG361" s="2" t="s">
        <v>37</v>
      </c>
      <c r="AH361" s="164">
        <v>1.7699999999999999E-4</v>
      </c>
      <c r="AI361" s="164">
        <v>1.14153317991474E-2</v>
      </c>
      <c r="AJ361" s="164">
        <v>9.5192046674468097E-4</v>
      </c>
    </row>
    <row r="362" spans="1:36">
      <c r="A362" s="2" t="s">
        <v>144</v>
      </c>
      <c r="B362" s="2">
        <v>969</v>
      </c>
      <c r="C362" s="2" t="s">
        <v>2005</v>
      </c>
      <c r="D362" s="2" t="s">
        <v>2006</v>
      </c>
      <c r="E362" s="4" t="s">
        <v>1380</v>
      </c>
      <c r="F362" s="2" t="s">
        <v>2458</v>
      </c>
      <c r="G362" s="2" t="s">
        <v>2459</v>
      </c>
      <c r="H362" s="2" t="s">
        <v>368</v>
      </c>
      <c r="I362" s="2" t="s">
        <v>219</v>
      </c>
      <c r="J362" s="2" t="s">
        <v>31</v>
      </c>
      <c r="K362" s="2" t="s">
        <v>31</v>
      </c>
      <c r="L362" s="2" t="s">
        <v>374</v>
      </c>
      <c r="M362" s="2" t="s">
        <v>32</v>
      </c>
      <c r="N362" s="2" t="s">
        <v>508</v>
      </c>
      <c r="O362" s="2" t="s">
        <v>164</v>
      </c>
      <c r="P362" s="2" t="s">
        <v>2460</v>
      </c>
      <c r="Q362" s="2" t="s">
        <v>104</v>
      </c>
      <c r="R362" s="2" t="s">
        <v>453</v>
      </c>
      <c r="S362" s="2" t="s">
        <v>35</v>
      </c>
      <c r="T362" s="150">
        <v>2.8639999999999999</v>
      </c>
      <c r="U362" s="2" t="s">
        <v>1520</v>
      </c>
      <c r="V362" s="162">
        <v>1.77E-2</v>
      </c>
      <c r="W362" s="164">
        <v>2.0539999999999999E-2</v>
      </c>
      <c r="X362" s="4" t="s">
        <v>459</v>
      </c>
      <c r="Y362" s="4" t="s">
        <v>164</v>
      </c>
      <c r="Z362" s="150">
        <v>119000</v>
      </c>
      <c r="AA362" s="150">
        <v>1</v>
      </c>
      <c r="AB362" s="150">
        <v>111.11</v>
      </c>
      <c r="AD362" s="150">
        <v>132.221</v>
      </c>
      <c r="AG362" s="2" t="s">
        <v>37</v>
      </c>
      <c r="AH362" s="164">
        <v>4.3000000000000002E-5</v>
      </c>
      <c r="AI362" s="164">
        <v>2.15879833554821E-2</v>
      </c>
      <c r="AJ362" s="164">
        <v>1.8002142691430001E-3</v>
      </c>
    </row>
    <row r="363" spans="1:36">
      <c r="A363" s="2" t="s">
        <v>144</v>
      </c>
      <c r="B363" s="2">
        <v>969</v>
      </c>
      <c r="C363" s="2" t="s">
        <v>2005</v>
      </c>
      <c r="D363" s="2" t="s">
        <v>2006</v>
      </c>
      <c r="E363" s="4" t="s">
        <v>1380</v>
      </c>
      <c r="F363" s="2" t="s">
        <v>2461</v>
      </c>
      <c r="G363" s="2" t="s">
        <v>2462</v>
      </c>
      <c r="H363" s="2" t="s">
        <v>368</v>
      </c>
      <c r="I363" s="2" t="s">
        <v>219</v>
      </c>
      <c r="J363" s="2" t="s">
        <v>31</v>
      </c>
      <c r="K363" s="2" t="s">
        <v>31</v>
      </c>
      <c r="L363" s="2" t="s">
        <v>374</v>
      </c>
      <c r="M363" s="2" t="s">
        <v>32</v>
      </c>
      <c r="N363" s="2" t="s">
        <v>508</v>
      </c>
      <c r="O363" s="2" t="s">
        <v>164</v>
      </c>
      <c r="P363" s="2" t="s">
        <v>1559</v>
      </c>
      <c r="Q363" s="2" t="s">
        <v>217</v>
      </c>
      <c r="R363" s="2" t="s">
        <v>453</v>
      </c>
      <c r="S363" s="2" t="s">
        <v>35</v>
      </c>
      <c r="T363" s="150">
        <v>10.805</v>
      </c>
      <c r="U363" s="2" t="s">
        <v>2463</v>
      </c>
      <c r="V363" s="162">
        <v>1.6899999999999998E-2</v>
      </c>
      <c r="W363" s="164">
        <v>3.1899999999999998E-2</v>
      </c>
      <c r="X363" s="4" t="s">
        <v>459</v>
      </c>
      <c r="Y363" s="4" t="s">
        <v>164</v>
      </c>
      <c r="Z363" s="150">
        <v>111422</v>
      </c>
      <c r="AA363" s="150">
        <v>1</v>
      </c>
      <c r="AB363" s="150">
        <v>94.27</v>
      </c>
      <c r="AD363" s="150">
        <v>105.038</v>
      </c>
      <c r="AG363" s="2" t="s">
        <v>37</v>
      </c>
      <c r="AH363" s="164">
        <v>4.1999999999999998E-5</v>
      </c>
      <c r="AI363" s="164">
        <v>1.71496958537442E-2</v>
      </c>
      <c r="AJ363" s="164">
        <v>1.4301070497876199E-3</v>
      </c>
    </row>
    <row r="364" spans="1:36">
      <c r="A364" s="2" t="s">
        <v>144</v>
      </c>
      <c r="B364" s="2">
        <v>969</v>
      </c>
      <c r="C364" s="2" t="s">
        <v>2009</v>
      </c>
      <c r="D364" s="2" t="s">
        <v>2010</v>
      </c>
      <c r="E364" s="4" t="s">
        <v>1380</v>
      </c>
      <c r="F364" s="2" t="s">
        <v>2464</v>
      </c>
      <c r="G364" s="2" t="s">
        <v>2465</v>
      </c>
      <c r="H364" s="2" t="s">
        <v>368</v>
      </c>
      <c r="I364" s="2" t="s">
        <v>219</v>
      </c>
      <c r="J364" s="2" t="s">
        <v>31</v>
      </c>
      <c r="K364" s="2" t="s">
        <v>31</v>
      </c>
      <c r="L364" s="2" t="s">
        <v>374</v>
      </c>
      <c r="M364" s="2" t="s">
        <v>32</v>
      </c>
      <c r="N364" s="2" t="s">
        <v>492</v>
      </c>
      <c r="O364" s="2" t="s">
        <v>164</v>
      </c>
      <c r="P364" s="2" t="s">
        <v>2399</v>
      </c>
      <c r="Q364" s="2" t="s">
        <v>104</v>
      </c>
      <c r="R364" s="2" t="s">
        <v>453</v>
      </c>
      <c r="S364" s="2" t="s">
        <v>35</v>
      </c>
      <c r="T364" s="150">
        <v>5.194</v>
      </c>
      <c r="U364" s="2" t="s">
        <v>2466</v>
      </c>
      <c r="V364" s="162">
        <v>3.7100000000000001E-2</v>
      </c>
      <c r="W364" s="164">
        <v>2.5149999999999999E-2</v>
      </c>
      <c r="X364" s="4" t="s">
        <v>459</v>
      </c>
      <c r="Y364" s="4" t="s">
        <v>164</v>
      </c>
      <c r="Z364" s="150">
        <v>100000</v>
      </c>
      <c r="AA364" s="150">
        <v>1</v>
      </c>
      <c r="AB364" s="150">
        <v>106.68</v>
      </c>
      <c r="AD364" s="150">
        <v>106.68</v>
      </c>
      <c r="AG364" s="2" t="s">
        <v>37</v>
      </c>
      <c r="AH364" s="164">
        <v>2.5999999999999998E-4</v>
      </c>
      <c r="AI364" s="164">
        <v>1.74178671024235E-2</v>
      </c>
      <c r="AJ364" s="164">
        <v>1.45246975502492E-3</v>
      </c>
    </row>
    <row r="365" spans="1:36">
      <c r="A365" s="2" t="s">
        <v>144</v>
      </c>
      <c r="B365" s="2">
        <v>969</v>
      </c>
      <c r="C365" s="2" t="s">
        <v>2467</v>
      </c>
      <c r="D365" s="2" t="s">
        <v>2468</v>
      </c>
      <c r="E365" s="4" t="s">
        <v>1380</v>
      </c>
      <c r="F365" s="2" t="s">
        <v>2469</v>
      </c>
      <c r="G365" s="2" t="s">
        <v>2470</v>
      </c>
      <c r="H365" s="2" t="s">
        <v>368</v>
      </c>
      <c r="I365" s="2" t="s">
        <v>1011</v>
      </c>
      <c r="J365" s="2" t="s">
        <v>31</v>
      </c>
      <c r="K365" s="2" t="s">
        <v>31</v>
      </c>
      <c r="L365" s="2" t="s">
        <v>374</v>
      </c>
      <c r="M365" s="2" t="s">
        <v>32</v>
      </c>
      <c r="N365" s="2" t="s">
        <v>489</v>
      </c>
      <c r="O365" s="2" t="s">
        <v>164</v>
      </c>
      <c r="P365" s="2" t="s">
        <v>1396</v>
      </c>
      <c r="Q365" s="2" t="s">
        <v>217</v>
      </c>
      <c r="R365" s="2" t="s">
        <v>453</v>
      </c>
      <c r="S365" s="2" t="s">
        <v>35</v>
      </c>
      <c r="T365" s="150">
        <v>5.4459999999999997</v>
      </c>
      <c r="U365" s="2" t="s">
        <v>2450</v>
      </c>
      <c r="V365" s="162">
        <v>4.6899999999999997E-2</v>
      </c>
      <c r="W365" s="164">
        <v>4.9889999999999997E-2</v>
      </c>
      <c r="X365" s="4" t="s">
        <v>459</v>
      </c>
      <c r="Y365" s="4" t="s">
        <v>164</v>
      </c>
      <c r="Z365" s="150">
        <v>100000</v>
      </c>
      <c r="AA365" s="150">
        <v>1</v>
      </c>
      <c r="AB365" s="150">
        <v>98.9</v>
      </c>
      <c r="AD365" s="150">
        <v>98.9</v>
      </c>
      <c r="AG365" s="2" t="s">
        <v>37</v>
      </c>
      <c r="AH365" s="164">
        <v>0</v>
      </c>
      <c r="AI365" s="164">
        <v>1.6147610202753002E-2</v>
      </c>
      <c r="AJ365" s="164">
        <v>1.3465434830517899E-3</v>
      </c>
    </row>
    <row r="366" spans="1:36">
      <c r="A366" s="2" t="s">
        <v>144</v>
      </c>
      <c r="B366" s="2">
        <v>969</v>
      </c>
      <c r="C366" s="2" t="s">
        <v>2017</v>
      </c>
      <c r="D366" s="2" t="s">
        <v>2018</v>
      </c>
      <c r="E366" s="4" t="s">
        <v>1380</v>
      </c>
      <c r="F366" s="2" t="s">
        <v>2552</v>
      </c>
      <c r="G366" s="2" t="s">
        <v>2553</v>
      </c>
      <c r="H366" s="2" t="s">
        <v>368</v>
      </c>
      <c r="I366" s="2" t="s">
        <v>1011</v>
      </c>
      <c r="J366" s="2" t="s">
        <v>31</v>
      </c>
      <c r="K366" s="2" t="s">
        <v>31</v>
      </c>
      <c r="L366" s="2" t="s">
        <v>374</v>
      </c>
      <c r="M366" s="2" t="s">
        <v>32</v>
      </c>
      <c r="N366" s="2" t="s">
        <v>529</v>
      </c>
      <c r="O366" s="2" t="s">
        <v>164</v>
      </c>
      <c r="P366" s="2" t="s">
        <v>2285</v>
      </c>
      <c r="Q366" s="2" t="s">
        <v>217</v>
      </c>
      <c r="R366" s="2" t="s">
        <v>453</v>
      </c>
      <c r="S366" s="2" t="s">
        <v>35</v>
      </c>
      <c r="T366" s="150">
        <v>2.2029999999999998</v>
      </c>
      <c r="U366" s="2" t="s">
        <v>2554</v>
      </c>
      <c r="V366" s="162">
        <v>0.04</v>
      </c>
      <c r="W366" s="164">
        <v>4.7980000000000002E-2</v>
      </c>
      <c r="X366" s="4" t="s">
        <v>459</v>
      </c>
      <c r="Y366" s="4" t="s">
        <v>164</v>
      </c>
      <c r="Z366" s="150">
        <v>29329.599999999999</v>
      </c>
      <c r="AA366" s="150">
        <v>1</v>
      </c>
      <c r="AB366" s="150">
        <v>101.47</v>
      </c>
      <c r="AD366" s="150">
        <v>29.760999999999999</v>
      </c>
      <c r="AG366" s="2" t="s">
        <v>37</v>
      </c>
      <c r="AH366" s="164">
        <v>4.3000000000000002E-5</v>
      </c>
      <c r="AI366" s="164">
        <v>4.85909920668597E-3</v>
      </c>
      <c r="AJ366" s="164">
        <v>4.0519855805966999E-4</v>
      </c>
    </row>
    <row r="367" spans="1:36">
      <c r="A367" s="2" t="s">
        <v>144</v>
      </c>
      <c r="B367" s="2">
        <v>969</v>
      </c>
      <c r="C367" s="2" t="s">
        <v>2471</v>
      </c>
      <c r="D367" s="2" t="s">
        <v>2472</v>
      </c>
      <c r="E367" s="4" t="s">
        <v>1380</v>
      </c>
      <c r="F367" s="2" t="s">
        <v>2473</v>
      </c>
      <c r="G367" s="2" t="s">
        <v>2474</v>
      </c>
      <c r="H367" s="2" t="s">
        <v>368</v>
      </c>
      <c r="I367" s="2" t="s">
        <v>1011</v>
      </c>
      <c r="J367" s="2" t="s">
        <v>31</v>
      </c>
      <c r="K367" s="2" t="s">
        <v>31</v>
      </c>
      <c r="L367" s="2" t="s">
        <v>374</v>
      </c>
      <c r="M367" s="2" t="s">
        <v>32</v>
      </c>
      <c r="N367" s="2" t="s">
        <v>509</v>
      </c>
      <c r="O367" s="2" t="s">
        <v>164</v>
      </c>
      <c r="P367" s="2" t="s">
        <v>2244</v>
      </c>
      <c r="Q367" s="2" t="s">
        <v>104</v>
      </c>
      <c r="R367" s="2" t="s">
        <v>453</v>
      </c>
      <c r="S367" s="2" t="s">
        <v>35</v>
      </c>
      <c r="T367" s="150">
        <v>2.15</v>
      </c>
      <c r="U367" s="2" t="s">
        <v>2475</v>
      </c>
      <c r="V367" s="162">
        <v>2.6499999999999999E-2</v>
      </c>
      <c r="W367" s="164">
        <v>5.4269999999999999E-2</v>
      </c>
      <c r="X367" s="4" t="s">
        <v>459</v>
      </c>
      <c r="Y367" s="4" t="s">
        <v>164</v>
      </c>
      <c r="Z367" s="150">
        <v>64285.71</v>
      </c>
      <c r="AA367" s="150">
        <v>1</v>
      </c>
      <c r="AB367" s="150">
        <v>94.87</v>
      </c>
      <c r="AD367" s="150">
        <v>60.988</v>
      </c>
      <c r="AG367" s="2" t="s">
        <v>37</v>
      </c>
      <c r="AH367" s="164">
        <v>9.0000000000000006E-5</v>
      </c>
      <c r="AI367" s="164">
        <v>9.9576145459066099E-3</v>
      </c>
      <c r="AJ367" s="164">
        <v>8.3036194242825496E-4</v>
      </c>
    </row>
    <row r="368" spans="1:36">
      <c r="A368" s="2" t="s">
        <v>144</v>
      </c>
      <c r="B368" s="2">
        <v>969</v>
      </c>
      <c r="C368" s="2" t="s">
        <v>2476</v>
      </c>
      <c r="D368" s="2" t="s">
        <v>2477</v>
      </c>
      <c r="E368" s="4" t="s">
        <v>362</v>
      </c>
      <c r="F368" s="2" t="s">
        <v>2478</v>
      </c>
      <c r="G368" s="2" t="s">
        <v>2479</v>
      </c>
      <c r="H368" s="2" t="s">
        <v>368</v>
      </c>
      <c r="I368" s="2" t="s">
        <v>214</v>
      </c>
      <c r="J368" s="2" t="s">
        <v>100</v>
      </c>
      <c r="K368" s="2" t="s">
        <v>101</v>
      </c>
      <c r="L368" s="2" t="s">
        <v>374</v>
      </c>
      <c r="M368" s="2" t="s">
        <v>204</v>
      </c>
      <c r="N368" s="2" t="s">
        <v>591</v>
      </c>
      <c r="O368" s="2" t="s">
        <v>164</v>
      </c>
      <c r="P368" s="2" t="s">
        <v>1559</v>
      </c>
      <c r="Q368" s="2" t="s">
        <v>111</v>
      </c>
      <c r="R368" s="2" t="s">
        <v>453</v>
      </c>
      <c r="S368" s="2" t="s">
        <v>105</v>
      </c>
      <c r="T368" s="150">
        <v>1.04</v>
      </c>
      <c r="U368" s="2" t="s">
        <v>2480</v>
      </c>
      <c r="V368" s="162">
        <v>3.2000000000000001E-2</v>
      </c>
      <c r="W368" s="164">
        <v>5.1499999999999997E-2</v>
      </c>
      <c r="X368" s="4" t="s">
        <v>459</v>
      </c>
      <c r="Y368" s="4" t="s">
        <v>164</v>
      </c>
      <c r="Z368" s="150">
        <v>10000</v>
      </c>
      <c r="AA368" s="150">
        <v>3.681</v>
      </c>
      <c r="AB368" s="150">
        <v>99.222999999999999</v>
      </c>
      <c r="AD368" s="150">
        <v>36.524000000000001</v>
      </c>
      <c r="AG368" s="2" t="s">
        <v>37</v>
      </c>
      <c r="AH368" s="164">
        <v>5.0000000000000004E-6</v>
      </c>
      <c r="AI368" s="164">
        <v>5.9633237234475497E-3</v>
      </c>
      <c r="AJ368" s="164">
        <v>4.9727944855688E-4</v>
      </c>
    </row>
    <row r="369" spans="1:36">
      <c r="A369" s="2" t="s">
        <v>144</v>
      </c>
      <c r="B369" s="2">
        <v>969</v>
      </c>
      <c r="C369" s="2" t="s">
        <v>2481</v>
      </c>
      <c r="D369" s="2" t="s">
        <v>2482</v>
      </c>
      <c r="E369" s="4" t="s">
        <v>362</v>
      </c>
      <c r="F369" s="2" t="s">
        <v>2483</v>
      </c>
      <c r="G369" s="2" t="s">
        <v>2484</v>
      </c>
      <c r="H369" s="2" t="s">
        <v>368</v>
      </c>
      <c r="I369" s="2" t="s">
        <v>214</v>
      </c>
      <c r="J369" s="2" t="s">
        <v>100</v>
      </c>
      <c r="K369" s="2" t="s">
        <v>101</v>
      </c>
      <c r="L369" s="2" t="s">
        <v>374</v>
      </c>
      <c r="M369" s="2" t="s">
        <v>391</v>
      </c>
      <c r="N369" s="2" t="s">
        <v>581</v>
      </c>
      <c r="O369" s="2" t="s">
        <v>164</v>
      </c>
      <c r="P369" s="2" t="s">
        <v>2485</v>
      </c>
      <c r="Q369" s="2" t="s">
        <v>111</v>
      </c>
      <c r="R369" s="2" t="s">
        <v>453</v>
      </c>
      <c r="S369" s="2" t="s">
        <v>105</v>
      </c>
      <c r="T369" s="150">
        <v>0.75</v>
      </c>
      <c r="U369" s="2" t="s">
        <v>2486</v>
      </c>
      <c r="V369" s="162">
        <v>0.04</v>
      </c>
      <c r="W369" s="164">
        <v>5.7110000000000001E-2</v>
      </c>
      <c r="X369" s="4" t="s">
        <v>459</v>
      </c>
      <c r="Y369" s="4" t="s">
        <v>164</v>
      </c>
      <c r="Z369" s="150">
        <v>20000</v>
      </c>
      <c r="AA369" s="150">
        <v>3.681</v>
      </c>
      <c r="AB369" s="150">
        <v>98.613</v>
      </c>
      <c r="AD369" s="150">
        <v>73.171000000000006</v>
      </c>
      <c r="AG369" s="2" t="s">
        <v>37</v>
      </c>
      <c r="AH369" s="164">
        <v>7.9999999999999996E-6</v>
      </c>
      <c r="AI369" s="164">
        <v>1.19468625966122E-2</v>
      </c>
      <c r="AJ369" s="164">
        <v>9.962446312731031E-4</v>
      </c>
    </row>
    <row r="370" spans="1:36">
      <c r="A370" s="2" t="s">
        <v>144</v>
      </c>
      <c r="B370" s="2">
        <v>969</v>
      </c>
      <c r="C370" s="2" t="s">
        <v>2487</v>
      </c>
      <c r="D370" s="2" t="s">
        <v>2488</v>
      </c>
      <c r="E370" s="4" t="s">
        <v>362</v>
      </c>
      <c r="F370" s="2" t="s">
        <v>2489</v>
      </c>
      <c r="G370" s="2" t="s">
        <v>2490</v>
      </c>
      <c r="H370" s="2" t="s">
        <v>368</v>
      </c>
      <c r="I370" s="2" t="s">
        <v>214</v>
      </c>
      <c r="J370" s="2" t="s">
        <v>100</v>
      </c>
      <c r="K370" s="2" t="s">
        <v>101</v>
      </c>
      <c r="L370" s="2" t="s">
        <v>374</v>
      </c>
      <c r="M370" s="2" t="s">
        <v>391</v>
      </c>
      <c r="N370" s="2" t="s">
        <v>591</v>
      </c>
      <c r="O370" s="2" t="s">
        <v>164</v>
      </c>
      <c r="P370" s="2" t="s">
        <v>2491</v>
      </c>
      <c r="Q370" s="2" t="s">
        <v>477</v>
      </c>
      <c r="R370" s="2" t="s">
        <v>453</v>
      </c>
      <c r="S370" s="2" t="s">
        <v>105</v>
      </c>
      <c r="T370" s="150">
        <v>1.02</v>
      </c>
      <c r="U370" s="2" t="s">
        <v>2492</v>
      </c>
      <c r="V370" s="162">
        <v>7.4999999999999997E-2</v>
      </c>
      <c r="W370" s="164">
        <v>5.8740000000000001E-2</v>
      </c>
      <c r="X370" s="4" t="s">
        <v>459</v>
      </c>
      <c r="Y370" s="4" t="s">
        <v>164</v>
      </c>
      <c r="Z370" s="150">
        <v>20000</v>
      </c>
      <c r="AA370" s="150">
        <v>3.681</v>
      </c>
      <c r="AB370" s="150">
        <v>104.881</v>
      </c>
      <c r="AD370" s="150">
        <v>77.213999999999999</v>
      </c>
      <c r="AG370" s="2" t="s">
        <v>37</v>
      </c>
      <c r="AH370" s="164">
        <v>5.0000000000000002E-5</v>
      </c>
      <c r="AI370" s="164">
        <v>1.2606816352396501E-2</v>
      </c>
      <c r="AJ370" s="164">
        <v>1.0512779407107599E-3</v>
      </c>
    </row>
    <row r="371" spans="1:36">
      <c r="A371" s="2" t="s">
        <v>144</v>
      </c>
      <c r="B371" s="2">
        <v>969</v>
      </c>
      <c r="C371" s="2" t="s">
        <v>2497</v>
      </c>
      <c r="D371" s="2" t="s">
        <v>2498</v>
      </c>
      <c r="E371" s="4" t="s">
        <v>361</v>
      </c>
      <c r="F371" s="2" t="s">
        <v>2499</v>
      </c>
      <c r="G371" s="2" t="s">
        <v>2500</v>
      </c>
      <c r="H371" s="2" t="s">
        <v>368</v>
      </c>
      <c r="I371" s="2" t="s">
        <v>214</v>
      </c>
      <c r="J371" s="2" t="s">
        <v>100</v>
      </c>
      <c r="K371" s="2" t="s">
        <v>283</v>
      </c>
      <c r="L371" s="2" t="s">
        <v>374</v>
      </c>
      <c r="M371" s="2" t="s">
        <v>32</v>
      </c>
      <c r="N371" s="2" t="s">
        <v>509</v>
      </c>
      <c r="O371" s="2" t="s">
        <v>164</v>
      </c>
      <c r="P371" s="2" t="s">
        <v>1396</v>
      </c>
      <c r="Q371" s="2" t="s">
        <v>104</v>
      </c>
      <c r="R371" s="2" t="s">
        <v>453</v>
      </c>
      <c r="S371" s="2" t="s">
        <v>35</v>
      </c>
      <c r="T371" s="150">
        <v>3.25</v>
      </c>
      <c r="U371" s="2" t="s">
        <v>2501</v>
      </c>
      <c r="V371" s="162">
        <v>4.2999999999999997E-2</v>
      </c>
      <c r="W371" s="164">
        <v>8.4360000000000004E-2</v>
      </c>
      <c r="X371" s="4" t="s">
        <v>459</v>
      </c>
      <c r="Y371" s="4" t="s">
        <v>164</v>
      </c>
      <c r="Z371" s="150">
        <v>85751.85</v>
      </c>
      <c r="AA371" s="150">
        <v>1</v>
      </c>
      <c r="AB371" s="150">
        <v>86.78</v>
      </c>
      <c r="AD371" s="150">
        <v>74.415000000000006</v>
      </c>
      <c r="AG371" s="2" t="s">
        <v>37</v>
      </c>
      <c r="AH371" s="164">
        <v>7.3999999999999996E-5</v>
      </c>
      <c r="AI371" s="164">
        <v>1.2149967313892601E-2</v>
      </c>
      <c r="AJ371" s="164">
        <v>1.01318146155306E-3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515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373</v>
      </c>
      <c r="M1" s="19" t="s">
        <v>8</v>
      </c>
      <c r="N1" s="19" t="s">
        <v>186</v>
      </c>
      <c r="O1" s="19" t="s">
        <v>150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16</v>
      </c>
      <c r="U1" s="19" t="s">
        <v>20</v>
      </c>
      <c r="V1" s="163" t="s">
        <v>23</v>
      </c>
      <c r="W1" s="163" t="s">
        <v>24</v>
      </c>
      <c r="X1" s="163" t="s">
        <v>25</v>
      </c>
    </row>
    <row r="2" spans="1:24">
      <c r="A2" s="18" t="s">
        <v>26</v>
      </c>
      <c r="B2" s="18">
        <v>1182</v>
      </c>
      <c r="C2" s="18" t="s">
        <v>1843</v>
      </c>
      <c r="D2" s="18" t="s">
        <v>1844</v>
      </c>
      <c r="E2" s="18" t="s">
        <v>362</v>
      </c>
      <c r="F2" s="18" t="s">
        <v>1845</v>
      </c>
      <c r="G2" s="18" t="s">
        <v>1846</v>
      </c>
      <c r="H2" s="18" t="s">
        <v>368</v>
      </c>
      <c r="I2" s="18" t="s">
        <v>976</v>
      </c>
      <c r="J2" s="18" t="s">
        <v>100</v>
      </c>
      <c r="K2" s="18" t="s">
        <v>101</v>
      </c>
      <c r="L2" s="20" t="s">
        <v>374</v>
      </c>
      <c r="M2" s="18" t="s">
        <v>32</v>
      </c>
      <c r="N2" s="20" t="s">
        <v>485</v>
      </c>
      <c r="O2" s="20" t="s">
        <v>164</v>
      </c>
      <c r="P2" s="18" t="s">
        <v>35</v>
      </c>
      <c r="Q2" s="154">
        <v>2795.5</v>
      </c>
      <c r="R2" s="154">
        <v>1</v>
      </c>
      <c r="S2" s="154">
        <v>24060</v>
      </c>
      <c r="T2" s="20"/>
      <c r="U2" s="154">
        <v>672.59699999999998</v>
      </c>
      <c r="V2" s="169">
        <v>5.0000000000000002E-5</v>
      </c>
      <c r="W2" s="169">
        <v>1.66204693020717E-2</v>
      </c>
      <c r="X2" s="169">
        <v>1.77072818232467E-3</v>
      </c>
    </row>
    <row r="3" spans="1:24">
      <c r="A3" s="18" t="s">
        <v>26</v>
      </c>
      <c r="B3" s="18">
        <v>1182</v>
      </c>
      <c r="C3" s="18" t="s">
        <v>1847</v>
      </c>
      <c r="D3" s="18" t="s">
        <v>1848</v>
      </c>
      <c r="E3" s="18" t="s">
        <v>1380</v>
      </c>
      <c r="F3" s="18" t="s">
        <v>1849</v>
      </c>
      <c r="G3" s="18" t="s">
        <v>1850</v>
      </c>
      <c r="H3" s="18" t="s">
        <v>368</v>
      </c>
      <c r="I3" s="18" t="s">
        <v>976</v>
      </c>
      <c r="J3" s="18" t="s">
        <v>31</v>
      </c>
      <c r="K3" s="18" t="s">
        <v>31</v>
      </c>
      <c r="L3" s="20" t="s">
        <v>374</v>
      </c>
      <c r="M3" s="18" t="s">
        <v>32</v>
      </c>
      <c r="N3" s="20" t="s">
        <v>500</v>
      </c>
      <c r="O3" s="20" t="s">
        <v>164</v>
      </c>
      <c r="P3" s="18" t="s">
        <v>35</v>
      </c>
      <c r="Q3" s="154">
        <v>36441</v>
      </c>
      <c r="R3" s="154">
        <v>1</v>
      </c>
      <c r="S3" s="154">
        <v>1951</v>
      </c>
      <c r="T3" s="20"/>
      <c r="U3" s="154">
        <v>710.96400000000006</v>
      </c>
      <c r="V3" s="169">
        <v>2.8E-5</v>
      </c>
      <c r="W3" s="169">
        <v>1.7568541891315698E-2</v>
      </c>
      <c r="X3" s="169">
        <v>1.8717348881013101E-3</v>
      </c>
    </row>
    <row r="4" spans="1:24">
      <c r="A4" s="18" t="s">
        <v>26</v>
      </c>
      <c r="B4" s="18">
        <v>1182</v>
      </c>
      <c r="C4" s="18" t="s">
        <v>1851</v>
      </c>
      <c r="D4" s="18" t="s">
        <v>1852</v>
      </c>
      <c r="E4" s="18" t="s">
        <v>1380</v>
      </c>
      <c r="F4" s="18" t="s">
        <v>1853</v>
      </c>
      <c r="G4" s="18" t="s">
        <v>1854</v>
      </c>
      <c r="H4" s="18" t="s">
        <v>368</v>
      </c>
      <c r="I4" s="18" t="s">
        <v>976</v>
      </c>
      <c r="J4" s="18" t="s">
        <v>31</v>
      </c>
      <c r="K4" s="18" t="s">
        <v>31</v>
      </c>
      <c r="L4" s="20" t="s">
        <v>374</v>
      </c>
      <c r="M4" s="18" t="s">
        <v>32</v>
      </c>
      <c r="N4" s="20" t="s">
        <v>489</v>
      </c>
      <c r="O4" s="20" t="s">
        <v>164</v>
      </c>
      <c r="P4" s="18" t="s">
        <v>35</v>
      </c>
      <c r="Q4" s="154">
        <v>2680</v>
      </c>
      <c r="R4" s="154">
        <v>1</v>
      </c>
      <c r="S4" s="154">
        <v>10700</v>
      </c>
      <c r="T4" s="20"/>
      <c r="U4" s="154">
        <v>286.76</v>
      </c>
      <c r="V4" s="169">
        <v>1.83E-4</v>
      </c>
      <c r="W4" s="169">
        <v>7.0860911530005698E-3</v>
      </c>
      <c r="X4" s="169">
        <v>7.5494506677832801E-4</v>
      </c>
    </row>
    <row r="5" spans="1:24">
      <c r="A5" s="18" t="s">
        <v>26</v>
      </c>
      <c r="B5" s="18">
        <v>1182</v>
      </c>
      <c r="C5" s="18" t="s">
        <v>1855</v>
      </c>
      <c r="D5" s="18" t="s">
        <v>1856</v>
      </c>
      <c r="E5" s="18" t="s">
        <v>1380</v>
      </c>
      <c r="F5" s="18" t="s">
        <v>1857</v>
      </c>
      <c r="G5" s="18" t="s">
        <v>1858</v>
      </c>
      <c r="H5" s="18" t="s">
        <v>368</v>
      </c>
      <c r="I5" s="18" t="s">
        <v>976</v>
      </c>
      <c r="J5" s="18" t="s">
        <v>31</v>
      </c>
      <c r="K5" s="18" t="s">
        <v>31</v>
      </c>
      <c r="L5" s="20" t="s">
        <v>374</v>
      </c>
      <c r="M5" s="18" t="s">
        <v>32</v>
      </c>
      <c r="N5" s="20" t="s">
        <v>507</v>
      </c>
      <c r="O5" s="20" t="s">
        <v>164</v>
      </c>
      <c r="P5" s="18" t="s">
        <v>35</v>
      </c>
      <c r="Q5" s="154">
        <v>15773</v>
      </c>
      <c r="R5" s="154">
        <v>1</v>
      </c>
      <c r="S5" s="154">
        <v>1180</v>
      </c>
      <c r="T5" s="20"/>
      <c r="U5" s="154">
        <v>186.12100000000001</v>
      </c>
      <c r="V5" s="169">
        <v>1.26E-4</v>
      </c>
      <c r="W5" s="169">
        <v>4.5992230643188796E-3</v>
      </c>
      <c r="X5" s="169">
        <v>4.8999662697683105E-4</v>
      </c>
    </row>
    <row r="6" spans="1:24">
      <c r="A6" s="18" t="s">
        <v>26</v>
      </c>
      <c r="B6" s="18">
        <v>1182</v>
      </c>
      <c r="C6" s="18" t="s">
        <v>1859</v>
      </c>
      <c r="D6" s="18" t="s">
        <v>1860</v>
      </c>
      <c r="E6" s="18" t="s">
        <v>34</v>
      </c>
      <c r="F6" s="18" t="s">
        <v>1861</v>
      </c>
      <c r="G6" s="18" t="s">
        <v>1862</v>
      </c>
      <c r="H6" s="18" t="s">
        <v>368</v>
      </c>
      <c r="I6" s="18" t="s">
        <v>976</v>
      </c>
      <c r="J6" s="18" t="s">
        <v>31</v>
      </c>
      <c r="K6" s="18" t="s">
        <v>31</v>
      </c>
      <c r="L6" s="20" t="s">
        <v>374</v>
      </c>
      <c r="M6" s="18" t="s">
        <v>32</v>
      </c>
      <c r="N6" s="20" t="s">
        <v>522</v>
      </c>
      <c r="O6" s="20" t="s">
        <v>164</v>
      </c>
      <c r="P6" s="18" t="s">
        <v>35</v>
      </c>
      <c r="Q6" s="154">
        <v>0</v>
      </c>
      <c r="R6" s="154">
        <v>1</v>
      </c>
      <c r="S6" s="154">
        <v>499.9</v>
      </c>
      <c r="T6" s="153">
        <v>1E-3</v>
      </c>
      <c r="U6" s="154">
        <v>1E-3</v>
      </c>
      <c r="V6" s="18"/>
      <c r="W6" s="169">
        <v>1.2849656156926699E-8</v>
      </c>
      <c r="X6" s="169">
        <v>1.3689895198937501E-9</v>
      </c>
    </row>
    <row r="7" spans="1:24">
      <c r="A7" s="18" t="s">
        <v>26</v>
      </c>
      <c r="B7" s="18">
        <v>1182</v>
      </c>
      <c r="C7" s="18" t="s">
        <v>1863</v>
      </c>
      <c r="D7" s="18" t="s">
        <v>1864</v>
      </c>
      <c r="E7" s="18" t="s">
        <v>1380</v>
      </c>
      <c r="F7" s="18" t="s">
        <v>1865</v>
      </c>
      <c r="G7" s="18" t="s">
        <v>1866</v>
      </c>
      <c r="H7" s="18" t="s">
        <v>368</v>
      </c>
      <c r="I7" s="18" t="s">
        <v>976</v>
      </c>
      <c r="J7" s="18" t="s">
        <v>31</v>
      </c>
      <c r="K7" s="18" t="s">
        <v>31</v>
      </c>
      <c r="L7" s="20" t="s">
        <v>374</v>
      </c>
      <c r="M7" s="18" t="s">
        <v>32</v>
      </c>
      <c r="N7" s="20" t="s">
        <v>490</v>
      </c>
      <c r="O7" s="20" t="s">
        <v>164</v>
      </c>
      <c r="P7" s="18" t="s">
        <v>35</v>
      </c>
      <c r="Q7" s="154">
        <v>1175</v>
      </c>
      <c r="R7" s="154">
        <v>1</v>
      </c>
      <c r="S7" s="154">
        <v>77500</v>
      </c>
      <c r="T7" s="20"/>
      <c r="U7" s="154">
        <v>910.625</v>
      </c>
      <c r="V7" s="154">
        <v>2.5999999999999998E-5</v>
      </c>
      <c r="W7" s="169">
        <v>2.2502342572887201E-2</v>
      </c>
      <c r="X7" s="169">
        <v>2.3973770799100799E-3</v>
      </c>
    </row>
    <row r="8" spans="1:24">
      <c r="A8" s="18" t="s">
        <v>26</v>
      </c>
      <c r="B8" s="18">
        <v>1182</v>
      </c>
      <c r="C8" s="18" t="s">
        <v>1867</v>
      </c>
      <c r="D8" s="18" t="s">
        <v>1868</v>
      </c>
      <c r="E8" s="18" t="s">
        <v>1380</v>
      </c>
      <c r="F8" s="18" t="s">
        <v>1869</v>
      </c>
      <c r="G8" s="18" t="s">
        <v>1870</v>
      </c>
      <c r="H8" s="18" t="s">
        <v>368</v>
      </c>
      <c r="I8" s="18" t="s">
        <v>976</v>
      </c>
      <c r="J8" s="18" t="s">
        <v>31</v>
      </c>
      <c r="K8" s="18" t="s">
        <v>31</v>
      </c>
      <c r="L8" s="20" t="s">
        <v>374</v>
      </c>
      <c r="M8" s="18" t="s">
        <v>32</v>
      </c>
      <c r="N8" s="20" t="s">
        <v>495</v>
      </c>
      <c r="O8" s="20" t="s">
        <v>164</v>
      </c>
      <c r="P8" s="18" t="s">
        <v>35</v>
      </c>
      <c r="Q8" s="154">
        <v>283</v>
      </c>
      <c r="R8" s="154">
        <v>1</v>
      </c>
      <c r="S8" s="154">
        <v>158340</v>
      </c>
      <c r="T8" s="20"/>
      <c r="U8" s="154">
        <v>448.10199999999998</v>
      </c>
      <c r="V8" s="154">
        <v>7.3999999999999996E-5</v>
      </c>
      <c r="W8" s="169">
        <v>1.10729984483892E-2</v>
      </c>
      <c r="X8" s="169">
        <v>1.1797061839256399E-3</v>
      </c>
    </row>
    <row r="9" spans="1:24">
      <c r="A9" s="18" t="s">
        <v>26</v>
      </c>
      <c r="B9" s="18">
        <v>1182</v>
      </c>
      <c r="C9" s="18" t="s">
        <v>1871</v>
      </c>
      <c r="D9" s="18" t="s">
        <v>1872</v>
      </c>
      <c r="E9" s="18" t="s">
        <v>1380</v>
      </c>
      <c r="F9" s="18" t="s">
        <v>1873</v>
      </c>
      <c r="G9" s="18" t="s">
        <v>1874</v>
      </c>
      <c r="H9" s="18" t="s">
        <v>368</v>
      </c>
      <c r="I9" s="18" t="s">
        <v>976</v>
      </c>
      <c r="J9" s="18" t="s">
        <v>31</v>
      </c>
      <c r="K9" s="18" t="s">
        <v>101</v>
      </c>
      <c r="L9" s="20" t="s">
        <v>374</v>
      </c>
      <c r="M9" s="18" t="s">
        <v>32</v>
      </c>
      <c r="N9" s="20" t="s">
        <v>485</v>
      </c>
      <c r="O9" s="20" t="s">
        <v>164</v>
      </c>
      <c r="P9" s="18" t="s">
        <v>35</v>
      </c>
      <c r="Q9" s="154">
        <v>6025.5</v>
      </c>
      <c r="R9" s="154">
        <v>1</v>
      </c>
      <c r="S9" s="154">
        <v>6299</v>
      </c>
      <c r="T9" s="20"/>
      <c r="U9" s="154">
        <v>379.54599999999999</v>
      </c>
      <c r="V9" s="154">
        <v>5.1E-5</v>
      </c>
      <c r="W9" s="169">
        <v>9.3789206613512591E-3</v>
      </c>
      <c r="X9" s="169">
        <v>9.9922083023081605E-4</v>
      </c>
    </row>
    <row r="10" spans="1:24">
      <c r="A10" s="18" t="s">
        <v>26</v>
      </c>
      <c r="B10" s="18">
        <v>1182</v>
      </c>
      <c r="C10" s="18" t="s">
        <v>1875</v>
      </c>
      <c r="D10" s="18" t="s">
        <v>1876</v>
      </c>
      <c r="E10" s="18" t="s">
        <v>362</v>
      </c>
      <c r="F10" s="18" t="s">
        <v>1877</v>
      </c>
      <c r="G10" s="18" t="s">
        <v>1878</v>
      </c>
      <c r="H10" s="18" t="s">
        <v>368</v>
      </c>
      <c r="I10" s="18" t="s">
        <v>976</v>
      </c>
      <c r="J10" s="18" t="s">
        <v>100</v>
      </c>
      <c r="K10" s="18" t="s">
        <v>283</v>
      </c>
      <c r="L10" s="20" t="s">
        <v>374</v>
      </c>
      <c r="M10" s="18" t="s">
        <v>32</v>
      </c>
      <c r="N10" s="20" t="s">
        <v>498</v>
      </c>
      <c r="O10" s="20" t="s">
        <v>164</v>
      </c>
      <c r="P10" s="18" t="s">
        <v>35</v>
      </c>
      <c r="Q10" s="154">
        <v>5585</v>
      </c>
      <c r="R10" s="154">
        <v>1</v>
      </c>
      <c r="S10" s="154">
        <v>5008</v>
      </c>
      <c r="T10" s="153">
        <v>6.1319999999999997</v>
      </c>
      <c r="U10" s="154">
        <v>285.82900000000001</v>
      </c>
      <c r="V10" s="154">
        <v>3.1999999999999999E-5</v>
      </c>
      <c r="W10" s="169">
        <v>7.06308853871827E-3</v>
      </c>
      <c r="X10" s="169">
        <v>7.5249439125066797E-4</v>
      </c>
    </row>
    <row r="11" spans="1:24">
      <c r="A11" s="18" t="s">
        <v>26</v>
      </c>
      <c r="B11" s="18">
        <v>1182</v>
      </c>
      <c r="C11" s="18" t="s">
        <v>1879</v>
      </c>
      <c r="D11" s="18" t="s">
        <v>1880</v>
      </c>
      <c r="E11" s="18" t="s">
        <v>1380</v>
      </c>
      <c r="F11" s="18" t="s">
        <v>1881</v>
      </c>
      <c r="G11" s="18" t="s">
        <v>1882</v>
      </c>
      <c r="H11" s="18" t="s">
        <v>368</v>
      </c>
      <c r="I11" s="18" t="s">
        <v>976</v>
      </c>
      <c r="J11" s="18" t="s">
        <v>31</v>
      </c>
      <c r="K11" s="18" t="s">
        <v>31</v>
      </c>
      <c r="L11" s="20" t="s">
        <v>374</v>
      </c>
      <c r="M11" s="18" t="s">
        <v>32</v>
      </c>
      <c r="N11" s="20" t="s">
        <v>507</v>
      </c>
      <c r="O11" s="20" t="s">
        <v>164</v>
      </c>
      <c r="P11" s="18" t="s">
        <v>35</v>
      </c>
      <c r="Q11" s="154">
        <v>250</v>
      </c>
      <c r="R11" s="154">
        <v>1</v>
      </c>
      <c r="S11" s="154">
        <v>0</v>
      </c>
      <c r="T11" s="20"/>
      <c r="U11" s="154">
        <v>0</v>
      </c>
      <c r="V11" s="154">
        <v>0</v>
      </c>
      <c r="W11" s="169">
        <v>6.1777193062147599E-12</v>
      </c>
      <c r="X11" s="169">
        <v>6.5816803841045503E-13</v>
      </c>
    </row>
    <row r="12" spans="1:24">
      <c r="A12" s="18" t="s">
        <v>26</v>
      </c>
      <c r="B12" s="18">
        <v>1182</v>
      </c>
      <c r="C12" s="18" t="s">
        <v>1883</v>
      </c>
      <c r="D12" s="18" t="s">
        <v>1884</v>
      </c>
      <c r="E12" s="18" t="s">
        <v>1380</v>
      </c>
      <c r="F12" s="18" t="s">
        <v>1885</v>
      </c>
      <c r="G12" s="18" t="s">
        <v>1886</v>
      </c>
      <c r="H12" s="18" t="s">
        <v>368</v>
      </c>
      <c r="I12" s="18" t="s">
        <v>976</v>
      </c>
      <c r="J12" s="18" t="s">
        <v>31</v>
      </c>
      <c r="K12" s="18" t="s">
        <v>31</v>
      </c>
      <c r="L12" s="20" t="s">
        <v>374</v>
      </c>
      <c r="M12" s="18" t="s">
        <v>32</v>
      </c>
      <c r="N12" s="20" t="s">
        <v>491</v>
      </c>
      <c r="O12" s="20" t="s">
        <v>164</v>
      </c>
      <c r="P12" s="18" t="s">
        <v>35</v>
      </c>
      <c r="Q12" s="154">
        <v>12160</v>
      </c>
      <c r="R12" s="154">
        <v>1</v>
      </c>
      <c r="S12" s="154">
        <v>5478</v>
      </c>
      <c r="T12" s="20"/>
      <c r="U12" s="154">
        <v>666.125</v>
      </c>
      <c r="V12" s="154">
        <v>1.2E-4</v>
      </c>
      <c r="W12" s="169">
        <v>1.6460528149233801E-2</v>
      </c>
      <c r="X12" s="169">
        <v>1.7536882118102299E-3</v>
      </c>
    </row>
    <row r="13" spans="1:24">
      <c r="A13" s="18" t="s">
        <v>26</v>
      </c>
      <c r="B13" s="18">
        <v>1182</v>
      </c>
      <c r="C13" s="18" t="s">
        <v>1887</v>
      </c>
      <c r="D13" s="18" t="s">
        <v>1888</v>
      </c>
      <c r="E13" s="18" t="s">
        <v>1380</v>
      </c>
      <c r="F13" s="18" t="s">
        <v>1889</v>
      </c>
      <c r="G13" s="18" t="s">
        <v>1890</v>
      </c>
      <c r="H13" s="18" t="s">
        <v>368</v>
      </c>
      <c r="I13" s="18" t="s">
        <v>976</v>
      </c>
      <c r="J13" s="18" t="s">
        <v>31</v>
      </c>
      <c r="K13" s="18" t="s">
        <v>101</v>
      </c>
      <c r="L13" s="20" t="s">
        <v>374</v>
      </c>
      <c r="M13" s="18" t="s">
        <v>32</v>
      </c>
      <c r="N13" s="20" t="s">
        <v>509</v>
      </c>
      <c r="O13" s="20" t="s">
        <v>164</v>
      </c>
      <c r="P13" s="18" t="s">
        <v>35</v>
      </c>
      <c r="Q13" s="154">
        <v>9400</v>
      </c>
      <c r="R13" s="154">
        <v>1</v>
      </c>
      <c r="S13" s="154">
        <v>755</v>
      </c>
      <c r="T13" s="20"/>
      <c r="U13" s="154">
        <v>70.97</v>
      </c>
      <c r="V13" s="154">
        <v>1.7000000000000001E-4</v>
      </c>
      <c r="W13" s="169">
        <v>1.75373095664824E-3</v>
      </c>
      <c r="X13" s="169">
        <v>1.8684074274396E-4</v>
      </c>
    </row>
    <row r="14" spans="1:24">
      <c r="A14" s="18" t="s">
        <v>26</v>
      </c>
      <c r="B14" s="18">
        <v>1182</v>
      </c>
      <c r="C14" s="18" t="s">
        <v>1891</v>
      </c>
      <c r="D14" s="18" t="s">
        <v>1892</v>
      </c>
      <c r="E14" s="18" t="s">
        <v>1380</v>
      </c>
      <c r="F14" s="18" t="s">
        <v>1893</v>
      </c>
      <c r="G14" s="18" t="s">
        <v>1894</v>
      </c>
      <c r="H14" s="18" t="s">
        <v>368</v>
      </c>
      <c r="I14" s="18" t="s">
        <v>976</v>
      </c>
      <c r="J14" s="18" t="s">
        <v>31</v>
      </c>
      <c r="K14" s="18" t="s">
        <v>31</v>
      </c>
      <c r="L14" s="20" t="s">
        <v>374</v>
      </c>
      <c r="M14" s="18" t="s">
        <v>32</v>
      </c>
      <c r="N14" s="20" t="s">
        <v>484</v>
      </c>
      <c r="O14" s="20" t="s">
        <v>164</v>
      </c>
      <c r="P14" s="18" t="s">
        <v>35</v>
      </c>
      <c r="Q14" s="154">
        <v>136064</v>
      </c>
      <c r="R14" s="154">
        <v>1</v>
      </c>
      <c r="S14" s="154">
        <v>122</v>
      </c>
      <c r="T14" s="153">
        <v>22.649000000000001</v>
      </c>
      <c r="U14" s="154">
        <v>188.64699999999999</v>
      </c>
      <c r="V14" s="154">
        <v>4.3000000000000002E-5</v>
      </c>
      <c r="W14" s="169">
        <v>4.66164002199238E-3</v>
      </c>
      <c r="X14" s="169">
        <v>4.96646467242993E-4</v>
      </c>
    </row>
    <row r="15" spans="1:24">
      <c r="A15" s="18" t="s">
        <v>26</v>
      </c>
      <c r="B15" s="18">
        <v>1182</v>
      </c>
      <c r="C15" s="18" t="s">
        <v>1895</v>
      </c>
      <c r="D15" s="18" t="s">
        <v>1896</v>
      </c>
      <c r="E15" s="18" t="s">
        <v>1380</v>
      </c>
      <c r="F15" s="18" t="s">
        <v>1897</v>
      </c>
      <c r="G15" s="18" t="s">
        <v>1898</v>
      </c>
      <c r="H15" s="18" t="s">
        <v>368</v>
      </c>
      <c r="I15" s="18" t="s">
        <v>976</v>
      </c>
      <c r="J15" s="18" t="s">
        <v>31</v>
      </c>
      <c r="K15" s="18" t="s">
        <v>31</v>
      </c>
      <c r="L15" s="20" t="s">
        <v>374</v>
      </c>
      <c r="M15" s="18" t="s">
        <v>32</v>
      </c>
      <c r="N15" s="20" t="s">
        <v>529</v>
      </c>
      <c r="O15" s="20" t="s">
        <v>164</v>
      </c>
      <c r="P15" s="18" t="s">
        <v>35</v>
      </c>
      <c r="Q15" s="154">
        <v>145858</v>
      </c>
      <c r="R15" s="154">
        <v>1</v>
      </c>
      <c r="S15" s="154">
        <v>473</v>
      </c>
      <c r="T15" s="20"/>
      <c r="U15" s="154">
        <v>689.90800000000002</v>
      </c>
      <c r="V15" s="154">
        <v>5.3000000000000001E-5</v>
      </c>
      <c r="W15" s="169">
        <v>1.70482402861463E-2</v>
      </c>
      <c r="X15" s="169">
        <v>1.8163024752832499E-3</v>
      </c>
    </row>
    <row r="16" spans="1:24">
      <c r="A16" s="18" t="s">
        <v>26</v>
      </c>
      <c r="B16" s="18">
        <v>1182</v>
      </c>
      <c r="C16" s="18" t="s">
        <v>1899</v>
      </c>
      <c r="D16" s="18" t="s">
        <v>1900</v>
      </c>
      <c r="E16" s="18" t="s">
        <v>1380</v>
      </c>
      <c r="F16" s="18" t="s">
        <v>1901</v>
      </c>
      <c r="G16" s="18" t="s">
        <v>1902</v>
      </c>
      <c r="H16" s="18" t="s">
        <v>368</v>
      </c>
      <c r="I16" s="18" t="s">
        <v>976</v>
      </c>
      <c r="J16" s="18" t="s">
        <v>31</v>
      </c>
      <c r="K16" s="18" t="s">
        <v>31</v>
      </c>
      <c r="L16" s="20" t="s">
        <v>374</v>
      </c>
      <c r="M16" s="18" t="s">
        <v>32</v>
      </c>
      <c r="N16" s="20" t="s">
        <v>508</v>
      </c>
      <c r="O16" s="20" t="s">
        <v>164</v>
      </c>
      <c r="P16" s="18" t="s">
        <v>35</v>
      </c>
      <c r="Q16" s="154">
        <v>1178.76</v>
      </c>
      <c r="R16" s="154">
        <v>1</v>
      </c>
      <c r="S16" s="154">
        <v>41030</v>
      </c>
      <c r="T16" s="20"/>
      <c r="U16" s="154">
        <v>483.64499999999998</v>
      </c>
      <c r="V16" s="154">
        <v>4.8000000000000001E-5</v>
      </c>
      <c r="W16" s="169">
        <v>1.1951297849497E-2</v>
      </c>
      <c r="X16" s="169">
        <v>1.27327932399735E-3</v>
      </c>
    </row>
    <row r="17" spans="1:24">
      <c r="A17" s="18" t="s">
        <v>26</v>
      </c>
      <c r="B17" s="18">
        <v>1182</v>
      </c>
      <c r="C17" s="18" t="s">
        <v>1903</v>
      </c>
      <c r="D17" s="18" t="s">
        <v>1904</v>
      </c>
      <c r="E17" s="18" t="s">
        <v>1380</v>
      </c>
      <c r="F17" s="18" t="s">
        <v>1905</v>
      </c>
      <c r="G17" s="18" t="s">
        <v>1906</v>
      </c>
      <c r="H17" s="18" t="s">
        <v>368</v>
      </c>
      <c r="I17" s="18" t="s">
        <v>976</v>
      </c>
      <c r="J17" s="18" t="s">
        <v>31</v>
      </c>
      <c r="K17" s="18" t="s">
        <v>31</v>
      </c>
      <c r="L17" s="20" t="s">
        <v>374</v>
      </c>
      <c r="M17" s="18" t="s">
        <v>32</v>
      </c>
      <c r="N17" s="20" t="s">
        <v>492</v>
      </c>
      <c r="O17" s="20" t="s">
        <v>164</v>
      </c>
      <c r="P17" s="18" t="s">
        <v>35</v>
      </c>
      <c r="Q17" s="154">
        <v>501</v>
      </c>
      <c r="R17" s="154">
        <v>1</v>
      </c>
      <c r="S17" s="154">
        <v>15440</v>
      </c>
      <c r="T17" s="20"/>
      <c r="U17" s="154">
        <v>77.353999999999999</v>
      </c>
      <c r="V17" s="154">
        <v>5.0000000000000004E-6</v>
      </c>
      <c r="W17" s="169">
        <v>1.9114950812026399E-3</v>
      </c>
      <c r="X17" s="169">
        <v>2.0364877484167101E-4</v>
      </c>
    </row>
    <row r="18" spans="1:24">
      <c r="A18" s="18" t="s">
        <v>26</v>
      </c>
      <c r="B18" s="18">
        <v>1182</v>
      </c>
      <c r="C18" s="18" t="s">
        <v>1907</v>
      </c>
      <c r="D18" s="18" t="s">
        <v>1908</v>
      </c>
      <c r="E18" s="18" t="s">
        <v>1380</v>
      </c>
      <c r="F18" s="18" t="s">
        <v>1909</v>
      </c>
      <c r="G18" s="18" t="s">
        <v>1910</v>
      </c>
      <c r="H18" s="18" t="s">
        <v>368</v>
      </c>
      <c r="I18" s="18" t="s">
        <v>976</v>
      </c>
      <c r="J18" s="18" t="s">
        <v>31</v>
      </c>
      <c r="K18" s="18" t="s">
        <v>31</v>
      </c>
      <c r="L18" s="20" t="s">
        <v>374</v>
      </c>
      <c r="M18" s="18" t="s">
        <v>32</v>
      </c>
      <c r="N18" s="20" t="s">
        <v>508</v>
      </c>
      <c r="O18" s="20" t="s">
        <v>164</v>
      </c>
      <c r="P18" s="18" t="s">
        <v>35</v>
      </c>
      <c r="Q18" s="154">
        <v>6000</v>
      </c>
      <c r="R18" s="154">
        <v>1</v>
      </c>
      <c r="S18" s="154">
        <v>2015</v>
      </c>
      <c r="T18" s="20"/>
      <c r="U18" s="154">
        <v>120.9</v>
      </c>
      <c r="V18" s="154">
        <v>3.3399999999999999E-4</v>
      </c>
      <c r="W18" s="169">
        <v>2.9875450564854598E-3</v>
      </c>
      <c r="X18" s="169">
        <v>3.18290063375296E-4</v>
      </c>
    </row>
    <row r="19" spans="1:24">
      <c r="A19" s="18" t="s">
        <v>26</v>
      </c>
      <c r="B19" s="18">
        <v>1182</v>
      </c>
      <c r="C19" s="18" t="s">
        <v>1911</v>
      </c>
      <c r="D19" s="18" t="s">
        <v>1912</v>
      </c>
      <c r="E19" s="18" t="s">
        <v>1380</v>
      </c>
      <c r="F19" s="18" t="s">
        <v>1913</v>
      </c>
      <c r="G19" s="18" t="s">
        <v>1914</v>
      </c>
      <c r="H19" s="18" t="s">
        <v>368</v>
      </c>
      <c r="I19" s="18" t="s">
        <v>976</v>
      </c>
      <c r="J19" s="18" t="s">
        <v>31</v>
      </c>
      <c r="K19" s="18" t="s">
        <v>31</v>
      </c>
      <c r="L19" s="20" t="s">
        <v>374</v>
      </c>
      <c r="M19" s="18" t="s">
        <v>32</v>
      </c>
      <c r="N19" s="20" t="s">
        <v>492</v>
      </c>
      <c r="O19" s="20" t="s">
        <v>164</v>
      </c>
      <c r="P19" s="18" t="s">
        <v>35</v>
      </c>
      <c r="Q19" s="154">
        <v>19245</v>
      </c>
      <c r="R19" s="154">
        <v>1</v>
      </c>
      <c r="S19" s="154">
        <v>1946</v>
      </c>
      <c r="T19" s="153">
        <v>2.86</v>
      </c>
      <c r="U19" s="154">
        <v>377.36700000000002</v>
      </c>
      <c r="V19" s="154">
        <v>1.5999999999999999E-5</v>
      </c>
      <c r="W19" s="169">
        <v>9.3250745478888203E-3</v>
      </c>
      <c r="X19" s="169">
        <v>9.9348411913778405E-4</v>
      </c>
    </row>
    <row r="20" spans="1:24">
      <c r="A20" s="4" t="s">
        <v>26</v>
      </c>
      <c r="B20" s="4">
        <v>1182</v>
      </c>
      <c r="C20" s="4" t="s">
        <v>1915</v>
      </c>
      <c r="D20" s="4" t="s">
        <v>1916</v>
      </c>
      <c r="E20" s="18" t="s">
        <v>1380</v>
      </c>
      <c r="F20" s="4" t="s">
        <v>1917</v>
      </c>
      <c r="G20" s="4" t="s">
        <v>1918</v>
      </c>
      <c r="H20" s="18" t="s">
        <v>368</v>
      </c>
      <c r="I20" s="4" t="s">
        <v>976</v>
      </c>
      <c r="J20" s="4" t="s">
        <v>31</v>
      </c>
      <c r="K20" s="18" t="s">
        <v>31</v>
      </c>
      <c r="L20" s="20" t="s">
        <v>374</v>
      </c>
      <c r="M20" s="18" t="s">
        <v>32</v>
      </c>
      <c r="N20" s="20" t="s">
        <v>481</v>
      </c>
      <c r="O20" s="4" t="s">
        <v>164</v>
      </c>
      <c r="P20" s="4" t="s">
        <v>35</v>
      </c>
      <c r="Q20" s="152">
        <v>4338</v>
      </c>
      <c r="R20" s="152">
        <v>1</v>
      </c>
      <c r="S20" s="152">
        <v>16390</v>
      </c>
      <c r="U20" s="152">
        <v>710.99800000000005</v>
      </c>
      <c r="V20" s="152">
        <v>1.6899999999999999E-4</v>
      </c>
      <c r="W20" s="166">
        <v>1.7569389227295801E-2</v>
      </c>
      <c r="X20" s="166">
        <v>1.87182516242946E-3</v>
      </c>
    </row>
    <row r="21" spans="1:24">
      <c r="A21" s="4" t="s">
        <v>26</v>
      </c>
      <c r="B21" s="4">
        <v>1182</v>
      </c>
      <c r="C21" s="4" t="s">
        <v>1919</v>
      </c>
      <c r="D21" s="4" t="s">
        <v>1920</v>
      </c>
      <c r="E21" s="4" t="s">
        <v>1380</v>
      </c>
      <c r="F21" s="4" t="s">
        <v>1921</v>
      </c>
      <c r="G21" s="4" t="s">
        <v>1922</v>
      </c>
      <c r="H21" s="4" t="s">
        <v>368</v>
      </c>
      <c r="I21" s="4" t="s">
        <v>976</v>
      </c>
      <c r="J21" s="4" t="s">
        <v>31</v>
      </c>
      <c r="K21" s="4" t="s">
        <v>31</v>
      </c>
      <c r="L21" s="2" t="s">
        <v>374</v>
      </c>
      <c r="M21" s="4" t="s">
        <v>32</v>
      </c>
      <c r="N21" s="20" t="s">
        <v>489</v>
      </c>
      <c r="O21" s="4" t="s">
        <v>164</v>
      </c>
      <c r="P21" s="4" t="s">
        <v>35</v>
      </c>
      <c r="Q21" s="152">
        <v>11560</v>
      </c>
      <c r="R21" s="152">
        <v>1</v>
      </c>
      <c r="S21" s="152">
        <v>3810</v>
      </c>
      <c r="U21" s="152">
        <v>440.43599999999998</v>
      </c>
      <c r="V21" s="152">
        <v>4.5000000000000003E-5</v>
      </c>
      <c r="W21" s="166">
        <v>1.0883559921407999E-2</v>
      </c>
      <c r="X21" s="166">
        <v>1.15952359266139E-3</v>
      </c>
    </row>
    <row r="22" spans="1:24">
      <c r="A22" s="4" t="s">
        <v>26</v>
      </c>
      <c r="B22" s="4">
        <v>1182</v>
      </c>
      <c r="C22" s="4" t="s">
        <v>1923</v>
      </c>
      <c r="D22" s="4" t="s">
        <v>1924</v>
      </c>
      <c r="E22" s="4" t="s">
        <v>1380</v>
      </c>
      <c r="F22" s="4" t="s">
        <v>1925</v>
      </c>
      <c r="G22" s="4" t="s">
        <v>1926</v>
      </c>
      <c r="H22" s="4" t="s">
        <v>368</v>
      </c>
      <c r="I22" s="4" t="s">
        <v>976</v>
      </c>
      <c r="J22" s="4" t="s">
        <v>31</v>
      </c>
      <c r="K22" s="4" t="s">
        <v>31</v>
      </c>
      <c r="L22" s="2" t="s">
        <v>374</v>
      </c>
      <c r="M22" s="4" t="s">
        <v>32</v>
      </c>
      <c r="N22" s="4" t="s">
        <v>489</v>
      </c>
      <c r="O22" s="4" t="s">
        <v>164</v>
      </c>
      <c r="P22" s="4" t="s">
        <v>35</v>
      </c>
      <c r="Q22" s="152">
        <v>14508</v>
      </c>
      <c r="R22" s="152">
        <v>1</v>
      </c>
      <c r="S22" s="152">
        <v>3510</v>
      </c>
      <c r="U22" s="152">
        <v>509.23099999999999</v>
      </c>
      <c r="V22" s="152">
        <v>6.9999999999999994E-5</v>
      </c>
      <c r="W22" s="166">
        <v>1.2583539777916699E-2</v>
      </c>
      <c r="X22" s="166">
        <v>1.3406377469367501E-3</v>
      </c>
    </row>
    <row r="23" spans="1:24">
      <c r="A23" s="4" t="s">
        <v>26</v>
      </c>
      <c r="B23" s="4">
        <v>1182</v>
      </c>
      <c r="C23" s="4" t="s">
        <v>1927</v>
      </c>
      <c r="D23" s="4" t="s">
        <v>1928</v>
      </c>
      <c r="E23" s="4" t="s">
        <v>1380</v>
      </c>
      <c r="F23" s="4" t="s">
        <v>1929</v>
      </c>
      <c r="G23" s="4" t="s">
        <v>1930</v>
      </c>
      <c r="H23" s="4" t="s">
        <v>368</v>
      </c>
      <c r="I23" s="4" t="s">
        <v>976</v>
      </c>
      <c r="J23" s="4" t="s">
        <v>31</v>
      </c>
      <c r="K23" s="4" t="s">
        <v>31</v>
      </c>
      <c r="L23" s="2" t="s">
        <v>374</v>
      </c>
      <c r="M23" s="2" t="s">
        <v>32</v>
      </c>
      <c r="N23" s="4" t="s">
        <v>495</v>
      </c>
      <c r="O23" s="4" t="s">
        <v>164</v>
      </c>
      <c r="P23" s="4" t="s">
        <v>35</v>
      </c>
      <c r="Q23" s="152">
        <v>190</v>
      </c>
      <c r="R23" s="152">
        <v>1</v>
      </c>
      <c r="S23" s="152">
        <v>100120</v>
      </c>
      <c r="U23" s="152">
        <v>190.22800000000001</v>
      </c>
      <c r="V23" s="152">
        <v>2.5000000000000001E-5</v>
      </c>
      <c r="W23" s="166">
        <v>4.7007007527304799E-3</v>
      </c>
      <c r="X23" s="166">
        <v>5.0080795844297595E-4</v>
      </c>
    </row>
    <row r="24" spans="1:24">
      <c r="A24" s="4" t="s">
        <v>26</v>
      </c>
      <c r="B24" s="4">
        <v>1182</v>
      </c>
      <c r="C24" s="4" t="s">
        <v>1931</v>
      </c>
      <c r="D24" s="4" t="s">
        <v>1932</v>
      </c>
      <c r="E24" s="4" t="s">
        <v>1380</v>
      </c>
      <c r="F24" s="4" t="s">
        <v>1933</v>
      </c>
      <c r="G24" s="4" t="s">
        <v>1934</v>
      </c>
      <c r="H24" s="4" t="s">
        <v>368</v>
      </c>
      <c r="I24" s="4" t="s">
        <v>976</v>
      </c>
      <c r="J24" s="4" t="s">
        <v>31</v>
      </c>
      <c r="K24" s="4" t="s">
        <v>31</v>
      </c>
      <c r="L24" s="2" t="s">
        <v>374</v>
      </c>
      <c r="M24" s="2" t="s">
        <v>32</v>
      </c>
      <c r="N24" s="4" t="s">
        <v>521</v>
      </c>
      <c r="O24" s="4" t="s">
        <v>164</v>
      </c>
      <c r="P24" s="4" t="s">
        <v>35</v>
      </c>
      <c r="Q24" s="152">
        <v>1406</v>
      </c>
      <c r="R24" s="152">
        <v>1</v>
      </c>
      <c r="S24" s="152">
        <v>23460</v>
      </c>
      <c r="U24" s="152">
        <v>329.84800000000001</v>
      </c>
      <c r="V24" s="152">
        <v>6.0000000000000002E-5</v>
      </c>
      <c r="W24" s="166">
        <v>8.1508235465144099E-3</v>
      </c>
      <c r="X24" s="166">
        <v>8.6838059146558601E-4</v>
      </c>
    </row>
    <row r="25" spans="1:24">
      <c r="A25" s="4" t="s">
        <v>26</v>
      </c>
      <c r="B25" s="4">
        <v>1182</v>
      </c>
      <c r="C25" s="4" t="s">
        <v>1935</v>
      </c>
      <c r="D25" s="4" t="s">
        <v>1936</v>
      </c>
      <c r="E25" s="4" t="s">
        <v>1380</v>
      </c>
      <c r="F25" s="4" t="s">
        <v>1937</v>
      </c>
      <c r="G25" s="4" t="s">
        <v>1938</v>
      </c>
      <c r="H25" s="4" t="s">
        <v>368</v>
      </c>
      <c r="I25" s="4" t="s">
        <v>976</v>
      </c>
      <c r="J25" s="4" t="s">
        <v>31</v>
      </c>
      <c r="K25" s="4" t="s">
        <v>31</v>
      </c>
      <c r="L25" s="2" t="s">
        <v>374</v>
      </c>
      <c r="M25" s="2" t="s">
        <v>32</v>
      </c>
      <c r="N25" s="4" t="s">
        <v>529</v>
      </c>
      <c r="O25" s="4" t="s">
        <v>164</v>
      </c>
      <c r="P25" s="4" t="s">
        <v>35</v>
      </c>
      <c r="Q25" s="152">
        <v>15254</v>
      </c>
      <c r="R25" s="152">
        <v>1</v>
      </c>
      <c r="S25" s="152">
        <v>58.7</v>
      </c>
      <c r="U25" s="152">
        <v>8.9540000000000006</v>
      </c>
      <c r="V25" s="152">
        <v>4.8099999999999998E-4</v>
      </c>
      <c r="W25" s="166">
        <v>2.2126361633735599E-4</v>
      </c>
      <c r="X25" s="166">
        <v>2.35732044655799E-5</v>
      </c>
    </row>
    <row r="26" spans="1:24">
      <c r="A26" s="4" t="s">
        <v>26</v>
      </c>
      <c r="B26" s="4">
        <v>1182</v>
      </c>
      <c r="C26" s="4" t="s">
        <v>1939</v>
      </c>
      <c r="D26" s="4" t="s">
        <v>1940</v>
      </c>
      <c r="E26" s="4" t="s">
        <v>1380</v>
      </c>
      <c r="F26" s="4" t="s">
        <v>1941</v>
      </c>
      <c r="G26" s="4" t="s">
        <v>1942</v>
      </c>
      <c r="H26" s="4" t="s">
        <v>368</v>
      </c>
      <c r="I26" s="4" t="s">
        <v>976</v>
      </c>
      <c r="J26" s="4" t="s">
        <v>31</v>
      </c>
      <c r="K26" s="4" t="s">
        <v>346</v>
      </c>
      <c r="L26" s="2" t="s">
        <v>374</v>
      </c>
      <c r="M26" s="2" t="s">
        <v>32</v>
      </c>
      <c r="N26" s="4" t="s">
        <v>502</v>
      </c>
      <c r="O26" s="4" t="s">
        <v>164</v>
      </c>
      <c r="P26" s="4" t="s">
        <v>35</v>
      </c>
      <c r="Q26" s="152">
        <v>2951</v>
      </c>
      <c r="R26" s="152">
        <v>1</v>
      </c>
      <c r="S26" s="152">
        <v>12310</v>
      </c>
      <c r="U26" s="152">
        <v>363.26799999999997</v>
      </c>
      <c r="V26" s="152">
        <v>2.6999999999999999E-5</v>
      </c>
      <c r="W26" s="166">
        <v>8.9766734188078106E-3</v>
      </c>
      <c r="X26" s="166">
        <v>9.5636581117637199E-4</v>
      </c>
    </row>
    <row r="27" spans="1:24">
      <c r="A27" s="4" t="s">
        <v>26</v>
      </c>
      <c r="B27" s="4">
        <v>1182</v>
      </c>
      <c r="C27" s="4" t="s">
        <v>1943</v>
      </c>
      <c r="D27" s="4" t="s">
        <v>1944</v>
      </c>
      <c r="E27" s="4" t="s">
        <v>1380</v>
      </c>
      <c r="F27" s="4" t="s">
        <v>1945</v>
      </c>
      <c r="G27" s="4" t="s">
        <v>1946</v>
      </c>
      <c r="H27" s="4" t="s">
        <v>368</v>
      </c>
      <c r="I27" s="4" t="s">
        <v>976</v>
      </c>
      <c r="J27" s="4" t="s">
        <v>31</v>
      </c>
      <c r="K27" s="4" t="s">
        <v>101</v>
      </c>
      <c r="L27" s="2" t="s">
        <v>374</v>
      </c>
      <c r="M27" s="2" t="s">
        <v>32</v>
      </c>
      <c r="N27" s="4" t="s">
        <v>511</v>
      </c>
      <c r="O27" s="4" t="s">
        <v>164</v>
      </c>
      <c r="P27" s="4" t="s">
        <v>35</v>
      </c>
      <c r="Q27" s="152">
        <v>29888</v>
      </c>
      <c r="R27" s="152">
        <v>1</v>
      </c>
      <c r="S27" s="152">
        <v>5173</v>
      </c>
      <c r="U27" s="152">
        <v>1546.106</v>
      </c>
      <c r="V27" s="152">
        <v>2.6999999999999999E-5</v>
      </c>
      <c r="W27" s="166">
        <v>3.8205641473228399E-2</v>
      </c>
      <c r="X27" s="166">
        <v>4.0703908446198603E-3</v>
      </c>
    </row>
    <row r="28" spans="1:24">
      <c r="A28" s="4" t="s">
        <v>26</v>
      </c>
      <c r="B28" s="4">
        <v>1182</v>
      </c>
      <c r="C28" s="4" t="s">
        <v>1947</v>
      </c>
      <c r="D28" s="4" t="s">
        <v>1948</v>
      </c>
      <c r="E28" s="4" t="s">
        <v>1380</v>
      </c>
      <c r="F28" s="4" t="s">
        <v>1949</v>
      </c>
      <c r="G28" s="4" t="s">
        <v>1950</v>
      </c>
      <c r="H28" s="4" t="s">
        <v>368</v>
      </c>
      <c r="I28" s="4" t="s">
        <v>976</v>
      </c>
      <c r="J28" s="4" t="s">
        <v>31</v>
      </c>
      <c r="K28" s="4" t="s">
        <v>31</v>
      </c>
      <c r="L28" s="2" t="s">
        <v>374</v>
      </c>
      <c r="M28" s="2" t="s">
        <v>32</v>
      </c>
      <c r="N28" s="4" t="s">
        <v>520</v>
      </c>
      <c r="O28" s="4" t="s">
        <v>164</v>
      </c>
      <c r="P28" s="4" t="s">
        <v>35</v>
      </c>
      <c r="Q28" s="152">
        <v>47850</v>
      </c>
      <c r="R28" s="152">
        <v>1</v>
      </c>
      <c r="S28" s="152">
        <v>511</v>
      </c>
      <c r="U28" s="152">
        <v>244.51300000000001</v>
      </c>
      <c r="V28" s="152">
        <v>4.4900000000000002E-4</v>
      </c>
      <c r="W28" s="166">
        <v>6.0421430783205703E-3</v>
      </c>
      <c r="X28" s="166">
        <v>6.4372388263949905E-4</v>
      </c>
    </row>
    <row r="29" spans="1:24">
      <c r="A29" s="4" t="s">
        <v>26</v>
      </c>
      <c r="B29" s="4">
        <v>1182</v>
      </c>
      <c r="C29" s="4" t="s">
        <v>1951</v>
      </c>
      <c r="D29" s="4" t="s">
        <v>1952</v>
      </c>
      <c r="E29" s="4" t="s">
        <v>1380</v>
      </c>
      <c r="F29" s="4" t="s">
        <v>1953</v>
      </c>
      <c r="G29" s="4" t="s">
        <v>1954</v>
      </c>
      <c r="H29" s="4" t="s">
        <v>368</v>
      </c>
      <c r="I29" s="4" t="s">
        <v>976</v>
      </c>
      <c r="J29" s="4" t="s">
        <v>31</v>
      </c>
      <c r="K29" s="4" t="s">
        <v>31</v>
      </c>
      <c r="L29" s="2" t="s">
        <v>374</v>
      </c>
      <c r="M29" s="2" t="s">
        <v>32</v>
      </c>
      <c r="N29" s="4" t="s">
        <v>523</v>
      </c>
      <c r="O29" s="4" t="s">
        <v>164</v>
      </c>
      <c r="P29" s="4" t="s">
        <v>35</v>
      </c>
      <c r="Q29" s="152">
        <v>29655</v>
      </c>
      <c r="R29" s="152">
        <v>1</v>
      </c>
      <c r="S29" s="152">
        <v>1476</v>
      </c>
      <c r="T29" s="150">
        <v>6.7939999999999996</v>
      </c>
      <c r="U29" s="152">
        <v>444.50200000000001</v>
      </c>
      <c r="V29" s="152">
        <v>1.4799999999999999E-4</v>
      </c>
      <c r="W29" s="166">
        <v>1.0984036077965701E-2</v>
      </c>
      <c r="X29" s="166">
        <v>1.1702282219251501E-3</v>
      </c>
    </row>
    <row r="30" spans="1:24">
      <c r="A30" s="4" t="s">
        <v>26</v>
      </c>
      <c r="B30" s="4">
        <v>1182</v>
      </c>
      <c r="C30" s="4" t="s">
        <v>1955</v>
      </c>
      <c r="D30" s="4" t="s">
        <v>1956</v>
      </c>
      <c r="E30" s="4" t="s">
        <v>1380</v>
      </c>
      <c r="F30" s="4" t="s">
        <v>1957</v>
      </c>
      <c r="G30" s="4" t="s">
        <v>1958</v>
      </c>
      <c r="H30" s="4" t="s">
        <v>368</v>
      </c>
      <c r="I30" s="4" t="s">
        <v>976</v>
      </c>
      <c r="J30" s="4" t="s">
        <v>31</v>
      </c>
      <c r="K30" s="4" t="s">
        <v>31</v>
      </c>
      <c r="L30" s="2" t="s">
        <v>374</v>
      </c>
      <c r="M30" s="2" t="s">
        <v>32</v>
      </c>
      <c r="N30" s="4" t="s">
        <v>489</v>
      </c>
      <c r="O30" s="4" t="s">
        <v>164</v>
      </c>
      <c r="P30" s="4" t="s">
        <v>35</v>
      </c>
      <c r="Q30" s="152">
        <v>11533</v>
      </c>
      <c r="R30" s="152">
        <v>1</v>
      </c>
      <c r="S30" s="152">
        <v>6569</v>
      </c>
      <c r="U30" s="152">
        <v>757.60299999999995</v>
      </c>
      <c r="V30" s="152">
        <v>1.46E-4</v>
      </c>
      <c r="W30" s="166">
        <v>1.87210290346831E-2</v>
      </c>
      <c r="X30" s="166">
        <v>1.9945197161009101E-3</v>
      </c>
    </row>
    <row r="31" spans="1:24">
      <c r="A31" s="4" t="s">
        <v>26</v>
      </c>
      <c r="B31" s="4">
        <v>1182</v>
      </c>
      <c r="C31" s="4" t="s">
        <v>1219</v>
      </c>
      <c r="D31" s="4" t="s">
        <v>1959</v>
      </c>
      <c r="E31" s="4" t="s">
        <v>1380</v>
      </c>
      <c r="F31" s="4" t="s">
        <v>1960</v>
      </c>
      <c r="G31" s="4" t="s">
        <v>1961</v>
      </c>
      <c r="H31" s="4" t="s">
        <v>368</v>
      </c>
      <c r="I31" s="4" t="s">
        <v>976</v>
      </c>
      <c r="J31" s="4" t="s">
        <v>31</v>
      </c>
      <c r="K31" s="4" t="s">
        <v>31</v>
      </c>
      <c r="L31" s="2" t="s">
        <v>374</v>
      </c>
      <c r="M31" s="2" t="s">
        <v>32</v>
      </c>
      <c r="N31" s="4" t="s">
        <v>492</v>
      </c>
      <c r="O31" s="4" t="s">
        <v>164</v>
      </c>
      <c r="P31" s="4" t="s">
        <v>35</v>
      </c>
      <c r="Q31" s="152">
        <v>44013</v>
      </c>
      <c r="R31" s="152">
        <v>1</v>
      </c>
      <c r="S31" s="152">
        <v>3100</v>
      </c>
      <c r="T31" s="150">
        <v>10.55</v>
      </c>
      <c r="U31" s="152">
        <v>1374.953</v>
      </c>
      <c r="V31" s="152">
        <v>2.6999999999999999E-5</v>
      </c>
      <c r="W31" s="166">
        <v>3.3976300950670897E-2</v>
      </c>
      <c r="X31" s="166">
        <v>3.6198011338343201E-3</v>
      </c>
    </row>
    <row r="32" spans="1:24">
      <c r="A32" s="4" t="s">
        <v>26</v>
      </c>
      <c r="B32" s="4">
        <v>1182</v>
      </c>
      <c r="C32" s="4" t="s">
        <v>1962</v>
      </c>
      <c r="D32" s="4" t="s">
        <v>1963</v>
      </c>
      <c r="E32" s="4" t="s">
        <v>1380</v>
      </c>
      <c r="F32" s="4" t="s">
        <v>1964</v>
      </c>
      <c r="G32" s="4" t="s">
        <v>1965</v>
      </c>
      <c r="H32" s="4" t="s">
        <v>368</v>
      </c>
      <c r="I32" s="4" t="s">
        <v>976</v>
      </c>
      <c r="J32" s="4" t="s">
        <v>31</v>
      </c>
      <c r="K32" s="4" t="s">
        <v>31</v>
      </c>
      <c r="L32" s="2" t="s">
        <v>374</v>
      </c>
      <c r="M32" s="2" t="s">
        <v>32</v>
      </c>
      <c r="N32" s="4" t="s">
        <v>508</v>
      </c>
      <c r="O32" s="4" t="s">
        <v>164</v>
      </c>
      <c r="P32" s="4" t="s">
        <v>35</v>
      </c>
      <c r="Q32" s="152">
        <v>12893</v>
      </c>
      <c r="R32" s="152">
        <v>1</v>
      </c>
      <c r="S32" s="152">
        <v>962.6</v>
      </c>
      <c r="U32" s="152">
        <v>124.108</v>
      </c>
      <c r="V32" s="152">
        <v>8.6000000000000003E-5</v>
      </c>
      <c r="W32" s="166">
        <v>3.0668179954185899E-3</v>
      </c>
      <c r="X32" s="166">
        <v>3.2673572303227802E-4</v>
      </c>
    </row>
    <row r="33" spans="1:24">
      <c r="A33" s="4" t="s">
        <v>26</v>
      </c>
      <c r="B33" s="4">
        <v>1182</v>
      </c>
      <c r="C33" s="4" t="s">
        <v>1966</v>
      </c>
      <c r="D33" s="4" t="s">
        <v>1967</v>
      </c>
      <c r="E33" s="4" t="s">
        <v>1380</v>
      </c>
      <c r="F33" s="4" t="s">
        <v>1968</v>
      </c>
      <c r="G33" s="4" t="s">
        <v>1969</v>
      </c>
      <c r="H33" s="4" t="s">
        <v>368</v>
      </c>
      <c r="I33" s="4" t="s">
        <v>976</v>
      </c>
      <c r="J33" s="4" t="s">
        <v>31</v>
      </c>
      <c r="K33" s="4" t="s">
        <v>31</v>
      </c>
      <c r="L33" s="2" t="s">
        <v>374</v>
      </c>
      <c r="M33" s="2" t="s">
        <v>32</v>
      </c>
      <c r="N33" s="4" t="s">
        <v>503</v>
      </c>
      <c r="O33" s="4" t="s">
        <v>164</v>
      </c>
      <c r="P33" s="4" t="s">
        <v>35</v>
      </c>
      <c r="Q33" s="152">
        <v>1860</v>
      </c>
      <c r="R33" s="152">
        <v>1</v>
      </c>
      <c r="S33" s="152">
        <v>15760</v>
      </c>
      <c r="U33" s="152">
        <v>293.13600000000002</v>
      </c>
      <c r="V33" s="152">
        <v>5.5900000000000004E-4</v>
      </c>
      <c r="W33" s="166">
        <v>7.2436477061862802E-3</v>
      </c>
      <c r="X33" s="166">
        <v>7.71730984429949E-4</v>
      </c>
    </row>
    <row r="34" spans="1:24">
      <c r="A34" s="4" t="s">
        <v>26</v>
      </c>
      <c r="B34" s="4">
        <v>1182</v>
      </c>
      <c r="C34" s="4" t="s">
        <v>1970</v>
      </c>
      <c r="D34" s="4" t="s">
        <v>1971</v>
      </c>
      <c r="E34" s="4" t="s">
        <v>1380</v>
      </c>
      <c r="F34" s="4" t="s">
        <v>1972</v>
      </c>
      <c r="G34" s="4" t="s">
        <v>1973</v>
      </c>
      <c r="H34" s="4" t="s">
        <v>368</v>
      </c>
      <c r="I34" s="4" t="s">
        <v>976</v>
      </c>
      <c r="J34" s="4" t="s">
        <v>31</v>
      </c>
      <c r="K34" s="4" t="s">
        <v>31</v>
      </c>
      <c r="L34" s="2" t="s">
        <v>374</v>
      </c>
      <c r="M34" s="2" t="s">
        <v>32</v>
      </c>
      <c r="N34" s="4" t="s">
        <v>521</v>
      </c>
      <c r="O34" s="4" t="s">
        <v>164</v>
      </c>
      <c r="P34" s="4" t="s">
        <v>35</v>
      </c>
      <c r="Q34" s="152">
        <v>3508</v>
      </c>
      <c r="R34" s="152">
        <v>1</v>
      </c>
      <c r="S34" s="152">
        <v>8160</v>
      </c>
      <c r="T34" s="150">
        <v>4.4550000000000001</v>
      </c>
      <c r="U34" s="152">
        <v>290.70800000000003</v>
      </c>
      <c r="V34" s="152">
        <v>5.5000000000000002E-5</v>
      </c>
      <c r="W34" s="166">
        <v>7.1836487078492297E-3</v>
      </c>
      <c r="X34" s="166">
        <v>7.6533875113401996E-4</v>
      </c>
    </row>
    <row r="35" spans="1:24">
      <c r="A35" s="4" t="s">
        <v>26</v>
      </c>
      <c r="B35" s="4">
        <v>1182</v>
      </c>
      <c r="C35" s="4" t="s">
        <v>1974</v>
      </c>
      <c r="D35" s="4" t="s">
        <v>1975</v>
      </c>
      <c r="E35" s="4" t="s">
        <v>1380</v>
      </c>
      <c r="F35" s="4" t="s">
        <v>1976</v>
      </c>
      <c r="G35" s="4" t="s">
        <v>1977</v>
      </c>
      <c r="H35" s="4" t="s">
        <v>368</v>
      </c>
      <c r="I35" s="4" t="s">
        <v>976</v>
      </c>
      <c r="J35" s="4" t="s">
        <v>31</v>
      </c>
      <c r="K35" s="4" t="s">
        <v>31</v>
      </c>
      <c r="L35" s="2" t="s">
        <v>374</v>
      </c>
      <c r="M35" s="2" t="s">
        <v>32</v>
      </c>
      <c r="N35" s="4" t="s">
        <v>508</v>
      </c>
      <c r="O35" s="4" t="s">
        <v>164</v>
      </c>
      <c r="P35" s="4" t="s">
        <v>35</v>
      </c>
      <c r="Q35" s="152">
        <v>777.75</v>
      </c>
      <c r="R35" s="152">
        <v>1</v>
      </c>
      <c r="S35" s="152">
        <v>26900</v>
      </c>
      <c r="T35" s="150">
        <v>1.964</v>
      </c>
      <c r="U35" s="152">
        <v>211.179</v>
      </c>
      <c r="V35" s="152">
        <v>1.5999999999999999E-5</v>
      </c>
      <c r="W35" s="166">
        <v>5.2184114224228797E-3</v>
      </c>
      <c r="X35" s="166">
        <v>5.5596433558572299E-4</v>
      </c>
    </row>
    <row r="36" spans="1:24">
      <c r="A36" s="4" t="s">
        <v>26</v>
      </c>
      <c r="B36" s="4">
        <v>1182</v>
      </c>
      <c r="C36" s="4" t="s">
        <v>1978</v>
      </c>
      <c r="D36" s="4" t="s">
        <v>1979</v>
      </c>
      <c r="E36" s="4" t="s">
        <v>1380</v>
      </c>
      <c r="F36" s="4" t="s">
        <v>1980</v>
      </c>
      <c r="G36" s="4" t="s">
        <v>1981</v>
      </c>
      <c r="H36" s="4" t="s">
        <v>368</v>
      </c>
      <c r="I36" s="4" t="s">
        <v>976</v>
      </c>
      <c r="J36" s="4" t="s">
        <v>31</v>
      </c>
      <c r="K36" s="4" t="s">
        <v>31</v>
      </c>
      <c r="L36" s="2" t="s">
        <v>374</v>
      </c>
      <c r="M36" s="2" t="s">
        <v>32</v>
      </c>
      <c r="N36" s="4" t="s">
        <v>489</v>
      </c>
      <c r="O36" s="4" t="s">
        <v>164</v>
      </c>
      <c r="P36" s="4" t="s">
        <v>35</v>
      </c>
      <c r="Q36" s="152">
        <v>7832</v>
      </c>
      <c r="R36" s="152">
        <v>1</v>
      </c>
      <c r="S36" s="152">
        <v>9800</v>
      </c>
      <c r="U36" s="152">
        <v>767.53599999999994</v>
      </c>
      <c r="V36" s="152">
        <v>1.27E-4</v>
      </c>
      <c r="W36" s="166">
        <v>1.8966487861659401E-2</v>
      </c>
      <c r="X36" s="166">
        <v>2.0206706541176299E-3</v>
      </c>
    </row>
    <row r="37" spans="1:24">
      <c r="A37" s="4" t="s">
        <v>26</v>
      </c>
      <c r="B37" s="4">
        <v>1182</v>
      </c>
      <c r="C37" s="4" t="s">
        <v>1982</v>
      </c>
      <c r="D37" s="4" t="s">
        <v>1522</v>
      </c>
      <c r="E37" s="4" t="s">
        <v>1380</v>
      </c>
      <c r="F37" s="4" t="s">
        <v>1983</v>
      </c>
      <c r="G37" s="4" t="s">
        <v>1984</v>
      </c>
      <c r="H37" s="4" t="s">
        <v>368</v>
      </c>
      <c r="I37" s="4" t="s">
        <v>976</v>
      </c>
      <c r="J37" s="4" t="s">
        <v>31</v>
      </c>
      <c r="K37" s="4" t="s">
        <v>31</v>
      </c>
      <c r="L37" s="2" t="s">
        <v>374</v>
      </c>
      <c r="M37" s="2" t="s">
        <v>32</v>
      </c>
      <c r="N37" s="4" t="s">
        <v>487</v>
      </c>
      <c r="O37" s="4" t="s">
        <v>164</v>
      </c>
      <c r="P37" s="4" t="s">
        <v>35</v>
      </c>
      <c r="Q37" s="152">
        <v>60804</v>
      </c>
      <c r="R37" s="152">
        <v>1</v>
      </c>
      <c r="S37" s="152">
        <v>1207</v>
      </c>
      <c r="U37" s="152">
        <v>733.904</v>
      </c>
      <c r="V37" s="152">
        <v>1.005E-3</v>
      </c>
      <c r="W37" s="166">
        <v>1.8135418557878601E-2</v>
      </c>
      <c r="X37" s="166">
        <v>1.93212936139455E-3</v>
      </c>
    </row>
    <row r="38" spans="1:24">
      <c r="A38" s="4" t="s">
        <v>26</v>
      </c>
      <c r="B38" s="4">
        <v>1182</v>
      </c>
      <c r="C38" s="4" t="s">
        <v>1985</v>
      </c>
      <c r="D38" s="4" t="s">
        <v>1986</v>
      </c>
      <c r="E38" s="4" t="s">
        <v>1380</v>
      </c>
      <c r="F38" s="4" t="s">
        <v>1987</v>
      </c>
      <c r="G38" s="4" t="s">
        <v>1988</v>
      </c>
      <c r="H38" s="4" t="s">
        <v>368</v>
      </c>
      <c r="I38" s="4" t="s">
        <v>976</v>
      </c>
      <c r="J38" s="4" t="s">
        <v>31</v>
      </c>
      <c r="K38" s="4" t="s">
        <v>31</v>
      </c>
      <c r="L38" s="2" t="s">
        <v>374</v>
      </c>
      <c r="M38" s="2" t="s">
        <v>32</v>
      </c>
      <c r="N38" s="4" t="s">
        <v>520</v>
      </c>
      <c r="O38" s="4" t="s">
        <v>164</v>
      </c>
      <c r="P38" s="4" t="s">
        <v>35</v>
      </c>
      <c r="Q38" s="152">
        <v>47143</v>
      </c>
      <c r="R38" s="152">
        <v>1</v>
      </c>
      <c r="S38" s="152">
        <v>841.6</v>
      </c>
      <c r="U38" s="152">
        <v>396.755</v>
      </c>
      <c r="V38" s="152">
        <v>3.39E-4</v>
      </c>
      <c r="W38" s="166">
        <v>9.8041761522570294E-3</v>
      </c>
      <c r="X38" s="166">
        <v>1.04452712506217E-3</v>
      </c>
    </row>
    <row r="39" spans="1:24">
      <c r="A39" s="4" t="s">
        <v>26</v>
      </c>
      <c r="B39" s="4">
        <v>1182</v>
      </c>
      <c r="C39" s="4" t="s">
        <v>1989</v>
      </c>
      <c r="D39" s="4" t="s">
        <v>1990</v>
      </c>
      <c r="E39" s="4" t="s">
        <v>1380</v>
      </c>
      <c r="F39" s="4" t="s">
        <v>1991</v>
      </c>
      <c r="G39" s="4" t="s">
        <v>1992</v>
      </c>
      <c r="H39" s="4" t="s">
        <v>368</v>
      </c>
      <c r="I39" s="4" t="s">
        <v>976</v>
      </c>
      <c r="J39" s="4" t="s">
        <v>31</v>
      </c>
      <c r="K39" s="4" t="s">
        <v>31</v>
      </c>
      <c r="L39" s="2" t="s">
        <v>374</v>
      </c>
      <c r="M39" s="2" t="s">
        <v>32</v>
      </c>
      <c r="N39" s="4" t="s">
        <v>498</v>
      </c>
      <c r="O39" s="4" t="s">
        <v>164</v>
      </c>
      <c r="P39" s="4" t="s">
        <v>35</v>
      </c>
      <c r="Q39" s="152">
        <v>21816.21</v>
      </c>
      <c r="R39" s="152">
        <v>1</v>
      </c>
      <c r="S39" s="152">
        <v>935.3</v>
      </c>
      <c r="T39" s="150">
        <v>4.1619999999999999</v>
      </c>
      <c r="U39" s="152">
        <v>208.209</v>
      </c>
      <c r="V39" s="152">
        <v>1.9000000000000001E-5</v>
      </c>
      <c r="W39" s="166">
        <v>5.1450293127237902E-3</v>
      </c>
      <c r="X39" s="166">
        <v>5.4814627898569501E-4</v>
      </c>
    </row>
    <row r="40" spans="1:24">
      <c r="A40" s="4" t="s">
        <v>26</v>
      </c>
      <c r="B40" s="4">
        <v>1182</v>
      </c>
      <c r="C40" s="4" t="s">
        <v>1993</v>
      </c>
      <c r="D40" s="4" t="s">
        <v>1994</v>
      </c>
      <c r="E40" s="4" t="s">
        <v>1380</v>
      </c>
      <c r="F40" s="4" t="s">
        <v>1995</v>
      </c>
      <c r="G40" s="4" t="s">
        <v>1996</v>
      </c>
      <c r="H40" s="4" t="s">
        <v>368</v>
      </c>
      <c r="I40" s="4" t="s">
        <v>976</v>
      </c>
      <c r="J40" s="4" t="s">
        <v>31</v>
      </c>
      <c r="K40" s="4" t="s">
        <v>101</v>
      </c>
      <c r="L40" s="2" t="s">
        <v>374</v>
      </c>
      <c r="M40" s="2" t="s">
        <v>32</v>
      </c>
      <c r="N40" s="4" t="s">
        <v>525</v>
      </c>
      <c r="O40" s="4" t="s">
        <v>164</v>
      </c>
      <c r="P40" s="4" t="s">
        <v>35</v>
      </c>
      <c r="Q40" s="152">
        <v>1388</v>
      </c>
      <c r="R40" s="152">
        <v>1</v>
      </c>
      <c r="S40" s="152">
        <v>95150</v>
      </c>
      <c r="U40" s="152">
        <v>1320.682</v>
      </c>
      <c r="V40" s="152">
        <v>2.1999999999999999E-5</v>
      </c>
      <c r="W40" s="166">
        <v>3.2635210755081301E-2</v>
      </c>
      <c r="X40" s="166">
        <v>3.47692272521599E-3</v>
      </c>
    </row>
    <row r="41" spans="1:24">
      <c r="A41" s="4" t="s">
        <v>26</v>
      </c>
      <c r="B41" s="4">
        <v>1182</v>
      </c>
      <c r="C41" s="4" t="s">
        <v>1997</v>
      </c>
      <c r="D41" s="4" t="s">
        <v>1998</v>
      </c>
      <c r="E41" s="4" t="s">
        <v>1380</v>
      </c>
      <c r="F41" s="4" t="s">
        <v>1999</v>
      </c>
      <c r="G41" s="4" t="s">
        <v>2000</v>
      </c>
      <c r="H41" s="4" t="s">
        <v>368</v>
      </c>
      <c r="I41" s="4" t="s">
        <v>976</v>
      </c>
      <c r="J41" s="4" t="s">
        <v>31</v>
      </c>
      <c r="K41" s="4" t="s">
        <v>31</v>
      </c>
      <c r="L41" s="2" t="s">
        <v>374</v>
      </c>
      <c r="M41" s="2" t="s">
        <v>32</v>
      </c>
      <c r="N41" s="4" t="s">
        <v>525</v>
      </c>
      <c r="O41" s="4" t="s">
        <v>164</v>
      </c>
      <c r="P41" s="4" t="s">
        <v>35</v>
      </c>
      <c r="Q41" s="152">
        <v>5600</v>
      </c>
      <c r="R41" s="152">
        <v>1</v>
      </c>
      <c r="S41" s="152">
        <v>53.4</v>
      </c>
      <c r="U41" s="152">
        <v>2.99</v>
      </c>
      <c r="V41" s="152">
        <v>4.1E-5</v>
      </c>
      <c r="W41" s="166">
        <v>7.3895407253218395E-5</v>
      </c>
      <c r="X41" s="166">
        <v>7.8727428082505001E-6</v>
      </c>
    </row>
    <row r="42" spans="1:24">
      <c r="A42" s="4" t="s">
        <v>26</v>
      </c>
      <c r="B42" s="4">
        <v>1182</v>
      </c>
      <c r="C42" s="4" t="s">
        <v>2001</v>
      </c>
      <c r="D42" s="4" t="s">
        <v>2002</v>
      </c>
      <c r="E42" s="4" t="s">
        <v>1380</v>
      </c>
      <c r="F42" s="4" t="s">
        <v>2003</v>
      </c>
      <c r="G42" s="4" t="s">
        <v>2004</v>
      </c>
      <c r="H42" s="4" t="s">
        <v>368</v>
      </c>
      <c r="I42" s="4" t="s">
        <v>976</v>
      </c>
      <c r="J42" s="4" t="s">
        <v>31</v>
      </c>
      <c r="K42" s="4" t="s">
        <v>31</v>
      </c>
      <c r="L42" s="2" t="s">
        <v>374</v>
      </c>
      <c r="M42" s="2" t="s">
        <v>32</v>
      </c>
      <c r="N42" s="4" t="s">
        <v>529</v>
      </c>
      <c r="O42" s="4" t="s">
        <v>164</v>
      </c>
      <c r="P42" s="4" t="s">
        <v>35</v>
      </c>
      <c r="Q42" s="152">
        <v>17338</v>
      </c>
      <c r="R42" s="152">
        <v>1</v>
      </c>
      <c r="S42" s="152">
        <v>1560</v>
      </c>
      <c r="U42" s="152">
        <v>270.47300000000001</v>
      </c>
      <c r="V42" s="152">
        <v>1.05E-4</v>
      </c>
      <c r="W42" s="166">
        <v>6.6836201534638496E-3</v>
      </c>
      <c r="X42" s="166">
        <v>7.12066208877534E-4</v>
      </c>
    </row>
    <row r="43" spans="1:24">
      <c r="A43" s="4" t="s">
        <v>26</v>
      </c>
      <c r="B43" s="4">
        <v>1182</v>
      </c>
      <c r="C43" s="4" t="s">
        <v>2005</v>
      </c>
      <c r="D43" s="4" t="s">
        <v>2006</v>
      </c>
      <c r="E43" s="4" t="s">
        <v>1380</v>
      </c>
      <c r="F43" s="4" t="s">
        <v>2007</v>
      </c>
      <c r="G43" s="4" t="s">
        <v>2008</v>
      </c>
      <c r="H43" s="4" t="s">
        <v>368</v>
      </c>
      <c r="I43" s="4" t="s">
        <v>976</v>
      </c>
      <c r="J43" s="4" t="s">
        <v>31</v>
      </c>
      <c r="K43" s="4" t="s">
        <v>31</v>
      </c>
      <c r="L43" s="2" t="s">
        <v>374</v>
      </c>
      <c r="M43" s="2" t="s">
        <v>32</v>
      </c>
      <c r="N43" s="4" t="s">
        <v>508</v>
      </c>
      <c r="O43" s="4" t="s">
        <v>164</v>
      </c>
      <c r="P43" s="4" t="s">
        <v>35</v>
      </c>
      <c r="Q43" s="152">
        <v>684</v>
      </c>
      <c r="R43" s="152">
        <v>1</v>
      </c>
      <c r="S43" s="152">
        <v>26610</v>
      </c>
      <c r="U43" s="152">
        <v>182.012</v>
      </c>
      <c r="V43" s="152">
        <v>6.0000000000000002E-6</v>
      </c>
      <c r="W43" s="166">
        <v>4.4976860698019297E-3</v>
      </c>
      <c r="X43" s="166">
        <v>4.7917897709751599E-4</v>
      </c>
    </row>
    <row r="44" spans="1:24">
      <c r="A44" s="4" t="s">
        <v>26</v>
      </c>
      <c r="B44" s="4">
        <v>1182</v>
      </c>
      <c r="C44" s="4" t="s">
        <v>2009</v>
      </c>
      <c r="D44" s="4" t="s">
        <v>2010</v>
      </c>
      <c r="E44" s="4" t="s">
        <v>1380</v>
      </c>
      <c r="F44" s="4" t="s">
        <v>2011</v>
      </c>
      <c r="G44" s="4" t="s">
        <v>2012</v>
      </c>
      <c r="H44" s="4" t="s">
        <v>368</v>
      </c>
      <c r="I44" s="4" t="s">
        <v>976</v>
      </c>
      <c r="J44" s="4" t="s">
        <v>31</v>
      </c>
      <c r="K44" s="4" t="s">
        <v>31</v>
      </c>
      <c r="L44" s="2" t="s">
        <v>374</v>
      </c>
      <c r="M44" s="2" t="s">
        <v>32</v>
      </c>
      <c r="N44" s="4" t="s">
        <v>492</v>
      </c>
      <c r="O44" s="4" t="s">
        <v>164</v>
      </c>
      <c r="P44" s="4" t="s">
        <v>35</v>
      </c>
      <c r="Q44" s="152">
        <v>20998</v>
      </c>
      <c r="R44" s="152">
        <v>1</v>
      </c>
      <c r="S44" s="152">
        <v>3500</v>
      </c>
      <c r="T44" s="150">
        <v>5.5270000000000001</v>
      </c>
      <c r="U44" s="152">
        <v>740.45699999999999</v>
      </c>
      <c r="V44" s="152">
        <v>1.5999999999999999E-5</v>
      </c>
      <c r="W44" s="166">
        <v>1.8297344488375201E-2</v>
      </c>
      <c r="X44" s="166">
        <v>1.9493807881363801E-3</v>
      </c>
    </row>
    <row r="45" spans="1:24">
      <c r="A45" s="4" t="s">
        <v>26</v>
      </c>
      <c r="B45" s="4">
        <v>1182</v>
      </c>
      <c r="C45" s="4" t="s">
        <v>2013</v>
      </c>
      <c r="D45" s="4" t="s">
        <v>2014</v>
      </c>
      <c r="E45" s="4" t="s">
        <v>1380</v>
      </c>
      <c r="F45" s="4" t="s">
        <v>2015</v>
      </c>
      <c r="G45" s="4" t="s">
        <v>2016</v>
      </c>
      <c r="H45" s="4" t="s">
        <v>368</v>
      </c>
      <c r="I45" s="4" t="s">
        <v>976</v>
      </c>
      <c r="J45" s="4" t="s">
        <v>31</v>
      </c>
      <c r="K45" s="4" t="s">
        <v>31</v>
      </c>
      <c r="L45" s="2" t="s">
        <v>374</v>
      </c>
      <c r="M45" s="2" t="s">
        <v>32</v>
      </c>
      <c r="N45" s="4" t="s">
        <v>504</v>
      </c>
      <c r="O45" s="4" t="s">
        <v>164</v>
      </c>
      <c r="P45" s="4" t="s">
        <v>35</v>
      </c>
      <c r="Q45" s="152">
        <v>5600</v>
      </c>
      <c r="R45" s="152">
        <v>1</v>
      </c>
      <c r="S45" s="152">
        <v>451</v>
      </c>
      <c r="U45" s="152">
        <v>25.256</v>
      </c>
      <c r="V45" s="152">
        <v>1.12E-4</v>
      </c>
      <c r="W45" s="166">
        <v>6.2409791519104003E-4</v>
      </c>
      <c r="X45" s="166">
        <v>6.6490767912377806E-5</v>
      </c>
    </row>
    <row r="46" spans="1:24">
      <c r="A46" s="4" t="s">
        <v>26</v>
      </c>
      <c r="B46" s="4">
        <v>1182</v>
      </c>
      <c r="C46" s="4" t="s">
        <v>2017</v>
      </c>
      <c r="D46" s="4" t="s">
        <v>2018</v>
      </c>
      <c r="E46" s="4" t="s">
        <v>1380</v>
      </c>
      <c r="F46" s="4" t="s">
        <v>2019</v>
      </c>
      <c r="G46" s="4" t="s">
        <v>2020</v>
      </c>
      <c r="H46" s="4" t="s">
        <v>368</v>
      </c>
      <c r="I46" s="4" t="s">
        <v>976</v>
      </c>
      <c r="J46" s="4" t="s">
        <v>31</v>
      </c>
      <c r="K46" s="4" t="s">
        <v>31</v>
      </c>
      <c r="L46" s="2" t="s">
        <v>374</v>
      </c>
      <c r="M46" s="2" t="s">
        <v>32</v>
      </c>
      <c r="N46" s="4" t="s">
        <v>529</v>
      </c>
      <c r="O46" s="4" t="s">
        <v>164</v>
      </c>
      <c r="P46" s="4" t="s">
        <v>35</v>
      </c>
      <c r="Q46" s="152">
        <v>34260</v>
      </c>
      <c r="R46" s="152">
        <v>1</v>
      </c>
      <c r="S46" s="152">
        <v>1597</v>
      </c>
      <c r="U46" s="152">
        <v>547.13199999999995</v>
      </c>
      <c r="V46" s="152">
        <v>1.84E-4</v>
      </c>
      <c r="W46" s="166">
        <v>1.3520116619967E-2</v>
      </c>
      <c r="X46" s="166">
        <v>1.4404197073007901E-3</v>
      </c>
    </row>
    <row r="47" spans="1:24">
      <c r="A47" s="4" t="s">
        <v>26</v>
      </c>
      <c r="B47" s="4">
        <v>1182</v>
      </c>
      <c r="C47" s="4" t="s">
        <v>2021</v>
      </c>
      <c r="D47" s="4" t="s">
        <v>2022</v>
      </c>
      <c r="E47" s="4" t="s">
        <v>1380</v>
      </c>
      <c r="F47" s="4" t="s">
        <v>2023</v>
      </c>
      <c r="G47" s="4" t="s">
        <v>2024</v>
      </c>
      <c r="H47" s="4" t="s">
        <v>368</v>
      </c>
      <c r="I47" s="4" t="s">
        <v>976</v>
      </c>
      <c r="J47" s="4" t="s">
        <v>31</v>
      </c>
      <c r="K47" s="4" t="s">
        <v>31</v>
      </c>
      <c r="L47" s="2" t="s">
        <v>374</v>
      </c>
      <c r="M47" s="2" t="s">
        <v>32</v>
      </c>
      <c r="N47" s="4" t="s">
        <v>522</v>
      </c>
      <c r="O47" s="4" t="s">
        <v>164</v>
      </c>
      <c r="P47" s="4" t="s">
        <v>35</v>
      </c>
      <c r="Q47" s="152">
        <v>1068</v>
      </c>
      <c r="R47" s="152">
        <v>1</v>
      </c>
      <c r="S47" s="152">
        <v>5830</v>
      </c>
      <c r="T47" s="150">
        <v>1.3089999999999999</v>
      </c>
      <c r="U47" s="152">
        <v>63.573</v>
      </c>
      <c r="V47" s="152">
        <v>6.5399999999999996E-4</v>
      </c>
      <c r="W47" s="166">
        <v>1.5709537408405401E-3</v>
      </c>
      <c r="X47" s="166">
        <v>1.67367840912168E-4</v>
      </c>
    </row>
    <row r="48" spans="1:24">
      <c r="A48" s="4" t="s">
        <v>26</v>
      </c>
      <c r="B48" s="4">
        <v>1182</v>
      </c>
      <c r="C48" s="4" t="s">
        <v>2025</v>
      </c>
      <c r="D48" s="4" t="s">
        <v>2026</v>
      </c>
      <c r="E48" s="4" t="s">
        <v>1380</v>
      </c>
      <c r="F48" s="4" t="s">
        <v>2027</v>
      </c>
      <c r="G48" s="4" t="s">
        <v>2028</v>
      </c>
      <c r="H48" s="4" t="s">
        <v>368</v>
      </c>
      <c r="I48" s="4" t="s">
        <v>976</v>
      </c>
      <c r="J48" s="4" t="s">
        <v>31</v>
      </c>
      <c r="K48" s="4" t="s">
        <v>346</v>
      </c>
      <c r="L48" s="2" t="s">
        <v>374</v>
      </c>
      <c r="M48" s="2" t="s">
        <v>32</v>
      </c>
      <c r="N48" s="4" t="s">
        <v>525</v>
      </c>
      <c r="O48" s="4" t="s">
        <v>164</v>
      </c>
      <c r="P48" s="4" t="s">
        <v>35</v>
      </c>
      <c r="Q48" s="152">
        <v>4087</v>
      </c>
      <c r="R48" s="152">
        <v>1</v>
      </c>
      <c r="S48" s="152">
        <v>8289</v>
      </c>
      <c r="U48" s="152">
        <v>338.77100000000002</v>
      </c>
      <c r="V48" s="152">
        <v>8.8999999999999995E-5</v>
      </c>
      <c r="W48" s="166">
        <v>8.3713392140199201E-3</v>
      </c>
      <c r="X48" s="166">
        <v>8.9187411021041899E-4</v>
      </c>
    </row>
    <row r="49" spans="1:24">
      <c r="A49" s="4" t="s">
        <v>26</v>
      </c>
      <c r="B49" s="4">
        <v>1182</v>
      </c>
      <c r="C49" s="4" t="s">
        <v>2029</v>
      </c>
      <c r="D49" s="4" t="s">
        <v>2030</v>
      </c>
      <c r="E49" s="4" t="s">
        <v>1380</v>
      </c>
      <c r="F49" s="4" t="s">
        <v>2031</v>
      </c>
      <c r="G49" s="4" t="s">
        <v>2032</v>
      </c>
      <c r="H49" s="4" t="s">
        <v>368</v>
      </c>
      <c r="I49" s="4" t="s">
        <v>976</v>
      </c>
      <c r="J49" s="4" t="s">
        <v>31</v>
      </c>
      <c r="K49" s="4" t="s">
        <v>31</v>
      </c>
      <c r="L49" s="2" t="s">
        <v>374</v>
      </c>
      <c r="M49" s="2" t="s">
        <v>32</v>
      </c>
      <c r="N49" s="4" t="s">
        <v>507</v>
      </c>
      <c r="O49" s="4" t="s">
        <v>164</v>
      </c>
      <c r="P49" s="4" t="s">
        <v>35</v>
      </c>
      <c r="Q49" s="152">
        <v>102313</v>
      </c>
      <c r="R49" s="152">
        <v>1</v>
      </c>
      <c r="S49" s="152">
        <v>510</v>
      </c>
      <c r="T49" s="150">
        <v>17.792999999999999</v>
      </c>
      <c r="U49" s="152">
        <v>539.58900000000006</v>
      </c>
      <c r="V49" s="152">
        <v>3.5599999999999998E-4</v>
      </c>
      <c r="W49" s="166">
        <v>1.3333723708603799E-2</v>
      </c>
      <c r="X49" s="166">
        <v>1.42056159287947E-3</v>
      </c>
    </row>
    <row r="50" spans="1:24">
      <c r="A50" s="4" t="s">
        <v>26</v>
      </c>
      <c r="B50" s="4">
        <v>1182</v>
      </c>
      <c r="C50" s="4" t="s">
        <v>2033</v>
      </c>
      <c r="D50" s="4" t="s">
        <v>2034</v>
      </c>
      <c r="E50" s="4" t="s">
        <v>1380</v>
      </c>
      <c r="F50" s="4" t="s">
        <v>2035</v>
      </c>
      <c r="G50" s="4" t="s">
        <v>2036</v>
      </c>
      <c r="H50" s="4" t="s">
        <v>368</v>
      </c>
      <c r="I50" s="4" t="s">
        <v>976</v>
      </c>
      <c r="J50" s="4" t="s">
        <v>31</v>
      </c>
      <c r="K50" s="4" t="s">
        <v>31</v>
      </c>
      <c r="L50" s="2" t="s">
        <v>374</v>
      </c>
      <c r="M50" s="2" t="s">
        <v>32</v>
      </c>
      <c r="N50" s="4" t="s">
        <v>508</v>
      </c>
      <c r="O50" s="4" t="s">
        <v>164</v>
      </c>
      <c r="P50" s="4" t="s">
        <v>35</v>
      </c>
      <c r="Q50" s="152">
        <v>23731</v>
      </c>
      <c r="R50" s="152">
        <v>1</v>
      </c>
      <c r="S50" s="152">
        <v>434.7</v>
      </c>
      <c r="U50" s="152">
        <v>103.15900000000001</v>
      </c>
      <c r="V50" s="152">
        <v>3.3399999999999999E-4</v>
      </c>
      <c r="W50" s="166">
        <v>2.5491409078083399E-3</v>
      </c>
      <c r="X50" s="166">
        <v>2.7158292369098799E-4</v>
      </c>
    </row>
    <row r="51" spans="1:24">
      <c r="A51" s="4" t="s">
        <v>26</v>
      </c>
      <c r="B51" s="4">
        <v>1182</v>
      </c>
      <c r="C51" s="4" t="s">
        <v>2037</v>
      </c>
      <c r="D51" s="4" t="s">
        <v>2038</v>
      </c>
      <c r="E51" s="4" t="s">
        <v>1380</v>
      </c>
      <c r="F51" s="4" t="s">
        <v>2039</v>
      </c>
      <c r="G51" s="4" t="s">
        <v>2040</v>
      </c>
      <c r="H51" s="4" t="s">
        <v>368</v>
      </c>
      <c r="I51" s="4" t="s">
        <v>976</v>
      </c>
      <c r="J51" s="4" t="s">
        <v>31</v>
      </c>
      <c r="K51" s="4" t="s">
        <v>31</v>
      </c>
      <c r="L51" s="2" t="s">
        <v>374</v>
      </c>
      <c r="M51" s="2" t="s">
        <v>32</v>
      </c>
      <c r="N51" s="4" t="s">
        <v>503</v>
      </c>
      <c r="O51" s="4" t="s">
        <v>164</v>
      </c>
      <c r="P51" s="4" t="s">
        <v>35</v>
      </c>
      <c r="Q51" s="152">
        <v>10024</v>
      </c>
      <c r="R51" s="152">
        <v>1</v>
      </c>
      <c r="S51" s="152">
        <v>6910</v>
      </c>
      <c r="U51" s="152">
        <v>692.65800000000002</v>
      </c>
      <c r="V51" s="152">
        <v>8.6000000000000003E-5</v>
      </c>
      <c r="W51" s="166">
        <v>1.71161966811673E-2</v>
      </c>
      <c r="X51" s="166">
        <v>1.8235424816661001E-3</v>
      </c>
    </row>
    <row r="52" spans="1:24">
      <c r="A52" s="4" t="s">
        <v>26</v>
      </c>
      <c r="B52" s="4">
        <v>1182</v>
      </c>
      <c r="C52" s="4" t="s">
        <v>2041</v>
      </c>
      <c r="D52" s="4" t="s">
        <v>2042</v>
      </c>
      <c r="E52" s="4" t="s">
        <v>1380</v>
      </c>
      <c r="F52" s="4" t="s">
        <v>2043</v>
      </c>
      <c r="G52" s="4" t="s">
        <v>2044</v>
      </c>
      <c r="H52" s="4" t="s">
        <v>368</v>
      </c>
      <c r="I52" s="4" t="s">
        <v>976</v>
      </c>
      <c r="J52" s="4" t="s">
        <v>31</v>
      </c>
      <c r="K52" s="4" t="s">
        <v>31</v>
      </c>
      <c r="L52" s="2" t="s">
        <v>374</v>
      </c>
      <c r="M52" s="2" t="s">
        <v>32</v>
      </c>
      <c r="N52" s="4" t="s">
        <v>507</v>
      </c>
      <c r="O52" s="4" t="s">
        <v>164</v>
      </c>
      <c r="P52" s="4" t="s">
        <v>35</v>
      </c>
      <c r="Q52" s="152">
        <v>23723</v>
      </c>
      <c r="R52" s="152">
        <v>1</v>
      </c>
      <c r="S52" s="152">
        <v>2100</v>
      </c>
      <c r="U52" s="152">
        <v>498.18299999999999</v>
      </c>
      <c r="V52" s="152">
        <v>6.6000000000000005E-5</v>
      </c>
      <c r="W52" s="166">
        <v>1.23105389485119E-2</v>
      </c>
      <c r="X52" s="166">
        <v>1.31155251151774E-3</v>
      </c>
    </row>
    <row r="53" spans="1:24">
      <c r="A53" s="4" t="s">
        <v>26</v>
      </c>
      <c r="B53" s="4">
        <v>1182</v>
      </c>
      <c r="C53" s="4" t="s">
        <v>2045</v>
      </c>
      <c r="D53" s="4" t="s">
        <v>2046</v>
      </c>
      <c r="E53" s="4" t="s">
        <v>362</v>
      </c>
      <c r="F53" s="4" t="s">
        <v>2047</v>
      </c>
      <c r="G53" s="4" t="s">
        <v>2048</v>
      </c>
      <c r="H53" s="4" t="s">
        <v>368</v>
      </c>
      <c r="I53" s="4" t="s">
        <v>976</v>
      </c>
      <c r="J53" s="4" t="s">
        <v>100</v>
      </c>
      <c r="K53" s="4" t="s">
        <v>101</v>
      </c>
      <c r="L53" s="2" t="s">
        <v>374</v>
      </c>
      <c r="M53" s="2" t="s">
        <v>393</v>
      </c>
      <c r="N53" s="4" t="s">
        <v>560</v>
      </c>
      <c r="O53" s="4" t="s">
        <v>164</v>
      </c>
      <c r="P53" s="4" t="s">
        <v>105</v>
      </c>
      <c r="Q53" s="152">
        <v>902</v>
      </c>
      <c r="R53" s="152">
        <v>3.681</v>
      </c>
      <c r="S53" s="152">
        <v>180.38</v>
      </c>
      <c r="U53" s="152">
        <v>598.90899999999999</v>
      </c>
      <c r="V53" s="152">
        <v>0</v>
      </c>
      <c r="W53" s="166">
        <v>1.47995632974675E-2</v>
      </c>
      <c r="X53" s="166">
        <v>1.57673067713299E-3</v>
      </c>
    </row>
    <row r="54" spans="1:24">
      <c r="A54" s="4" t="s">
        <v>26</v>
      </c>
      <c r="B54" s="4">
        <v>1182</v>
      </c>
      <c r="C54" s="4" t="s">
        <v>2049</v>
      </c>
      <c r="D54" s="4" t="s">
        <v>2050</v>
      </c>
      <c r="E54" s="4" t="s">
        <v>362</v>
      </c>
      <c r="F54" s="4" t="s">
        <v>2051</v>
      </c>
      <c r="G54" s="4" t="s">
        <v>2052</v>
      </c>
      <c r="H54" s="4" t="s">
        <v>368</v>
      </c>
      <c r="I54" s="4" t="s">
        <v>976</v>
      </c>
      <c r="J54" s="4" t="s">
        <v>100</v>
      </c>
      <c r="K54" s="4" t="s">
        <v>101</v>
      </c>
      <c r="L54" s="2" t="s">
        <v>374</v>
      </c>
      <c r="M54" s="2" t="s">
        <v>391</v>
      </c>
      <c r="N54" s="4" t="s">
        <v>2053</v>
      </c>
      <c r="O54" s="4" t="s">
        <v>164</v>
      </c>
      <c r="P54" s="4" t="s">
        <v>105</v>
      </c>
      <c r="Q54" s="152">
        <v>870</v>
      </c>
      <c r="R54" s="152">
        <v>3.681</v>
      </c>
      <c r="S54" s="152">
        <v>22769</v>
      </c>
      <c r="U54" s="152">
        <v>729.17</v>
      </c>
      <c r="V54" s="152">
        <v>1.9999999999999999E-6</v>
      </c>
      <c r="W54" s="166">
        <v>1.8018440089549299E-2</v>
      </c>
      <c r="X54" s="166">
        <v>1.91966659233364E-3</v>
      </c>
    </row>
    <row r="55" spans="1:24">
      <c r="A55" s="4" t="s">
        <v>26</v>
      </c>
      <c r="B55" s="4">
        <v>1182</v>
      </c>
      <c r="C55" s="4" t="s">
        <v>2054</v>
      </c>
      <c r="D55" s="4" t="s">
        <v>2055</v>
      </c>
      <c r="E55" s="4" t="s">
        <v>362</v>
      </c>
      <c r="F55" s="4" t="s">
        <v>2056</v>
      </c>
      <c r="G55" s="4" t="s">
        <v>2057</v>
      </c>
      <c r="H55" s="4" t="s">
        <v>368</v>
      </c>
      <c r="I55" s="4" t="s">
        <v>976</v>
      </c>
      <c r="J55" s="4" t="s">
        <v>100</v>
      </c>
      <c r="K55" s="4" t="s">
        <v>318</v>
      </c>
      <c r="L55" s="2" t="s">
        <v>374</v>
      </c>
      <c r="M55" s="2" t="s">
        <v>391</v>
      </c>
      <c r="N55" s="4" t="s">
        <v>560</v>
      </c>
      <c r="O55" s="4" t="s">
        <v>164</v>
      </c>
      <c r="P55" s="4" t="s">
        <v>105</v>
      </c>
      <c r="Q55" s="152">
        <v>1923</v>
      </c>
      <c r="R55" s="152">
        <v>3.681</v>
      </c>
      <c r="S55" s="152">
        <v>7236</v>
      </c>
      <c r="U55" s="152">
        <v>512.20500000000004</v>
      </c>
      <c r="V55" s="152">
        <v>9.9999999999999995E-7</v>
      </c>
      <c r="W55" s="166">
        <v>1.2657030388382701E-2</v>
      </c>
      <c r="X55" s="166">
        <v>1.3484673630999901E-3</v>
      </c>
    </row>
    <row r="56" spans="1:24">
      <c r="A56" s="4" t="s">
        <v>26</v>
      </c>
      <c r="B56" s="4">
        <v>1182</v>
      </c>
      <c r="C56" s="4" t="s">
        <v>2058</v>
      </c>
      <c r="D56" s="4" t="s">
        <v>2059</v>
      </c>
      <c r="E56" s="4" t="s">
        <v>362</v>
      </c>
      <c r="F56" s="4" t="s">
        <v>2060</v>
      </c>
      <c r="G56" s="4" t="s">
        <v>2061</v>
      </c>
      <c r="H56" s="4" t="s">
        <v>368</v>
      </c>
      <c r="I56" s="4" t="s">
        <v>976</v>
      </c>
      <c r="J56" s="4" t="s">
        <v>100</v>
      </c>
      <c r="K56" s="4" t="s">
        <v>101</v>
      </c>
      <c r="L56" s="2" t="s">
        <v>374</v>
      </c>
      <c r="M56" s="2" t="s">
        <v>393</v>
      </c>
      <c r="N56" s="4" t="s">
        <v>579</v>
      </c>
      <c r="O56" s="4" t="s">
        <v>164</v>
      </c>
      <c r="P56" s="4" t="s">
        <v>105</v>
      </c>
      <c r="Q56" s="152">
        <v>592</v>
      </c>
      <c r="R56" s="152">
        <v>3.681</v>
      </c>
      <c r="S56" s="152">
        <v>21563</v>
      </c>
      <c r="U56" s="152">
        <v>469.89100000000002</v>
      </c>
      <c r="V56" s="152">
        <v>3.9999999999999998E-6</v>
      </c>
      <c r="W56" s="166">
        <v>1.16114075853974E-2</v>
      </c>
      <c r="X56" s="166">
        <v>1.2370677550819101E-3</v>
      </c>
    </row>
    <row r="57" spans="1:24">
      <c r="A57" s="4" t="s">
        <v>26</v>
      </c>
      <c r="B57" s="4">
        <v>1182</v>
      </c>
      <c r="C57" s="4" t="s">
        <v>2062</v>
      </c>
      <c r="D57" s="4" t="s">
        <v>2063</v>
      </c>
      <c r="E57" s="4" t="s">
        <v>362</v>
      </c>
      <c r="F57" s="4" t="s">
        <v>2064</v>
      </c>
      <c r="G57" s="4" t="s">
        <v>2065</v>
      </c>
      <c r="H57" s="4" t="s">
        <v>368</v>
      </c>
      <c r="I57" s="4" t="s">
        <v>976</v>
      </c>
      <c r="J57" s="4" t="s">
        <v>100</v>
      </c>
      <c r="K57" s="4" t="s">
        <v>101</v>
      </c>
      <c r="L57" s="2" t="s">
        <v>374</v>
      </c>
      <c r="M57" s="2" t="s">
        <v>391</v>
      </c>
      <c r="N57" s="4" t="s">
        <v>2066</v>
      </c>
      <c r="O57" s="4" t="s">
        <v>164</v>
      </c>
      <c r="P57" s="4" t="s">
        <v>105</v>
      </c>
      <c r="Q57" s="152">
        <v>430</v>
      </c>
      <c r="R57" s="152">
        <v>3.681</v>
      </c>
      <c r="S57" s="152">
        <v>19299</v>
      </c>
      <c r="U57" s="152">
        <v>305.47000000000003</v>
      </c>
      <c r="V57" s="152">
        <v>9.9999999999999995E-7</v>
      </c>
      <c r="W57" s="166">
        <v>7.5484406038019798E-3</v>
      </c>
      <c r="X57" s="166">
        <v>8.0420331501048501E-4</v>
      </c>
    </row>
    <row r="58" spans="1:24">
      <c r="A58" s="4" t="s">
        <v>26</v>
      </c>
      <c r="B58" s="4">
        <v>1182</v>
      </c>
      <c r="D58" s="4" t="s">
        <v>1598</v>
      </c>
      <c r="E58" s="4" t="s">
        <v>362</v>
      </c>
      <c r="F58" s="4" t="s">
        <v>2067</v>
      </c>
      <c r="G58" s="4" t="s">
        <v>2068</v>
      </c>
      <c r="H58" s="4" t="s">
        <v>368</v>
      </c>
      <c r="I58" s="4" t="s">
        <v>976</v>
      </c>
      <c r="J58" s="4" t="s">
        <v>100</v>
      </c>
      <c r="L58" s="2" t="s">
        <v>374</v>
      </c>
      <c r="M58" s="2" t="s">
        <v>204</v>
      </c>
      <c r="N58" s="4" t="s">
        <v>1392</v>
      </c>
      <c r="O58" s="4" t="s">
        <v>164</v>
      </c>
      <c r="P58" s="4" t="s">
        <v>105</v>
      </c>
      <c r="Q58" s="152">
        <v>387.13</v>
      </c>
      <c r="R58" s="152">
        <v>3.681</v>
      </c>
      <c r="S58" s="152">
        <v>129156</v>
      </c>
      <c r="U58" s="152">
        <v>1840.5060000000001</v>
      </c>
      <c r="V58" s="152">
        <v>0</v>
      </c>
      <c r="W58" s="166">
        <v>4.5480517143440397E-2</v>
      </c>
      <c r="X58" s="166">
        <v>4.84544882511544E-3</v>
      </c>
    </row>
    <row r="59" spans="1:24">
      <c r="A59" s="4" t="s">
        <v>26</v>
      </c>
      <c r="B59" s="4">
        <v>1182</v>
      </c>
      <c r="C59" s="4" t="s">
        <v>2069</v>
      </c>
      <c r="D59" s="4" t="s">
        <v>2070</v>
      </c>
      <c r="E59" s="4" t="s">
        <v>362</v>
      </c>
      <c r="F59" s="4" t="s">
        <v>2071</v>
      </c>
      <c r="G59" s="4" t="s">
        <v>2072</v>
      </c>
      <c r="H59" s="4" t="s">
        <v>368</v>
      </c>
      <c r="I59" s="4" t="s">
        <v>976</v>
      </c>
      <c r="J59" s="4" t="s">
        <v>100</v>
      </c>
      <c r="K59" s="4" t="s">
        <v>101</v>
      </c>
      <c r="L59" s="2" t="s">
        <v>374</v>
      </c>
      <c r="M59" s="2" t="s">
        <v>391</v>
      </c>
      <c r="N59" s="4" t="s">
        <v>2066</v>
      </c>
      <c r="O59" s="4" t="s">
        <v>164</v>
      </c>
      <c r="P59" s="4" t="s">
        <v>105</v>
      </c>
      <c r="Q59" s="152">
        <v>306</v>
      </c>
      <c r="R59" s="152">
        <v>3.681</v>
      </c>
      <c r="S59" s="152">
        <v>41074</v>
      </c>
      <c r="U59" s="152">
        <v>462.65199999999999</v>
      </c>
      <c r="V59" s="152">
        <v>9.9999999999999995E-7</v>
      </c>
      <c r="W59" s="166">
        <v>1.1432531472811799E-2</v>
      </c>
      <c r="X59" s="166">
        <v>1.21801047288709E-3</v>
      </c>
    </row>
    <row r="60" spans="1:24">
      <c r="A60" s="4" t="s">
        <v>26</v>
      </c>
      <c r="B60" s="4">
        <v>1182</v>
      </c>
      <c r="C60" s="4" t="s">
        <v>2073</v>
      </c>
      <c r="D60" s="4" t="s">
        <v>2074</v>
      </c>
      <c r="E60" s="4" t="s">
        <v>362</v>
      </c>
      <c r="F60" s="4" t="s">
        <v>2073</v>
      </c>
      <c r="G60" s="4" t="s">
        <v>2075</v>
      </c>
      <c r="H60" s="4" t="s">
        <v>368</v>
      </c>
      <c r="I60" s="4" t="s">
        <v>976</v>
      </c>
      <c r="J60" s="4" t="s">
        <v>100</v>
      </c>
      <c r="K60" s="4" t="s">
        <v>101</v>
      </c>
      <c r="L60" s="2" t="s">
        <v>374</v>
      </c>
      <c r="M60" s="2" t="s">
        <v>393</v>
      </c>
      <c r="N60" s="4" t="s">
        <v>591</v>
      </c>
      <c r="O60" s="4" t="s">
        <v>164</v>
      </c>
      <c r="P60" s="4" t="s">
        <v>105</v>
      </c>
      <c r="Q60" s="152">
        <v>5000</v>
      </c>
      <c r="R60" s="152">
        <v>3.681</v>
      </c>
      <c r="S60" s="152">
        <v>2861</v>
      </c>
      <c r="U60" s="152">
        <v>526.56700000000001</v>
      </c>
      <c r="V60" s="152">
        <v>1.2E-5</v>
      </c>
      <c r="W60" s="166">
        <v>1.30119337232062E-2</v>
      </c>
      <c r="X60" s="166">
        <v>1.38627840956032E-3</v>
      </c>
    </row>
    <row r="61" spans="1:24">
      <c r="A61" s="4" t="s">
        <v>26</v>
      </c>
      <c r="B61" s="4">
        <v>1182</v>
      </c>
      <c r="C61" s="4" t="s">
        <v>2076</v>
      </c>
      <c r="D61" s="4" t="s">
        <v>2077</v>
      </c>
      <c r="E61" s="4" t="s">
        <v>1380</v>
      </c>
      <c r="F61" s="4" t="s">
        <v>2078</v>
      </c>
      <c r="G61" s="4" t="s">
        <v>2079</v>
      </c>
      <c r="H61" s="4" t="s">
        <v>368</v>
      </c>
      <c r="I61" s="4" t="s">
        <v>976</v>
      </c>
      <c r="J61" s="4" t="s">
        <v>31</v>
      </c>
      <c r="K61" s="4" t="s">
        <v>31</v>
      </c>
      <c r="L61" s="2" t="s">
        <v>374</v>
      </c>
      <c r="M61" s="2" t="s">
        <v>393</v>
      </c>
      <c r="N61" s="4" t="s">
        <v>579</v>
      </c>
      <c r="O61" s="4" t="s">
        <v>164</v>
      </c>
      <c r="P61" s="4" t="s">
        <v>105</v>
      </c>
      <c r="Q61" s="152">
        <v>10747</v>
      </c>
      <c r="R61" s="152">
        <v>3.681</v>
      </c>
      <c r="S61" s="152">
        <v>3.61</v>
      </c>
      <c r="U61" s="152">
        <v>1.4279999999999999</v>
      </c>
      <c r="V61" s="152">
        <v>1.7899999999999999E-4</v>
      </c>
      <c r="W61" s="166">
        <v>3.5289737764495099E-5</v>
      </c>
      <c r="X61" s="166">
        <v>3.7597333788071698E-6</v>
      </c>
    </row>
    <row r="62" spans="1:24">
      <c r="A62" s="4" t="s">
        <v>26</v>
      </c>
      <c r="B62" s="4">
        <v>1182</v>
      </c>
      <c r="C62" s="4" t="s">
        <v>2080</v>
      </c>
      <c r="D62" s="4" t="s">
        <v>2081</v>
      </c>
      <c r="E62" s="4" t="s">
        <v>362</v>
      </c>
      <c r="F62" s="4" t="s">
        <v>2082</v>
      </c>
      <c r="G62" s="4" t="s">
        <v>2083</v>
      </c>
      <c r="H62" s="4" t="s">
        <v>368</v>
      </c>
      <c r="I62" s="4" t="s">
        <v>976</v>
      </c>
      <c r="J62" s="4" t="s">
        <v>100</v>
      </c>
      <c r="K62" s="4" t="s">
        <v>101</v>
      </c>
      <c r="L62" s="2" t="s">
        <v>374</v>
      </c>
      <c r="M62" s="2" t="s">
        <v>393</v>
      </c>
      <c r="N62" s="4" t="s">
        <v>594</v>
      </c>
      <c r="O62" s="4" t="s">
        <v>164</v>
      </c>
      <c r="P62" s="4" t="s">
        <v>105</v>
      </c>
      <c r="Q62" s="152">
        <v>805</v>
      </c>
      <c r="R62" s="152">
        <v>3.681</v>
      </c>
      <c r="S62" s="152">
        <v>15226</v>
      </c>
      <c r="U62" s="152">
        <v>451.178</v>
      </c>
      <c r="V62" s="152">
        <v>0</v>
      </c>
      <c r="W62" s="166">
        <v>1.11489941146437E-2</v>
      </c>
      <c r="X62" s="166">
        <v>1.1878026862280401E-3</v>
      </c>
    </row>
    <row r="63" spans="1:24">
      <c r="A63" s="4" t="s">
        <v>26</v>
      </c>
      <c r="B63" s="4">
        <v>1182</v>
      </c>
      <c r="C63" s="4" t="s">
        <v>2084</v>
      </c>
      <c r="D63" s="4" t="s">
        <v>2085</v>
      </c>
      <c r="E63" s="4" t="s">
        <v>362</v>
      </c>
      <c r="F63" s="4" t="s">
        <v>2086</v>
      </c>
      <c r="G63" s="4" t="s">
        <v>2087</v>
      </c>
      <c r="H63" s="4" t="s">
        <v>368</v>
      </c>
      <c r="I63" s="4" t="s">
        <v>976</v>
      </c>
      <c r="J63" s="4" t="s">
        <v>100</v>
      </c>
      <c r="L63" s="2" t="s">
        <v>374</v>
      </c>
      <c r="M63" s="2" t="s">
        <v>204</v>
      </c>
      <c r="N63" s="4" t="s">
        <v>2088</v>
      </c>
      <c r="O63" s="4" t="s">
        <v>164</v>
      </c>
      <c r="P63" s="4" t="s">
        <v>1224</v>
      </c>
      <c r="Q63" s="152">
        <v>225</v>
      </c>
      <c r="R63" s="152">
        <v>3.9790000000000001</v>
      </c>
      <c r="S63" s="152">
        <v>83370</v>
      </c>
      <c r="U63" s="152">
        <v>746.41</v>
      </c>
      <c r="V63" s="152">
        <v>0</v>
      </c>
      <c r="W63" s="166">
        <v>1.8444434150273501E-2</v>
      </c>
      <c r="X63" s="166">
        <v>1.96505157365502E-3</v>
      </c>
    </row>
    <row r="64" spans="1:24">
      <c r="A64" s="4" t="s">
        <v>26</v>
      </c>
      <c r="B64" s="4">
        <v>1182</v>
      </c>
      <c r="C64" s="4" t="s">
        <v>2089</v>
      </c>
      <c r="D64" s="4" t="s">
        <v>2090</v>
      </c>
      <c r="E64" s="4" t="s">
        <v>362</v>
      </c>
      <c r="F64" s="4" t="s">
        <v>2091</v>
      </c>
      <c r="G64" s="4" t="s">
        <v>2092</v>
      </c>
      <c r="H64" s="4" t="s">
        <v>368</v>
      </c>
      <c r="I64" s="4" t="s">
        <v>976</v>
      </c>
      <c r="J64" s="4" t="s">
        <v>100</v>
      </c>
      <c r="K64" s="4" t="s">
        <v>101</v>
      </c>
      <c r="L64" s="2" t="s">
        <v>374</v>
      </c>
      <c r="M64" s="2" t="s">
        <v>391</v>
      </c>
      <c r="N64" s="4" t="s">
        <v>2053</v>
      </c>
      <c r="O64" s="4" t="s">
        <v>164</v>
      </c>
      <c r="P64" s="4" t="s">
        <v>105</v>
      </c>
      <c r="Q64" s="152">
        <v>380</v>
      </c>
      <c r="R64" s="152">
        <v>3.681</v>
      </c>
      <c r="S64" s="152">
        <v>481.57</v>
      </c>
      <c r="U64" s="152">
        <v>673.61</v>
      </c>
      <c r="V64" s="152">
        <v>0</v>
      </c>
      <c r="W64" s="166">
        <v>1.6645505982328401E-2</v>
      </c>
      <c r="X64" s="166">
        <v>1.77339556520759E-3</v>
      </c>
    </row>
    <row r="65" spans="1:24">
      <c r="A65" s="4" t="s">
        <v>26</v>
      </c>
      <c r="B65" s="4">
        <v>1182</v>
      </c>
      <c r="C65" s="4" t="s">
        <v>2093</v>
      </c>
      <c r="D65" s="4" t="s">
        <v>2094</v>
      </c>
      <c r="E65" s="4" t="s">
        <v>362</v>
      </c>
      <c r="F65" s="4" t="s">
        <v>2095</v>
      </c>
      <c r="G65" s="4" t="s">
        <v>2096</v>
      </c>
      <c r="H65" s="4" t="s">
        <v>368</v>
      </c>
      <c r="I65" s="4" t="s">
        <v>976</v>
      </c>
      <c r="J65" s="4" t="s">
        <v>100</v>
      </c>
      <c r="K65" s="4" t="s">
        <v>101</v>
      </c>
      <c r="L65" s="2" t="s">
        <v>374</v>
      </c>
      <c r="M65" s="2" t="s">
        <v>391</v>
      </c>
      <c r="N65" s="4" t="s">
        <v>579</v>
      </c>
      <c r="O65" s="4" t="s">
        <v>164</v>
      </c>
      <c r="P65" s="4" t="s">
        <v>105</v>
      </c>
      <c r="Q65" s="152">
        <v>418</v>
      </c>
      <c r="R65" s="152">
        <v>3.681</v>
      </c>
      <c r="S65" s="152">
        <v>13195</v>
      </c>
      <c r="T65" s="150">
        <v>0.22800000000000001</v>
      </c>
      <c r="U65" s="152">
        <v>203.86699999999999</v>
      </c>
      <c r="V65" s="152">
        <v>0</v>
      </c>
      <c r="W65" s="166">
        <v>5.0377260589759797E-3</v>
      </c>
      <c r="X65" s="166">
        <v>5.3671429761302102E-4</v>
      </c>
    </row>
    <row r="66" spans="1:24">
      <c r="A66" s="4" t="s">
        <v>26</v>
      </c>
      <c r="B66" s="4">
        <v>1182</v>
      </c>
      <c r="C66" s="4" t="s">
        <v>2097</v>
      </c>
      <c r="D66" s="4" t="s">
        <v>2098</v>
      </c>
      <c r="E66" s="4" t="s">
        <v>362</v>
      </c>
      <c r="F66" s="4" t="s">
        <v>2099</v>
      </c>
      <c r="G66" s="4" t="s">
        <v>2100</v>
      </c>
      <c r="H66" s="4" t="s">
        <v>368</v>
      </c>
      <c r="I66" s="4" t="s">
        <v>976</v>
      </c>
      <c r="J66" s="4" t="s">
        <v>100</v>
      </c>
      <c r="K66" s="4" t="s">
        <v>101</v>
      </c>
      <c r="L66" s="2" t="s">
        <v>374</v>
      </c>
      <c r="M66" s="2" t="s">
        <v>393</v>
      </c>
      <c r="N66" s="4" t="s">
        <v>589</v>
      </c>
      <c r="O66" s="4" t="s">
        <v>164</v>
      </c>
      <c r="P66" s="4" t="s">
        <v>105</v>
      </c>
      <c r="Q66" s="152">
        <v>1167</v>
      </c>
      <c r="R66" s="152">
        <v>3.681</v>
      </c>
      <c r="S66" s="152">
        <v>420.72</v>
      </c>
      <c r="U66" s="152">
        <v>1807.298</v>
      </c>
      <c r="V66" s="152">
        <v>0</v>
      </c>
      <c r="W66" s="166">
        <v>4.4659925496566798E-2</v>
      </c>
      <c r="X66" s="166">
        <v>4.7580238114837102E-3</v>
      </c>
    </row>
    <row r="67" spans="1:24">
      <c r="A67" s="4" t="s">
        <v>26</v>
      </c>
      <c r="B67" s="4">
        <v>1182</v>
      </c>
      <c r="C67" s="4" t="s">
        <v>2101</v>
      </c>
      <c r="D67" s="4" t="s">
        <v>2102</v>
      </c>
      <c r="E67" s="4" t="s">
        <v>362</v>
      </c>
      <c r="F67" s="4" t="s">
        <v>2101</v>
      </c>
      <c r="G67" s="4" t="s">
        <v>2103</v>
      </c>
      <c r="H67" s="4" t="s">
        <v>368</v>
      </c>
      <c r="I67" s="4" t="s">
        <v>976</v>
      </c>
      <c r="J67" s="4" t="s">
        <v>100</v>
      </c>
      <c r="K67" s="4" t="s">
        <v>101</v>
      </c>
      <c r="L67" s="2" t="s">
        <v>374</v>
      </c>
      <c r="M67" s="2" t="s">
        <v>393</v>
      </c>
      <c r="N67" s="4" t="s">
        <v>579</v>
      </c>
      <c r="O67" s="4" t="s">
        <v>164</v>
      </c>
      <c r="P67" s="4" t="s">
        <v>105</v>
      </c>
      <c r="Q67" s="152">
        <v>1607</v>
      </c>
      <c r="R67" s="152">
        <v>3.681</v>
      </c>
      <c r="S67" s="152">
        <v>10656</v>
      </c>
      <c r="U67" s="152">
        <v>630.34199999999998</v>
      </c>
      <c r="V67" s="152">
        <v>5.0000000000000004E-6</v>
      </c>
      <c r="W67" s="166">
        <v>1.5576291602059301E-2</v>
      </c>
      <c r="X67" s="166">
        <v>1.65948253413251E-3</v>
      </c>
    </row>
    <row r="68" spans="1:24">
      <c r="A68" s="4" t="s">
        <v>26</v>
      </c>
      <c r="B68" s="4">
        <v>1182</v>
      </c>
      <c r="C68" s="4" t="s">
        <v>2104</v>
      </c>
      <c r="D68" s="4" t="s">
        <v>2105</v>
      </c>
      <c r="E68" s="4" t="s">
        <v>34</v>
      </c>
      <c r="F68" s="4" t="s">
        <v>2104</v>
      </c>
      <c r="G68" s="4" t="s">
        <v>2106</v>
      </c>
      <c r="H68" s="4" t="s">
        <v>368</v>
      </c>
      <c r="I68" s="4" t="s">
        <v>976</v>
      </c>
      <c r="J68" s="4" t="s">
        <v>100</v>
      </c>
      <c r="K68" s="4" t="s">
        <v>101</v>
      </c>
      <c r="L68" s="2" t="s">
        <v>374</v>
      </c>
      <c r="M68" s="2" t="s">
        <v>393</v>
      </c>
      <c r="N68" s="4" t="s">
        <v>2053</v>
      </c>
      <c r="O68" s="4" t="s">
        <v>164</v>
      </c>
      <c r="P68" s="4" t="s">
        <v>105</v>
      </c>
      <c r="Q68" s="152">
        <v>1924</v>
      </c>
      <c r="R68" s="152">
        <v>3.681</v>
      </c>
      <c r="S68" s="152">
        <v>6310</v>
      </c>
      <c r="U68" s="152">
        <v>446.89</v>
      </c>
      <c r="V68" s="152">
        <v>0</v>
      </c>
      <c r="W68" s="166">
        <v>1.1043033949707201E-2</v>
      </c>
      <c r="X68" s="166">
        <v>1.17651379619451E-3</v>
      </c>
    </row>
    <row r="69" spans="1:24">
      <c r="A69" s="4" t="s">
        <v>26</v>
      </c>
      <c r="B69" s="4">
        <v>1182</v>
      </c>
      <c r="C69" s="4" t="s">
        <v>2107</v>
      </c>
      <c r="D69" s="4" t="s">
        <v>2108</v>
      </c>
      <c r="E69" s="4" t="s">
        <v>362</v>
      </c>
      <c r="F69" s="4" t="s">
        <v>2109</v>
      </c>
      <c r="G69" s="4" t="s">
        <v>2110</v>
      </c>
      <c r="H69" s="4" t="s">
        <v>368</v>
      </c>
      <c r="I69" s="4" t="s">
        <v>976</v>
      </c>
      <c r="J69" s="4" t="s">
        <v>100</v>
      </c>
      <c r="K69" s="4" t="s">
        <v>101</v>
      </c>
      <c r="L69" s="2" t="s">
        <v>374</v>
      </c>
      <c r="M69" s="2" t="s">
        <v>393</v>
      </c>
      <c r="N69" s="4" t="s">
        <v>594</v>
      </c>
      <c r="O69" s="4" t="s">
        <v>164</v>
      </c>
      <c r="P69" s="4" t="s">
        <v>105</v>
      </c>
      <c r="Q69" s="152">
        <v>365</v>
      </c>
      <c r="R69" s="152">
        <v>3.681</v>
      </c>
      <c r="S69" s="152">
        <v>60733</v>
      </c>
      <c r="U69" s="152">
        <v>815.98699999999997</v>
      </c>
      <c r="V69" s="152">
        <v>9.9999999999999995E-7</v>
      </c>
      <c r="W69" s="166">
        <v>2.0163762764501301E-2</v>
      </c>
      <c r="X69" s="166">
        <v>2.1482271252329099E-3</v>
      </c>
    </row>
    <row r="70" spans="1:24">
      <c r="A70" s="4" t="s">
        <v>26</v>
      </c>
      <c r="B70" s="4">
        <v>1182</v>
      </c>
      <c r="C70" s="4" t="s">
        <v>2111</v>
      </c>
      <c r="D70" s="4" t="s">
        <v>2112</v>
      </c>
      <c r="E70" s="4" t="s">
        <v>362</v>
      </c>
      <c r="F70" s="4" t="s">
        <v>2113</v>
      </c>
      <c r="G70" s="4" t="s">
        <v>2114</v>
      </c>
      <c r="H70" s="4" t="s">
        <v>368</v>
      </c>
      <c r="I70" s="4" t="s">
        <v>976</v>
      </c>
      <c r="J70" s="4" t="s">
        <v>100</v>
      </c>
      <c r="K70" s="4" t="s">
        <v>101</v>
      </c>
      <c r="L70" s="2" t="s">
        <v>374</v>
      </c>
      <c r="M70" s="2" t="s">
        <v>391</v>
      </c>
      <c r="N70" s="4" t="s">
        <v>2066</v>
      </c>
      <c r="O70" s="4" t="s">
        <v>164</v>
      </c>
      <c r="P70" s="4" t="s">
        <v>105</v>
      </c>
      <c r="Q70" s="152">
        <v>126</v>
      </c>
      <c r="R70" s="152">
        <v>3.681</v>
      </c>
      <c r="S70" s="152">
        <v>47866</v>
      </c>
      <c r="U70" s="152">
        <v>222.005</v>
      </c>
      <c r="V70" s="152">
        <v>9.9999999999999995E-7</v>
      </c>
      <c r="W70" s="166">
        <v>5.4859476874497401E-3</v>
      </c>
      <c r="X70" s="166">
        <v>5.8446738177936395E-4</v>
      </c>
    </row>
    <row r="71" spans="1:24">
      <c r="A71" s="4" t="s">
        <v>26</v>
      </c>
      <c r="B71" s="4">
        <v>1182</v>
      </c>
      <c r="C71" s="4" t="s">
        <v>2115</v>
      </c>
      <c r="D71" s="4" t="s">
        <v>2116</v>
      </c>
      <c r="E71" s="4" t="s">
        <v>362</v>
      </c>
      <c r="F71" s="4" t="s">
        <v>2117</v>
      </c>
      <c r="G71" s="4" t="s">
        <v>2118</v>
      </c>
      <c r="H71" s="4" t="s">
        <v>368</v>
      </c>
      <c r="I71" s="4" t="s">
        <v>976</v>
      </c>
      <c r="J71" s="4" t="s">
        <v>100</v>
      </c>
      <c r="L71" s="2" t="s">
        <v>374</v>
      </c>
      <c r="M71" s="2" t="s">
        <v>204</v>
      </c>
      <c r="N71" s="4" t="s">
        <v>579</v>
      </c>
      <c r="O71" s="4" t="s">
        <v>164</v>
      </c>
      <c r="P71" s="4" t="s">
        <v>105</v>
      </c>
      <c r="Q71" s="152">
        <v>1147</v>
      </c>
      <c r="R71" s="152">
        <v>3.681</v>
      </c>
      <c r="S71" s="152">
        <v>12840</v>
      </c>
      <c r="T71" s="150">
        <v>1.0660000000000001</v>
      </c>
      <c r="U71" s="152">
        <v>546.04200000000003</v>
      </c>
      <c r="V71" s="152">
        <v>0</v>
      </c>
      <c r="W71" s="166">
        <v>1.34931842534128E-2</v>
      </c>
      <c r="X71" s="166">
        <v>1.4375503598950401E-3</v>
      </c>
    </row>
    <row r="72" spans="1:24">
      <c r="A72" s="4" t="s">
        <v>26</v>
      </c>
      <c r="B72" s="4">
        <v>1182</v>
      </c>
      <c r="C72" s="4" t="s">
        <v>2119</v>
      </c>
      <c r="D72" s="4" t="s">
        <v>2120</v>
      </c>
      <c r="E72" s="4" t="s">
        <v>362</v>
      </c>
      <c r="F72" s="4" t="s">
        <v>2121</v>
      </c>
      <c r="G72" s="4" t="s">
        <v>2122</v>
      </c>
      <c r="H72" s="4" t="s">
        <v>368</v>
      </c>
      <c r="I72" s="4" t="s">
        <v>976</v>
      </c>
      <c r="J72" s="4" t="s">
        <v>100</v>
      </c>
      <c r="K72" s="4" t="s">
        <v>101</v>
      </c>
      <c r="L72" s="2" t="s">
        <v>374</v>
      </c>
      <c r="M72" s="2" t="s">
        <v>393</v>
      </c>
      <c r="N72" s="4" t="s">
        <v>593</v>
      </c>
      <c r="O72" s="4" t="s">
        <v>164</v>
      </c>
      <c r="P72" s="4" t="s">
        <v>105</v>
      </c>
      <c r="Q72" s="152">
        <v>459</v>
      </c>
      <c r="R72" s="152">
        <v>3.681</v>
      </c>
      <c r="S72" s="152">
        <v>90356</v>
      </c>
      <c r="U72" s="152">
        <v>1526.636</v>
      </c>
      <c r="V72" s="152">
        <v>0</v>
      </c>
      <c r="W72" s="166">
        <v>3.7724514793691398E-2</v>
      </c>
      <c r="X72" s="166">
        <v>4.0191320892116501E-3</v>
      </c>
    </row>
    <row r="73" spans="1:24">
      <c r="A73" s="4" t="s">
        <v>26</v>
      </c>
      <c r="B73" s="4">
        <v>1182</v>
      </c>
      <c r="C73" s="4" t="s">
        <v>2123</v>
      </c>
      <c r="D73" s="4" t="s">
        <v>1564</v>
      </c>
      <c r="E73" s="4" t="s">
        <v>362</v>
      </c>
      <c r="F73" s="4" t="s">
        <v>2124</v>
      </c>
      <c r="G73" s="4" t="s">
        <v>2125</v>
      </c>
      <c r="H73" s="4" t="s">
        <v>368</v>
      </c>
      <c r="I73" s="4" t="s">
        <v>976</v>
      </c>
      <c r="J73" s="4" t="s">
        <v>100</v>
      </c>
      <c r="K73" s="4" t="s">
        <v>101</v>
      </c>
      <c r="L73" s="2" t="s">
        <v>374</v>
      </c>
      <c r="M73" s="2" t="s">
        <v>393</v>
      </c>
      <c r="N73" s="4" t="s">
        <v>579</v>
      </c>
      <c r="O73" s="4" t="s">
        <v>164</v>
      </c>
      <c r="P73" s="4" t="s">
        <v>105</v>
      </c>
      <c r="Q73" s="152">
        <v>8011</v>
      </c>
      <c r="R73" s="152">
        <v>3.681</v>
      </c>
      <c r="S73" s="152">
        <v>80.599999999999994</v>
      </c>
      <c r="U73" s="152">
        <v>23.768000000000001</v>
      </c>
      <c r="V73" s="152">
        <v>2.5399999999999999E-4</v>
      </c>
      <c r="W73" s="166">
        <v>5.8732130340177205E-4</v>
      </c>
      <c r="X73" s="166">
        <v>6.2572624461545702E-5</v>
      </c>
    </row>
    <row r="74" spans="1:24">
      <c r="A74" s="4" t="s">
        <v>26</v>
      </c>
      <c r="B74" s="4">
        <v>1182</v>
      </c>
      <c r="C74" s="4" t="s">
        <v>2126</v>
      </c>
      <c r="D74" s="4" t="s">
        <v>2127</v>
      </c>
      <c r="E74" s="4" t="s">
        <v>362</v>
      </c>
      <c r="F74" s="4" t="s">
        <v>2128</v>
      </c>
      <c r="G74" s="4" t="s">
        <v>2129</v>
      </c>
      <c r="H74" s="4" t="s">
        <v>368</v>
      </c>
      <c r="I74" s="4" t="s">
        <v>976</v>
      </c>
      <c r="J74" s="4" t="s">
        <v>100</v>
      </c>
      <c r="K74" s="4" t="s">
        <v>101</v>
      </c>
      <c r="L74" s="2" t="s">
        <v>374</v>
      </c>
      <c r="M74" s="2" t="s">
        <v>391</v>
      </c>
      <c r="N74" s="4" t="s">
        <v>613</v>
      </c>
      <c r="O74" s="4" t="s">
        <v>164</v>
      </c>
      <c r="P74" s="4" t="s">
        <v>105</v>
      </c>
      <c r="Q74" s="152">
        <v>1240</v>
      </c>
      <c r="R74" s="152">
        <v>3.681</v>
      </c>
      <c r="S74" s="152">
        <v>13022</v>
      </c>
      <c r="U74" s="152">
        <v>594.38099999999997</v>
      </c>
      <c r="V74" s="152">
        <v>9.9999999999999995E-7</v>
      </c>
      <c r="W74" s="166">
        <v>1.46876852268475E-2</v>
      </c>
      <c r="X74" s="166">
        <v>1.5648112993446499E-3</v>
      </c>
    </row>
    <row r="75" spans="1:24">
      <c r="A75" s="4" t="s">
        <v>26</v>
      </c>
      <c r="B75" s="4">
        <v>1182</v>
      </c>
      <c r="C75" s="4" t="s">
        <v>2130</v>
      </c>
      <c r="D75" s="4" t="s">
        <v>2131</v>
      </c>
      <c r="E75" s="4" t="s">
        <v>362</v>
      </c>
      <c r="F75" s="4" t="s">
        <v>2132</v>
      </c>
      <c r="G75" s="4" t="s">
        <v>2133</v>
      </c>
      <c r="H75" s="4" t="s">
        <v>368</v>
      </c>
      <c r="I75" s="4" t="s">
        <v>976</v>
      </c>
      <c r="J75" s="4" t="s">
        <v>100</v>
      </c>
      <c r="K75" s="4" t="s">
        <v>101</v>
      </c>
      <c r="L75" s="2" t="s">
        <v>374</v>
      </c>
      <c r="M75" s="2" t="s">
        <v>391</v>
      </c>
      <c r="N75" s="4" t="s">
        <v>531</v>
      </c>
      <c r="O75" s="4" t="s">
        <v>164</v>
      </c>
      <c r="P75" s="4" t="s">
        <v>105</v>
      </c>
      <c r="Q75" s="152">
        <v>2617</v>
      </c>
      <c r="R75" s="152">
        <v>3.681</v>
      </c>
      <c r="S75" s="152">
        <v>54.81</v>
      </c>
      <c r="T75" s="150">
        <v>0.73</v>
      </c>
      <c r="U75" s="152">
        <v>530.67999999999995</v>
      </c>
      <c r="V75" s="152">
        <v>1.9999999999999999E-6</v>
      </c>
      <c r="W75" s="166">
        <v>1.31135752785877E-2</v>
      </c>
      <c r="X75" s="166">
        <v>1.3971071992496099E-3</v>
      </c>
    </row>
    <row r="76" spans="1:24">
      <c r="A76" s="4" t="s">
        <v>26</v>
      </c>
      <c r="B76" s="4">
        <v>1182</v>
      </c>
      <c r="C76" s="4" t="s">
        <v>2134</v>
      </c>
      <c r="D76" s="4" t="s">
        <v>2135</v>
      </c>
      <c r="E76" s="4" t="s">
        <v>362</v>
      </c>
      <c r="F76" s="4" t="s">
        <v>2134</v>
      </c>
      <c r="G76" s="4" t="s">
        <v>2136</v>
      </c>
      <c r="H76" s="4" t="s">
        <v>368</v>
      </c>
      <c r="I76" s="4" t="s">
        <v>976</v>
      </c>
      <c r="J76" s="4" t="s">
        <v>100</v>
      </c>
      <c r="K76" s="4" t="s">
        <v>101</v>
      </c>
      <c r="L76" s="2" t="s">
        <v>374</v>
      </c>
      <c r="M76" s="2" t="s">
        <v>393</v>
      </c>
      <c r="N76" s="4" t="s">
        <v>560</v>
      </c>
      <c r="O76" s="4" t="s">
        <v>164</v>
      </c>
      <c r="P76" s="4" t="s">
        <v>105</v>
      </c>
      <c r="Q76" s="152">
        <v>6720</v>
      </c>
      <c r="R76" s="152">
        <v>3.681</v>
      </c>
      <c r="S76" s="152">
        <v>1906</v>
      </c>
      <c r="U76" s="152">
        <v>471.47399999999999</v>
      </c>
      <c r="V76" s="152">
        <v>5.5000000000000002E-5</v>
      </c>
      <c r="W76" s="166">
        <v>1.1650542533772601E-2</v>
      </c>
      <c r="X76" s="166">
        <v>1.24123715335475E-3</v>
      </c>
    </row>
    <row r="77" spans="1:24">
      <c r="A77" s="4" t="s">
        <v>26</v>
      </c>
      <c r="B77" s="4">
        <v>1182</v>
      </c>
      <c r="C77" s="4" t="s">
        <v>2137</v>
      </c>
      <c r="D77" s="4" t="s">
        <v>2138</v>
      </c>
      <c r="E77" s="4" t="s">
        <v>362</v>
      </c>
      <c r="F77" s="4" t="s">
        <v>2139</v>
      </c>
      <c r="G77" s="4" t="s">
        <v>2140</v>
      </c>
      <c r="H77" s="4" t="s">
        <v>368</v>
      </c>
      <c r="I77" s="4" t="s">
        <v>976</v>
      </c>
      <c r="J77" s="4" t="s">
        <v>100</v>
      </c>
      <c r="K77" s="4" t="s">
        <v>318</v>
      </c>
      <c r="L77" s="2" t="s">
        <v>374</v>
      </c>
      <c r="M77" s="2" t="s">
        <v>391</v>
      </c>
      <c r="N77" s="4" t="s">
        <v>593</v>
      </c>
      <c r="O77" s="4" t="s">
        <v>164</v>
      </c>
      <c r="P77" s="4" t="s">
        <v>105</v>
      </c>
      <c r="Q77" s="152">
        <v>2904</v>
      </c>
      <c r="R77" s="152">
        <v>3.681</v>
      </c>
      <c r="S77" s="152">
        <v>13605</v>
      </c>
      <c r="T77" s="150">
        <v>1.288</v>
      </c>
      <c r="U77" s="152">
        <v>1459.0630000000001</v>
      </c>
      <c r="V77" s="152">
        <v>9.9999999999999995E-7</v>
      </c>
      <c r="W77" s="166">
        <v>3.6054720854220498E-2</v>
      </c>
      <c r="X77" s="166">
        <v>3.8412339123576702E-3</v>
      </c>
    </row>
    <row r="78" spans="1:24">
      <c r="A78" s="4" t="s">
        <v>26</v>
      </c>
      <c r="B78" s="4">
        <v>1182</v>
      </c>
      <c r="C78" s="4" t="s">
        <v>2141</v>
      </c>
      <c r="D78" s="4" t="s">
        <v>2142</v>
      </c>
      <c r="E78" s="4" t="s">
        <v>362</v>
      </c>
      <c r="F78" s="4" t="s">
        <v>2141</v>
      </c>
      <c r="G78" s="4" t="s">
        <v>2143</v>
      </c>
      <c r="H78" s="4" t="s">
        <v>368</v>
      </c>
      <c r="I78" s="4" t="s">
        <v>976</v>
      </c>
      <c r="J78" s="4" t="s">
        <v>100</v>
      </c>
      <c r="K78" s="4" t="s">
        <v>101</v>
      </c>
      <c r="L78" s="2" t="s">
        <v>374</v>
      </c>
      <c r="M78" s="2" t="s">
        <v>393</v>
      </c>
      <c r="N78" s="4" t="s">
        <v>557</v>
      </c>
      <c r="O78" s="4" t="s">
        <v>164</v>
      </c>
      <c r="P78" s="4" t="s">
        <v>105</v>
      </c>
      <c r="Q78" s="152">
        <v>1084</v>
      </c>
      <c r="R78" s="152">
        <v>3.681</v>
      </c>
      <c r="S78" s="152">
        <v>17579</v>
      </c>
      <c r="U78" s="152">
        <v>701.43799999999999</v>
      </c>
      <c r="V78" s="152">
        <v>0</v>
      </c>
      <c r="W78" s="166">
        <v>1.7333147339080202E-2</v>
      </c>
      <c r="X78" s="166">
        <v>1.8466561878532301E-3</v>
      </c>
    </row>
    <row r="79" spans="1:24">
      <c r="A79" s="4" t="s">
        <v>26</v>
      </c>
      <c r="B79" s="4">
        <v>1182</v>
      </c>
      <c r="C79" s="4" t="s">
        <v>2144</v>
      </c>
      <c r="D79" s="4" t="s">
        <v>2145</v>
      </c>
      <c r="E79" s="4" t="s">
        <v>362</v>
      </c>
      <c r="F79" s="4" t="s">
        <v>2146</v>
      </c>
      <c r="G79" s="4" t="s">
        <v>2147</v>
      </c>
      <c r="H79" s="4" t="s">
        <v>368</v>
      </c>
      <c r="I79" s="4" t="s">
        <v>976</v>
      </c>
      <c r="J79" s="4" t="s">
        <v>100</v>
      </c>
      <c r="K79" s="4" t="s">
        <v>322</v>
      </c>
      <c r="L79" s="2" t="s">
        <v>374</v>
      </c>
      <c r="M79" s="2" t="s">
        <v>440</v>
      </c>
      <c r="N79" s="4" t="s">
        <v>613</v>
      </c>
      <c r="O79" s="4" t="s">
        <v>164</v>
      </c>
      <c r="P79" s="4" t="s">
        <v>1224</v>
      </c>
      <c r="Q79" s="152">
        <v>2205</v>
      </c>
      <c r="R79" s="152">
        <v>3.9790000000000001</v>
      </c>
      <c r="S79" s="152">
        <v>600</v>
      </c>
      <c r="U79" s="152">
        <v>52.643000000000001</v>
      </c>
      <c r="V79" s="152">
        <v>1.248E-3</v>
      </c>
      <c r="W79" s="166">
        <v>1.3008668922107299E-3</v>
      </c>
      <c r="X79" s="166">
        <v>1.3859305809153799E-4</v>
      </c>
    </row>
    <row r="80" spans="1:24">
      <c r="A80" s="4" t="s">
        <v>26</v>
      </c>
      <c r="B80" s="4">
        <v>1182</v>
      </c>
      <c r="C80" s="4" t="s">
        <v>2148</v>
      </c>
      <c r="D80" s="4" t="s">
        <v>2149</v>
      </c>
      <c r="E80" s="4" t="s">
        <v>362</v>
      </c>
      <c r="F80" s="4" t="s">
        <v>2150</v>
      </c>
      <c r="G80" s="4" t="s">
        <v>2151</v>
      </c>
      <c r="H80" s="4" t="s">
        <v>368</v>
      </c>
      <c r="I80" s="4" t="s">
        <v>976</v>
      </c>
      <c r="J80" s="4" t="s">
        <v>100</v>
      </c>
      <c r="K80" s="4" t="s">
        <v>101</v>
      </c>
      <c r="L80" s="2" t="s">
        <v>374</v>
      </c>
      <c r="M80" s="2" t="s">
        <v>391</v>
      </c>
      <c r="N80" s="4" t="s">
        <v>2053</v>
      </c>
      <c r="O80" s="4" t="s">
        <v>164</v>
      </c>
      <c r="P80" s="4" t="s">
        <v>105</v>
      </c>
      <c r="Q80" s="152">
        <v>645</v>
      </c>
      <c r="R80" s="152">
        <v>3.681</v>
      </c>
      <c r="S80" s="152">
        <v>27908</v>
      </c>
      <c r="U80" s="152">
        <v>662.60400000000004</v>
      </c>
      <c r="V80" s="152">
        <v>0</v>
      </c>
      <c r="W80" s="166">
        <v>1.6373533372524899E-2</v>
      </c>
      <c r="X80" s="166">
        <v>1.7444198752769001E-3</v>
      </c>
    </row>
    <row r="81" spans="1:24">
      <c r="A81" s="4" t="s">
        <v>26</v>
      </c>
      <c r="B81" s="4">
        <v>1182</v>
      </c>
      <c r="C81" s="4" t="s">
        <v>2152</v>
      </c>
      <c r="D81" s="4" t="s">
        <v>2153</v>
      </c>
      <c r="E81" s="4" t="s">
        <v>362</v>
      </c>
      <c r="F81" s="4" t="s">
        <v>2154</v>
      </c>
      <c r="G81" s="4" t="s">
        <v>2155</v>
      </c>
      <c r="H81" s="4" t="s">
        <v>368</v>
      </c>
      <c r="I81" s="4" t="s">
        <v>976</v>
      </c>
      <c r="J81" s="4" t="s">
        <v>100</v>
      </c>
      <c r="K81" s="4" t="s">
        <v>101</v>
      </c>
      <c r="L81" s="2" t="s">
        <v>374</v>
      </c>
      <c r="M81" s="2" t="s">
        <v>391</v>
      </c>
      <c r="N81" s="4" t="s">
        <v>594</v>
      </c>
      <c r="O81" s="4" t="s">
        <v>164</v>
      </c>
      <c r="P81" s="4" t="s">
        <v>105</v>
      </c>
      <c r="Q81" s="152">
        <v>1395</v>
      </c>
      <c r="R81" s="152">
        <v>3.681</v>
      </c>
      <c r="S81" s="152">
        <v>12236</v>
      </c>
      <c r="U81" s="152">
        <v>628.31799999999998</v>
      </c>
      <c r="V81" s="152">
        <v>9.9999999999999995E-7</v>
      </c>
      <c r="W81" s="166">
        <v>1.55262886645806E-2</v>
      </c>
      <c r="X81" s="166">
        <v>1.6541552711663899E-3</v>
      </c>
    </row>
    <row r="82" spans="1:24">
      <c r="A82" s="4" t="s">
        <v>26</v>
      </c>
      <c r="B82" s="4">
        <v>14769</v>
      </c>
      <c r="C82" s="4" t="s">
        <v>2156</v>
      </c>
      <c r="D82" s="4" t="s">
        <v>2157</v>
      </c>
      <c r="E82" s="4" t="s">
        <v>362</v>
      </c>
      <c r="F82" s="4" t="s">
        <v>2156</v>
      </c>
      <c r="G82" s="4" t="s">
        <v>2158</v>
      </c>
      <c r="H82" s="4" t="s">
        <v>368</v>
      </c>
      <c r="I82" s="4" t="s">
        <v>976</v>
      </c>
      <c r="J82" s="4" t="s">
        <v>31</v>
      </c>
      <c r="K82" s="4" t="s">
        <v>101</v>
      </c>
      <c r="L82" s="2" t="s">
        <v>374</v>
      </c>
      <c r="M82" s="2" t="s">
        <v>32</v>
      </c>
      <c r="N82" s="4" t="s">
        <v>575</v>
      </c>
      <c r="O82" s="4" t="s">
        <v>164</v>
      </c>
      <c r="P82" s="4" t="s">
        <v>105</v>
      </c>
      <c r="Q82" s="152">
        <v>16</v>
      </c>
      <c r="R82" s="152">
        <v>3.681</v>
      </c>
      <c r="S82" s="152">
        <v>24972</v>
      </c>
      <c r="T82" s="150">
        <v>3.0000000000000001E-3</v>
      </c>
      <c r="U82" s="152">
        <v>14.72</v>
      </c>
      <c r="V82" s="152">
        <v>0</v>
      </c>
      <c r="W82" s="166">
        <v>1.1985334194212501E-2</v>
      </c>
      <c r="X82" s="166">
        <v>1.88683767119788E-3</v>
      </c>
    </row>
    <row r="83" spans="1:24">
      <c r="A83" s="4" t="s">
        <v>26</v>
      </c>
      <c r="B83" s="4">
        <v>14769</v>
      </c>
      <c r="C83" s="4" t="s">
        <v>1843</v>
      </c>
      <c r="D83" s="4" t="s">
        <v>1844</v>
      </c>
      <c r="E83" s="4" t="s">
        <v>362</v>
      </c>
      <c r="F83" s="4" t="s">
        <v>1845</v>
      </c>
      <c r="G83" s="4" t="s">
        <v>1846</v>
      </c>
      <c r="H83" s="4" t="s">
        <v>368</v>
      </c>
      <c r="I83" s="4" t="s">
        <v>976</v>
      </c>
      <c r="J83" s="4" t="s">
        <v>100</v>
      </c>
      <c r="K83" s="4" t="s">
        <v>101</v>
      </c>
      <c r="L83" s="2" t="s">
        <v>374</v>
      </c>
      <c r="M83" s="2" t="s">
        <v>32</v>
      </c>
      <c r="N83" s="4" t="s">
        <v>485</v>
      </c>
      <c r="O83" s="4" t="s">
        <v>164</v>
      </c>
      <c r="P83" s="4" t="s">
        <v>35</v>
      </c>
      <c r="Q83" s="152">
        <v>102</v>
      </c>
      <c r="R83" s="152">
        <v>1</v>
      </c>
      <c r="S83" s="152">
        <v>24060</v>
      </c>
      <c r="U83" s="152">
        <v>24.541</v>
      </c>
      <c r="V83" s="152">
        <v>1.9999999999999999E-6</v>
      </c>
      <c r="W83" s="166">
        <v>1.9982506393625799E-2</v>
      </c>
      <c r="X83" s="166">
        <v>3.1458234887310802E-3</v>
      </c>
    </row>
    <row r="84" spans="1:24">
      <c r="A84" s="4" t="s">
        <v>26</v>
      </c>
      <c r="B84" s="4">
        <v>14769</v>
      </c>
      <c r="C84" s="4" t="s">
        <v>1847</v>
      </c>
      <c r="D84" s="4" t="s">
        <v>1848</v>
      </c>
      <c r="E84" s="4" t="s">
        <v>1380</v>
      </c>
      <c r="F84" s="4" t="s">
        <v>1849</v>
      </c>
      <c r="G84" s="4" t="s">
        <v>1850</v>
      </c>
      <c r="H84" s="4" t="s">
        <v>368</v>
      </c>
      <c r="I84" s="4" t="s">
        <v>976</v>
      </c>
      <c r="J84" s="4" t="s">
        <v>31</v>
      </c>
      <c r="K84" s="4" t="s">
        <v>31</v>
      </c>
      <c r="L84" s="2" t="s">
        <v>374</v>
      </c>
      <c r="M84" s="2" t="s">
        <v>32</v>
      </c>
      <c r="N84" s="4" t="s">
        <v>500</v>
      </c>
      <c r="O84" s="4" t="s">
        <v>164</v>
      </c>
      <c r="P84" s="4" t="s">
        <v>35</v>
      </c>
      <c r="Q84" s="152">
        <v>1061</v>
      </c>
      <c r="R84" s="152">
        <v>1</v>
      </c>
      <c r="S84" s="152">
        <v>1951</v>
      </c>
      <c r="U84" s="152">
        <v>20.7</v>
      </c>
      <c r="V84" s="152">
        <v>9.9999999999999995E-7</v>
      </c>
      <c r="W84" s="166">
        <v>1.6854924796821501E-2</v>
      </c>
      <c r="X84" s="166">
        <v>2.6534518384315801E-3</v>
      </c>
    </row>
    <row r="85" spans="1:24">
      <c r="A85" s="4" t="s">
        <v>26</v>
      </c>
      <c r="B85" s="4">
        <v>14769</v>
      </c>
      <c r="C85" s="4" t="s">
        <v>1851</v>
      </c>
      <c r="D85" s="4" t="s">
        <v>1852</v>
      </c>
      <c r="E85" s="4" t="s">
        <v>1380</v>
      </c>
      <c r="F85" s="4" t="s">
        <v>1853</v>
      </c>
      <c r="G85" s="4" t="s">
        <v>1854</v>
      </c>
      <c r="H85" s="4" t="s">
        <v>368</v>
      </c>
      <c r="I85" s="4" t="s">
        <v>976</v>
      </c>
      <c r="J85" s="4" t="s">
        <v>31</v>
      </c>
      <c r="K85" s="4" t="s">
        <v>31</v>
      </c>
      <c r="L85" s="2" t="s">
        <v>374</v>
      </c>
      <c r="M85" s="2" t="s">
        <v>32</v>
      </c>
      <c r="N85" s="4" t="s">
        <v>489</v>
      </c>
      <c r="O85" s="4" t="s">
        <v>164</v>
      </c>
      <c r="P85" s="4" t="s">
        <v>35</v>
      </c>
      <c r="Q85" s="152">
        <v>82</v>
      </c>
      <c r="R85" s="152">
        <v>1</v>
      </c>
      <c r="S85" s="152">
        <v>10700</v>
      </c>
      <c r="U85" s="152">
        <v>8.7739999999999991</v>
      </c>
      <c r="V85" s="152">
        <v>6.0000000000000002E-6</v>
      </c>
      <c r="W85" s="166">
        <v>7.1441702564533204E-3</v>
      </c>
      <c r="X85" s="166">
        <v>1.12469868181371E-3</v>
      </c>
    </row>
    <row r="86" spans="1:24">
      <c r="A86" s="4" t="s">
        <v>26</v>
      </c>
      <c r="B86" s="4">
        <v>14769</v>
      </c>
      <c r="C86" s="4" t="s">
        <v>1855</v>
      </c>
      <c r="D86" s="4" t="s">
        <v>1856</v>
      </c>
      <c r="E86" s="4" t="s">
        <v>1380</v>
      </c>
      <c r="F86" s="4" t="s">
        <v>1857</v>
      </c>
      <c r="G86" s="4" t="s">
        <v>1858</v>
      </c>
      <c r="H86" s="4" t="s">
        <v>368</v>
      </c>
      <c r="I86" s="4" t="s">
        <v>976</v>
      </c>
      <c r="J86" s="4" t="s">
        <v>31</v>
      </c>
      <c r="K86" s="4" t="s">
        <v>31</v>
      </c>
      <c r="L86" s="2" t="s">
        <v>374</v>
      </c>
      <c r="M86" s="2" t="s">
        <v>32</v>
      </c>
      <c r="N86" s="4" t="s">
        <v>507</v>
      </c>
      <c r="O86" s="4" t="s">
        <v>164</v>
      </c>
      <c r="P86" s="4" t="s">
        <v>35</v>
      </c>
      <c r="Q86" s="152">
        <v>111</v>
      </c>
      <c r="R86" s="152">
        <v>1</v>
      </c>
      <c r="S86" s="152">
        <v>1180</v>
      </c>
      <c r="U86" s="152">
        <v>1.31</v>
      </c>
      <c r="V86" s="152">
        <v>9.9999999999999995E-7</v>
      </c>
      <c r="W86" s="166">
        <v>1.06649580600667E-3</v>
      </c>
      <c r="X86" s="166">
        <v>1.6789723426482699E-4</v>
      </c>
    </row>
    <row r="87" spans="1:24">
      <c r="A87" s="4" t="s">
        <v>26</v>
      </c>
      <c r="B87" s="4">
        <v>14769</v>
      </c>
      <c r="C87" s="4" t="s">
        <v>1863</v>
      </c>
      <c r="D87" s="4" t="s">
        <v>1864</v>
      </c>
      <c r="E87" s="4" t="s">
        <v>1380</v>
      </c>
      <c r="F87" s="4" t="s">
        <v>1865</v>
      </c>
      <c r="G87" s="4" t="s">
        <v>1866</v>
      </c>
      <c r="H87" s="4" t="s">
        <v>368</v>
      </c>
      <c r="I87" s="4" t="s">
        <v>976</v>
      </c>
      <c r="J87" s="4" t="s">
        <v>31</v>
      </c>
      <c r="K87" s="4" t="s">
        <v>31</v>
      </c>
      <c r="L87" s="2" t="s">
        <v>374</v>
      </c>
      <c r="M87" s="2" t="s">
        <v>32</v>
      </c>
      <c r="N87" s="4" t="s">
        <v>490</v>
      </c>
      <c r="O87" s="4" t="s">
        <v>164</v>
      </c>
      <c r="P87" s="4" t="s">
        <v>35</v>
      </c>
      <c r="Q87" s="152">
        <v>28</v>
      </c>
      <c r="R87" s="152">
        <v>1</v>
      </c>
      <c r="S87" s="152">
        <v>77500</v>
      </c>
      <c r="U87" s="152">
        <v>21.7</v>
      </c>
      <c r="V87" s="152">
        <v>9.9999999999999995E-7</v>
      </c>
      <c r="W87" s="166">
        <v>1.76690784778935E-2</v>
      </c>
      <c r="X87" s="166">
        <v>2.7816231360106498E-3</v>
      </c>
    </row>
    <row r="88" spans="1:24">
      <c r="A88" s="4" t="s">
        <v>26</v>
      </c>
      <c r="B88" s="4">
        <v>14769</v>
      </c>
      <c r="C88" s="4" t="s">
        <v>1867</v>
      </c>
      <c r="D88" s="4" t="s">
        <v>1868</v>
      </c>
      <c r="E88" s="4" t="s">
        <v>1380</v>
      </c>
      <c r="F88" s="4" t="s">
        <v>1869</v>
      </c>
      <c r="G88" s="4" t="s">
        <v>1870</v>
      </c>
      <c r="H88" s="4" t="s">
        <v>368</v>
      </c>
      <c r="I88" s="4" t="s">
        <v>976</v>
      </c>
      <c r="J88" s="4" t="s">
        <v>31</v>
      </c>
      <c r="K88" s="4" t="s">
        <v>31</v>
      </c>
      <c r="L88" s="2" t="s">
        <v>374</v>
      </c>
      <c r="M88" s="2" t="s">
        <v>32</v>
      </c>
      <c r="N88" s="4" t="s">
        <v>495</v>
      </c>
      <c r="O88" s="4" t="s">
        <v>164</v>
      </c>
      <c r="P88" s="4" t="s">
        <v>35</v>
      </c>
      <c r="Q88" s="152">
        <v>10</v>
      </c>
      <c r="R88" s="152">
        <v>1</v>
      </c>
      <c r="S88" s="152">
        <v>158340</v>
      </c>
      <c r="U88" s="152">
        <v>15.834</v>
      </c>
      <c r="V88" s="152">
        <v>3.0000000000000001E-6</v>
      </c>
      <c r="W88" s="166">
        <v>1.28927275861274E-2</v>
      </c>
      <c r="X88" s="166">
        <v>2.0296875915019599E-3</v>
      </c>
    </row>
    <row r="89" spans="1:24">
      <c r="A89" s="4" t="s">
        <v>26</v>
      </c>
      <c r="B89" s="4">
        <v>14769</v>
      </c>
      <c r="C89" s="4" t="s">
        <v>1871</v>
      </c>
      <c r="D89" s="4" t="s">
        <v>1872</v>
      </c>
      <c r="E89" s="4" t="s">
        <v>1380</v>
      </c>
      <c r="F89" s="4" t="s">
        <v>1873</v>
      </c>
      <c r="G89" s="4" t="s">
        <v>1874</v>
      </c>
      <c r="H89" s="4" t="s">
        <v>368</v>
      </c>
      <c r="I89" s="4" t="s">
        <v>976</v>
      </c>
      <c r="J89" s="4" t="s">
        <v>31</v>
      </c>
      <c r="K89" s="4" t="s">
        <v>101</v>
      </c>
      <c r="L89" s="2" t="s">
        <v>374</v>
      </c>
      <c r="M89" s="2" t="s">
        <v>32</v>
      </c>
      <c r="N89" s="4" t="s">
        <v>485</v>
      </c>
      <c r="O89" s="4" t="s">
        <v>164</v>
      </c>
      <c r="P89" s="4" t="s">
        <v>35</v>
      </c>
      <c r="Q89" s="152">
        <v>240</v>
      </c>
      <c r="R89" s="152">
        <v>1</v>
      </c>
      <c r="S89" s="152">
        <v>6299</v>
      </c>
      <c r="U89" s="152">
        <v>15.118</v>
      </c>
      <c r="V89" s="152">
        <v>1.9999999999999999E-6</v>
      </c>
      <c r="W89" s="166">
        <v>1.23094037233826E-2</v>
      </c>
      <c r="X89" s="166">
        <v>1.93785557239422E-3</v>
      </c>
    </row>
    <row r="90" spans="1:24">
      <c r="A90" s="4" t="s">
        <v>26</v>
      </c>
      <c r="B90" s="4">
        <v>14769</v>
      </c>
      <c r="C90" s="4" t="s">
        <v>1875</v>
      </c>
      <c r="D90" s="4" t="s">
        <v>1876</v>
      </c>
      <c r="E90" s="4" t="s">
        <v>362</v>
      </c>
      <c r="F90" s="4" t="s">
        <v>1877</v>
      </c>
      <c r="G90" s="4" t="s">
        <v>1878</v>
      </c>
      <c r="H90" s="4" t="s">
        <v>368</v>
      </c>
      <c r="I90" s="4" t="s">
        <v>976</v>
      </c>
      <c r="J90" s="4" t="s">
        <v>100</v>
      </c>
      <c r="K90" s="4" t="s">
        <v>283</v>
      </c>
      <c r="L90" s="2" t="s">
        <v>374</v>
      </c>
      <c r="M90" s="2" t="s">
        <v>32</v>
      </c>
      <c r="N90" s="4" t="s">
        <v>498</v>
      </c>
      <c r="O90" s="4" t="s">
        <v>164</v>
      </c>
      <c r="P90" s="4" t="s">
        <v>35</v>
      </c>
      <c r="Q90" s="152">
        <v>214</v>
      </c>
      <c r="R90" s="152">
        <v>1</v>
      </c>
      <c r="S90" s="152">
        <v>5008</v>
      </c>
      <c r="T90" s="150">
        <v>0.23499999999999999</v>
      </c>
      <c r="U90" s="152">
        <v>10.952</v>
      </c>
      <c r="V90" s="152">
        <v>9.9999999999999995E-7</v>
      </c>
      <c r="W90" s="166">
        <v>8.9176653321176094E-3</v>
      </c>
      <c r="X90" s="166">
        <v>1.4038980152843699E-3</v>
      </c>
    </row>
    <row r="91" spans="1:24">
      <c r="A91" s="4" t="s">
        <v>26</v>
      </c>
      <c r="B91" s="4">
        <v>14769</v>
      </c>
      <c r="C91" s="4" t="s">
        <v>1883</v>
      </c>
      <c r="D91" s="4" t="s">
        <v>1884</v>
      </c>
      <c r="E91" s="4" t="s">
        <v>1380</v>
      </c>
      <c r="F91" s="4" t="s">
        <v>1885</v>
      </c>
      <c r="G91" s="4" t="s">
        <v>1886</v>
      </c>
      <c r="H91" s="4" t="s">
        <v>368</v>
      </c>
      <c r="I91" s="4" t="s">
        <v>976</v>
      </c>
      <c r="J91" s="4" t="s">
        <v>31</v>
      </c>
      <c r="K91" s="4" t="s">
        <v>31</v>
      </c>
      <c r="L91" s="2" t="s">
        <v>374</v>
      </c>
      <c r="M91" s="2" t="s">
        <v>32</v>
      </c>
      <c r="N91" s="4" t="s">
        <v>491</v>
      </c>
      <c r="O91" s="4" t="s">
        <v>164</v>
      </c>
      <c r="P91" s="4" t="s">
        <v>35</v>
      </c>
      <c r="Q91" s="152">
        <v>168</v>
      </c>
      <c r="R91" s="152">
        <v>1</v>
      </c>
      <c r="S91" s="152">
        <v>5478</v>
      </c>
      <c r="U91" s="152">
        <v>9.2029999999999994</v>
      </c>
      <c r="V91" s="152">
        <v>1.9999999999999999E-6</v>
      </c>
      <c r="W91" s="166">
        <v>7.4935131795019604E-3</v>
      </c>
      <c r="X91" s="166">
        <v>1.17969534495997E-3</v>
      </c>
    </row>
    <row r="92" spans="1:24">
      <c r="A92" s="4" t="s">
        <v>26</v>
      </c>
      <c r="B92" s="4">
        <v>14769</v>
      </c>
      <c r="C92" s="4" t="s">
        <v>1891</v>
      </c>
      <c r="D92" s="4" t="s">
        <v>1892</v>
      </c>
      <c r="E92" s="4" t="s">
        <v>1380</v>
      </c>
      <c r="F92" s="4" t="s">
        <v>1893</v>
      </c>
      <c r="G92" s="4" t="s">
        <v>1894</v>
      </c>
      <c r="H92" s="4" t="s">
        <v>368</v>
      </c>
      <c r="I92" s="4" t="s">
        <v>976</v>
      </c>
      <c r="J92" s="4" t="s">
        <v>31</v>
      </c>
      <c r="K92" s="4" t="s">
        <v>31</v>
      </c>
      <c r="L92" s="2" t="s">
        <v>374</v>
      </c>
      <c r="M92" s="2" t="s">
        <v>32</v>
      </c>
      <c r="N92" s="4" t="s">
        <v>484</v>
      </c>
      <c r="O92" s="4" t="s">
        <v>164</v>
      </c>
      <c r="P92" s="4" t="s">
        <v>35</v>
      </c>
      <c r="Q92" s="152">
        <v>973</v>
      </c>
      <c r="R92" s="152">
        <v>1</v>
      </c>
      <c r="S92" s="152">
        <v>122</v>
      </c>
      <c r="T92" s="150">
        <v>0.16200000000000001</v>
      </c>
      <c r="U92" s="152">
        <v>1.349</v>
      </c>
      <c r="V92" s="152">
        <v>0</v>
      </c>
      <c r="W92" s="166">
        <v>1.0984385686190099E-3</v>
      </c>
      <c r="X92" s="166">
        <v>1.7292594742730099E-4</v>
      </c>
    </row>
    <row r="93" spans="1:24">
      <c r="A93" s="4" t="s">
        <v>26</v>
      </c>
      <c r="B93" s="4">
        <v>14769</v>
      </c>
      <c r="C93" s="4" t="s">
        <v>1895</v>
      </c>
      <c r="D93" s="4" t="s">
        <v>1896</v>
      </c>
      <c r="E93" s="4" t="s">
        <v>1380</v>
      </c>
      <c r="F93" s="4" t="s">
        <v>1897</v>
      </c>
      <c r="G93" s="4" t="s">
        <v>1898</v>
      </c>
      <c r="H93" s="4" t="s">
        <v>368</v>
      </c>
      <c r="I93" s="4" t="s">
        <v>976</v>
      </c>
      <c r="J93" s="4" t="s">
        <v>31</v>
      </c>
      <c r="K93" s="4" t="s">
        <v>31</v>
      </c>
      <c r="L93" s="2" t="s">
        <v>374</v>
      </c>
      <c r="M93" s="2" t="s">
        <v>32</v>
      </c>
      <c r="N93" s="4" t="s">
        <v>529</v>
      </c>
      <c r="O93" s="4" t="s">
        <v>164</v>
      </c>
      <c r="P93" s="4" t="s">
        <v>35</v>
      </c>
      <c r="Q93" s="152">
        <v>8045</v>
      </c>
      <c r="R93" s="152">
        <v>1</v>
      </c>
      <c r="S93" s="152">
        <v>473</v>
      </c>
      <c r="U93" s="152">
        <v>38.052999999999997</v>
      </c>
      <c r="V93" s="152">
        <v>3.0000000000000001E-6</v>
      </c>
      <c r="W93" s="166">
        <v>3.0984276173157001E-2</v>
      </c>
      <c r="X93" s="166">
        <v>4.8778197212508197E-3</v>
      </c>
    </row>
    <row r="94" spans="1:24">
      <c r="A94" s="4" t="s">
        <v>26</v>
      </c>
      <c r="B94" s="4">
        <v>14769</v>
      </c>
      <c r="C94" s="4" t="s">
        <v>1899</v>
      </c>
      <c r="D94" s="4" t="s">
        <v>1900</v>
      </c>
      <c r="E94" s="4" t="s">
        <v>1380</v>
      </c>
      <c r="F94" s="4" t="s">
        <v>1901</v>
      </c>
      <c r="G94" s="4" t="s">
        <v>1902</v>
      </c>
      <c r="H94" s="4" t="s">
        <v>368</v>
      </c>
      <c r="I94" s="4" t="s">
        <v>976</v>
      </c>
      <c r="J94" s="4" t="s">
        <v>31</v>
      </c>
      <c r="K94" s="4" t="s">
        <v>31</v>
      </c>
      <c r="L94" s="2" t="s">
        <v>374</v>
      </c>
      <c r="M94" s="2" t="s">
        <v>32</v>
      </c>
      <c r="N94" s="4" t="s">
        <v>508</v>
      </c>
      <c r="O94" s="4" t="s">
        <v>164</v>
      </c>
      <c r="P94" s="4" t="s">
        <v>35</v>
      </c>
      <c r="Q94" s="152">
        <v>26</v>
      </c>
      <c r="R94" s="152">
        <v>1</v>
      </c>
      <c r="S94" s="152">
        <v>41030</v>
      </c>
      <c r="U94" s="152">
        <v>10.667999999999999</v>
      </c>
      <c r="V94" s="152">
        <v>9.9999999999999995E-7</v>
      </c>
      <c r="W94" s="166">
        <v>8.6861841191922494E-3</v>
      </c>
      <c r="X94" s="166">
        <v>1.3674561884946699E-3</v>
      </c>
    </row>
    <row r="95" spans="1:24">
      <c r="A95" s="4" t="s">
        <v>26</v>
      </c>
      <c r="B95" s="4">
        <v>14769</v>
      </c>
      <c r="C95" s="4" t="s">
        <v>1903</v>
      </c>
      <c r="D95" s="4" t="s">
        <v>1904</v>
      </c>
      <c r="E95" s="4" t="s">
        <v>1380</v>
      </c>
      <c r="F95" s="4" t="s">
        <v>1905</v>
      </c>
      <c r="G95" s="4" t="s">
        <v>1906</v>
      </c>
      <c r="H95" s="4" t="s">
        <v>368</v>
      </c>
      <c r="I95" s="4" t="s">
        <v>976</v>
      </c>
      <c r="J95" s="4" t="s">
        <v>31</v>
      </c>
      <c r="K95" s="4" t="s">
        <v>31</v>
      </c>
      <c r="L95" s="2" t="s">
        <v>374</v>
      </c>
      <c r="M95" s="2" t="s">
        <v>32</v>
      </c>
      <c r="N95" s="4" t="s">
        <v>492</v>
      </c>
      <c r="O95" s="4" t="s">
        <v>164</v>
      </c>
      <c r="P95" s="4" t="s">
        <v>35</v>
      </c>
      <c r="Q95" s="152">
        <v>9</v>
      </c>
      <c r="R95" s="152">
        <v>1</v>
      </c>
      <c r="S95" s="152">
        <v>15440</v>
      </c>
      <c r="U95" s="152">
        <v>1.39</v>
      </c>
      <c r="V95" s="152">
        <v>0</v>
      </c>
      <c r="W95" s="166">
        <v>1.13147241718344E-3</v>
      </c>
      <c r="X95" s="166">
        <v>1.7812642902305999E-4</v>
      </c>
    </row>
    <row r="96" spans="1:24">
      <c r="A96" s="4" t="s">
        <v>26</v>
      </c>
      <c r="B96" s="4">
        <v>14769</v>
      </c>
      <c r="C96" s="4" t="s">
        <v>1911</v>
      </c>
      <c r="D96" s="4" t="s">
        <v>1912</v>
      </c>
      <c r="E96" s="4" t="s">
        <v>1380</v>
      </c>
      <c r="F96" s="4" t="s">
        <v>1913</v>
      </c>
      <c r="G96" s="4" t="s">
        <v>1914</v>
      </c>
      <c r="H96" s="4" t="s">
        <v>368</v>
      </c>
      <c r="I96" s="4" t="s">
        <v>976</v>
      </c>
      <c r="J96" s="4" t="s">
        <v>31</v>
      </c>
      <c r="K96" s="4" t="s">
        <v>31</v>
      </c>
      <c r="L96" s="2" t="s">
        <v>374</v>
      </c>
      <c r="M96" s="2" t="s">
        <v>32</v>
      </c>
      <c r="N96" s="4" t="s">
        <v>492</v>
      </c>
      <c r="O96" s="4" t="s">
        <v>164</v>
      </c>
      <c r="P96" s="4" t="s">
        <v>35</v>
      </c>
      <c r="Q96" s="152">
        <v>2194</v>
      </c>
      <c r="R96" s="152">
        <v>1</v>
      </c>
      <c r="S96" s="152">
        <v>1946</v>
      </c>
      <c r="T96" s="150">
        <v>0.32600000000000001</v>
      </c>
      <c r="U96" s="152">
        <v>43.021000000000001</v>
      </c>
      <c r="V96" s="152">
        <v>1.9999999999999999E-6</v>
      </c>
      <c r="W96" s="166">
        <v>3.5029746040806602E-2</v>
      </c>
      <c r="X96" s="166">
        <v>5.5146934888311199E-3</v>
      </c>
    </row>
    <row r="97" spans="1:24">
      <c r="A97" s="4" t="s">
        <v>26</v>
      </c>
      <c r="B97" s="4">
        <v>14769</v>
      </c>
      <c r="C97" s="4" t="s">
        <v>2159</v>
      </c>
      <c r="D97" s="4" t="s">
        <v>2160</v>
      </c>
      <c r="E97" s="4" t="s">
        <v>1380</v>
      </c>
      <c r="F97" s="4" t="s">
        <v>2161</v>
      </c>
      <c r="G97" s="4" t="s">
        <v>2162</v>
      </c>
      <c r="H97" s="4" t="s">
        <v>368</v>
      </c>
      <c r="I97" s="4" t="s">
        <v>976</v>
      </c>
      <c r="J97" s="4" t="s">
        <v>31</v>
      </c>
      <c r="K97" s="4" t="s">
        <v>31</v>
      </c>
      <c r="L97" s="2" t="s">
        <v>374</v>
      </c>
      <c r="M97" s="2" t="s">
        <v>32</v>
      </c>
      <c r="N97" s="4" t="s">
        <v>498</v>
      </c>
      <c r="O97" s="4" t="s">
        <v>164</v>
      </c>
      <c r="P97" s="4" t="s">
        <v>35</v>
      </c>
      <c r="Q97" s="152">
        <v>69</v>
      </c>
      <c r="R97" s="152">
        <v>1</v>
      </c>
      <c r="S97" s="152">
        <v>48400</v>
      </c>
      <c r="U97" s="152">
        <v>33.396000000000001</v>
      </c>
      <c r="V97" s="152">
        <v>3.9999999999999998E-6</v>
      </c>
      <c r="W97" s="166">
        <v>2.7192467504503701E-2</v>
      </c>
      <c r="X97" s="166">
        <v>4.2808795507009896E-3</v>
      </c>
    </row>
    <row r="98" spans="1:24">
      <c r="A98" s="4" t="s">
        <v>26</v>
      </c>
      <c r="B98" s="4">
        <v>14769</v>
      </c>
      <c r="C98" s="4" t="s">
        <v>1915</v>
      </c>
      <c r="D98" s="4" t="s">
        <v>1916</v>
      </c>
      <c r="E98" s="4" t="s">
        <v>1380</v>
      </c>
      <c r="F98" s="4" t="s">
        <v>1917</v>
      </c>
      <c r="G98" s="4" t="s">
        <v>1918</v>
      </c>
      <c r="H98" s="4" t="s">
        <v>368</v>
      </c>
      <c r="I98" s="4" t="s">
        <v>976</v>
      </c>
      <c r="J98" s="4" t="s">
        <v>31</v>
      </c>
      <c r="K98" s="4" t="s">
        <v>31</v>
      </c>
      <c r="L98" s="2" t="s">
        <v>374</v>
      </c>
      <c r="M98" s="2" t="s">
        <v>32</v>
      </c>
      <c r="N98" s="4" t="s">
        <v>481</v>
      </c>
      <c r="O98" s="4" t="s">
        <v>164</v>
      </c>
      <c r="P98" s="4" t="s">
        <v>35</v>
      </c>
      <c r="Q98" s="152">
        <v>78</v>
      </c>
      <c r="R98" s="152">
        <v>1</v>
      </c>
      <c r="S98" s="152">
        <v>16390</v>
      </c>
      <c r="U98" s="152">
        <v>12.784000000000001</v>
      </c>
      <c r="V98" s="152">
        <v>3.0000000000000001E-6</v>
      </c>
      <c r="W98" s="166">
        <v>1.0409448528897899E-2</v>
      </c>
      <c r="X98" s="166">
        <v>1.6387477647643899E-3</v>
      </c>
    </row>
    <row r="99" spans="1:24">
      <c r="A99" s="4" t="s">
        <v>26</v>
      </c>
      <c r="B99" s="4">
        <v>14769</v>
      </c>
      <c r="C99" s="4" t="s">
        <v>1919</v>
      </c>
      <c r="D99" s="4" t="s">
        <v>1920</v>
      </c>
      <c r="E99" s="4" t="s">
        <v>1380</v>
      </c>
      <c r="F99" s="4" t="s">
        <v>1921</v>
      </c>
      <c r="G99" s="4" t="s">
        <v>1922</v>
      </c>
      <c r="H99" s="4" t="s">
        <v>368</v>
      </c>
      <c r="I99" s="4" t="s">
        <v>976</v>
      </c>
      <c r="J99" s="4" t="s">
        <v>31</v>
      </c>
      <c r="K99" s="4" t="s">
        <v>31</v>
      </c>
      <c r="L99" s="2" t="s">
        <v>374</v>
      </c>
      <c r="M99" s="2" t="s">
        <v>32</v>
      </c>
      <c r="N99" s="4" t="s">
        <v>489</v>
      </c>
      <c r="O99" s="4" t="s">
        <v>164</v>
      </c>
      <c r="P99" s="4" t="s">
        <v>35</v>
      </c>
      <c r="Q99" s="152">
        <v>102</v>
      </c>
      <c r="R99" s="152">
        <v>1</v>
      </c>
      <c r="S99" s="152">
        <v>3810</v>
      </c>
      <c r="U99" s="152">
        <v>3.8860000000000001</v>
      </c>
      <c r="V99" s="152">
        <v>0</v>
      </c>
      <c r="W99" s="166">
        <v>3.1643121097138E-3</v>
      </c>
      <c r="X99" s="166">
        <v>4.9815409360205395E-4</v>
      </c>
    </row>
    <row r="100" spans="1:24">
      <c r="A100" s="4" t="s">
        <v>26</v>
      </c>
      <c r="B100" s="4">
        <v>14769</v>
      </c>
      <c r="C100" s="4" t="s">
        <v>1923</v>
      </c>
      <c r="D100" s="4" t="s">
        <v>1924</v>
      </c>
      <c r="E100" s="4" t="s">
        <v>1380</v>
      </c>
      <c r="F100" s="4" t="s">
        <v>1925</v>
      </c>
      <c r="G100" s="4" t="s">
        <v>1926</v>
      </c>
      <c r="H100" s="4" t="s">
        <v>368</v>
      </c>
      <c r="I100" s="4" t="s">
        <v>976</v>
      </c>
      <c r="J100" s="4" t="s">
        <v>31</v>
      </c>
      <c r="K100" s="4" t="s">
        <v>31</v>
      </c>
      <c r="L100" s="2" t="s">
        <v>374</v>
      </c>
      <c r="M100" s="2" t="s">
        <v>32</v>
      </c>
      <c r="N100" s="4" t="s">
        <v>489</v>
      </c>
      <c r="O100" s="4" t="s">
        <v>164</v>
      </c>
      <c r="P100" s="4" t="s">
        <v>35</v>
      </c>
      <c r="Q100" s="152">
        <v>1167</v>
      </c>
      <c r="R100" s="152">
        <v>1</v>
      </c>
      <c r="S100" s="152">
        <v>3510</v>
      </c>
      <c r="U100" s="152">
        <v>40.962000000000003</v>
      </c>
      <c r="V100" s="152">
        <v>6.0000000000000002E-6</v>
      </c>
      <c r="W100" s="166">
        <v>3.3352787644605003E-2</v>
      </c>
      <c r="X100" s="166">
        <v>5.2506918161441202E-3</v>
      </c>
    </row>
    <row r="101" spans="1:24">
      <c r="A101" s="4" t="s">
        <v>26</v>
      </c>
      <c r="B101" s="4">
        <v>14769</v>
      </c>
      <c r="C101" s="4" t="s">
        <v>1931</v>
      </c>
      <c r="D101" s="4" t="s">
        <v>1932</v>
      </c>
      <c r="E101" s="4" t="s">
        <v>1380</v>
      </c>
      <c r="F101" s="4" t="s">
        <v>1933</v>
      </c>
      <c r="G101" s="4" t="s">
        <v>1934</v>
      </c>
      <c r="H101" s="4" t="s">
        <v>368</v>
      </c>
      <c r="I101" s="4" t="s">
        <v>976</v>
      </c>
      <c r="J101" s="4" t="s">
        <v>31</v>
      </c>
      <c r="K101" s="4" t="s">
        <v>31</v>
      </c>
      <c r="L101" s="2" t="s">
        <v>374</v>
      </c>
      <c r="M101" s="2" t="s">
        <v>32</v>
      </c>
      <c r="N101" s="4" t="s">
        <v>521</v>
      </c>
      <c r="O101" s="4" t="s">
        <v>164</v>
      </c>
      <c r="P101" s="4" t="s">
        <v>35</v>
      </c>
      <c r="Q101" s="152">
        <v>65</v>
      </c>
      <c r="R101" s="152">
        <v>1</v>
      </c>
      <c r="S101" s="152">
        <v>23460</v>
      </c>
      <c r="U101" s="152">
        <v>15.249000000000001</v>
      </c>
      <c r="V101" s="152">
        <v>3.0000000000000001E-6</v>
      </c>
      <c r="W101" s="166">
        <v>1.2416395286147301E-2</v>
      </c>
      <c r="X101" s="166">
        <v>1.9546991336878501E-3</v>
      </c>
    </row>
    <row r="102" spans="1:24">
      <c r="A102" s="4" t="s">
        <v>26</v>
      </c>
      <c r="B102" s="4">
        <v>14769</v>
      </c>
      <c r="C102" s="4" t="s">
        <v>1939</v>
      </c>
      <c r="D102" s="4" t="s">
        <v>1940</v>
      </c>
      <c r="E102" s="4" t="s">
        <v>1380</v>
      </c>
      <c r="F102" s="4" t="s">
        <v>1941</v>
      </c>
      <c r="G102" s="4" t="s">
        <v>1942</v>
      </c>
      <c r="H102" s="4" t="s">
        <v>368</v>
      </c>
      <c r="I102" s="4" t="s">
        <v>976</v>
      </c>
      <c r="J102" s="4" t="s">
        <v>31</v>
      </c>
      <c r="K102" s="4" t="s">
        <v>346</v>
      </c>
      <c r="L102" s="2" t="s">
        <v>374</v>
      </c>
      <c r="M102" s="2" t="s">
        <v>32</v>
      </c>
      <c r="N102" s="4" t="s">
        <v>502</v>
      </c>
      <c r="O102" s="4" t="s">
        <v>164</v>
      </c>
      <c r="P102" s="4" t="s">
        <v>35</v>
      </c>
      <c r="Q102" s="152">
        <v>166</v>
      </c>
      <c r="R102" s="152">
        <v>1</v>
      </c>
      <c r="S102" s="152">
        <v>12310</v>
      </c>
      <c r="U102" s="152">
        <v>20.434999999999999</v>
      </c>
      <c r="V102" s="152">
        <v>1.9999999999999999E-6</v>
      </c>
      <c r="W102" s="166">
        <v>1.6638735072090401E-2</v>
      </c>
      <c r="X102" s="166">
        <v>2.6194173334158099E-3</v>
      </c>
    </row>
    <row r="103" spans="1:24">
      <c r="A103" s="4" t="s">
        <v>26</v>
      </c>
      <c r="B103" s="4">
        <v>14769</v>
      </c>
      <c r="C103" s="4" t="s">
        <v>1943</v>
      </c>
      <c r="D103" s="4" t="s">
        <v>1944</v>
      </c>
      <c r="E103" s="4" t="s">
        <v>1380</v>
      </c>
      <c r="F103" s="4" t="s">
        <v>1945</v>
      </c>
      <c r="G103" s="4" t="s">
        <v>1946</v>
      </c>
      <c r="H103" s="4" t="s">
        <v>368</v>
      </c>
      <c r="I103" s="4" t="s">
        <v>976</v>
      </c>
      <c r="J103" s="4" t="s">
        <v>31</v>
      </c>
      <c r="K103" s="4" t="s">
        <v>101</v>
      </c>
      <c r="L103" s="2" t="s">
        <v>374</v>
      </c>
      <c r="M103" s="2" t="s">
        <v>32</v>
      </c>
      <c r="N103" s="4" t="s">
        <v>511</v>
      </c>
      <c r="O103" s="4" t="s">
        <v>164</v>
      </c>
      <c r="P103" s="4" t="s">
        <v>35</v>
      </c>
      <c r="Q103" s="152">
        <v>2231</v>
      </c>
      <c r="R103" s="152">
        <v>1</v>
      </c>
      <c r="S103" s="152">
        <v>5173</v>
      </c>
      <c r="U103" s="152">
        <v>115.41</v>
      </c>
      <c r="V103" s="152">
        <v>1.9999999999999999E-6</v>
      </c>
      <c r="W103" s="166">
        <v>9.3971511961965307E-2</v>
      </c>
      <c r="X103" s="166">
        <v>1.4793829351448301E-2</v>
      </c>
    </row>
    <row r="104" spans="1:24">
      <c r="A104" s="4" t="s">
        <v>26</v>
      </c>
      <c r="B104" s="4">
        <v>14769</v>
      </c>
      <c r="C104" s="4" t="s">
        <v>1947</v>
      </c>
      <c r="D104" s="4" t="s">
        <v>1948</v>
      </c>
      <c r="E104" s="4" t="s">
        <v>1380</v>
      </c>
      <c r="F104" s="4" t="s">
        <v>1949</v>
      </c>
      <c r="G104" s="4" t="s">
        <v>1950</v>
      </c>
      <c r="H104" s="4" t="s">
        <v>368</v>
      </c>
      <c r="I104" s="4" t="s">
        <v>976</v>
      </c>
      <c r="J104" s="4" t="s">
        <v>31</v>
      </c>
      <c r="K104" s="4" t="s">
        <v>31</v>
      </c>
      <c r="L104" s="2" t="s">
        <v>374</v>
      </c>
      <c r="M104" s="2" t="s">
        <v>32</v>
      </c>
      <c r="N104" s="4" t="s">
        <v>520</v>
      </c>
      <c r="O104" s="4" t="s">
        <v>164</v>
      </c>
      <c r="P104" s="4" t="s">
        <v>35</v>
      </c>
      <c r="Q104" s="152">
        <v>1475</v>
      </c>
      <c r="R104" s="152">
        <v>1</v>
      </c>
      <c r="S104" s="152">
        <v>511</v>
      </c>
      <c r="U104" s="152">
        <v>7.5369999999999999</v>
      </c>
      <c r="V104" s="152">
        <v>1.4E-5</v>
      </c>
      <c r="W104" s="166">
        <v>6.1371549197005697E-3</v>
      </c>
      <c r="X104" s="166">
        <v>9.6616539087079499E-4</v>
      </c>
    </row>
    <row r="105" spans="1:24">
      <c r="A105" s="4" t="s">
        <v>26</v>
      </c>
      <c r="B105" s="4">
        <v>14769</v>
      </c>
      <c r="C105" s="4" t="s">
        <v>1951</v>
      </c>
      <c r="D105" s="4" t="s">
        <v>1952</v>
      </c>
      <c r="E105" s="4" t="s">
        <v>1380</v>
      </c>
      <c r="F105" s="4" t="s">
        <v>1953</v>
      </c>
      <c r="G105" s="4" t="s">
        <v>1954</v>
      </c>
      <c r="H105" s="4" t="s">
        <v>368</v>
      </c>
      <c r="I105" s="4" t="s">
        <v>976</v>
      </c>
      <c r="J105" s="4" t="s">
        <v>31</v>
      </c>
      <c r="K105" s="4" t="s">
        <v>31</v>
      </c>
      <c r="L105" s="2" t="s">
        <v>374</v>
      </c>
      <c r="M105" s="2" t="s">
        <v>32</v>
      </c>
      <c r="N105" s="4" t="s">
        <v>523</v>
      </c>
      <c r="O105" s="4" t="s">
        <v>164</v>
      </c>
      <c r="P105" s="4" t="s">
        <v>35</v>
      </c>
      <c r="Q105" s="152">
        <v>803</v>
      </c>
      <c r="R105" s="152">
        <v>1</v>
      </c>
      <c r="S105" s="152">
        <v>1476</v>
      </c>
      <c r="T105" s="150">
        <v>0.184</v>
      </c>
      <c r="U105" s="152">
        <v>12.036</v>
      </c>
      <c r="V105" s="152">
        <v>3.9999999999999998E-6</v>
      </c>
      <c r="W105" s="166">
        <v>9.8004434341165802E-3</v>
      </c>
      <c r="X105" s="166">
        <v>1.54287277820459E-3</v>
      </c>
    </row>
    <row r="106" spans="1:24">
      <c r="A106" s="4" t="s">
        <v>26</v>
      </c>
      <c r="B106" s="4">
        <v>14769</v>
      </c>
      <c r="C106" s="4" t="s">
        <v>1955</v>
      </c>
      <c r="D106" s="4" t="s">
        <v>1956</v>
      </c>
      <c r="E106" s="4" t="s">
        <v>1380</v>
      </c>
      <c r="F106" s="4" t="s">
        <v>1957</v>
      </c>
      <c r="G106" s="4" t="s">
        <v>1958</v>
      </c>
      <c r="H106" s="4" t="s">
        <v>368</v>
      </c>
      <c r="I106" s="4" t="s">
        <v>976</v>
      </c>
      <c r="J106" s="4" t="s">
        <v>31</v>
      </c>
      <c r="K106" s="4" t="s">
        <v>31</v>
      </c>
      <c r="L106" s="2" t="s">
        <v>374</v>
      </c>
      <c r="M106" s="2" t="s">
        <v>32</v>
      </c>
      <c r="N106" s="4" t="s">
        <v>489</v>
      </c>
      <c r="O106" s="4" t="s">
        <v>164</v>
      </c>
      <c r="P106" s="4" t="s">
        <v>35</v>
      </c>
      <c r="Q106" s="152">
        <v>121</v>
      </c>
      <c r="R106" s="152">
        <v>1</v>
      </c>
      <c r="S106" s="152">
        <v>6569</v>
      </c>
      <c r="U106" s="152">
        <v>7.9480000000000004</v>
      </c>
      <c r="V106" s="152">
        <v>1.9999999999999999E-6</v>
      </c>
      <c r="W106" s="166">
        <v>6.4720043129378501E-3</v>
      </c>
      <c r="X106" s="166">
        <v>1.0188803539331499E-3</v>
      </c>
    </row>
    <row r="107" spans="1:24">
      <c r="A107" s="4" t="s">
        <v>26</v>
      </c>
      <c r="B107" s="4">
        <v>14769</v>
      </c>
      <c r="C107" s="4" t="s">
        <v>1219</v>
      </c>
      <c r="D107" s="4" t="s">
        <v>1959</v>
      </c>
      <c r="E107" s="4" t="s">
        <v>1380</v>
      </c>
      <c r="F107" s="4" t="s">
        <v>1960</v>
      </c>
      <c r="G107" s="4" t="s">
        <v>1961</v>
      </c>
      <c r="H107" s="4" t="s">
        <v>368</v>
      </c>
      <c r="I107" s="4" t="s">
        <v>976</v>
      </c>
      <c r="J107" s="4" t="s">
        <v>31</v>
      </c>
      <c r="K107" s="4" t="s">
        <v>31</v>
      </c>
      <c r="L107" s="2" t="s">
        <v>374</v>
      </c>
      <c r="M107" s="2" t="s">
        <v>32</v>
      </c>
      <c r="N107" s="4" t="s">
        <v>492</v>
      </c>
      <c r="O107" s="4" t="s">
        <v>164</v>
      </c>
      <c r="P107" s="4" t="s">
        <v>35</v>
      </c>
      <c r="Q107" s="152">
        <v>1874</v>
      </c>
      <c r="R107" s="152">
        <v>1</v>
      </c>
      <c r="S107" s="152">
        <v>3100</v>
      </c>
      <c r="T107" s="150">
        <v>0.44900000000000001</v>
      </c>
      <c r="U107" s="152">
        <v>58.542999999999999</v>
      </c>
      <c r="V107" s="152">
        <v>9.9999999999999995E-7</v>
      </c>
      <c r="W107" s="166">
        <v>4.7668413448746401E-2</v>
      </c>
      <c r="X107" s="166">
        <v>7.5043846724576002E-3</v>
      </c>
    </row>
    <row r="108" spans="1:24">
      <c r="A108" s="4" t="s">
        <v>26</v>
      </c>
      <c r="B108" s="4">
        <v>14769</v>
      </c>
      <c r="C108" s="4" t="s">
        <v>2163</v>
      </c>
      <c r="D108" s="4" t="s">
        <v>2164</v>
      </c>
      <c r="E108" s="4" t="s">
        <v>1380</v>
      </c>
      <c r="F108" s="4" t="s">
        <v>2165</v>
      </c>
      <c r="G108" s="4" t="s">
        <v>2166</v>
      </c>
      <c r="H108" s="4" t="s">
        <v>368</v>
      </c>
      <c r="I108" s="4" t="s">
        <v>976</v>
      </c>
      <c r="J108" s="4" t="s">
        <v>31</v>
      </c>
      <c r="K108" s="4" t="s">
        <v>31</v>
      </c>
      <c r="L108" s="2" t="s">
        <v>374</v>
      </c>
      <c r="M108" s="2" t="s">
        <v>32</v>
      </c>
      <c r="N108" s="4" t="s">
        <v>520</v>
      </c>
      <c r="O108" s="4" t="s">
        <v>164</v>
      </c>
      <c r="P108" s="4" t="s">
        <v>35</v>
      </c>
      <c r="Q108" s="152">
        <v>49</v>
      </c>
      <c r="R108" s="152">
        <v>1</v>
      </c>
      <c r="S108" s="152">
        <v>18180</v>
      </c>
      <c r="U108" s="152">
        <v>8.9079999999999995</v>
      </c>
      <c r="V108" s="152">
        <v>3.0000000000000001E-6</v>
      </c>
      <c r="W108" s="166">
        <v>7.2534417003119996E-3</v>
      </c>
      <c r="X108" s="166">
        <v>1.14190116222166E-3</v>
      </c>
    </row>
    <row r="109" spans="1:24">
      <c r="A109" s="4" t="s">
        <v>26</v>
      </c>
      <c r="B109" s="4">
        <v>14769</v>
      </c>
      <c r="C109" s="4" t="s">
        <v>2167</v>
      </c>
      <c r="D109" s="4" t="s">
        <v>2168</v>
      </c>
      <c r="E109" s="4" t="s">
        <v>1380</v>
      </c>
      <c r="F109" s="4" t="s">
        <v>2169</v>
      </c>
      <c r="G109" s="4" t="s">
        <v>2170</v>
      </c>
      <c r="H109" s="4" t="s">
        <v>368</v>
      </c>
      <c r="I109" s="4" t="s">
        <v>976</v>
      </c>
      <c r="J109" s="4" t="s">
        <v>31</v>
      </c>
      <c r="K109" s="4" t="s">
        <v>31</v>
      </c>
      <c r="L109" s="2" t="s">
        <v>374</v>
      </c>
      <c r="M109" s="2" t="s">
        <v>32</v>
      </c>
      <c r="N109" s="4" t="s">
        <v>508</v>
      </c>
      <c r="O109" s="4" t="s">
        <v>164</v>
      </c>
      <c r="P109" s="4" t="s">
        <v>35</v>
      </c>
      <c r="Q109" s="152">
        <v>2034</v>
      </c>
      <c r="R109" s="152">
        <v>1</v>
      </c>
      <c r="S109" s="152">
        <v>907.1</v>
      </c>
      <c r="U109" s="152">
        <v>18.45</v>
      </c>
      <c r="V109" s="152">
        <v>3.0000000000000001E-6</v>
      </c>
      <c r="W109" s="166">
        <v>1.50231250191532E-2</v>
      </c>
      <c r="X109" s="166">
        <v>2.3650736613536698E-3</v>
      </c>
    </row>
    <row r="110" spans="1:24">
      <c r="A110" s="4" t="s">
        <v>26</v>
      </c>
      <c r="B110" s="4">
        <v>14769</v>
      </c>
      <c r="C110" s="4" t="s">
        <v>1974</v>
      </c>
      <c r="D110" s="4" t="s">
        <v>1975</v>
      </c>
      <c r="E110" s="4" t="s">
        <v>1380</v>
      </c>
      <c r="F110" s="4" t="s">
        <v>1976</v>
      </c>
      <c r="G110" s="4" t="s">
        <v>1977</v>
      </c>
      <c r="H110" s="4" t="s">
        <v>368</v>
      </c>
      <c r="I110" s="4" t="s">
        <v>976</v>
      </c>
      <c r="J110" s="4" t="s">
        <v>31</v>
      </c>
      <c r="K110" s="4" t="s">
        <v>31</v>
      </c>
      <c r="L110" s="2" t="s">
        <v>374</v>
      </c>
      <c r="M110" s="2" t="s">
        <v>32</v>
      </c>
      <c r="N110" s="4" t="s">
        <v>508</v>
      </c>
      <c r="O110" s="4" t="s">
        <v>164</v>
      </c>
      <c r="P110" s="4" t="s">
        <v>35</v>
      </c>
      <c r="Q110" s="152">
        <v>57</v>
      </c>
      <c r="R110" s="152">
        <v>1</v>
      </c>
      <c r="S110" s="152">
        <v>26900</v>
      </c>
      <c r="T110" s="150">
        <v>0.14399999999999999</v>
      </c>
      <c r="U110" s="152">
        <v>15.477</v>
      </c>
      <c r="V110" s="152">
        <v>9.9999999999999995E-7</v>
      </c>
      <c r="W110" s="166">
        <v>1.26019938920575E-2</v>
      </c>
      <c r="X110" s="166">
        <v>1.98391771330178E-3</v>
      </c>
    </row>
    <row r="111" spans="1:24">
      <c r="A111" s="4" t="s">
        <v>26</v>
      </c>
      <c r="B111" s="4">
        <v>14769</v>
      </c>
      <c r="C111" s="4" t="s">
        <v>1978</v>
      </c>
      <c r="D111" s="4" t="s">
        <v>1979</v>
      </c>
      <c r="E111" s="4" t="s">
        <v>1380</v>
      </c>
      <c r="F111" s="4" t="s">
        <v>1980</v>
      </c>
      <c r="G111" s="4" t="s">
        <v>1981</v>
      </c>
      <c r="H111" s="4" t="s">
        <v>368</v>
      </c>
      <c r="I111" s="4" t="s">
        <v>976</v>
      </c>
      <c r="J111" s="4" t="s">
        <v>31</v>
      </c>
      <c r="K111" s="4" t="s">
        <v>31</v>
      </c>
      <c r="L111" s="2" t="s">
        <v>374</v>
      </c>
      <c r="M111" s="2" t="s">
        <v>32</v>
      </c>
      <c r="N111" s="4" t="s">
        <v>489</v>
      </c>
      <c r="O111" s="4" t="s">
        <v>164</v>
      </c>
      <c r="P111" s="4" t="s">
        <v>35</v>
      </c>
      <c r="Q111" s="152">
        <v>379</v>
      </c>
      <c r="R111" s="152">
        <v>1</v>
      </c>
      <c r="S111" s="152">
        <v>9800</v>
      </c>
      <c r="U111" s="152">
        <v>37.142000000000003</v>
      </c>
      <c r="V111" s="152">
        <v>6.0000000000000002E-6</v>
      </c>
      <c r="W111" s="166">
        <v>3.0242622710871799E-2</v>
      </c>
      <c r="X111" s="166">
        <v>4.7610620515072602E-3</v>
      </c>
    </row>
    <row r="112" spans="1:24">
      <c r="A112" s="4" t="s">
        <v>26</v>
      </c>
      <c r="B112" s="4">
        <v>14769</v>
      </c>
      <c r="C112" s="4" t="s">
        <v>1982</v>
      </c>
      <c r="D112" s="4" t="s">
        <v>1522</v>
      </c>
      <c r="E112" s="4" t="s">
        <v>1380</v>
      </c>
      <c r="F112" s="4" t="s">
        <v>1983</v>
      </c>
      <c r="G112" s="4" t="s">
        <v>1984</v>
      </c>
      <c r="H112" s="4" t="s">
        <v>368</v>
      </c>
      <c r="I112" s="4" t="s">
        <v>976</v>
      </c>
      <c r="J112" s="4" t="s">
        <v>31</v>
      </c>
      <c r="K112" s="4" t="s">
        <v>31</v>
      </c>
      <c r="L112" s="2" t="s">
        <v>374</v>
      </c>
      <c r="M112" s="2" t="s">
        <v>32</v>
      </c>
      <c r="N112" s="4" t="s">
        <v>487</v>
      </c>
      <c r="O112" s="4" t="s">
        <v>164</v>
      </c>
      <c r="P112" s="4" t="s">
        <v>35</v>
      </c>
      <c r="Q112" s="152">
        <v>198</v>
      </c>
      <c r="R112" s="152">
        <v>1</v>
      </c>
      <c r="S112" s="152">
        <v>1207</v>
      </c>
      <c r="U112" s="152">
        <v>2.39</v>
      </c>
      <c r="V112" s="152">
        <v>3.0000000000000001E-6</v>
      </c>
      <c r="W112" s="166">
        <v>1.9459273682570701E-3</v>
      </c>
      <c r="X112" s="166">
        <v>3.0634515519937302E-4</v>
      </c>
    </row>
    <row r="113" spans="1:24">
      <c r="A113" s="4" t="s">
        <v>26</v>
      </c>
      <c r="B113" s="4">
        <v>14769</v>
      </c>
      <c r="C113" s="4" t="s">
        <v>1985</v>
      </c>
      <c r="D113" s="4" t="s">
        <v>1986</v>
      </c>
      <c r="E113" s="4" t="s">
        <v>1380</v>
      </c>
      <c r="F113" s="4" t="s">
        <v>1987</v>
      </c>
      <c r="G113" s="4" t="s">
        <v>1988</v>
      </c>
      <c r="H113" s="4" t="s">
        <v>368</v>
      </c>
      <c r="I113" s="4" t="s">
        <v>976</v>
      </c>
      <c r="J113" s="4" t="s">
        <v>31</v>
      </c>
      <c r="K113" s="4" t="s">
        <v>31</v>
      </c>
      <c r="L113" s="2" t="s">
        <v>374</v>
      </c>
      <c r="M113" s="2" t="s">
        <v>32</v>
      </c>
      <c r="N113" s="4" t="s">
        <v>520</v>
      </c>
      <c r="O113" s="4" t="s">
        <v>164</v>
      </c>
      <c r="P113" s="4" t="s">
        <v>35</v>
      </c>
      <c r="Q113" s="152">
        <v>950</v>
      </c>
      <c r="R113" s="152">
        <v>1</v>
      </c>
      <c r="S113" s="152">
        <v>841.6</v>
      </c>
      <c r="U113" s="152">
        <v>7.9950000000000001</v>
      </c>
      <c r="V113" s="152">
        <v>6.9999999999999999E-6</v>
      </c>
      <c r="W113" s="166">
        <v>6.5100376150439504E-3</v>
      </c>
      <c r="X113" s="166">
        <v>1.02486789387246E-3</v>
      </c>
    </row>
    <row r="114" spans="1:24">
      <c r="A114" s="4" t="s">
        <v>26</v>
      </c>
      <c r="B114" s="4">
        <v>14769</v>
      </c>
      <c r="C114" s="4" t="s">
        <v>1989</v>
      </c>
      <c r="D114" s="4" t="s">
        <v>1990</v>
      </c>
      <c r="E114" s="4" t="s">
        <v>1380</v>
      </c>
      <c r="F114" s="4" t="s">
        <v>1991</v>
      </c>
      <c r="G114" s="4" t="s">
        <v>1992</v>
      </c>
      <c r="H114" s="4" t="s">
        <v>368</v>
      </c>
      <c r="I114" s="4" t="s">
        <v>976</v>
      </c>
      <c r="J114" s="4" t="s">
        <v>31</v>
      </c>
      <c r="K114" s="4" t="s">
        <v>31</v>
      </c>
      <c r="L114" s="2" t="s">
        <v>374</v>
      </c>
      <c r="M114" s="2" t="s">
        <v>32</v>
      </c>
      <c r="N114" s="4" t="s">
        <v>498</v>
      </c>
      <c r="O114" s="4" t="s">
        <v>164</v>
      </c>
      <c r="P114" s="4" t="s">
        <v>35</v>
      </c>
      <c r="Q114" s="152">
        <v>2581</v>
      </c>
      <c r="R114" s="152">
        <v>1</v>
      </c>
      <c r="S114" s="152">
        <v>935.3</v>
      </c>
      <c r="T114" s="150">
        <v>0.49199999999999999</v>
      </c>
      <c r="U114" s="152">
        <v>24.632000000000001</v>
      </c>
      <c r="V114" s="152">
        <v>1.9999999999999999E-6</v>
      </c>
      <c r="W114" s="166">
        <v>2.0056841102449801E-2</v>
      </c>
      <c r="X114" s="166">
        <v>3.1575259182682201E-3</v>
      </c>
    </row>
    <row r="115" spans="1:24">
      <c r="A115" s="4" t="s">
        <v>26</v>
      </c>
      <c r="B115" s="4">
        <v>14769</v>
      </c>
      <c r="C115" s="4" t="s">
        <v>1993</v>
      </c>
      <c r="D115" s="4" t="s">
        <v>1994</v>
      </c>
      <c r="E115" s="4" t="s">
        <v>1380</v>
      </c>
      <c r="F115" s="4" t="s">
        <v>1995</v>
      </c>
      <c r="G115" s="4" t="s">
        <v>1996</v>
      </c>
      <c r="H115" s="4" t="s">
        <v>368</v>
      </c>
      <c r="I115" s="4" t="s">
        <v>976</v>
      </c>
      <c r="J115" s="4" t="s">
        <v>31</v>
      </c>
      <c r="K115" s="4" t="s">
        <v>101</v>
      </c>
      <c r="L115" s="2" t="s">
        <v>374</v>
      </c>
      <c r="M115" s="2" t="s">
        <v>32</v>
      </c>
      <c r="N115" s="4" t="s">
        <v>525</v>
      </c>
      <c r="O115" s="4" t="s">
        <v>164</v>
      </c>
      <c r="P115" s="4" t="s">
        <v>35</v>
      </c>
      <c r="Q115" s="152">
        <v>29</v>
      </c>
      <c r="R115" s="152">
        <v>1</v>
      </c>
      <c r="S115" s="152">
        <v>95150</v>
      </c>
      <c r="U115" s="152">
        <v>27.593</v>
      </c>
      <c r="V115" s="152">
        <v>0</v>
      </c>
      <c r="W115" s="166">
        <v>2.24678210589748E-2</v>
      </c>
      <c r="X115" s="166">
        <v>3.5370837789635802E-3</v>
      </c>
    </row>
    <row r="116" spans="1:24">
      <c r="A116" s="4" t="s">
        <v>26</v>
      </c>
      <c r="B116" s="4">
        <v>14769</v>
      </c>
      <c r="C116" s="4" t="s">
        <v>2171</v>
      </c>
      <c r="D116" s="4" t="s">
        <v>2172</v>
      </c>
      <c r="E116" s="4" t="s">
        <v>1380</v>
      </c>
      <c r="F116" s="4" t="s">
        <v>2171</v>
      </c>
      <c r="G116" s="4" t="s">
        <v>2173</v>
      </c>
      <c r="H116" s="4" t="s">
        <v>368</v>
      </c>
      <c r="I116" s="4" t="s">
        <v>976</v>
      </c>
      <c r="J116" s="4" t="s">
        <v>31</v>
      </c>
      <c r="K116" s="4" t="s">
        <v>31</v>
      </c>
      <c r="L116" s="2" t="s">
        <v>374</v>
      </c>
      <c r="M116" s="2" t="s">
        <v>32</v>
      </c>
      <c r="N116" s="4" t="s">
        <v>483</v>
      </c>
      <c r="O116" s="4" t="s">
        <v>164</v>
      </c>
      <c r="P116" s="4" t="s">
        <v>35</v>
      </c>
      <c r="Q116" s="152">
        <v>51</v>
      </c>
      <c r="R116" s="152">
        <v>1</v>
      </c>
      <c r="S116" s="152">
        <v>4273</v>
      </c>
      <c r="U116" s="152">
        <v>2.1789999999999998</v>
      </c>
      <c r="V116" s="152">
        <v>9.9999999999999995E-7</v>
      </c>
      <c r="W116" s="166">
        <v>1.77442331296681E-3</v>
      </c>
      <c r="X116" s="166">
        <v>2.7934546482435399E-4</v>
      </c>
    </row>
    <row r="117" spans="1:24">
      <c r="A117" s="4" t="s">
        <v>26</v>
      </c>
      <c r="B117" s="4">
        <v>14769</v>
      </c>
      <c r="C117" s="4" t="s">
        <v>2001</v>
      </c>
      <c r="D117" s="4" t="s">
        <v>2002</v>
      </c>
      <c r="E117" s="4" t="s">
        <v>1380</v>
      </c>
      <c r="F117" s="4" t="s">
        <v>2003</v>
      </c>
      <c r="G117" s="4" t="s">
        <v>2004</v>
      </c>
      <c r="H117" s="4" t="s">
        <v>368</v>
      </c>
      <c r="I117" s="4" t="s">
        <v>976</v>
      </c>
      <c r="J117" s="4" t="s">
        <v>31</v>
      </c>
      <c r="K117" s="4" t="s">
        <v>31</v>
      </c>
      <c r="L117" s="2" t="s">
        <v>374</v>
      </c>
      <c r="M117" s="2" t="s">
        <v>32</v>
      </c>
      <c r="N117" s="4" t="s">
        <v>529</v>
      </c>
      <c r="O117" s="4" t="s">
        <v>164</v>
      </c>
      <c r="P117" s="4" t="s">
        <v>35</v>
      </c>
      <c r="Q117" s="152">
        <v>851</v>
      </c>
      <c r="R117" s="152">
        <v>1</v>
      </c>
      <c r="S117" s="152">
        <v>1560</v>
      </c>
      <c r="U117" s="152">
        <v>13.276</v>
      </c>
      <c r="V117" s="152">
        <v>5.0000000000000004E-6</v>
      </c>
      <c r="W117" s="166">
        <v>1.08095676608812E-2</v>
      </c>
      <c r="X117" s="166">
        <v>1.7017380693282499E-3</v>
      </c>
    </row>
    <row r="118" spans="1:24">
      <c r="A118" s="4" t="s">
        <v>26</v>
      </c>
      <c r="B118" s="4">
        <v>14769</v>
      </c>
      <c r="C118" s="4" t="s">
        <v>2005</v>
      </c>
      <c r="D118" s="4" t="s">
        <v>2006</v>
      </c>
      <c r="E118" s="4" t="s">
        <v>1380</v>
      </c>
      <c r="F118" s="4" t="s">
        <v>2007</v>
      </c>
      <c r="G118" s="4" t="s">
        <v>2008</v>
      </c>
      <c r="H118" s="4" t="s">
        <v>368</v>
      </c>
      <c r="I118" s="4" t="s">
        <v>976</v>
      </c>
      <c r="J118" s="4" t="s">
        <v>31</v>
      </c>
      <c r="K118" s="4" t="s">
        <v>31</v>
      </c>
      <c r="L118" s="2" t="s">
        <v>374</v>
      </c>
      <c r="M118" s="2" t="s">
        <v>32</v>
      </c>
      <c r="N118" s="4" t="s">
        <v>508</v>
      </c>
      <c r="O118" s="4" t="s">
        <v>164</v>
      </c>
      <c r="P118" s="4" t="s">
        <v>35</v>
      </c>
      <c r="Q118" s="152">
        <v>56</v>
      </c>
      <c r="R118" s="152">
        <v>1</v>
      </c>
      <c r="S118" s="152">
        <v>26610</v>
      </c>
      <c r="U118" s="152">
        <v>14.901999999999999</v>
      </c>
      <c r="V118" s="152">
        <v>0</v>
      </c>
      <c r="W118" s="166">
        <v>1.2133527181851501E-2</v>
      </c>
      <c r="X118" s="166">
        <v>1.9101675264320799E-3</v>
      </c>
    </row>
    <row r="119" spans="1:24">
      <c r="A119" s="4" t="s">
        <v>26</v>
      </c>
      <c r="B119" s="4">
        <v>14769</v>
      </c>
      <c r="C119" s="4" t="s">
        <v>2009</v>
      </c>
      <c r="D119" s="4" t="s">
        <v>2010</v>
      </c>
      <c r="E119" s="4" t="s">
        <v>1380</v>
      </c>
      <c r="F119" s="4" t="s">
        <v>2011</v>
      </c>
      <c r="G119" s="4" t="s">
        <v>2012</v>
      </c>
      <c r="H119" s="4" t="s">
        <v>368</v>
      </c>
      <c r="I119" s="4" t="s">
        <v>976</v>
      </c>
      <c r="J119" s="4" t="s">
        <v>31</v>
      </c>
      <c r="K119" s="4" t="s">
        <v>31</v>
      </c>
      <c r="L119" s="2" t="s">
        <v>374</v>
      </c>
      <c r="M119" s="2" t="s">
        <v>32</v>
      </c>
      <c r="N119" s="4" t="s">
        <v>492</v>
      </c>
      <c r="O119" s="4" t="s">
        <v>164</v>
      </c>
      <c r="P119" s="4" t="s">
        <v>35</v>
      </c>
      <c r="Q119" s="152">
        <v>1510</v>
      </c>
      <c r="R119" s="152">
        <v>1</v>
      </c>
      <c r="S119" s="152">
        <v>3500</v>
      </c>
      <c r="T119" s="150">
        <v>0.32</v>
      </c>
      <c r="U119" s="152">
        <v>53.17</v>
      </c>
      <c r="V119" s="152">
        <v>9.9999999999999995E-7</v>
      </c>
      <c r="W119" s="166">
        <v>4.3293378626537898E-2</v>
      </c>
      <c r="X119" s="166">
        <v>6.8156278650477803E-3</v>
      </c>
    </row>
    <row r="120" spans="1:24">
      <c r="A120" s="4" t="s">
        <v>26</v>
      </c>
      <c r="B120" s="4">
        <v>14769</v>
      </c>
      <c r="C120" s="4" t="s">
        <v>2017</v>
      </c>
      <c r="D120" s="4" t="s">
        <v>2018</v>
      </c>
      <c r="E120" s="4" t="s">
        <v>1380</v>
      </c>
      <c r="F120" s="4" t="s">
        <v>2019</v>
      </c>
      <c r="G120" s="4" t="s">
        <v>2020</v>
      </c>
      <c r="H120" s="4" t="s">
        <v>368</v>
      </c>
      <c r="I120" s="4" t="s">
        <v>976</v>
      </c>
      <c r="J120" s="4" t="s">
        <v>31</v>
      </c>
      <c r="K120" s="4" t="s">
        <v>31</v>
      </c>
      <c r="L120" s="2" t="s">
        <v>374</v>
      </c>
      <c r="M120" s="2" t="s">
        <v>32</v>
      </c>
      <c r="N120" s="4" t="s">
        <v>529</v>
      </c>
      <c r="O120" s="4" t="s">
        <v>164</v>
      </c>
      <c r="P120" s="4" t="s">
        <v>35</v>
      </c>
      <c r="Q120" s="152">
        <v>849</v>
      </c>
      <c r="R120" s="152">
        <v>1</v>
      </c>
      <c r="S120" s="152">
        <v>1597</v>
      </c>
      <c r="U120" s="152">
        <v>13.558999999999999</v>
      </c>
      <c r="V120" s="152">
        <v>5.0000000000000004E-6</v>
      </c>
      <c r="W120" s="166">
        <v>1.10399415029895E-2</v>
      </c>
      <c r="X120" s="166">
        <v>1.7380055639766999E-3</v>
      </c>
    </row>
    <row r="121" spans="1:24">
      <c r="A121" s="4" t="s">
        <v>26</v>
      </c>
      <c r="B121" s="4">
        <v>14769</v>
      </c>
      <c r="C121" s="4" t="s">
        <v>2025</v>
      </c>
      <c r="D121" s="4" t="s">
        <v>2026</v>
      </c>
      <c r="E121" s="4" t="s">
        <v>1380</v>
      </c>
      <c r="F121" s="4" t="s">
        <v>2027</v>
      </c>
      <c r="G121" s="4" t="s">
        <v>2028</v>
      </c>
      <c r="H121" s="4" t="s">
        <v>368</v>
      </c>
      <c r="I121" s="4" t="s">
        <v>976</v>
      </c>
      <c r="J121" s="4" t="s">
        <v>31</v>
      </c>
      <c r="K121" s="4" t="s">
        <v>346</v>
      </c>
      <c r="L121" s="2" t="s">
        <v>374</v>
      </c>
      <c r="M121" s="2" t="s">
        <v>32</v>
      </c>
      <c r="N121" s="4" t="s">
        <v>525</v>
      </c>
      <c r="O121" s="4" t="s">
        <v>164</v>
      </c>
      <c r="P121" s="4" t="s">
        <v>35</v>
      </c>
      <c r="Q121" s="152">
        <v>154</v>
      </c>
      <c r="R121" s="152">
        <v>1</v>
      </c>
      <c r="S121" s="152">
        <v>8289</v>
      </c>
      <c r="U121" s="152">
        <v>12.765000000000001</v>
      </c>
      <c r="V121" s="152">
        <v>3.0000000000000001E-6</v>
      </c>
      <c r="W121" s="166">
        <v>1.03938639131345E-2</v>
      </c>
      <c r="X121" s="166">
        <v>1.6362942962471899E-3</v>
      </c>
    </row>
    <row r="122" spans="1:24">
      <c r="A122" s="4" t="s">
        <v>26</v>
      </c>
      <c r="B122" s="4">
        <v>14769</v>
      </c>
      <c r="C122" s="4" t="s">
        <v>2174</v>
      </c>
      <c r="D122" s="4" t="s">
        <v>2175</v>
      </c>
      <c r="E122" s="4" t="s">
        <v>1380</v>
      </c>
      <c r="F122" s="4" t="s">
        <v>2176</v>
      </c>
      <c r="G122" s="4" t="s">
        <v>2177</v>
      </c>
      <c r="H122" s="4" t="s">
        <v>368</v>
      </c>
      <c r="I122" s="4" t="s">
        <v>976</v>
      </c>
      <c r="J122" s="4" t="s">
        <v>31</v>
      </c>
      <c r="K122" s="4" t="s">
        <v>31</v>
      </c>
      <c r="L122" s="2" t="s">
        <v>374</v>
      </c>
      <c r="M122" s="2" t="s">
        <v>32</v>
      </c>
      <c r="N122" s="4" t="s">
        <v>505</v>
      </c>
      <c r="O122" s="4" t="s">
        <v>164</v>
      </c>
      <c r="P122" s="4" t="s">
        <v>35</v>
      </c>
      <c r="Q122" s="152">
        <v>8</v>
      </c>
      <c r="R122" s="152">
        <v>1</v>
      </c>
      <c r="S122" s="152">
        <v>48200</v>
      </c>
      <c r="U122" s="152">
        <v>3.8559999999999999</v>
      </c>
      <c r="V122" s="152">
        <v>0</v>
      </c>
      <c r="W122" s="166">
        <v>3.1397219636293602E-3</v>
      </c>
      <c r="X122" s="166">
        <v>4.9428289458327396E-4</v>
      </c>
    </row>
    <row r="123" spans="1:24">
      <c r="A123" s="4" t="s">
        <v>26</v>
      </c>
      <c r="B123" s="4">
        <v>14769</v>
      </c>
      <c r="C123" s="4" t="s">
        <v>2029</v>
      </c>
      <c r="D123" s="4" t="s">
        <v>2030</v>
      </c>
      <c r="E123" s="4" t="s">
        <v>1380</v>
      </c>
      <c r="F123" s="4" t="s">
        <v>2031</v>
      </c>
      <c r="G123" s="4" t="s">
        <v>2032</v>
      </c>
      <c r="H123" s="4" t="s">
        <v>368</v>
      </c>
      <c r="I123" s="4" t="s">
        <v>976</v>
      </c>
      <c r="J123" s="4" t="s">
        <v>31</v>
      </c>
      <c r="K123" s="4" t="s">
        <v>31</v>
      </c>
      <c r="L123" s="2" t="s">
        <v>374</v>
      </c>
      <c r="M123" s="2" t="s">
        <v>32</v>
      </c>
      <c r="N123" s="4" t="s">
        <v>507</v>
      </c>
      <c r="O123" s="4" t="s">
        <v>164</v>
      </c>
      <c r="P123" s="4" t="s">
        <v>35</v>
      </c>
      <c r="Q123" s="152">
        <v>291</v>
      </c>
      <c r="R123" s="152">
        <v>1</v>
      </c>
      <c r="S123" s="152">
        <v>510</v>
      </c>
      <c r="T123" s="150">
        <v>5.0999999999999997E-2</v>
      </c>
      <c r="U123" s="152">
        <v>1.5349999999999999</v>
      </c>
      <c r="V123" s="152">
        <v>9.9999999999999995E-7</v>
      </c>
      <c r="W123" s="166">
        <v>1.2496272548759399E-3</v>
      </c>
      <c r="X123" s="166">
        <v>1.9672741212289899E-4</v>
      </c>
    </row>
    <row r="124" spans="1:24">
      <c r="A124" s="4" t="s">
        <v>26</v>
      </c>
      <c r="B124" s="4">
        <v>14769</v>
      </c>
      <c r="C124" s="4" t="s">
        <v>2178</v>
      </c>
      <c r="D124" s="4" t="s">
        <v>2179</v>
      </c>
      <c r="E124" s="4" t="s">
        <v>1380</v>
      </c>
      <c r="F124" s="4" t="s">
        <v>2180</v>
      </c>
      <c r="G124" s="4" t="s">
        <v>2181</v>
      </c>
      <c r="H124" s="4" t="s">
        <v>368</v>
      </c>
      <c r="I124" s="4" t="s">
        <v>976</v>
      </c>
      <c r="J124" s="4" t="s">
        <v>31</v>
      </c>
      <c r="K124" s="4" t="s">
        <v>31</v>
      </c>
      <c r="L124" s="2" t="s">
        <v>374</v>
      </c>
      <c r="M124" s="2" t="s">
        <v>32</v>
      </c>
      <c r="N124" s="4" t="s">
        <v>520</v>
      </c>
      <c r="O124" s="4" t="s">
        <v>164</v>
      </c>
      <c r="P124" s="4" t="s">
        <v>35</v>
      </c>
      <c r="Q124" s="152">
        <v>4</v>
      </c>
      <c r="R124" s="152">
        <v>1</v>
      </c>
      <c r="S124" s="152">
        <v>22050</v>
      </c>
      <c r="U124" s="152">
        <v>0.88200000000000001</v>
      </c>
      <c r="V124" s="152">
        <v>0</v>
      </c>
      <c r="W124" s="166">
        <v>7.1816254458534703E-4</v>
      </c>
      <c r="X124" s="166">
        <v>1.13059521012046E-4</v>
      </c>
    </row>
    <row r="125" spans="1:24">
      <c r="A125" s="4" t="s">
        <v>26</v>
      </c>
      <c r="B125" s="4">
        <v>14769</v>
      </c>
      <c r="C125" s="4" t="s">
        <v>2037</v>
      </c>
      <c r="D125" s="4" t="s">
        <v>2038</v>
      </c>
      <c r="E125" s="4" t="s">
        <v>1380</v>
      </c>
      <c r="F125" s="4" t="s">
        <v>2039</v>
      </c>
      <c r="G125" s="4" t="s">
        <v>2040</v>
      </c>
      <c r="H125" s="4" t="s">
        <v>368</v>
      </c>
      <c r="I125" s="4" t="s">
        <v>976</v>
      </c>
      <c r="J125" s="4" t="s">
        <v>31</v>
      </c>
      <c r="K125" s="4" t="s">
        <v>31</v>
      </c>
      <c r="L125" s="2" t="s">
        <v>374</v>
      </c>
      <c r="M125" s="2" t="s">
        <v>32</v>
      </c>
      <c r="N125" s="4" t="s">
        <v>503</v>
      </c>
      <c r="O125" s="4" t="s">
        <v>164</v>
      </c>
      <c r="P125" s="4" t="s">
        <v>35</v>
      </c>
      <c r="Q125" s="152">
        <v>283</v>
      </c>
      <c r="R125" s="152">
        <v>1</v>
      </c>
      <c r="S125" s="152">
        <v>6910</v>
      </c>
      <c r="U125" s="152">
        <v>19.555</v>
      </c>
      <c r="V125" s="152">
        <v>1.9999999999999999E-6</v>
      </c>
      <c r="W125" s="166">
        <v>1.59227709842742E-2</v>
      </c>
      <c r="X125" s="166">
        <v>2.5067039129782901E-3</v>
      </c>
    </row>
    <row r="126" spans="1:24">
      <c r="A126" s="4" t="s">
        <v>26</v>
      </c>
      <c r="B126" s="4">
        <v>14769</v>
      </c>
      <c r="C126" s="4" t="s">
        <v>2041</v>
      </c>
      <c r="D126" s="4" t="s">
        <v>2042</v>
      </c>
      <c r="E126" s="4" t="s">
        <v>1380</v>
      </c>
      <c r="F126" s="4" t="s">
        <v>2043</v>
      </c>
      <c r="G126" s="4" t="s">
        <v>2044</v>
      </c>
      <c r="H126" s="4" t="s">
        <v>368</v>
      </c>
      <c r="I126" s="4" t="s">
        <v>976</v>
      </c>
      <c r="J126" s="4" t="s">
        <v>31</v>
      </c>
      <c r="K126" s="4" t="s">
        <v>31</v>
      </c>
      <c r="L126" s="2" t="s">
        <v>374</v>
      </c>
      <c r="M126" s="2" t="s">
        <v>32</v>
      </c>
      <c r="N126" s="4" t="s">
        <v>507</v>
      </c>
      <c r="O126" s="4" t="s">
        <v>164</v>
      </c>
      <c r="P126" s="4" t="s">
        <v>35</v>
      </c>
      <c r="Q126" s="152">
        <v>1123</v>
      </c>
      <c r="R126" s="152">
        <v>1</v>
      </c>
      <c r="S126" s="152">
        <v>2100</v>
      </c>
      <c r="U126" s="152">
        <v>23.582999999999998</v>
      </c>
      <c r="V126" s="152">
        <v>3.0000000000000001E-6</v>
      </c>
      <c r="W126" s="166">
        <v>1.9202298513555802E-2</v>
      </c>
      <c r="X126" s="166">
        <v>3.0229962403935098E-3</v>
      </c>
    </row>
    <row r="127" spans="1:24">
      <c r="A127" s="4" t="s">
        <v>26</v>
      </c>
      <c r="B127" s="4">
        <v>14769</v>
      </c>
      <c r="C127" s="4" t="s">
        <v>2045</v>
      </c>
      <c r="D127" s="4" t="s">
        <v>2046</v>
      </c>
      <c r="E127" s="4" t="s">
        <v>362</v>
      </c>
      <c r="F127" s="4" t="s">
        <v>2047</v>
      </c>
      <c r="G127" s="4" t="s">
        <v>2048</v>
      </c>
      <c r="H127" s="4" t="s">
        <v>368</v>
      </c>
      <c r="I127" s="4" t="s">
        <v>976</v>
      </c>
      <c r="J127" s="4" t="s">
        <v>100</v>
      </c>
      <c r="K127" s="4" t="s">
        <v>101</v>
      </c>
      <c r="L127" s="2" t="s">
        <v>374</v>
      </c>
      <c r="M127" s="2" t="s">
        <v>393</v>
      </c>
      <c r="N127" s="4" t="s">
        <v>560</v>
      </c>
      <c r="O127" s="4" t="s">
        <v>164</v>
      </c>
      <c r="P127" s="4" t="s">
        <v>105</v>
      </c>
      <c r="Q127" s="152">
        <v>14</v>
      </c>
      <c r="R127" s="152">
        <v>3.681</v>
      </c>
      <c r="S127" s="152">
        <v>180.38</v>
      </c>
      <c r="U127" s="152">
        <v>9.2959999999999994</v>
      </c>
      <c r="V127" s="152">
        <v>0</v>
      </c>
      <c r="W127" s="166">
        <v>7.5689633364361001E-3</v>
      </c>
      <c r="X127" s="166">
        <v>1.1915733782374999E-3</v>
      </c>
    </row>
    <row r="128" spans="1:24">
      <c r="A128" s="4" t="s">
        <v>26</v>
      </c>
      <c r="B128" s="4">
        <v>14769</v>
      </c>
      <c r="C128" s="4" t="s">
        <v>2049</v>
      </c>
      <c r="D128" s="4" t="s">
        <v>2050</v>
      </c>
      <c r="E128" s="4" t="s">
        <v>362</v>
      </c>
      <c r="F128" s="4" t="s">
        <v>2051</v>
      </c>
      <c r="G128" s="4" t="s">
        <v>2052</v>
      </c>
      <c r="H128" s="4" t="s">
        <v>368</v>
      </c>
      <c r="I128" s="4" t="s">
        <v>976</v>
      </c>
      <c r="J128" s="4" t="s">
        <v>100</v>
      </c>
      <c r="K128" s="4" t="s">
        <v>101</v>
      </c>
      <c r="L128" s="2" t="s">
        <v>374</v>
      </c>
      <c r="M128" s="2" t="s">
        <v>391</v>
      </c>
      <c r="N128" s="4" t="s">
        <v>2053</v>
      </c>
      <c r="O128" s="4" t="s">
        <v>164</v>
      </c>
      <c r="P128" s="4" t="s">
        <v>105</v>
      </c>
      <c r="Q128" s="152">
        <v>24</v>
      </c>
      <c r="R128" s="152">
        <v>3.681</v>
      </c>
      <c r="S128" s="152">
        <v>22769</v>
      </c>
      <c r="U128" s="152">
        <v>20.114999999999998</v>
      </c>
      <c r="V128" s="152">
        <v>0</v>
      </c>
      <c r="W128" s="166">
        <v>1.6378539864157899E-2</v>
      </c>
      <c r="X128" s="166">
        <v>2.5784550947133499E-3</v>
      </c>
    </row>
    <row r="129" spans="1:24">
      <c r="A129" s="4" t="s">
        <v>26</v>
      </c>
      <c r="B129" s="4">
        <v>14769</v>
      </c>
      <c r="C129" s="4" t="s">
        <v>2054</v>
      </c>
      <c r="D129" s="4" t="s">
        <v>2055</v>
      </c>
      <c r="E129" s="4" t="s">
        <v>362</v>
      </c>
      <c r="F129" s="4" t="s">
        <v>2056</v>
      </c>
      <c r="G129" s="4" t="s">
        <v>2057</v>
      </c>
      <c r="H129" s="4" t="s">
        <v>368</v>
      </c>
      <c r="I129" s="4" t="s">
        <v>976</v>
      </c>
      <c r="J129" s="4" t="s">
        <v>100</v>
      </c>
      <c r="K129" s="4" t="s">
        <v>318</v>
      </c>
      <c r="L129" s="2" t="s">
        <v>374</v>
      </c>
      <c r="M129" s="2" t="s">
        <v>391</v>
      </c>
      <c r="N129" s="4" t="s">
        <v>560</v>
      </c>
      <c r="O129" s="4" t="s">
        <v>164</v>
      </c>
      <c r="P129" s="4" t="s">
        <v>105</v>
      </c>
      <c r="Q129" s="152">
        <v>39</v>
      </c>
      <c r="R129" s="152">
        <v>3.681</v>
      </c>
      <c r="S129" s="152">
        <v>7236</v>
      </c>
      <c r="U129" s="152">
        <v>10.388</v>
      </c>
      <c r="V129" s="152">
        <v>0</v>
      </c>
      <c r="W129" s="166">
        <v>8.4583012425974193E-3</v>
      </c>
      <c r="X129" s="166">
        <v>1.3315808437431101E-3</v>
      </c>
    </row>
    <row r="130" spans="1:24">
      <c r="A130" s="4" t="s">
        <v>26</v>
      </c>
      <c r="B130" s="4">
        <v>14769</v>
      </c>
      <c r="C130" s="4" t="s">
        <v>2058</v>
      </c>
      <c r="D130" s="4" t="s">
        <v>2059</v>
      </c>
      <c r="E130" s="4" t="s">
        <v>362</v>
      </c>
      <c r="F130" s="4" t="s">
        <v>2060</v>
      </c>
      <c r="G130" s="4" t="s">
        <v>2061</v>
      </c>
      <c r="H130" s="4" t="s">
        <v>368</v>
      </c>
      <c r="I130" s="4" t="s">
        <v>976</v>
      </c>
      <c r="J130" s="4" t="s">
        <v>100</v>
      </c>
      <c r="K130" s="4" t="s">
        <v>101</v>
      </c>
      <c r="L130" s="2" t="s">
        <v>374</v>
      </c>
      <c r="M130" s="2" t="s">
        <v>393</v>
      </c>
      <c r="N130" s="4" t="s">
        <v>579</v>
      </c>
      <c r="O130" s="4" t="s">
        <v>164</v>
      </c>
      <c r="P130" s="4" t="s">
        <v>105</v>
      </c>
      <c r="Q130" s="152">
        <v>17</v>
      </c>
      <c r="R130" s="152">
        <v>3.681</v>
      </c>
      <c r="S130" s="152">
        <v>21563</v>
      </c>
      <c r="U130" s="152">
        <v>13.493</v>
      </c>
      <c r="V130" s="152">
        <v>0</v>
      </c>
      <c r="W130" s="166">
        <v>1.09869737664958E-2</v>
      </c>
      <c r="X130" s="166">
        <v>1.7296669128423301E-3</v>
      </c>
    </row>
    <row r="131" spans="1:24">
      <c r="A131" s="4" t="s">
        <v>26</v>
      </c>
      <c r="B131" s="4">
        <v>14769</v>
      </c>
      <c r="C131" s="4" t="s">
        <v>2062</v>
      </c>
      <c r="D131" s="4" t="s">
        <v>2063</v>
      </c>
      <c r="E131" s="4" t="s">
        <v>362</v>
      </c>
      <c r="F131" s="4" t="s">
        <v>2064</v>
      </c>
      <c r="G131" s="4" t="s">
        <v>2065</v>
      </c>
      <c r="H131" s="4" t="s">
        <v>368</v>
      </c>
      <c r="I131" s="4" t="s">
        <v>976</v>
      </c>
      <c r="J131" s="4" t="s">
        <v>100</v>
      </c>
      <c r="K131" s="4" t="s">
        <v>101</v>
      </c>
      <c r="L131" s="2" t="s">
        <v>374</v>
      </c>
      <c r="M131" s="2" t="s">
        <v>391</v>
      </c>
      <c r="N131" s="4" t="s">
        <v>2066</v>
      </c>
      <c r="O131" s="4" t="s">
        <v>164</v>
      </c>
      <c r="P131" s="4" t="s">
        <v>105</v>
      </c>
      <c r="Q131" s="152">
        <v>12</v>
      </c>
      <c r="R131" s="152">
        <v>3.681</v>
      </c>
      <c r="S131" s="152">
        <v>19299</v>
      </c>
      <c r="U131" s="152">
        <v>8.5250000000000004</v>
      </c>
      <c r="V131" s="152">
        <v>0</v>
      </c>
      <c r="W131" s="166">
        <v>6.9412236118929996E-3</v>
      </c>
      <c r="X131" s="166">
        <v>1.09274902000248E-3</v>
      </c>
    </row>
    <row r="132" spans="1:24">
      <c r="A132" s="4" t="s">
        <v>26</v>
      </c>
      <c r="B132" s="4">
        <v>14769</v>
      </c>
      <c r="D132" s="4" t="s">
        <v>1598</v>
      </c>
      <c r="E132" s="4" t="s">
        <v>362</v>
      </c>
      <c r="F132" s="4" t="s">
        <v>2067</v>
      </c>
      <c r="G132" s="4" t="s">
        <v>2068</v>
      </c>
      <c r="H132" s="4" t="s">
        <v>368</v>
      </c>
      <c r="I132" s="4" t="s">
        <v>976</v>
      </c>
      <c r="J132" s="4" t="s">
        <v>100</v>
      </c>
      <c r="L132" s="2" t="s">
        <v>374</v>
      </c>
      <c r="M132" s="2" t="s">
        <v>204</v>
      </c>
      <c r="N132" s="4" t="s">
        <v>1392</v>
      </c>
      <c r="O132" s="4" t="s">
        <v>164</v>
      </c>
      <c r="P132" s="4" t="s">
        <v>105</v>
      </c>
      <c r="Q132" s="152">
        <v>2.3199999999999998</v>
      </c>
      <c r="R132" s="152">
        <v>3.681</v>
      </c>
      <c r="S132" s="152">
        <v>129156</v>
      </c>
      <c r="U132" s="152">
        <v>11.03</v>
      </c>
      <c r="V132" s="152">
        <v>0</v>
      </c>
      <c r="W132" s="166">
        <v>8.9809557067592194E-3</v>
      </c>
      <c r="X132" s="166">
        <v>1.41386174772294E-3</v>
      </c>
    </row>
    <row r="133" spans="1:24">
      <c r="A133" s="4" t="s">
        <v>26</v>
      </c>
      <c r="B133" s="4">
        <v>14769</v>
      </c>
      <c r="C133" s="4" t="s">
        <v>2069</v>
      </c>
      <c r="D133" s="4" t="s">
        <v>2070</v>
      </c>
      <c r="E133" s="4" t="s">
        <v>362</v>
      </c>
      <c r="F133" s="4" t="s">
        <v>2071</v>
      </c>
      <c r="G133" s="4" t="s">
        <v>2072</v>
      </c>
      <c r="H133" s="4" t="s">
        <v>368</v>
      </c>
      <c r="I133" s="4" t="s">
        <v>976</v>
      </c>
      <c r="J133" s="4" t="s">
        <v>100</v>
      </c>
      <c r="K133" s="4" t="s">
        <v>101</v>
      </c>
      <c r="L133" s="2" t="s">
        <v>374</v>
      </c>
      <c r="M133" s="2" t="s">
        <v>391</v>
      </c>
      <c r="N133" s="4" t="s">
        <v>2066</v>
      </c>
      <c r="O133" s="4" t="s">
        <v>164</v>
      </c>
      <c r="P133" s="4" t="s">
        <v>105</v>
      </c>
      <c r="Q133" s="152">
        <v>10</v>
      </c>
      <c r="R133" s="152">
        <v>3.681</v>
      </c>
      <c r="S133" s="152">
        <v>41074</v>
      </c>
      <c r="U133" s="152">
        <v>15.119</v>
      </c>
      <c r="V133" s="152">
        <v>0</v>
      </c>
      <c r="W133" s="166">
        <v>1.2310820018087899E-2</v>
      </c>
      <c r="X133" s="166">
        <v>1.9380785380754501E-3</v>
      </c>
    </row>
    <row r="134" spans="1:24">
      <c r="A134" s="4" t="s">
        <v>26</v>
      </c>
      <c r="B134" s="4">
        <v>14769</v>
      </c>
      <c r="C134" s="4" t="s">
        <v>2073</v>
      </c>
      <c r="D134" s="4" t="s">
        <v>2074</v>
      </c>
      <c r="E134" s="4" t="s">
        <v>362</v>
      </c>
      <c r="F134" s="4" t="s">
        <v>2073</v>
      </c>
      <c r="G134" s="4" t="s">
        <v>2075</v>
      </c>
      <c r="H134" s="4" t="s">
        <v>368</v>
      </c>
      <c r="I134" s="4" t="s">
        <v>976</v>
      </c>
      <c r="J134" s="4" t="s">
        <v>100</v>
      </c>
      <c r="K134" s="4" t="s">
        <v>101</v>
      </c>
      <c r="L134" s="2" t="s">
        <v>374</v>
      </c>
      <c r="M134" s="2" t="s">
        <v>393</v>
      </c>
      <c r="N134" s="4" t="s">
        <v>591</v>
      </c>
      <c r="O134" s="4" t="s">
        <v>164</v>
      </c>
      <c r="P134" s="4" t="s">
        <v>105</v>
      </c>
      <c r="Q134" s="152">
        <v>52</v>
      </c>
      <c r="R134" s="152">
        <v>3.681</v>
      </c>
      <c r="S134" s="152">
        <v>2861</v>
      </c>
      <c r="U134" s="152">
        <v>5.476</v>
      </c>
      <c r="V134" s="152">
        <v>0</v>
      </c>
      <c r="W134" s="166">
        <v>4.4590381159150998E-3</v>
      </c>
      <c r="X134" s="166">
        <v>7.0198135138180198E-4</v>
      </c>
    </row>
    <row r="135" spans="1:24">
      <c r="A135" s="4" t="s">
        <v>26</v>
      </c>
      <c r="B135" s="4">
        <v>14769</v>
      </c>
      <c r="C135" s="4" t="s">
        <v>2080</v>
      </c>
      <c r="D135" s="4" t="s">
        <v>2081</v>
      </c>
      <c r="E135" s="4" t="s">
        <v>362</v>
      </c>
      <c r="F135" s="4" t="s">
        <v>2082</v>
      </c>
      <c r="G135" s="4" t="s">
        <v>2083</v>
      </c>
      <c r="H135" s="4" t="s">
        <v>368</v>
      </c>
      <c r="I135" s="4" t="s">
        <v>976</v>
      </c>
      <c r="J135" s="4" t="s">
        <v>100</v>
      </c>
      <c r="K135" s="4" t="s">
        <v>101</v>
      </c>
      <c r="L135" s="2" t="s">
        <v>374</v>
      </c>
      <c r="M135" s="2" t="s">
        <v>393</v>
      </c>
      <c r="N135" s="4" t="s">
        <v>594</v>
      </c>
      <c r="O135" s="4" t="s">
        <v>164</v>
      </c>
      <c r="P135" s="4" t="s">
        <v>105</v>
      </c>
      <c r="Q135" s="152">
        <v>12</v>
      </c>
      <c r="R135" s="152">
        <v>3.681</v>
      </c>
      <c r="S135" s="152">
        <v>15226</v>
      </c>
      <c r="U135" s="152">
        <v>6.726</v>
      </c>
      <c r="V135" s="152">
        <v>0</v>
      </c>
      <c r="W135" s="166">
        <v>5.4762977726660897E-3</v>
      </c>
      <c r="X135" s="166">
        <v>8.6212739409076802E-4</v>
      </c>
    </row>
    <row r="136" spans="1:24">
      <c r="A136" s="4" t="s">
        <v>26</v>
      </c>
      <c r="B136" s="4">
        <v>14769</v>
      </c>
      <c r="C136" s="4" t="s">
        <v>2084</v>
      </c>
      <c r="D136" s="4" t="s">
        <v>2085</v>
      </c>
      <c r="E136" s="4" t="s">
        <v>362</v>
      </c>
      <c r="F136" s="4" t="s">
        <v>2086</v>
      </c>
      <c r="G136" s="4" t="s">
        <v>2087</v>
      </c>
      <c r="H136" s="4" t="s">
        <v>368</v>
      </c>
      <c r="I136" s="4" t="s">
        <v>976</v>
      </c>
      <c r="J136" s="4" t="s">
        <v>100</v>
      </c>
      <c r="L136" s="2" t="s">
        <v>374</v>
      </c>
      <c r="M136" s="2" t="s">
        <v>204</v>
      </c>
      <c r="N136" s="4" t="s">
        <v>2088</v>
      </c>
      <c r="O136" s="4" t="s">
        <v>164</v>
      </c>
      <c r="P136" s="4" t="s">
        <v>1224</v>
      </c>
      <c r="Q136" s="152">
        <v>8</v>
      </c>
      <c r="R136" s="152">
        <v>3.9790000000000001</v>
      </c>
      <c r="S136" s="152">
        <v>83370</v>
      </c>
      <c r="U136" s="152">
        <v>26.539000000000001</v>
      </c>
      <c r="V136" s="152">
        <v>0</v>
      </c>
      <c r="W136" s="166">
        <v>2.1609205918482699E-2</v>
      </c>
      <c r="X136" s="166">
        <v>3.4019129638749599E-3</v>
      </c>
    </row>
    <row r="137" spans="1:24">
      <c r="A137" s="4" t="s">
        <v>26</v>
      </c>
      <c r="B137" s="4">
        <v>14769</v>
      </c>
      <c r="C137" s="4" t="s">
        <v>2089</v>
      </c>
      <c r="D137" s="4" t="s">
        <v>2090</v>
      </c>
      <c r="E137" s="4" t="s">
        <v>362</v>
      </c>
      <c r="F137" s="4" t="s">
        <v>2091</v>
      </c>
      <c r="G137" s="4" t="s">
        <v>2092</v>
      </c>
      <c r="H137" s="4" t="s">
        <v>368</v>
      </c>
      <c r="I137" s="4" t="s">
        <v>976</v>
      </c>
      <c r="J137" s="4" t="s">
        <v>100</v>
      </c>
      <c r="K137" s="4" t="s">
        <v>101</v>
      </c>
      <c r="L137" s="2" t="s">
        <v>374</v>
      </c>
      <c r="M137" s="2" t="s">
        <v>391</v>
      </c>
      <c r="N137" s="4" t="s">
        <v>2053</v>
      </c>
      <c r="O137" s="4" t="s">
        <v>164</v>
      </c>
      <c r="P137" s="4" t="s">
        <v>105</v>
      </c>
      <c r="Q137" s="152">
        <v>12</v>
      </c>
      <c r="R137" s="152">
        <v>3.681</v>
      </c>
      <c r="S137" s="152">
        <v>481.57</v>
      </c>
      <c r="U137" s="152">
        <v>21.271999999999998</v>
      </c>
      <c r="V137" s="152">
        <v>0</v>
      </c>
      <c r="W137" s="166">
        <v>1.7320509118499999E-2</v>
      </c>
      <c r="X137" s="166">
        <v>2.7267482541198699E-3</v>
      </c>
    </row>
    <row r="138" spans="1:24">
      <c r="A138" s="4" t="s">
        <v>26</v>
      </c>
      <c r="B138" s="4">
        <v>14769</v>
      </c>
      <c r="C138" s="4" t="s">
        <v>2093</v>
      </c>
      <c r="D138" s="4" t="s">
        <v>2094</v>
      </c>
      <c r="E138" s="4" t="s">
        <v>362</v>
      </c>
      <c r="F138" s="4" t="s">
        <v>2095</v>
      </c>
      <c r="G138" s="4" t="s">
        <v>2096</v>
      </c>
      <c r="H138" s="4" t="s">
        <v>368</v>
      </c>
      <c r="I138" s="4" t="s">
        <v>976</v>
      </c>
      <c r="J138" s="4" t="s">
        <v>100</v>
      </c>
      <c r="K138" s="4" t="s">
        <v>101</v>
      </c>
      <c r="L138" s="2" t="s">
        <v>374</v>
      </c>
      <c r="M138" s="2" t="s">
        <v>391</v>
      </c>
      <c r="N138" s="4" t="s">
        <v>579</v>
      </c>
      <c r="O138" s="4" t="s">
        <v>164</v>
      </c>
      <c r="P138" s="4" t="s">
        <v>105</v>
      </c>
      <c r="Q138" s="152">
        <v>14</v>
      </c>
      <c r="R138" s="152">
        <v>3.681</v>
      </c>
      <c r="S138" s="152">
        <v>13195</v>
      </c>
      <c r="T138" s="150">
        <v>8.0000000000000002E-3</v>
      </c>
      <c r="U138" s="152">
        <v>6.83</v>
      </c>
      <c r="V138" s="152">
        <v>0</v>
      </c>
      <c r="W138" s="166">
        <v>5.5613312957844699E-3</v>
      </c>
      <c r="X138" s="166">
        <v>8.7551412591939902E-4</v>
      </c>
    </row>
    <row r="139" spans="1:24">
      <c r="A139" s="4" t="s">
        <v>26</v>
      </c>
      <c r="B139" s="4">
        <v>14769</v>
      </c>
      <c r="C139" s="4" t="s">
        <v>2097</v>
      </c>
      <c r="D139" s="4" t="s">
        <v>2098</v>
      </c>
      <c r="E139" s="4" t="s">
        <v>362</v>
      </c>
      <c r="F139" s="4" t="s">
        <v>2099</v>
      </c>
      <c r="G139" s="4" t="s">
        <v>2100</v>
      </c>
      <c r="H139" s="4" t="s">
        <v>368</v>
      </c>
      <c r="I139" s="4" t="s">
        <v>976</v>
      </c>
      <c r="J139" s="4" t="s">
        <v>100</v>
      </c>
      <c r="K139" s="4" t="s">
        <v>101</v>
      </c>
      <c r="L139" s="2" t="s">
        <v>374</v>
      </c>
      <c r="M139" s="2" t="s">
        <v>393</v>
      </c>
      <c r="N139" s="4" t="s">
        <v>589</v>
      </c>
      <c r="O139" s="4" t="s">
        <v>164</v>
      </c>
      <c r="P139" s="4" t="s">
        <v>105</v>
      </c>
      <c r="Q139" s="152">
        <v>12</v>
      </c>
      <c r="R139" s="152">
        <v>3.681</v>
      </c>
      <c r="S139" s="152">
        <v>420.72</v>
      </c>
      <c r="U139" s="152">
        <v>18.584</v>
      </c>
      <c r="V139" s="152">
        <v>0</v>
      </c>
      <c r="W139" s="166">
        <v>1.5131932214081699E-2</v>
      </c>
      <c r="X139" s="166">
        <v>2.3822030555751199E-3</v>
      </c>
    </row>
    <row r="140" spans="1:24">
      <c r="A140" s="4" t="s">
        <v>26</v>
      </c>
      <c r="B140" s="4">
        <v>14769</v>
      </c>
      <c r="C140" s="4" t="s">
        <v>2101</v>
      </c>
      <c r="D140" s="4" t="s">
        <v>2102</v>
      </c>
      <c r="E140" s="4" t="s">
        <v>362</v>
      </c>
      <c r="F140" s="4" t="s">
        <v>2101</v>
      </c>
      <c r="G140" s="4" t="s">
        <v>2103</v>
      </c>
      <c r="H140" s="4" t="s">
        <v>368</v>
      </c>
      <c r="I140" s="4" t="s">
        <v>976</v>
      </c>
      <c r="J140" s="4" t="s">
        <v>100</v>
      </c>
      <c r="K140" s="4" t="s">
        <v>101</v>
      </c>
      <c r="L140" s="2" t="s">
        <v>374</v>
      </c>
      <c r="M140" s="2" t="s">
        <v>393</v>
      </c>
      <c r="N140" s="4" t="s">
        <v>579</v>
      </c>
      <c r="O140" s="4" t="s">
        <v>164</v>
      </c>
      <c r="P140" s="4" t="s">
        <v>105</v>
      </c>
      <c r="Q140" s="152">
        <v>37</v>
      </c>
      <c r="R140" s="152">
        <v>3.681</v>
      </c>
      <c r="S140" s="152">
        <v>10656</v>
      </c>
      <c r="U140" s="152">
        <v>14.513</v>
      </c>
      <c r="V140" s="152">
        <v>0</v>
      </c>
      <c r="W140" s="166">
        <v>1.1817236281276599E-2</v>
      </c>
      <c r="X140" s="166">
        <v>1.8603742059796599E-3</v>
      </c>
    </row>
    <row r="141" spans="1:24">
      <c r="A141" s="4" t="s">
        <v>26</v>
      </c>
      <c r="B141" s="4">
        <v>14769</v>
      </c>
      <c r="C141" s="4" t="s">
        <v>2104</v>
      </c>
      <c r="D141" s="4" t="s">
        <v>2105</v>
      </c>
      <c r="E141" s="4" t="s">
        <v>34</v>
      </c>
      <c r="F141" s="4" t="s">
        <v>2104</v>
      </c>
      <c r="G141" s="4" t="s">
        <v>2106</v>
      </c>
      <c r="H141" s="4" t="s">
        <v>368</v>
      </c>
      <c r="I141" s="4" t="s">
        <v>976</v>
      </c>
      <c r="J141" s="4" t="s">
        <v>100</v>
      </c>
      <c r="K141" s="4" t="s">
        <v>101</v>
      </c>
      <c r="L141" s="2" t="s">
        <v>374</v>
      </c>
      <c r="M141" s="2" t="s">
        <v>393</v>
      </c>
      <c r="N141" s="4" t="s">
        <v>2053</v>
      </c>
      <c r="O141" s="4" t="s">
        <v>164</v>
      </c>
      <c r="P141" s="4" t="s">
        <v>105</v>
      </c>
      <c r="Q141" s="152">
        <v>30</v>
      </c>
      <c r="R141" s="152">
        <v>3.681</v>
      </c>
      <c r="S141" s="152">
        <v>6310</v>
      </c>
      <c r="U141" s="152">
        <v>6.968</v>
      </c>
      <c r="V141" s="152">
        <v>0</v>
      </c>
      <c r="W141" s="166">
        <v>5.6737552452257702E-3</v>
      </c>
      <c r="X141" s="166">
        <v>8.9321290173268505E-4</v>
      </c>
    </row>
    <row r="142" spans="1:24">
      <c r="A142" s="4" t="s">
        <v>26</v>
      </c>
      <c r="B142" s="4">
        <v>14769</v>
      </c>
      <c r="C142" s="4" t="s">
        <v>2107</v>
      </c>
      <c r="D142" s="4" t="s">
        <v>2108</v>
      </c>
      <c r="E142" s="4" t="s">
        <v>362</v>
      </c>
      <c r="F142" s="4" t="s">
        <v>2109</v>
      </c>
      <c r="G142" s="4" t="s">
        <v>2110</v>
      </c>
      <c r="H142" s="4" t="s">
        <v>368</v>
      </c>
      <c r="I142" s="4" t="s">
        <v>976</v>
      </c>
      <c r="J142" s="4" t="s">
        <v>100</v>
      </c>
      <c r="K142" s="4" t="s">
        <v>101</v>
      </c>
      <c r="L142" s="2" t="s">
        <v>374</v>
      </c>
      <c r="M142" s="2" t="s">
        <v>393</v>
      </c>
      <c r="N142" s="4" t="s">
        <v>594</v>
      </c>
      <c r="O142" s="4" t="s">
        <v>164</v>
      </c>
      <c r="P142" s="4" t="s">
        <v>105</v>
      </c>
      <c r="Q142" s="152">
        <v>2</v>
      </c>
      <c r="R142" s="152">
        <v>3.681</v>
      </c>
      <c r="S142" s="152">
        <v>60733</v>
      </c>
      <c r="U142" s="152">
        <v>4.4710000000000001</v>
      </c>
      <c r="V142" s="152">
        <v>0</v>
      </c>
      <c r="W142" s="166">
        <v>3.6406146572455999E-3</v>
      </c>
      <c r="X142" s="166">
        <v>5.7313786752172398E-4</v>
      </c>
    </row>
    <row r="143" spans="1:24">
      <c r="A143" s="4" t="s">
        <v>26</v>
      </c>
      <c r="B143" s="4">
        <v>14769</v>
      </c>
      <c r="C143" s="4" t="s">
        <v>2115</v>
      </c>
      <c r="D143" s="4" t="s">
        <v>2116</v>
      </c>
      <c r="E143" s="4" t="s">
        <v>362</v>
      </c>
      <c r="F143" s="4" t="s">
        <v>2117</v>
      </c>
      <c r="G143" s="4" t="s">
        <v>2118</v>
      </c>
      <c r="H143" s="4" t="s">
        <v>368</v>
      </c>
      <c r="I143" s="4" t="s">
        <v>976</v>
      </c>
      <c r="J143" s="4" t="s">
        <v>100</v>
      </c>
      <c r="L143" s="2" t="s">
        <v>374</v>
      </c>
      <c r="M143" s="2" t="s">
        <v>204</v>
      </c>
      <c r="N143" s="4" t="s">
        <v>579</v>
      </c>
      <c r="O143" s="4" t="s">
        <v>164</v>
      </c>
      <c r="P143" s="4" t="s">
        <v>105</v>
      </c>
      <c r="Q143" s="152">
        <v>46</v>
      </c>
      <c r="R143" s="152">
        <v>3.681</v>
      </c>
      <c r="S143" s="152">
        <v>12840</v>
      </c>
      <c r="T143" s="150">
        <v>4.2999999999999997E-2</v>
      </c>
      <c r="U143" s="152">
        <v>21.899000000000001</v>
      </c>
      <c r="V143" s="152">
        <v>0</v>
      </c>
      <c r="W143" s="166">
        <v>1.78309672568066E-2</v>
      </c>
      <c r="X143" s="166">
        <v>2.80710910424881E-3</v>
      </c>
    </row>
    <row r="144" spans="1:24">
      <c r="A144" s="4" t="s">
        <v>26</v>
      </c>
      <c r="B144" s="4">
        <v>14769</v>
      </c>
      <c r="C144" s="4" t="s">
        <v>2119</v>
      </c>
      <c r="D144" s="4" t="s">
        <v>2120</v>
      </c>
      <c r="E144" s="4" t="s">
        <v>362</v>
      </c>
      <c r="F144" s="4" t="s">
        <v>2121</v>
      </c>
      <c r="G144" s="4" t="s">
        <v>2122</v>
      </c>
      <c r="H144" s="4" t="s">
        <v>368</v>
      </c>
      <c r="I144" s="4" t="s">
        <v>976</v>
      </c>
      <c r="J144" s="4" t="s">
        <v>100</v>
      </c>
      <c r="K144" s="4" t="s">
        <v>101</v>
      </c>
      <c r="L144" s="2" t="s">
        <v>374</v>
      </c>
      <c r="M144" s="2" t="s">
        <v>393</v>
      </c>
      <c r="N144" s="4" t="s">
        <v>593</v>
      </c>
      <c r="O144" s="4" t="s">
        <v>164</v>
      </c>
      <c r="P144" s="4" t="s">
        <v>105</v>
      </c>
      <c r="Q144" s="152">
        <v>7</v>
      </c>
      <c r="R144" s="152">
        <v>3.681</v>
      </c>
      <c r="S144" s="152">
        <v>90356</v>
      </c>
      <c r="U144" s="152">
        <v>23.282</v>
      </c>
      <c r="V144" s="152">
        <v>0</v>
      </c>
      <c r="W144" s="166">
        <v>1.8957236146663201E-2</v>
      </c>
      <c r="X144" s="166">
        <v>2.98441634782203E-3</v>
      </c>
    </row>
    <row r="145" spans="1:24">
      <c r="A145" s="4" t="s">
        <v>26</v>
      </c>
      <c r="B145" s="4">
        <v>14769</v>
      </c>
      <c r="C145" s="4" t="s">
        <v>2126</v>
      </c>
      <c r="D145" s="4" t="s">
        <v>2127</v>
      </c>
      <c r="E145" s="4" t="s">
        <v>362</v>
      </c>
      <c r="F145" s="4" t="s">
        <v>2128</v>
      </c>
      <c r="G145" s="4" t="s">
        <v>2129</v>
      </c>
      <c r="H145" s="4" t="s">
        <v>368</v>
      </c>
      <c r="I145" s="4" t="s">
        <v>976</v>
      </c>
      <c r="J145" s="4" t="s">
        <v>100</v>
      </c>
      <c r="K145" s="4" t="s">
        <v>101</v>
      </c>
      <c r="L145" s="2" t="s">
        <v>374</v>
      </c>
      <c r="M145" s="2" t="s">
        <v>391</v>
      </c>
      <c r="N145" s="4" t="s">
        <v>613</v>
      </c>
      <c r="O145" s="4" t="s">
        <v>164</v>
      </c>
      <c r="P145" s="4" t="s">
        <v>105</v>
      </c>
      <c r="Q145" s="152">
        <v>14</v>
      </c>
      <c r="R145" s="152">
        <v>3.681</v>
      </c>
      <c r="S145" s="152">
        <v>13022</v>
      </c>
      <c r="U145" s="152">
        <v>6.7110000000000003</v>
      </c>
      <c r="V145" s="152">
        <v>0</v>
      </c>
      <c r="W145" s="166">
        <v>5.4641889659092398E-3</v>
      </c>
      <c r="X145" s="166">
        <v>8.60221118273018E-4</v>
      </c>
    </row>
    <row r="146" spans="1:24">
      <c r="A146" s="4" t="s">
        <v>26</v>
      </c>
      <c r="B146" s="4">
        <v>14769</v>
      </c>
      <c r="C146" s="4" t="s">
        <v>2130</v>
      </c>
      <c r="D146" s="4" t="s">
        <v>2131</v>
      </c>
      <c r="E146" s="4" t="s">
        <v>362</v>
      </c>
      <c r="F146" s="4" t="s">
        <v>2132</v>
      </c>
      <c r="G146" s="4" t="s">
        <v>2133</v>
      </c>
      <c r="H146" s="4" t="s">
        <v>368</v>
      </c>
      <c r="I146" s="4" t="s">
        <v>976</v>
      </c>
      <c r="J146" s="4" t="s">
        <v>100</v>
      </c>
      <c r="K146" s="4" t="s">
        <v>101</v>
      </c>
      <c r="L146" s="2" t="s">
        <v>374</v>
      </c>
      <c r="M146" s="2" t="s">
        <v>391</v>
      </c>
      <c r="N146" s="4" t="s">
        <v>531</v>
      </c>
      <c r="O146" s="4" t="s">
        <v>164</v>
      </c>
      <c r="P146" s="4" t="s">
        <v>105</v>
      </c>
      <c r="Q146" s="152">
        <v>82</v>
      </c>
      <c r="R146" s="152">
        <v>3.681</v>
      </c>
      <c r="S146" s="152">
        <v>54.81</v>
      </c>
      <c r="T146" s="150">
        <v>1.0999999999999999E-2</v>
      </c>
      <c r="U146" s="152">
        <v>16.585999999999999</v>
      </c>
      <c r="V146" s="152">
        <v>0</v>
      </c>
      <c r="W146" s="166">
        <v>1.3505087379374701E-2</v>
      </c>
      <c r="X146" s="166">
        <v>2.1260907044651201E-3</v>
      </c>
    </row>
    <row r="147" spans="1:24">
      <c r="A147" s="4" t="s">
        <v>26</v>
      </c>
      <c r="B147" s="4">
        <v>14769</v>
      </c>
      <c r="C147" s="4" t="s">
        <v>2134</v>
      </c>
      <c r="D147" s="4" t="s">
        <v>2135</v>
      </c>
      <c r="E147" s="4" t="s">
        <v>362</v>
      </c>
      <c r="F147" s="4" t="s">
        <v>2134</v>
      </c>
      <c r="G147" s="4" t="s">
        <v>2136</v>
      </c>
      <c r="H147" s="4" t="s">
        <v>368</v>
      </c>
      <c r="I147" s="4" t="s">
        <v>976</v>
      </c>
      <c r="J147" s="4" t="s">
        <v>100</v>
      </c>
      <c r="K147" s="4" t="s">
        <v>101</v>
      </c>
      <c r="L147" s="2" t="s">
        <v>374</v>
      </c>
      <c r="M147" s="2" t="s">
        <v>393</v>
      </c>
      <c r="N147" s="4" t="s">
        <v>560</v>
      </c>
      <c r="O147" s="4" t="s">
        <v>164</v>
      </c>
      <c r="P147" s="4" t="s">
        <v>105</v>
      </c>
      <c r="Q147" s="152">
        <v>150</v>
      </c>
      <c r="R147" s="152">
        <v>3.681</v>
      </c>
      <c r="S147" s="152">
        <v>1906</v>
      </c>
      <c r="U147" s="152">
        <v>10.523999999999999</v>
      </c>
      <c r="V147" s="152">
        <v>9.9999999999999995E-7</v>
      </c>
      <c r="W147" s="166">
        <v>8.5690788410462005E-3</v>
      </c>
      <c r="X147" s="166">
        <v>1.3490204363728201E-3</v>
      </c>
    </row>
    <row r="148" spans="1:24">
      <c r="A148" s="4" t="s">
        <v>26</v>
      </c>
      <c r="B148" s="4">
        <v>14769</v>
      </c>
      <c r="C148" s="4" t="s">
        <v>2137</v>
      </c>
      <c r="D148" s="4" t="s">
        <v>2138</v>
      </c>
      <c r="E148" s="4" t="s">
        <v>362</v>
      </c>
      <c r="F148" s="4" t="s">
        <v>2139</v>
      </c>
      <c r="G148" s="4" t="s">
        <v>2140</v>
      </c>
      <c r="H148" s="4" t="s">
        <v>368</v>
      </c>
      <c r="I148" s="4" t="s">
        <v>976</v>
      </c>
      <c r="J148" s="4" t="s">
        <v>100</v>
      </c>
      <c r="K148" s="4" t="s">
        <v>318</v>
      </c>
      <c r="L148" s="2" t="s">
        <v>374</v>
      </c>
      <c r="M148" s="2" t="s">
        <v>391</v>
      </c>
      <c r="N148" s="4" t="s">
        <v>593</v>
      </c>
      <c r="O148" s="4" t="s">
        <v>164</v>
      </c>
      <c r="P148" s="4" t="s">
        <v>105</v>
      </c>
      <c r="Q148" s="152">
        <v>36</v>
      </c>
      <c r="R148" s="152">
        <v>3.681</v>
      </c>
      <c r="S148" s="152">
        <v>13605</v>
      </c>
      <c r="T148" s="150">
        <v>1.6E-2</v>
      </c>
      <c r="U148" s="152">
        <v>18.088000000000001</v>
      </c>
      <c r="V148" s="152">
        <v>0</v>
      </c>
      <c r="W148" s="166">
        <v>1.4727658780478299E-2</v>
      </c>
      <c r="X148" s="166">
        <v>2.3185587439833902E-3</v>
      </c>
    </row>
    <row r="149" spans="1:24">
      <c r="A149" s="4" t="s">
        <v>26</v>
      </c>
      <c r="B149" s="4">
        <v>14769</v>
      </c>
      <c r="C149" s="4" t="s">
        <v>2141</v>
      </c>
      <c r="D149" s="4" t="s">
        <v>2142</v>
      </c>
      <c r="E149" s="4" t="s">
        <v>362</v>
      </c>
      <c r="F149" s="4" t="s">
        <v>2141</v>
      </c>
      <c r="G149" s="4" t="s">
        <v>2143</v>
      </c>
      <c r="H149" s="4" t="s">
        <v>368</v>
      </c>
      <c r="I149" s="4" t="s">
        <v>976</v>
      </c>
      <c r="J149" s="4" t="s">
        <v>100</v>
      </c>
      <c r="K149" s="4" t="s">
        <v>101</v>
      </c>
      <c r="L149" s="2" t="s">
        <v>374</v>
      </c>
      <c r="M149" s="2" t="s">
        <v>393</v>
      </c>
      <c r="N149" s="4" t="s">
        <v>557</v>
      </c>
      <c r="O149" s="4" t="s">
        <v>164</v>
      </c>
      <c r="P149" s="4" t="s">
        <v>105</v>
      </c>
      <c r="Q149" s="152">
        <v>44</v>
      </c>
      <c r="R149" s="152">
        <v>3.681</v>
      </c>
      <c r="S149" s="152">
        <v>17579</v>
      </c>
      <c r="U149" s="152">
        <v>28.472000000000001</v>
      </c>
      <c r="V149" s="152">
        <v>0</v>
      </c>
      <c r="W149" s="166">
        <v>2.31828500372755E-2</v>
      </c>
      <c r="X149" s="166">
        <v>3.6496499861626598E-3</v>
      </c>
    </row>
    <row r="150" spans="1:24">
      <c r="A150" s="4" t="s">
        <v>26</v>
      </c>
      <c r="B150" s="4">
        <v>14769</v>
      </c>
      <c r="C150" s="4" t="s">
        <v>2148</v>
      </c>
      <c r="D150" s="4" t="s">
        <v>2149</v>
      </c>
      <c r="E150" s="4" t="s">
        <v>362</v>
      </c>
      <c r="F150" s="4" t="s">
        <v>2150</v>
      </c>
      <c r="G150" s="4" t="s">
        <v>2151</v>
      </c>
      <c r="H150" s="4" t="s">
        <v>368</v>
      </c>
      <c r="I150" s="4" t="s">
        <v>976</v>
      </c>
      <c r="J150" s="4" t="s">
        <v>100</v>
      </c>
      <c r="K150" s="4" t="s">
        <v>101</v>
      </c>
      <c r="L150" s="2" t="s">
        <v>374</v>
      </c>
      <c r="M150" s="2" t="s">
        <v>391</v>
      </c>
      <c r="N150" s="4" t="s">
        <v>2053</v>
      </c>
      <c r="O150" s="4" t="s">
        <v>164</v>
      </c>
      <c r="P150" s="4" t="s">
        <v>105</v>
      </c>
      <c r="Q150" s="152">
        <v>20</v>
      </c>
      <c r="R150" s="152">
        <v>3.681</v>
      </c>
      <c r="S150" s="152">
        <v>27908</v>
      </c>
      <c r="U150" s="152">
        <v>20.545999999999999</v>
      </c>
      <c r="V150" s="152">
        <v>0</v>
      </c>
      <c r="W150" s="166">
        <v>1.6729335592579098E-2</v>
      </c>
      <c r="X150" s="166">
        <v>2.6336804713740902E-3</v>
      </c>
    </row>
    <row r="151" spans="1:24">
      <c r="A151" s="4" t="s">
        <v>26</v>
      </c>
      <c r="B151" s="4">
        <v>14769</v>
      </c>
      <c r="C151" s="4" t="s">
        <v>2152</v>
      </c>
      <c r="D151" s="4" t="s">
        <v>2153</v>
      </c>
      <c r="E151" s="4" t="s">
        <v>362</v>
      </c>
      <c r="F151" s="4" t="s">
        <v>2154</v>
      </c>
      <c r="G151" s="4" t="s">
        <v>2155</v>
      </c>
      <c r="H151" s="4" t="s">
        <v>368</v>
      </c>
      <c r="I151" s="4" t="s">
        <v>976</v>
      </c>
      <c r="J151" s="4" t="s">
        <v>100</v>
      </c>
      <c r="K151" s="4" t="s">
        <v>101</v>
      </c>
      <c r="L151" s="2" t="s">
        <v>374</v>
      </c>
      <c r="M151" s="2" t="s">
        <v>391</v>
      </c>
      <c r="N151" s="4" t="s">
        <v>594</v>
      </c>
      <c r="O151" s="4" t="s">
        <v>164</v>
      </c>
      <c r="P151" s="4" t="s">
        <v>105</v>
      </c>
      <c r="Q151" s="152">
        <v>34</v>
      </c>
      <c r="R151" s="152">
        <v>3.681</v>
      </c>
      <c r="S151" s="152">
        <v>12236</v>
      </c>
      <c r="U151" s="152">
        <v>15.314</v>
      </c>
      <c r="V151" s="152">
        <v>0</v>
      </c>
      <c r="W151" s="166">
        <v>1.24691936193334E-2</v>
      </c>
      <c r="X151" s="166">
        <v>1.9630111158501799E-3</v>
      </c>
    </row>
    <row r="152" spans="1:24">
      <c r="A152" s="4" t="s">
        <v>119</v>
      </c>
      <c r="B152" s="4">
        <v>12905</v>
      </c>
      <c r="C152" s="4" t="s">
        <v>2156</v>
      </c>
      <c r="D152" s="4" t="s">
        <v>2157</v>
      </c>
      <c r="E152" s="4" t="s">
        <v>362</v>
      </c>
      <c r="F152" s="4" t="s">
        <v>2156</v>
      </c>
      <c r="G152" s="4" t="s">
        <v>2158</v>
      </c>
      <c r="H152" s="4" t="s">
        <v>368</v>
      </c>
      <c r="I152" s="4" t="s">
        <v>976</v>
      </c>
      <c r="J152" s="4" t="s">
        <v>31</v>
      </c>
      <c r="K152" s="4" t="s">
        <v>101</v>
      </c>
      <c r="L152" s="2" t="s">
        <v>374</v>
      </c>
      <c r="M152" s="2" t="s">
        <v>32</v>
      </c>
      <c r="N152" s="4" t="s">
        <v>575</v>
      </c>
      <c r="O152" s="4" t="s">
        <v>164</v>
      </c>
      <c r="P152" s="4" t="s">
        <v>105</v>
      </c>
      <c r="Q152" s="152">
        <v>44</v>
      </c>
      <c r="R152" s="152">
        <v>3.681</v>
      </c>
      <c r="S152" s="152">
        <v>24972</v>
      </c>
      <c r="T152" s="150">
        <v>8.9999999999999993E-3</v>
      </c>
      <c r="U152" s="152">
        <v>40.478999999999999</v>
      </c>
      <c r="V152" s="152">
        <v>0</v>
      </c>
      <c r="W152" s="166">
        <v>1.23543811022215E-2</v>
      </c>
      <c r="X152" s="166">
        <v>1.3981397945806999E-3</v>
      </c>
    </row>
    <row r="153" spans="1:24">
      <c r="A153" s="4" t="s">
        <v>119</v>
      </c>
      <c r="B153" s="4">
        <v>12905</v>
      </c>
      <c r="C153" s="4" t="s">
        <v>1843</v>
      </c>
      <c r="D153" s="4" t="s">
        <v>1844</v>
      </c>
      <c r="E153" s="4" t="s">
        <v>362</v>
      </c>
      <c r="F153" s="4" t="s">
        <v>1845</v>
      </c>
      <c r="G153" s="4" t="s">
        <v>1846</v>
      </c>
      <c r="H153" s="4" t="s">
        <v>368</v>
      </c>
      <c r="I153" s="4" t="s">
        <v>976</v>
      </c>
      <c r="J153" s="4" t="s">
        <v>100</v>
      </c>
      <c r="K153" s="4" t="s">
        <v>101</v>
      </c>
      <c r="L153" s="2" t="s">
        <v>374</v>
      </c>
      <c r="M153" s="2" t="s">
        <v>32</v>
      </c>
      <c r="N153" s="4" t="s">
        <v>485</v>
      </c>
      <c r="O153" s="4" t="s">
        <v>164</v>
      </c>
      <c r="P153" s="4" t="s">
        <v>35</v>
      </c>
      <c r="Q153" s="152">
        <v>186</v>
      </c>
      <c r="R153" s="152">
        <v>1</v>
      </c>
      <c r="S153" s="152">
        <v>24060</v>
      </c>
      <c r="U153" s="152">
        <v>44.752000000000002</v>
      </c>
      <c r="V153" s="152">
        <v>3.0000000000000001E-6</v>
      </c>
      <c r="W153" s="166">
        <v>1.3658432423843E-2</v>
      </c>
      <c r="X153" s="166">
        <v>1.5457187005452201E-3</v>
      </c>
    </row>
    <row r="154" spans="1:24">
      <c r="A154" s="4" t="s">
        <v>119</v>
      </c>
      <c r="B154" s="4">
        <v>12905</v>
      </c>
      <c r="C154" s="4" t="s">
        <v>1847</v>
      </c>
      <c r="D154" s="4" t="s">
        <v>1848</v>
      </c>
      <c r="E154" s="4" t="s">
        <v>1380</v>
      </c>
      <c r="F154" s="4" t="s">
        <v>1849</v>
      </c>
      <c r="G154" s="4" t="s">
        <v>1850</v>
      </c>
      <c r="H154" s="4" t="s">
        <v>368</v>
      </c>
      <c r="I154" s="4" t="s">
        <v>976</v>
      </c>
      <c r="J154" s="4" t="s">
        <v>31</v>
      </c>
      <c r="K154" s="4" t="s">
        <v>31</v>
      </c>
      <c r="L154" s="2" t="s">
        <v>374</v>
      </c>
      <c r="M154" s="2" t="s">
        <v>32</v>
      </c>
      <c r="N154" s="4" t="s">
        <v>500</v>
      </c>
      <c r="O154" s="4" t="s">
        <v>164</v>
      </c>
      <c r="P154" s="4" t="s">
        <v>35</v>
      </c>
      <c r="Q154" s="152">
        <v>5941</v>
      </c>
      <c r="R154" s="152">
        <v>1</v>
      </c>
      <c r="S154" s="152">
        <v>1951</v>
      </c>
      <c r="U154" s="152">
        <v>115.90900000000001</v>
      </c>
      <c r="V154" s="152">
        <v>5.0000000000000004E-6</v>
      </c>
      <c r="W154" s="166">
        <v>3.5376031573313697E-2</v>
      </c>
      <c r="X154" s="166">
        <v>4.0034897019729596E-3</v>
      </c>
    </row>
    <row r="155" spans="1:24">
      <c r="A155" s="4" t="s">
        <v>119</v>
      </c>
      <c r="B155" s="4">
        <v>12905</v>
      </c>
      <c r="C155" s="4" t="s">
        <v>1851</v>
      </c>
      <c r="D155" s="4" t="s">
        <v>1852</v>
      </c>
      <c r="E155" s="4" t="s">
        <v>1380</v>
      </c>
      <c r="F155" s="4" t="s">
        <v>1853</v>
      </c>
      <c r="G155" s="4" t="s">
        <v>1854</v>
      </c>
      <c r="H155" s="4" t="s">
        <v>368</v>
      </c>
      <c r="I155" s="4" t="s">
        <v>976</v>
      </c>
      <c r="J155" s="4" t="s">
        <v>31</v>
      </c>
      <c r="K155" s="4" t="s">
        <v>31</v>
      </c>
      <c r="L155" s="2" t="s">
        <v>374</v>
      </c>
      <c r="M155" s="2" t="s">
        <v>32</v>
      </c>
      <c r="N155" s="4" t="s">
        <v>489</v>
      </c>
      <c r="O155" s="4" t="s">
        <v>164</v>
      </c>
      <c r="P155" s="4" t="s">
        <v>35</v>
      </c>
      <c r="Q155" s="152">
        <v>298</v>
      </c>
      <c r="R155" s="152">
        <v>1</v>
      </c>
      <c r="S155" s="152">
        <v>10700</v>
      </c>
      <c r="U155" s="152">
        <v>31.885999999999999</v>
      </c>
      <c r="V155" s="152">
        <v>2.0000000000000002E-5</v>
      </c>
      <c r="W155" s="166">
        <v>9.7317811266336707E-3</v>
      </c>
      <c r="X155" s="166">
        <v>1.1013413260215299E-3</v>
      </c>
    </row>
    <row r="156" spans="1:24">
      <c r="A156" s="4" t="s">
        <v>119</v>
      </c>
      <c r="B156" s="4">
        <v>12905</v>
      </c>
      <c r="C156" s="4" t="s">
        <v>1855</v>
      </c>
      <c r="D156" s="4" t="s">
        <v>1856</v>
      </c>
      <c r="E156" s="4" t="s">
        <v>1380</v>
      </c>
      <c r="F156" s="4" t="s">
        <v>1857</v>
      </c>
      <c r="G156" s="4" t="s">
        <v>1858</v>
      </c>
      <c r="H156" s="4" t="s">
        <v>368</v>
      </c>
      <c r="I156" s="4" t="s">
        <v>976</v>
      </c>
      <c r="J156" s="4" t="s">
        <v>31</v>
      </c>
      <c r="K156" s="4" t="s">
        <v>31</v>
      </c>
      <c r="L156" s="2" t="s">
        <v>374</v>
      </c>
      <c r="M156" s="2" t="s">
        <v>32</v>
      </c>
      <c r="N156" s="4" t="s">
        <v>507</v>
      </c>
      <c r="O156" s="4" t="s">
        <v>164</v>
      </c>
      <c r="P156" s="4" t="s">
        <v>35</v>
      </c>
      <c r="Q156" s="152">
        <v>600</v>
      </c>
      <c r="R156" s="152">
        <v>1</v>
      </c>
      <c r="S156" s="152">
        <v>1180</v>
      </c>
      <c r="U156" s="152">
        <v>7.08</v>
      </c>
      <c r="V156" s="152">
        <v>5.0000000000000004E-6</v>
      </c>
      <c r="W156" s="166">
        <v>2.1608546188473399E-3</v>
      </c>
      <c r="X156" s="166">
        <v>2.4454295265108198E-4</v>
      </c>
    </row>
    <row r="157" spans="1:24">
      <c r="A157" s="4" t="s">
        <v>119</v>
      </c>
      <c r="B157" s="4">
        <v>12905</v>
      </c>
      <c r="C157" s="4" t="s">
        <v>1863</v>
      </c>
      <c r="D157" s="4" t="s">
        <v>1864</v>
      </c>
      <c r="E157" s="4" t="s">
        <v>1380</v>
      </c>
      <c r="F157" s="4" t="s">
        <v>1865</v>
      </c>
      <c r="G157" s="4" t="s">
        <v>1866</v>
      </c>
      <c r="H157" s="4" t="s">
        <v>368</v>
      </c>
      <c r="I157" s="4" t="s">
        <v>976</v>
      </c>
      <c r="J157" s="4" t="s">
        <v>31</v>
      </c>
      <c r="K157" s="4" t="s">
        <v>31</v>
      </c>
      <c r="L157" s="2" t="s">
        <v>374</v>
      </c>
      <c r="M157" s="2" t="s">
        <v>32</v>
      </c>
      <c r="N157" s="4" t="s">
        <v>490</v>
      </c>
      <c r="O157" s="4" t="s">
        <v>164</v>
      </c>
      <c r="P157" s="4" t="s">
        <v>35</v>
      </c>
      <c r="Q157" s="152">
        <v>68</v>
      </c>
      <c r="R157" s="152">
        <v>1</v>
      </c>
      <c r="S157" s="152">
        <v>77500</v>
      </c>
      <c r="U157" s="152">
        <v>52.7</v>
      </c>
      <c r="V157" s="152">
        <v>1.9999999999999999E-6</v>
      </c>
      <c r="W157" s="166">
        <v>1.6084327459499299E-2</v>
      </c>
      <c r="X157" s="166">
        <v>1.8202561588576301E-3</v>
      </c>
    </row>
    <row r="158" spans="1:24">
      <c r="A158" s="4" t="s">
        <v>119</v>
      </c>
      <c r="B158" s="4">
        <v>12905</v>
      </c>
      <c r="C158" s="4" t="s">
        <v>1867</v>
      </c>
      <c r="D158" s="4" t="s">
        <v>1868</v>
      </c>
      <c r="E158" s="4" t="s">
        <v>1380</v>
      </c>
      <c r="F158" s="4" t="s">
        <v>1869</v>
      </c>
      <c r="G158" s="4" t="s">
        <v>1870</v>
      </c>
      <c r="H158" s="4" t="s">
        <v>368</v>
      </c>
      <c r="I158" s="4" t="s">
        <v>976</v>
      </c>
      <c r="J158" s="4" t="s">
        <v>31</v>
      </c>
      <c r="K158" s="4" t="s">
        <v>31</v>
      </c>
      <c r="L158" s="2" t="s">
        <v>374</v>
      </c>
      <c r="M158" s="2" t="s">
        <v>32</v>
      </c>
      <c r="N158" s="4" t="s">
        <v>495</v>
      </c>
      <c r="O158" s="4" t="s">
        <v>164</v>
      </c>
      <c r="P158" s="4" t="s">
        <v>35</v>
      </c>
      <c r="Q158" s="152">
        <v>23</v>
      </c>
      <c r="R158" s="152">
        <v>1</v>
      </c>
      <c r="S158" s="152">
        <v>158340</v>
      </c>
      <c r="U158" s="152">
        <v>36.417999999999999</v>
      </c>
      <c r="V158" s="152">
        <v>6.0000000000000002E-6</v>
      </c>
      <c r="W158" s="166">
        <v>1.11150332881506E-2</v>
      </c>
      <c r="X158" s="166">
        <v>1.2578833556832799E-3</v>
      </c>
    </row>
    <row r="159" spans="1:24">
      <c r="A159" s="4" t="s">
        <v>119</v>
      </c>
      <c r="B159" s="4">
        <v>12905</v>
      </c>
      <c r="C159" s="4" t="s">
        <v>1871</v>
      </c>
      <c r="D159" s="4" t="s">
        <v>1872</v>
      </c>
      <c r="E159" s="4" t="s">
        <v>1380</v>
      </c>
      <c r="F159" s="4" t="s">
        <v>1873</v>
      </c>
      <c r="G159" s="4" t="s">
        <v>1874</v>
      </c>
      <c r="H159" s="4" t="s">
        <v>368</v>
      </c>
      <c r="I159" s="4" t="s">
        <v>976</v>
      </c>
      <c r="J159" s="4" t="s">
        <v>31</v>
      </c>
      <c r="K159" s="4" t="s">
        <v>101</v>
      </c>
      <c r="L159" s="2" t="s">
        <v>374</v>
      </c>
      <c r="M159" s="2" t="s">
        <v>32</v>
      </c>
      <c r="N159" s="4" t="s">
        <v>485</v>
      </c>
      <c r="O159" s="4" t="s">
        <v>164</v>
      </c>
      <c r="P159" s="4" t="s">
        <v>35</v>
      </c>
      <c r="Q159" s="152">
        <v>506.9</v>
      </c>
      <c r="R159" s="152">
        <v>1</v>
      </c>
      <c r="S159" s="152">
        <v>6299</v>
      </c>
      <c r="U159" s="152">
        <v>31.93</v>
      </c>
      <c r="V159" s="152">
        <v>3.9999999999999998E-6</v>
      </c>
      <c r="W159" s="166">
        <v>9.7450975458250409E-3</v>
      </c>
      <c r="X159" s="166">
        <v>1.1028483392372199E-3</v>
      </c>
    </row>
    <row r="160" spans="1:24">
      <c r="A160" s="4" t="s">
        <v>119</v>
      </c>
      <c r="B160" s="4">
        <v>12905</v>
      </c>
      <c r="C160" s="4" t="s">
        <v>1875</v>
      </c>
      <c r="D160" s="4" t="s">
        <v>1876</v>
      </c>
      <c r="E160" s="4" t="s">
        <v>362</v>
      </c>
      <c r="F160" s="4" t="s">
        <v>1877</v>
      </c>
      <c r="G160" s="4" t="s">
        <v>1878</v>
      </c>
      <c r="H160" s="4" t="s">
        <v>368</v>
      </c>
      <c r="I160" s="4" t="s">
        <v>976</v>
      </c>
      <c r="J160" s="4" t="s">
        <v>100</v>
      </c>
      <c r="K160" s="4" t="s">
        <v>283</v>
      </c>
      <c r="L160" s="2" t="s">
        <v>374</v>
      </c>
      <c r="M160" s="2" t="s">
        <v>32</v>
      </c>
      <c r="N160" s="4" t="s">
        <v>498</v>
      </c>
      <c r="O160" s="4" t="s">
        <v>164</v>
      </c>
      <c r="P160" s="4" t="s">
        <v>35</v>
      </c>
      <c r="Q160" s="152">
        <v>668</v>
      </c>
      <c r="R160" s="152">
        <v>1</v>
      </c>
      <c r="S160" s="152">
        <v>5008</v>
      </c>
      <c r="T160" s="150">
        <v>0.73299999999999998</v>
      </c>
      <c r="U160" s="152">
        <v>34.186999999999998</v>
      </c>
      <c r="V160" s="152">
        <v>3.9999999999999998E-6</v>
      </c>
      <c r="W160" s="166">
        <v>1.04340283572136E-2</v>
      </c>
      <c r="X160" s="166">
        <v>1.1808143316366199E-3</v>
      </c>
    </row>
    <row r="161" spans="1:24">
      <c r="A161" s="4" t="s">
        <v>119</v>
      </c>
      <c r="B161" s="4">
        <v>12905</v>
      </c>
      <c r="C161" s="4" t="s">
        <v>1883</v>
      </c>
      <c r="D161" s="4" t="s">
        <v>1884</v>
      </c>
      <c r="E161" s="4" t="s">
        <v>1380</v>
      </c>
      <c r="F161" s="4" t="s">
        <v>1885</v>
      </c>
      <c r="G161" s="4" t="s">
        <v>1886</v>
      </c>
      <c r="H161" s="4" t="s">
        <v>368</v>
      </c>
      <c r="I161" s="4" t="s">
        <v>976</v>
      </c>
      <c r="J161" s="4" t="s">
        <v>31</v>
      </c>
      <c r="K161" s="4" t="s">
        <v>31</v>
      </c>
      <c r="L161" s="2" t="s">
        <v>374</v>
      </c>
      <c r="M161" s="2" t="s">
        <v>32</v>
      </c>
      <c r="N161" s="4" t="s">
        <v>491</v>
      </c>
      <c r="O161" s="4" t="s">
        <v>164</v>
      </c>
      <c r="P161" s="4" t="s">
        <v>35</v>
      </c>
      <c r="Q161" s="152">
        <v>795</v>
      </c>
      <c r="R161" s="152">
        <v>1</v>
      </c>
      <c r="S161" s="152">
        <v>5478</v>
      </c>
      <c r="U161" s="152">
        <v>43.55</v>
      </c>
      <c r="V161" s="152">
        <v>7.9999999999999996E-6</v>
      </c>
      <c r="W161" s="166">
        <v>1.3291728070093701E-2</v>
      </c>
      <c r="X161" s="166">
        <v>1.50421893252117E-3</v>
      </c>
    </row>
    <row r="162" spans="1:24">
      <c r="A162" s="4" t="s">
        <v>119</v>
      </c>
      <c r="B162" s="4">
        <v>12905</v>
      </c>
      <c r="C162" s="4" t="s">
        <v>1895</v>
      </c>
      <c r="D162" s="4" t="s">
        <v>1896</v>
      </c>
      <c r="E162" s="4" t="s">
        <v>1380</v>
      </c>
      <c r="F162" s="4" t="s">
        <v>1897</v>
      </c>
      <c r="G162" s="4" t="s">
        <v>1898</v>
      </c>
      <c r="H162" s="4" t="s">
        <v>368</v>
      </c>
      <c r="I162" s="4" t="s">
        <v>976</v>
      </c>
      <c r="J162" s="4" t="s">
        <v>31</v>
      </c>
      <c r="K162" s="4" t="s">
        <v>31</v>
      </c>
      <c r="L162" s="2" t="s">
        <v>374</v>
      </c>
      <c r="M162" s="2" t="s">
        <v>32</v>
      </c>
      <c r="N162" s="4" t="s">
        <v>529</v>
      </c>
      <c r="O162" s="4" t="s">
        <v>164</v>
      </c>
      <c r="P162" s="4" t="s">
        <v>35</v>
      </c>
      <c r="Q162" s="152">
        <v>10180</v>
      </c>
      <c r="R162" s="152">
        <v>1</v>
      </c>
      <c r="S162" s="152">
        <v>473</v>
      </c>
      <c r="U162" s="152">
        <v>48.151000000000003</v>
      </c>
      <c r="V162" s="152">
        <v>3.9999999999999998E-6</v>
      </c>
      <c r="W162" s="166">
        <v>1.46960699285263E-2</v>
      </c>
      <c r="X162" s="166">
        <v>1.66314767376883E-3</v>
      </c>
    </row>
    <row r="163" spans="1:24">
      <c r="A163" s="4" t="s">
        <v>119</v>
      </c>
      <c r="B163" s="4">
        <v>12905</v>
      </c>
      <c r="C163" s="4" t="s">
        <v>1899</v>
      </c>
      <c r="D163" s="4" t="s">
        <v>1900</v>
      </c>
      <c r="E163" s="4" t="s">
        <v>1380</v>
      </c>
      <c r="F163" s="4" t="s">
        <v>1901</v>
      </c>
      <c r="G163" s="4" t="s">
        <v>1902</v>
      </c>
      <c r="H163" s="4" t="s">
        <v>368</v>
      </c>
      <c r="I163" s="4" t="s">
        <v>976</v>
      </c>
      <c r="J163" s="4" t="s">
        <v>31</v>
      </c>
      <c r="K163" s="4" t="s">
        <v>31</v>
      </c>
      <c r="L163" s="2" t="s">
        <v>374</v>
      </c>
      <c r="M163" s="2" t="s">
        <v>32</v>
      </c>
      <c r="N163" s="4" t="s">
        <v>508</v>
      </c>
      <c r="O163" s="4" t="s">
        <v>164</v>
      </c>
      <c r="P163" s="4" t="s">
        <v>35</v>
      </c>
      <c r="Q163" s="152">
        <v>81</v>
      </c>
      <c r="R163" s="152">
        <v>1</v>
      </c>
      <c r="S163" s="152">
        <v>41030</v>
      </c>
      <c r="U163" s="152">
        <v>33.234000000000002</v>
      </c>
      <c r="V163" s="152">
        <v>3.0000000000000001E-6</v>
      </c>
      <c r="W163" s="166">
        <v>1.0143289641123999E-2</v>
      </c>
      <c r="X163" s="166">
        <v>1.14791156091693E-3</v>
      </c>
    </row>
    <row r="164" spans="1:24">
      <c r="A164" s="4" t="s">
        <v>119</v>
      </c>
      <c r="B164" s="4">
        <v>12905</v>
      </c>
      <c r="C164" s="4" t="s">
        <v>1903</v>
      </c>
      <c r="D164" s="4" t="s">
        <v>1904</v>
      </c>
      <c r="E164" s="4" t="s">
        <v>1380</v>
      </c>
      <c r="F164" s="4" t="s">
        <v>1905</v>
      </c>
      <c r="G164" s="4" t="s">
        <v>1906</v>
      </c>
      <c r="H164" s="4" t="s">
        <v>368</v>
      </c>
      <c r="I164" s="4" t="s">
        <v>976</v>
      </c>
      <c r="J164" s="4" t="s">
        <v>31</v>
      </c>
      <c r="K164" s="4" t="s">
        <v>31</v>
      </c>
      <c r="L164" s="2" t="s">
        <v>374</v>
      </c>
      <c r="M164" s="2" t="s">
        <v>32</v>
      </c>
      <c r="N164" s="4" t="s">
        <v>492</v>
      </c>
      <c r="O164" s="4" t="s">
        <v>164</v>
      </c>
      <c r="P164" s="4" t="s">
        <v>35</v>
      </c>
      <c r="Q164" s="152">
        <v>39</v>
      </c>
      <c r="R164" s="152">
        <v>1</v>
      </c>
      <c r="S164" s="152">
        <v>15440</v>
      </c>
      <c r="U164" s="152">
        <v>6.0220000000000002</v>
      </c>
      <c r="V164" s="152">
        <v>0</v>
      </c>
      <c r="W164" s="166">
        <v>1.83782516565694E-3</v>
      </c>
      <c r="X164" s="166">
        <v>2.07985853627649E-4</v>
      </c>
    </row>
    <row r="165" spans="1:24">
      <c r="A165" s="4" t="s">
        <v>119</v>
      </c>
      <c r="B165" s="4">
        <v>12905</v>
      </c>
      <c r="C165" s="4" t="s">
        <v>1911</v>
      </c>
      <c r="D165" s="4" t="s">
        <v>1912</v>
      </c>
      <c r="E165" s="4" t="s">
        <v>1380</v>
      </c>
      <c r="F165" s="4" t="s">
        <v>1913</v>
      </c>
      <c r="G165" s="4" t="s">
        <v>1914</v>
      </c>
      <c r="H165" s="4" t="s">
        <v>368</v>
      </c>
      <c r="I165" s="4" t="s">
        <v>976</v>
      </c>
      <c r="J165" s="4" t="s">
        <v>31</v>
      </c>
      <c r="K165" s="4" t="s">
        <v>31</v>
      </c>
      <c r="L165" s="2" t="s">
        <v>374</v>
      </c>
      <c r="M165" s="2" t="s">
        <v>32</v>
      </c>
      <c r="N165" s="4" t="s">
        <v>492</v>
      </c>
      <c r="O165" s="4" t="s">
        <v>164</v>
      </c>
      <c r="P165" s="4" t="s">
        <v>35</v>
      </c>
      <c r="Q165" s="152">
        <v>3113</v>
      </c>
      <c r="R165" s="152">
        <v>1</v>
      </c>
      <c r="S165" s="152">
        <v>1946</v>
      </c>
      <c r="T165" s="150">
        <v>0.46300000000000002</v>
      </c>
      <c r="U165" s="152">
        <v>61.042000000000002</v>
      </c>
      <c r="V165" s="152">
        <v>3.0000000000000001E-6</v>
      </c>
      <c r="W165" s="166">
        <v>1.86302048634834E-2</v>
      </c>
      <c r="X165" s="166">
        <v>2.1083719682358898E-3</v>
      </c>
    </row>
    <row r="166" spans="1:24">
      <c r="A166" s="4" t="s">
        <v>119</v>
      </c>
      <c r="B166" s="4">
        <v>12905</v>
      </c>
      <c r="C166" s="4" t="s">
        <v>1915</v>
      </c>
      <c r="D166" s="4" t="s">
        <v>1916</v>
      </c>
      <c r="E166" s="4" t="s">
        <v>1380</v>
      </c>
      <c r="F166" s="4" t="s">
        <v>1917</v>
      </c>
      <c r="G166" s="4" t="s">
        <v>1918</v>
      </c>
      <c r="H166" s="4" t="s">
        <v>368</v>
      </c>
      <c r="I166" s="4" t="s">
        <v>976</v>
      </c>
      <c r="J166" s="4" t="s">
        <v>31</v>
      </c>
      <c r="K166" s="4" t="s">
        <v>31</v>
      </c>
      <c r="L166" s="2" t="s">
        <v>374</v>
      </c>
      <c r="M166" s="2" t="s">
        <v>32</v>
      </c>
      <c r="N166" s="4" t="s">
        <v>481</v>
      </c>
      <c r="O166" s="4" t="s">
        <v>164</v>
      </c>
      <c r="P166" s="4" t="s">
        <v>35</v>
      </c>
      <c r="Q166" s="152">
        <v>347</v>
      </c>
      <c r="R166" s="152">
        <v>1</v>
      </c>
      <c r="S166" s="152">
        <v>16390</v>
      </c>
      <c r="U166" s="152">
        <v>56.872999999999998</v>
      </c>
      <c r="V166" s="152">
        <v>1.2999999999999999E-5</v>
      </c>
      <c r="W166" s="166">
        <v>1.7358041383346099E-2</v>
      </c>
      <c r="X166" s="166">
        <v>1.96440179505802E-3</v>
      </c>
    </row>
    <row r="167" spans="1:24">
      <c r="A167" s="4" t="s">
        <v>119</v>
      </c>
      <c r="B167" s="4">
        <v>12905</v>
      </c>
      <c r="C167" s="4" t="s">
        <v>2182</v>
      </c>
      <c r="D167" s="4" t="s">
        <v>2183</v>
      </c>
      <c r="E167" s="4" t="s">
        <v>1380</v>
      </c>
      <c r="F167" s="4" t="s">
        <v>2184</v>
      </c>
      <c r="G167" s="4" t="s">
        <v>2185</v>
      </c>
      <c r="H167" s="4" t="s">
        <v>368</v>
      </c>
      <c r="I167" s="4" t="s">
        <v>976</v>
      </c>
      <c r="J167" s="4" t="s">
        <v>31</v>
      </c>
      <c r="K167" s="4" t="s">
        <v>31</v>
      </c>
      <c r="L167" s="2" t="s">
        <v>374</v>
      </c>
      <c r="M167" s="2" t="s">
        <v>32</v>
      </c>
      <c r="N167" s="4" t="s">
        <v>508</v>
      </c>
      <c r="O167" s="4" t="s">
        <v>164</v>
      </c>
      <c r="P167" s="4" t="s">
        <v>35</v>
      </c>
      <c r="Q167" s="152">
        <v>96</v>
      </c>
      <c r="R167" s="152">
        <v>1</v>
      </c>
      <c r="S167" s="152">
        <v>3387</v>
      </c>
      <c r="U167" s="152">
        <v>3.2519999999999998</v>
      </c>
      <c r="V167" s="152">
        <v>3.0000000000000001E-6</v>
      </c>
      <c r="W167" s="166">
        <v>9.9238163986928199E-4</v>
      </c>
      <c r="X167" s="166">
        <v>1.12307387203961E-4</v>
      </c>
    </row>
    <row r="168" spans="1:24">
      <c r="A168" s="4" t="s">
        <v>119</v>
      </c>
      <c r="B168" s="4">
        <v>12905</v>
      </c>
      <c r="C168" s="4" t="s">
        <v>1919</v>
      </c>
      <c r="D168" s="4" t="s">
        <v>1920</v>
      </c>
      <c r="E168" s="4" t="s">
        <v>1380</v>
      </c>
      <c r="F168" s="4" t="s">
        <v>1921</v>
      </c>
      <c r="G168" s="4" t="s">
        <v>1922</v>
      </c>
      <c r="H168" s="4" t="s">
        <v>368</v>
      </c>
      <c r="I168" s="4" t="s">
        <v>976</v>
      </c>
      <c r="J168" s="4" t="s">
        <v>31</v>
      </c>
      <c r="K168" s="4" t="s">
        <v>31</v>
      </c>
      <c r="L168" s="2" t="s">
        <v>374</v>
      </c>
      <c r="M168" s="2" t="s">
        <v>32</v>
      </c>
      <c r="N168" s="4" t="s">
        <v>489</v>
      </c>
      <c r="O168" s="4" t="s">
        <v>164</v>
      </c>
      <c r="P168" s="4" t="s">
        <v>35</v>
      </c>
      <c r="Q168" s="152">
        <v>672</v>
      </c>
      <c r="R168" s="152">
        <v>1</v>
      </c>
      <c r="S168" s="152">
        <v>3810</v>
      </c>
      <c r="U168" s="152">
        <v>25.603000000000002</v>
      </c>
      <c r="V168" s="152">
        <v>3.0000000000000001E-6</v>
      </c>
      <c r="W168" s="166">
        <v>7.8142362962248992E-3</v>
      </c>
      <c r="X168" s="166">
        <v>8.8433363351923604E-4</v>
      </c>
    </row>
    <row r="169" spans="1:24">
      <c r="A169" s="4" t="s">
        <v>119</v>
      </c>
      <c r="B169" s="4">
        <v>12905</v>
      </c>
      <c r="C169" s="4" t="s">
        <v>1923</v>
      </c>
      <c r="D169" s="4" t="s">
        <v>1924</v>
      </c>
      <c r="E169" s="4" t="s">
        <v>1380</v>
      </c>
      <c r="F169" s="4" t="s">
        <v>1925</v>
      </c>
      <c r="G169" s="4" t="s">
        <v>1926</v>
      </c>
      <c r="H169" s="4" t="s">
        <v>368</v>
      </c>
      <c r="I169" s="4" t="s">
        <v>976</v>
      </c>
      <c r="J169" s="4" t="s">
        <v>31</v>
      </c>
      <c r="K169" s="4" t="s">
        <v>31</v>
      </c>
      <c r="L169" s="2" t="s">
        <v>374</v>
      </c>
      <c r="M169" s="2" t="s">
        <v>32</v>
      </c>
      <c r="N169" s="4" t="s">
        <v>489</v>
      </c>
      <c r="O169" s="4" t="s">
        <v>164</v>
      </c>
      <c r="P169" s="4" t="s">
        <v>35</v>
      </c>
      <c r="Q169" s="152">
        <v>1032</v>
      </c>
      <c r="R169" s="152">
        <v>1</v>
      </c>
      <c r="S169" s="152">
        <v>3510</v>
      </c>
      <c r="U169" s="152">
        <v>36.222999999999999</v>
      </c>
      <c r="V169" s="152">
        <v>5.0000000000000004E-6</v>
      </c>
      <c r="W169" s="166">
        <v>1.10555182244959E-2</v>
      </c>
      <c r="X169" s="166">
        <v>1.2511480624958599E-3</v>
      </c>
    </row>
    <row r="170" spans="1:24">
      <c r="A170" s="4" t="s">
        <v>119</v>
      </c>
      <c r="B170" s="4">
        <v>12905</v>
      </c>
      <c r="C170" s="4" t="s">
        <v>1927</v>
      </c>
      <c r="D170" s="4" t="s">
        <v>1928</v>
      </c>
      <c r="E170" s="4" t="s">
        <v>1380</v>
      </c>
      <c r="F170" s="4" t="s">
        <v>1929</v>
      </c>
      <c r="G170" s="4" t="s">
        <v>1930</v>
      </c>
      <c r="H170" s="4" t="s">
        <v>368</v>
      </c>
      <c r="I170" s="4" t="s">
        <v>976</v>
      </c>
      <c r="J170" s="4" t="s">
        <v>31</v>
      </c>
      <c r="K170" s="4" t="s">
        <v>31</v>
      </c>
      <c r="L170" s="2" t="s">
        <v>374</v>
      </c>
      <c r="M170" s="2" t="s">
        <v>32</v>
      </c>
      <c r="N170" s="4" t="s">
        <v>495</v>
      </c>
      <c r="O170" s="4" t="s">
        <v>164</v>
      </c>
      <c r="P170" s="4" t="s">
        <v>35</v>
      </c>
      <c r="Q170" s="152">
        <v>11</v>
      </c>
      <c r="R170" s="152">
        <v>1</v>
      </c>
      <c r="S170" s="152">
        <v>100120</v>
      </c>
      <c r="U170" s="152">
        <v>11.013</v>
      </c>
      <c r="V170" s="152">
        <v>9.9999999999999995E-7</v>
      </c>
      <c r="W170" s="166">
        <v>3.3612887130352498E-3</v>
      </c>
      <c r="X170" s="166">
        <v>3.8039554323967498E-4</v>
      </c>
    </row>
    <row r="171" spans="1:24">
      <c r="A171" s="4" t="s">
        <v>119</v>
      </c>
      <c r="B171" s="4">
        <v>12905</v>
      </c>
      <c r="C171" s="4" t="s">
        <v>1931</v>
      </c>
      <c r="D171" s="4" t="s">
        <v>1932</v>
      </c>
      <c r="E171" s="4" t="s">
        <v>1380</v>
      </c>
      <c r="F171" s="4" t="s">
        <v>1933</v>
      </c>
      <c r="G171" s="4" t="s">
        <v>1934</v>
      </c>
      <c r="H171" s="4" t="s">
        <v>368</v>
      </c>
      <c r="I171" s="4" t="s">
        <v>976</v>
      </c>
      <c r="J171" s="4" t="s">
        <v>31</v>
      </c>
      <c r="K171" s="4" t="s">
        <v>31</v>
      </c>
      <c r="L171" s="2" t="s">
        <v>374</v>
      </c>
      <c r="M171" s="2" t="s">
        <v>32</v>
      </c>
      <c r="N171" s="4" t="s">
        <v>521</v>
      </c>
      <c r="O171" s="4" t="s">
        <v>164</v>
      </c>
      <c r="P171" s="4" t="s">
        <v>35</v>
      </c>
      <c r="Q171" s="152">
        <v>121</v>
      </c>
      <c r="R171" s="152">
        <v>1</v>
      </c>
      <c r="S171" s="152">
        <v>23460</v>
      </c>
      <c r="U171" s="152">
        <v>28.387</v>
      </c>
      <c r="V171" s="152">
        <v>5.0000000000000004E-6</v>
      </c>
      <c r="W171" s="166">
        <v>8.6637451586683602E-3</v>
      </c>
      <c r="X171" s="166">
        <v>9.8047217227757201E-4</v>
      </c>
    </row>
    <row r="172" spans="1:24">
      <c r="A172" s="4" t="s">
        <v>119</v>
      </c>
      <c r="B172" s="4">
        <v>12905</v>
      </c>
      <c r="C172" s="4" t="s">
        <v>1939</v>
      </c>
      <c r="D172" s="4" t="s">
        <v>1940</v>
      </c>
      <c r="E172" s="4" t="s">
        <v>1380</v>
      </c>
      <c r="F172" s="4" t="s">
        <v>1941</v>
      </c>
      <c r="G172" s="4" t="s">
        <v>1942</v>
      </c>
      <c r="H172" s="4" t="s">
        <v>368</v>
      </c>
      <c r="I172" s="4" t="s">
        <v>976</v>
      </c>
      <c r="J172" s="4" t="s">
        <v>31</v>
      </c>
      <c r="K172" s="4" t="s">
        <v>346</v>
      </c>
      <c r="L172" s="2" t="s">
        <v>374</v>
      </c>
      <c r="M172" s="2" t="s">
        <v>32</v>
      </c>
      <c r="N172" s="4" t="s">
        <v>502</v>
      </c>
      <c r="O172" s="4" t="s">
        <v>164</v>
      </c>
      <c r="P172" s="4" t="s">
        <v>35</v>
      </c>
      <c r="Q172" s="152">
        <v>328</v>
      </c>
      <c r="R172" s="152">
        <v>1</v>
      </c>
      <c r="S172" s="152">
        <v>12310</v>
      </c>
      <c r="U172" s="152">
        <v>40.377000000000002</v>
      </c>
      <c r="V172" s="152">
        <v>3.0000000000000001E-6</v>
      </c>
      <c r="W172" s="166">
        <v>1.23232196008864E-2</v>
      </c>
      <c r="X172" s="166">
        <v>1.3946132613844901E-3</v>
      </c>
    </row>
    <row r="173" spans="1:24">
      <c r="A173" s="4" t="s">
        <v>119</v>
      </c>
      <c r="B173" s="4">
        <v>12905</v>
      </c>
      <c r="C173" s="4" t="s">
        <v>1943</v>
      </c>
      <c r="D173" s="4" t="s">
        <v>1944</v>
      </c>
      <c r="E173" s="4" t="s">
        <v>1380</v>
      </c>
      <c r="F173" s="4" t="s">
        <v>1945</v>
      </c>
      <c r="G173" s="4" t="s">
        <v>1946</v>
      </c>
      <c r="H173" s="4" t="s">
        <v>368</v>
      </c>
      <c r="I173" s="4" t="s">
        <v>976</v>
      </c>
      <c r="J173" s="4" t="s">
        <v>31</v>
      </c>
      <c r="K173" s="4" t="s">
        <v>101</v>
      </c>
      <c r="L173" s="2" t="s">
        <v>374</v>
      </c>
      <c r="M173" s="2" t="s">
        <v>32</v>
      </c>
      <c r="N173" s="4" t="s">
        <v>511</v>
      </c>
      <c r="O173" s="4" t="s">
        <v>164</v>
      </c>
      <c r="P173" s="4" t="s">
        <v>35</v>
      </c>
      <c r="Q173" s="152">
        <v>4116</v>
      </c>
      <c r="R173" s="152">
        <v>1</v>
      </c>
      <c r="S173" s="152">
        <v>5173</v>
      </c>
      <c r="U173" s="152">
        <v>212.92099999999999</v>
      </c>
      <c r="V173" s="152">
        <v>3.9999999999999998E-6</v>
      </c>
      <c r="W173" s="166">
        <v>6.4984552941541998E-2</v>
      </c>
      <c r="X173" s="166">
        <v>7.3542728485418403E-3</v>
      </c>
    </row>
    <row r="174" spans="1:24">
      <c r="A174" s="4" t="s">
        <v>119</v>
      </c>
      <c r="B174" s="4">
        <v>12905</v>
      </c>
      <c r="C174" s="4" t="s">
        <v>1947</v>
      </c>
      <c r="D174" s="4" t="s">
        <v>1948</v>
      </c>
      <c r="E174" s="4" t="s">
        <v>1380</v>
      </c>
      <c r="F174" s="4" t="s">
        <v>1949</v>
      </c>
      <c r="G174" s="4" t="s">
        <v>1950</v>
      </c>
      <c r="H174" s="4" t="s">
        <v>368</v>
      </c>
      <c r="I174" s="4" t="s">
        <v>976</v>
      </c>
      <c r="J174" s="4" t="s">
        <v>31</v>
      </c>
      <c r="K174" s="4" t="s">
        <v>31</v>
      </c>
      <c r="L174" s="2" t="s">
        <v>374</v>
      </c>
      <c r="M174" s="2" t="s">
        <v>32</v>
      </c>
      <c r="N174" s="4" t="s">
        <v>520</v>
      </c>
      <c r="O174" s="4" t="s">
        <v>164</v>
      </c>
      <c r="P174" s="4" t="s">
        <v>35</v>
      </c>
      <c r="Q174" s="152">
        <v>5000</v>
      </c>
      <c r="R174" s="152">
        <v>1</v>
      </c>
      <c r="S174" s="152">
        <v>511</v>
      </c>
      <c r="U174" s="152">
        <v>25.55</v>
      </c>
      <c r="V174" s="152">
        <v>4.6999999999999997E-5</v>
      </c>
      <c r="W174" s="166">
        <v>7.79799936603808E-3</v>
      </c>
      <c r="X174" s="166">
        <v>8.8249610737784596E-4</v>
      </c>
    </row>
    <row r="175" spans="1:24">
      <c r="A175" s="4" t="s">
        <v>119</v>
      </c>
      <c r="B175" s="4">
        <v>12905</v>
      </c>
      <c r="C175" s="4" t="s">
        <v>1951</v>
      </c>
      <c r="D175" s="4" t="s">
        <v>1952</v>
      </c>
      <c r="E175" s="4" t="s">
        <v>1380</v>
      </c>
      <c r="F175" s="4" t="s">
        <v>1953</v>
      </c>
      <c r="G175" s="4" t="s">
        <v>1954</v>
      </c>
      <c r="H175" s="4" t="s">
        <v>368</v>
      </c>
      <c r="I175" s="4" t="s">
        <v>976</v>
      </c>
      <c r="J175" s="4" t="s">
        <v>31</v>
      </c>
      <c r="K175" s="4" t="s">
        <v>31</v>
      </c>
      <c r="L175" s="2" t="s">
        <v>374</v>
      </c>
      <c r="M175" s="2" t="s">
        <v>32</v>
      </c>
      <c r="N175" s="4" t="s">
        <v>523</v>
      </c>
      <c r="O175" s="4" t="s">
        <v>164</v>
      </c>
      <c r="P175" s="4" t="s">
        <v>35</v>
      </c>
      <c r="Q175" s="152">
        <v>2195</v>
      </c>
      <c r="R175" s="152">
        <v>1</v>
      </c>
      <c r="S175" s="152">
        <v>1476</v>
      </c>
      <c r="T175" s="150">
        <v>0.503</v>
      </c>
      <c r="U175" s="152">
        <v>32.901000000000003</v>
      </c>
      <c r="V175" s="152">
        <v>1.1E-5</v>
      </c>
      <c r="W175" s="166">
        <v>1.0041595183638201E-2</v>
      </c>
      <c r="X175" s="166">
        <v>1.1364028445576999E-3</v>
      </c>
    </row>
    <row r="176" spans="1:24">
      <c r="A176" s="4" t="s">
        <v>119</v>
      </c>
      <c r="B176" s="4">
        <v>12905</v>
      </c>
      <c r="C176" s="4" t="s">
        <v>1955</v>
      </c>
      <c r="D176" s="4" t="s">
        <v>1956</v>
      </c>
      <c r="E176" s="4" t="s">
        <v>1380</v>
      </c>
      <c r="F176" s="4" t="s">
        <v>1957</v>
      </c>
      <c r="G176" s="4" t="s">
        <v>1958</v>
      </c>
      <c r="H176" s="4" t="s">
        <v>368</v>
      </c>
      <c r="I176" s="4" t="s">
        <v>976</v>
      </c>
      <c r="J176" s="4" t="s">
        <v>31</v>
      </c>
      <c r="K176" s="4" t="s">
        <v>31</v>
      </c>
      <c r="L176" s="2" t="s">
        <v>374</v>
      </c>
      <c r="M176" s="2" t="s">
        <v>32</v>
      </c>
      <c r="N176" s="4" t="s">
        <v>489</v>
      </c>
      <c r="O176" s="4" t="s">
        <v>164</v>
      </c>
      <c r="P176" s="4" t="s">
        <v>35</v>
      </c>
      <c r="Q176" s="152">
        <v>460</v>
      </c>
      <c r="R176" s="152">
        <v>1</v>
      </c>
      <c r="S176" s="152">
        <v>6569</v>
      </c>
      <c r="U176" s="152">
        <v>30.216999999999999</v>
      </c>
      <c r="V176" s="152">
        <v>6.0000000000000002E-6</v>
      </c>
      <c r="W176" s="166">
        <v>9.2225153050222806E-3</v>
      </c>
      <c r="X176" s="166">
        <v>1.0437079403162199E-3</v>
      </c>
    </row>
    <row r="177" spans="1:24">
      <c r="A177" s="4" t="s">
        <v>119</v>
      </c>
      <c r="B177" s="4">
        <v>12905</v>
      </c>
      <c r="C177" s="4" t="s">
        <v>1219</v>
      </c>
      <c r="D177" s="4" t="s">
        <v>1959</v>
      </c>
      <c r="E177" s="4" t="s">
        <v>1380</v>
      </c>
      <c r="F177" s="4" t="s">
        <v>1960</v>
      </c>
      <c r="G177" s="4" t="s">
        <v>1961</v>
      </c>
      <c r="H177" s="4" t="s">
        <v>368</v>
      </c>
      <c r="I177" s="4" t="s">
        <v>976</v>
      </c>
      <c r="J177" s="4" t="s">
        <v>31</v>
      </c>
      <c r="K177" s="4" t="s">
        <v>31</v>
      </c>
      <c r="L177" s="2" t="s">
        <v>374</v>
      </c>
      <c r="M177" s="2" t="s">
        <v>32</v>
      </c>
      <c r="N177" s="4" t="s">
        <v>492</v>
      </c>
      <c r="O177" s="4" t="s">
        <v>164</v>
      </c>
      <c r="P177" s="4" t="s">
        <v>35</v>
      </c>
      <c r="Q177" s="152">
        <v>5632</v>
      </c>
      <c r="R177" s="152">
        <v>1</v>
      </c>
      <c r="S177" s="152">
        <v>3100</v>
      </c>
      <c r="T177" s="150">
        <v>1.35</v>
      </c>
      <c r="U177" s="152">
        <v>175.94200000000001</v>
      </c>
      <c r="V177" s="152">
        <v>3.0000000000000001E-6</v>
      </c>
      <c r="W177" s="166">
        <v>5.36984672563387E-2</v>
      </c>
      <c r="X177" s="166">
        <v>6.0770315694385997E-3</v>
      </c>
    </row>
    <row r="178" spans="1:24">
      <c r="A178" s="4" t="s">
        <v>119</v>
      </c>
      <c r="B178" s="4">
        <v>12905</v>
      </c>
      <c r="C178" s="4" t="s">
        <v>2167</v>
      </c>
      <c r="D178" s="4" t="s">
        <v>2168</v>
      </c>
      <c r="E178" s="4" t="s">
        <v>1380</v>
      </c>
      <c r="F178" s="4" t="s">
        <v>2169</v>
      </c>
      <c r="G178" s="4" t="s">
        <v>2170</v>
      </c>
      <c r="H178" s="4" t="s">
        <v>368</v>
      </c>
      <c r="I178" s="4" t="s">
        <v>976</v>
      </c>
      <c r="J178" s="4" t="s">
        <v>31</v>
      </c>
      <c r="K178" s="4" t="s">
        <v>31</v>
      </c>
      <c r="L178" s="2" t="s">
        <v>374</v>
      </c>
      <c r="M178" s="2" t="s">
        <v>32</v>
      </c>
      <c r="N178" s="4" t="s">
        <v>508</v>
      </c>
      <c r="O178" s="4" t="s">
        <v>164</v>
      </c>
      <c r="P178" s="4" t="s">
        <v>35</v>
      </c>
      <c r="Q178" s="152">
        <v>4274</v>
      </c>
      <c r="R178" s="152">
        <v>1</v>
      </c>
      <c r="S178" s="152">
        <v>907.1</v>
      </c>
      <c r="U178" s="152">
        <v>38.768999999999998</v>
      </c>
      <c r="V178" s="152">
        <v>6.0000000000000002E-6</v>
      </c>
      <c r="W178" s="166">
        <v>1.18326488341934E-2</v>
      </c>
      <c r="X178" s="166">
        <v>1.3390955866992001E-3</v>
      </c>
    </row>
    <row r="179" spans="1:24">
      <c r="A179" s="4" t="s">
        <v>119</v>
      </c>
      <c r="B179" s="4">
        <v>12905</v>
      </c>
      <c r="C179" s="4" t="s">
        <v>1966</v>
      </c>
      <c r="D179" s="4" t="s">
        <v>1967</v>
      </c>
      <c r="E179" s="4" t="s">
        <v>1380</v>
      </c>
      <c r="F179" s="4" t="s">
        <v>1968</v>
      </c>
      <c r="G179" s="4" t="s">
        <v>1969</v>
      </c>
      <c r="H179" s="4" t="s">
        <v>368</v>
      </c>
      <c r="I179" s="4" t="s">
        <v>976</v>
      </c>
      <c r="J179" s="4" t="s">
        <v>31</v>
      </c>
      <c r="K179" s="4" t="s">
        <v>31</v>
      </c>
      <c r="L179" s="2" t="s">
        <v>374</v>
      </c>
      <c r="M179" s="2" t="s">
        <v>32</v>
      </c>
      <c r="N179" s="4" t="s">
        <v>503</v>
      </c>
      <c r="O179" s="4" t="s">
        <v>164</v>
      </c>
      <c r="P179" s="4" t="s">
        <v>35</v>
      </c>
      <c r="Q179" s="152">
        <v>116</v>
      </c>
      <c r="R179" s="152">
        <v>1</v>
      </c>
      <c r="S179" s="152">
        <v>15760</v>
      </c>
      <c r="U179" s="152">
        <v>18.282</v>
      </c>
      <c r="V179" s="152">
        <v>3.4999999999999997E-5</v>
      </c>
      <c r="W179" s="166">
        <v>5.5796440395366603E-3</v>
      </c>
      <c r="X179" s="166">
        <v>6.3144582530876004E-4</v>
      </c>
    </row>
    <row r="180" spans="1:24">
      <c r="A180" s="4" t="s">
        <v>119</v>
      </c>
      <c r="B180" s="4">
        <v>12905</v>
      </c>
      <c r="C180" s="4" t="s">
        <v>1970</v>
      </c>
      <c r="D180" s="4" t="s">
        <v>1971</v>
      </c>
      <c r="E180" s="4" t="s">
        <v>1380</v>
      </c>
      <c r="F180" s="4" t="s">
        <v>1972</v>
      </c>
      <c r="G180" s="4" t="s">
        <v>1973</v>
      </c>
      <c r="H180" s="4" t="s">
        <v>368</v>
      </c>
      <c r="I180" s="4" t="s">
        <v>976</v>
      </c>
      <c r="J180" s="4" t="s">
        <v>31</v>
      </c>
      <c r="K180" s="4" t="s">
        <v>31</v>
      </c>
      <c r="L180" s="2" t="s">
        <v>374</v>
      </c>
      <c r="M180" s="2" t="s">
        <v>32</v>
      </c>
      <c r="N180" s="4" t="s">
        <v>521</v>
      </c>
      <c r="O180" s="4" t="s">
        <v>164</v>
      </c>
      <c r="P180" s="4" t="s">
        <v>35</v>
      </c>
      <c r="Q180" s="152">
        <v>60</v>
      </c>
      <c r="R180" s="152">
        <v>1</v>
      </c>
      <c r="S180" s="152">
        <v>8160</v>
      </c>
      <c r="T180" s="150">
        <v>7.5999999999999998E-2</v>
      </c>
      <c r="U180" s="152">
        <v>4.9720000000000004</v>
      </c>
      <c r="V180" s="152">
        <v>9.9999999999999995E-7</v>
      </c>
      <c r="W180" s="166">
        <v>1.5175425615583001E-3</v>
      </c>
      <c r="X180" s="166">
        <v>1.7173961428979001E-4</v>
      </c>
    </row>
    <row r="181" spans="1:24">
      <c r="A181" s="4" t="s">
        <v>119</v>
      </c>
      <c r="B181" s="4">
        <v>12905</v>
      </c>
      <c r="C181" s="4" t="s">
        <v>1974</v>
      </c>
      <c r="D181" s="4" t="s">
        <v>1975</v>
      </c>
      <c r="E181" s="4" t="s">
        <v>1380</v>
      </c>
      <c r="F181" s="4" t="s">
        <v>1976</v>
      </c>
      <c r="G181" s="4" t="s">
        <v>1977</v>
      </c>
      <c r="H181" s="4" t="s">
        <v>368</v>
      </c>
      <c r="I181" s="4" t="s">
        <v>976</v>
      </c>
      <c r="J181" s="4" t="s">
        <v>31</v>
      </c>
      <c r="K181" s="4" t="s">
        <v>31</v>
      </c>
      <c r="L181" s="2" t="s">
        <v>374</v>
      </c>
      <c r="M181" s="2" t="s">
        <v>32</v>
      </c>
      <c r="N181" s="4" t="s">
        <v>508</v>
      </c>
      <c r="O181" s="4" t="s">
        <v>164</v>
      </c>
      <c r="P181" s="4" t="s">
        <v>35</v>
      </c>
      <c r="Q181" s="152">
        <v>84</v>
      </c>
      <c r="R181" s="152">
        <v>1</v>
      </c>
      <c r="S181" s="152">
        <v>26900</v>
      </c>
      <c r="T181" s="150">
        <v>0.21199999999999999</v>
      </c>
      <c r="U181" s="152">
        <v>22.808</v>
      </c>
      <c r="V181" s="152">
        <v>1.9999999999999999E-6</v>
      </c>
      <c r="W181" s="166">
        <v>6.9611626340712503E-3</v>
      </c>
      <c r="X181" s="166">
        <v>7.8779166796895503E-4</v>
      </c>
    </row>
    <row r="182" spans="1:24">
      <c r="A182" s="4" t="s">
        <v>119</v>
      </c>
      <c r="B182" s="4">
        <v>12905</v>
      </c>
      <c r="C182" s="4" t="s">
        <v>1978</v>
      </c>
      <c r="D182" s="4" t="s">
        <v>1979</v>
      </c>
      <c r="E182" s="4" t="s">
        <v>1380</v>
      </c>
      <c r="F182" s="4" t="s">
        <v>1980</v>
      </c>
      <c r="G182" s="4" t="s">
        <v>1981</v>
      </c>
      <c r="H182" s="4" t="s">
        <v>368</v>
      </c>
      <c r="I182" s="4" t="s">
        <v>976</v>
      </c>
      <c r="J182" s="4" t="s">
        <v>31</v>
      </c>
      <c r="K182" s="4" t="s">
        <v>31</v>
      </c>
      <c r="L182" s="2" t="s">
        <v>374</v>
      </c>
      <c r="M182" s="2" t="s">
        <v>32</v>
      </c>
      <c r="N182" s="4" t="s">
        <v>489</v>
      </c>
      <c r="O182" s="4" t="s">
        <v>164</v>
      </c>
      <c r="P182" s="4" t="s">
        <v>35</v>
      </c>
      <c r="Q182" s="152">
        <v>464</v>
      </c>
      <c r="R182" s="152">
        <v>1</v>
      </c>
      <c r="S182" s="152">
        <v>9800</v>
      </c>
      <c r="U182" s="152">
        <v>45.472000000000001</v>
      </c>
      <c r="V182" s="152">
        <v>6.9999999999999999E-6</v>
      </c>
      <c r="W182" s="166">
        <v>1.3878302433365301E-2</v>
      </c>
      <c r="X182" s="166">
        <v>1.5706012913771199E-3</v>
      </c>
    </row>
    <row r="183" spans="1:24">
      <c r="A183" s="4" t="s">
        <v>119</v>
      </c>
      <c r="B183" s="4">
        <v>12905</v>
      </c>
      <c r="C183" s="4" t="s">
        <v>1982</v>
      </c>
      <c r="D183" s="4" t="s">
        <v>1522</v>
      </c>
      <c r="E183" s="4" t="s">
        <v>1380</v>
      </c>
      <c r="F183" s="4" t="s">
        <v>1983</v>
      </c>
      <c r="G183" s="4" t="s">
        <v>1984</v>
      </c>
      <c r="H183" s="4" t="s">
        <v>368</v>
      </c>
      <c r="I183" s="4" t="s">
        <v>976</v>
      </c>
      <c r="J183" s="4" t="s">
        <v>31</v>
      </c>
      <c r="K183" s="4" t="s">
        <v>31</v>
      </c>
      <c r="L183" s="2" t="s">
        <v>374</v>
      </c>
      <c r="M183" s="2" t="s">
        <v>32</v>
      </c>
      <c r="N183" s="4" t="s">
        <v>487</v>
      </c>
      <c r="O183" s="4" t="s">
        <v>164</v>
      </c>
      <c r="P183" s="4" t="s">
        <v>35</v>
      </c>
      <c r="Q183" s="152">
        <v>3732</v>
      </c>
      <c r="R183" s="152">
        <v>1</v>
      </c>
      <c r="S183" s="152">
        <v>1207</v>
      </c>
      <c r="U183" s="152">
        <v>45.045000000000002</v>
      </c>
      <c r="V183" s="152">
        <v>6.2000000000000003E-5</v>
      </c>
      <c r="W183" s="166">
        <v>1.3748052953543401E-2</v>
      </c>
      <c r="X183" s="166">
        <v>1.5558610158865299E-3</v>
      </c>
    </row>
    <row r="184" spans="1:24">
      <c r="A184" s="4" t="s">
        <v>119</v>
      </c>
      <c r="B184" s="4">
        <v>12905</v>
      </c>
      <c r="C184" s="4" t="s">
        <v>1985</v>
      </c>
      <c r="D184" s="4" t="s">
        <v>1986</v>
      </c>
      <c r="E184" s="4" t="s">
        <v>1380</v>
      </c>
      <c r="F184" s="4" t="s">
        <v>1987</v>
      </c>
      <c r="G184" s="4" t="s">
        <v>1988</v>
      </c>
      <c r="H184" s="4" t="s">
        <v>368</v>
      </c>
      <c r="I184" s="4" t="s">
        <v>976</v>
      </c>
      <c r="J184" s="4" t="s">
        <v>31</v>
      </c>
      <c r="K184" s="4" t="s">
        <v>31</v>
      </c>
      <c r="L184" s="2" t="s">
        <v>374</v>
      </c>
      <c r="M184" s="2" t="s">
        <v>32</v>
      </c>
      <c r="N184" s="4" t="s">
        <v>520</v>
      </c>
      <c r="O184" s="4" t="s">
        <v>164</v>
      </c>
      <c r="P184" s="4" t="s">
        <v>35</v>
      </c>
      <c r="Q184" s="152">
        <v>3000</v>
      </c>
      <c r="R184" s="152">
        <v>1</v>
      </c>
      <c r="S184" s="152">
        <v>841.6</v>
      </c>
      <c r="U184" s="152">
        <v>25.248000000000001</v>
      </c>
      <c r="V184" s="152">
        <v>2.1999999999999999E-5</v>
      </c>
      <c r="W184" s="166">
        <v>7.7058273187369701E-3</v>
      </c>
      <c r="X184" s="166">
        <v>8.7206503792860502E-4</v>
      </c>
    </row>
    <row r="185" spans="1:24">
      <c r="A185" s="4" t="s">
        <v>119</v>
      </c>
      <c r="B185" s="4">
        <v>12905</v>
      </c>
      <c r="C185" s="4" t="s">
        <v>1989</v>
      </c>
      <c r="D185" s="4" t="s">
        <v>1990</v>
      </c>
      <c r="E185" s="4" t="s">
        <v>1380</v>
      </c>
      <c r="F185" s="4" t="s">
        <v>1991</v>
      </c>
      <c r="G185" s="4" t="s">
        <v>1992</v>
      </c>
      <c r="H185" s="4" t="s">
        <v>368</v>
      </c>
      <c r="I185" s="4" t="s">
        <v>976</v>
      </c>
      <c r="J185" s="4" t="s">
        <v>31</v>
      </c>
      <c r="K185" s="4" t="s">
        <v>31</v>
      </c>
      <c r="L185" s="2" t="s">
        <v>374</v>
      </c>
      <c r="M185" s="2" t="s">
        <v>32</v>
      </c>
      <c r="N185" s="4" t="s">
        <v>498</v>
      </c>
      <c r="O185" s="4" t="s">
        <v>164</v>
      </c>
      <c r="P185" s="4" t="s">
        <v>35</v>
      </c>
      <c r="Q185" s="152">
        <v>4489</v>
      </c>
      <c r="R185" s="152">
        <v>1</v>
      </c>
      <c r="S185" s="152">
        <v>935.3</v>
      </c>
      <c r="T185" s="150">
        <v>0.85599999999999998</v>
      </c>
      <c r="U185" s="152">
        <v>42.841999999999999</v>
      </c>
      <c r="V185" s="152">
        <v>3.9999999999999998E-6</v>
      </c>
      <c r="W185" s="166">
        <v>1.3075623380265401E-2</v>
      </c>
      <c r="X185" s="166">
        <v>1.47976246123826E-3</v>
      </c>
    </row>
    <row r="186" spans="1:24">
      <c r="A186" s="4" t="s">
        <v>119</v>
      </c>
      <c r="B186" s="4">
        <v>12905</v>
      </c>
      <c r="C186" s="4" t="s">
        <v>1993</v>
      </c>
      <c r="D186" s="4" t="s">
        <v>1994</v>
      </c>
      <c r="E186" s="4" t="s">
        <v>1380</v>
      </c>
      <c r="F186" s="4" t="s">
        <v>1995</v>
      </c>
      <c r="G186" s="4" t="s">
        <v>1996</v>
      </c>
      <c r="H186" s="4" t="s">
        <v>368</v>
      </c>
      <c r="I186" s="4" t="s">
        <v>976</v>
      </c>
      <c r="J186" s="4" t="s">
        <v>31</v>
      </c>
      <c r="K186" s="4" t="s">
        <v>101</v>
      </c>
      <c r="L186" s="2" t="s">
        <v>374</v>
      </c>
      <c r="M186" s="2" t="s">
        <v>32</v>
      </c>
      <c r="N186" s="4" t="s">
        <v>525</v>
      </c>
      <c r="O186" s="4" t="s">
        <v>164</v>
      </c>
      <c r="P186" s="4" t="s">
        <v>35</v>
      </c>
      <c r="Q186" s="152">
        <v>74</v>
      </c>
      <c r="R186" s="152">
        <v>1</v>
      </c>
      <c r="S186" s="152">
        <v>95150</v>
      </c>
      <c r="U186" s="152">
        <v>70.411000000000001</v>
      </c>
      <c r="V186" s="152">
        <v>9.9999999999999995E-7</v>
      </c>
      <c r="W186" s="166">
        <v>2.1489821266618699E-2</v>
      </c>
      <c r="X186" s="166">
        <v>2.43199348010104E-3</v>
      </c>
    </row>
    <row r="187" spans="1:24">
      <c r="A187" s="4" t="s">
        <v>119</v>
      </c>
      <c r="B187" s="4">
        <v>12905</v>
      </c>
      <c r="C187" s="4" t="s">
        <v>2001</v>
      </c>
      <c r="D187" s="4" t="s">
        <v>2002</v>
      </c>
      <c r="E187" s="4" t="s">
        <v>1380</v>
      </c>
      <c r="F187" s="4" t="s">
        <v>2003</v>
      </c>
      <c r="G187" s="4" t="s">
        <v>2004</v>
      </c>
      <c r="H187" s="4" t="s">
        <v>368</v>
      </c>
      <c r="I187" s="4" t="s">
        <v>976</v>
      </c>
      <c r="J187" s="4" t="s">
        <v>31</v>
      </c>
      <c r="K187" s="4" t="s">
        <v>31</v>
      </c>
      <c r="L187" s="2" t="s">
        <v>374</v>
      </c>
      <c r="M187" s="2" t="s">
        <v>32</v>
      </c>
      <c r="N187" s="4" t="s">
        <v>529</v>
      </c>
      <c r="O187" s="4" t="s">
        <v>164</v>
      </c>
      <c r="P187" s="4" t="s">
        <v>35</v>
      </c>
      <c r="Q187" s="152">
        <v>1127</v>
      </c>
      <c r="R187" s="152">
        <v>1</v>
      </c>
      <c r="S187" s="152">
        <v>1560</v>
      </c>
      <c r="U187" s="152">
        <v>17.581</v>
      </c>
      <c r="V187" s="152">
        <v>6.9999999999999999E-6</v>
      </c>
      <c r="W187" s="166">
        <v>5.3658781391071903E-3</v>
      </c>
      <c r="X187" s="166">
        <v>6.0725403377813599E-4</v>
      </c>
    </row>
    <row r="188" spans="1:24">
      <c r="A188" s="4" t="s">
        <v>119</v>
      </c>
      <c r="B188" s="4">
        <v>12905</v>
      </c>
      <c r="C188" s="4" t="s">
        <v>2005</v>
      </c>
      <c r="D188" s="4" t="s">
        <v>2006</v>
      </c>
      <c r="E188" s="4" t="s">
        <v>1380</v>
      </c>
      <c r="F188" s="4" t="s">
        <v>2007</v>
      </c>
      <c r="G188" s="4" t="s">
        <v>2008</v>
      </c>
      <c r="H188" s="4" t="s">
        <v>368</v>
      </c>
      <c r="I188" s="4" t="s">
        <v>976</v>
      </c>
      <c r="J188" s="4" t="s">
        <v>31</v>
      </c>
      <c r="K188" s="4" t="s">
        <v>31</v>
      </c>
      <c r="L188" s="2" t="s">
        <v>374</v>
      </c>
      <c r="M188" s="2" t="s">
        <v>32</v>
      </c>
      <c r="N188" s="4" t="s">
        <v>508</v>
      </c>
      <c r="O188" s="4" t="s">
        <v>164</v>
      </c>
      <c r="P188" s="4" t="s">
        <v>35</v>
      </c>
      <c r="Q188" s="152">
        <v>149</v>
      </c>
      <c r="R188" s="152">
        <v>1</v>
      </c>
      <c r="S188" s="152">
        <v>26610</v>
      </c>
      <c r="U188" s="152">
        <v>39.649000000000001</v>
      </c>
      <c r="V188" s="152">
        <v>9.9999999999999995E-7</v>
      </c>
      <c r="W188" s="166">
        <v>1.21010605504543E-2</v>
      </c>
      <c r="X188" s="166">
        <v>1.3694716208146199E-3</v>
      </c>
    </row>
    <row r="189" spans="1:24">
      <c r="A189" s="4" t="s">
        <v>119</v>
      </c>
      <c r="B189" s="4">
        <v>12905</v>
      </c>
      <c r="C189" s="4" t="s">
        <v>2009</v>
      </c>
      <c r="D189" s="4" t="s">
        <v>2010</v>
      </c>
      <c r="E189" s="4" t="s">
        <v>1380</v>
      </c>
      <c r="F189" s="4" t="s">
        <v>2011</v>
      </c>
      <c r="G189" s="4" t="s">
        <v>2012</v>
      </c>
      <c r="H189" s="4" t="s">
        <v>368</v>
      </c>
      <c r="I189" s="4" t="s">
        <v>976</v>
      </c>
      <c r="J189" s="4" t="s">
        <v>31</v>
      </c>
      <c r="K189" s="4" t="s">
        <v>31</v>
      </c>
      <c r="L189" s="2" t="s">
        <v>374</v>
      </c>
      <c r="M189" s="2" t="s">
        <v>32</v>
      </c>
      <c r="N189" s="4" t="s">
        <v>492</v>
      </c>
      <c r="O189" s="4" t="s">
        <v>164</v>
      </c>
      <c r="P189" s="4" t="s">
        <v>35</v>
      </c>
      <c r="Q189" s="152">
        <v>2586</v>
      </c>
      <c r="R189" s="152">
        <v>1</v>
      </c>
      <c r="S189" s="152">
        <v>3500</v>
      </c>
      <c r="T189" s="150">
        <v>0.68100000000000005</v>
      </c>
      <c r="U189" s="152">
        <v>91.191000000000003</v>
      </c>
      <c r="V189" s="152">
        <v>1.9999999999999999E-6</v>
      </c>
      <c r="W189" s="166">
        <v>2.7831896000335601E-2</v>
      </c>
      <c r="X189" s="166">
        <v>3.1497232467358098E-3</v>
      </c>
    </row>
    <row r="190" spans="1:24">
      <c r="A190" s="4" t="s">
        <v>119</v>
      </c>
      <c r="B190" s="4">
        <v>12905</v>
      </c>
      <c r="C190" s="4" t="s">
        <v>2017</v>
      </c>
      <c r="D190" s="4" t="s">
        <v>2018</v>
      </c>
      <c r="E190" s="4" t="s">
        <v>1380</v>
      </c>
      <c r="F190" s="4" t="s">
        <v>2019</v>
      </c>
      <c r="G190" s="4" t="s">
        <v>2020</v>
      </c>
      <c r="H190" s="4" t="s">
        <v>368</v>
      </c>
      <c r="I190" s="4" t="s">
        <v>976</v>
      </c>
      <c r="J190" s="4" t="s">
        <v>31</v>
      </c>
      <c r="K190" s="4" t="s">
        <v>31</v>
      </c>
      <c r="L190" s="2" t="s">
        <v>374</v>
      </c>
      <c r="M190" s="2" t="s">
        <v>32</v>
      </c>
      <c r="N190" s="4" t="s">
        <v>529</v>
      </c>
      <c r="O190" s="4" t="s">
        <v>164</v>
      </c>
      <c r="P190" s="4" t="s">
        <v>35</v>
      </c>
      <c r="Q190" s="152">
        <v>2574</v>
      </c>
      <c r="R190" s="152">
        <v>1</v>
      </c>
      <c r="S190" s="152">
        <v>1597</v>
      </c>
      <c r="U190" s="152">
        <v>41.106999999999999</v>
      </c>
      <c r="V190" s="152">
        <v>1.4E-5</v>
      </c>
      <c r="W190" s="166">
        <v>1.25460134786641E-2</v>
      </c>
      <c r="X190" s="166">
        <v>1.4198267450817E-3</v>
      </c>
    </row>
    <row r="191" spans="1:24">
      <c r="A191" s="4" t="s">
        <v>119</v>
      </c>
      <c r="B191" s="4">
        <v>12905</v>
      </c>
      <c r="C191" s="4" t="s">
        <v>2025</v>
      </c>
      <c r="D191" s="4" t="s">
        <v>2026</v>
      </c>
      <c r="E191" s="4" t="s">
        <v>1380</v>
      </c>
      <c r="F191" s="4" t="s">
        <v>2027</v>
      </c>
      <c r="G191" s="4" t="s">
        <v>2028</v>
      </c>
      <c r="H191" s="4" t="s">
        <v>368</v>
      </c>
      <c r="I191" s="4" t="s">
        <v>976</v>
      </c>
      <c r="J191" s="4" t="s">
        <v>31</v>
      </c>
      <c r="K191" s="4" t="s">
        <v>346</v>
      </c>
      <c r="L191" s="2" t="s">
        <v>374</v>
      </c>
      <c r="M191" s="2" t="s">
        <v>32</v>
      </c>
      <c r="N191" s="4" t="s">
        <v>525</v>
      </c>
      <c r="O191" s="4" t="s">
        <v>164</v>
      </c>
      <c r="P191" s="4" t="s">
        <v>35</v>
      </c>
      <c r="Q191" s="152">
        <v>302</v>
      </c>
      <c r="R191" s="152">
        <v>1</v>
      </c>
      <c r="S191" s="152">
        <v>8289</v>
      </c>
      <c r="U191" s="152">
        <v>25.033000000000001</v>
      </c>
      <c r="V191" s="152">
        <v>6.9999999999999999E-6</v>
      </c>
      <c r="W191" s="166">
        <v>7.6401410007894601E-3</v>
      </c>
      <c r="X191" s="166">
        <v>8.6463134664759305E-4</v>
      </c>
    </row>
    <row r="192" spans="1:24">
      <c r="A192" s="4" t="s">
        <v>119</v>
      </c>
      <c r="B192" s="4">
        <v>12905</v>
      </c>
      <c r="C192" s="4" t="s">
        <v>2029</v>
      </c>
      <c r="D192" s="4" t="s">
        <v>2030</v>
      </c>
      <c r="E192" s="4" t="s">
        <v>1380</v>
      </c>
      <c r="F192" s="4" t="s">
        <v>2031</v>
      </c>
      <c r="G192" s="4" t="s">
        <v>2032</v>
      </c>
      <c r="H192" s="4" t="s">
        <v>368</v>
      </c>
      <c r="I192" s="4" t="s">
        <v>976</v>
      </c>
      <c r="J192" s="4" t="s">
        <v>31</v>
      </c>
      <c r="K192" s="4" t="s">
        <v>31</v>
      </c>
      <c r="L192" s="2" t="s">
        <v>374</v>
      </c>
      <c r="M192" s="2" t="s">
        <v>32</v>
      </c>
      <c r="N192" s="4" t="s">
        <v>507</v>
      </c>
      <c r="O192" s="4" t="s">
        <v>164</v>
      </c>
      <c r="P192" s="4" t="s">
        <v>35</v>
      </c>
      <c r="Q192" s="152">
        <v>6521</v>
      </c>
      <c r="R192" s="152">
        <v>1</v>
      </c>
      <c r="S192" s="152">
        <v>510</v>
      </c>
      <c r="T192" s="150">
        <v>1.1339999999999999</v>
      </c>
      <c r="U192" s="152">
        <v>34.390999999999998</v>
      </c>
      <c r="V192" s="152">
        <v>2.3E-5</v>
      </c>
      <c r="W192" s="166">
        <v>1.04963665713237E-2</v>
      </c>
      <c r="X192" s="166">
        <v>1.1878691195008799E-3</v>
      </c>
    </row>
    <row r="193" spans="1:24">
      <c r="A193" s="4" t="s">
        <v>119</v>
      </c>
      <c r="B193" s="4">
        <v>12905</v>
      </c>
      <c r="C193" s="4" t="s">
        <v>2037</v>
      </c>
      <c r="D193" s="4" t="s">
        <v>2038</v>
      </c>
      <c r="E193" s="4" t="s">
        <v>1380</v>
      </c>
      <c r="F193" s="4" t="s">
        <v>2039</v>
      </c>
      <c r="G193" s="4" t="s">
        <v>2040</v>
      </c>
      <c r="H193" s="4" t="s">
        <v>368</v>
      </c>
      <c r="I193" s="4" t="s">
        <v>976</v>
      </c>
      <c r="J193" s="4" t="s">
        <v>31</v>
      </c>
      <c r="K193" s="4" t="s">
        <v>31</v>
      </c>
      <c r="L193" s="2" t="s">
        <v>374</v>
      </c>
      <c r="M193" s="2" t="s">
        <v>32</v>
      </c>
      <c r="N193" s="4" t="s">
        <v>503</v>
      </c>
      <c r="O193" s="4" t="s">
        <v>164</v>
      </c>
      <c r="P193" s="4" t="s">
        <v>35</v>
      </c>
      <c r="Q193" s="152">
        <v>1552</v>
      </c>
      <c r="R193" s="152">
        <v>1</v>
      </c>
      <c r="S193" s="152">
        <v>6910</v>
      </c>
      <c r="U193" s="152">
        <v>107.24299999999999</v>
      </c>
      <c r="V193" s="152">
        <v>1.2999999999999999E-5</v>
      </c>
      <c r="W193" s="166">
        <v>3.2731209612990003E-2</v>
      </c>
      <c r="X193" s="166">
        <v>3.7041763813206998E-3</v>
      </c>
    </row>
    <row r="194" spans="1:24">
      <c r="A194" s="4" t="s">
        <v>119</v>
      </c>
      <c r="B194" s="4">
        <v>12905</v>
      </c>
      <c r="C194" s="4" t="s">
        <v>2041</v>
      </c>
      <c r="D194" s="4" t="s">
        <v>2042</v>
      </c>
      <c r="E194" s="4" t="s">
        <v>1380</v>
      </c>
      <c r="F194" s="4" t="s">
        <v>2043</v>
      </c>
      <c r="G194" s="4" t="s">
        <v>2044</v>
      </c>
      <c r="H194" s="4" t="s">
        <v>368</v>
      </c>
      <c r="I194" s="4" t="s">
        <v>976</v>
      </c>
      <c r="J194" s="4" t="s">
        <v>31</v>
      </c>
      <c r="K194" s="4" t="s">
        <v>31</v>
      </c>
      <c r="L194" s="2" t="s">
        <v>374</v>
      </c>
      <c r="M194" s="2" t="s">
        <v>32</v>
      </c>
      <c r="N194" s="4" t="s">
        <v>507</v>
      </c>
      <c r="O194" s="4" t="s">
        <v>164</v>
      </c>
      <c r="P194" s="4" t="s">
        <v>35</v>
      </c>
      <c r="Q194" s="152">
        <v>1356</v>
      </c>
      <c r="R194" s="152">
        <v>1</v>
      </c>
      <c r="S194" s="152">
        <v>2100</v>
      </c>
      <c r="U194" s="152">
        <v>28.475999999999999</v>
      </c>
      <c r="V194" s="152">
        <v>3.9999999999999998E-6</v>
      </c>
      <c r="W194" s="166">
        <v>8.6910305263131309E-3</v>
      </c>
      <c r="X194" s="166">
        <v>9.8356004515426799E-4</v>
      </c>
    </row>
    <row r="195" spans="1:24">
      <c r="A195" s="4" t="s">
        <v>119</v>
      </c>
      <c r="B195" s="4">
        <v>12905</v>
      </c>
      <c r="C195" s="4" t="s">
        <v>2045</v>
      </c>
      <c r="D195" s="4" t="s">
        <v>2046</v>
      </c>
      <c r="E195" s="4" t="s">
        <v>362</v>
      </c>
      <c r="F195" s="4" t="s">
        <v>2047</v>
      </c>
      <c r="G195" s="4" t="s">
        <v>2048</v>
      </c>
      <c r="H195" s="4" t="s">
        <v>368</v>
      </c>
      <c r="I195" s="4" t="s">
        <v>976</v>
      </c>
      <c r="J195" s="4" t="s">
        <v>100</v>
      </c>
      <c r="K195" s="4" t="s">
        <v>101</v>
      </c>
      <c r="L195" s="2" t="s">
        <v>374</v>
      </c>
      <c r="M195" s="2" t="s">
        <v>393</v>
      </c>
      <c r="N195" s="4" t="s">
        <v>560</v>
      </c>
      <c r="O195" s="4" t="s">
        <v>164</v>
      </c>
      <c r="P195" s="4" t="s">
        <v>105</v>
      </c>
      <c r="Q195" s="152">
        <v>56</v>
      </c>
      <c r="R195" s="152">
        <v>3.681</v>
      </c>
      <c r="S195" s="152">
        <v>180.38</v>
      </c>
      <c r="U195" s="152">
        <v>37.183</v>
      </c>
      <c r="V195" s="152">
        <v>0</v>
      </c>
      <c r="W195" s="166">
        <v>1.1348396943567599E-2</v>
      </c>
      <c r="X195" s="166">
        <v>1.28429301639779E-3</v>
      </c>
    </row>
    <row r="196" spans="1:24">
      <c r="A196" s="4" t="s">
        <v>119</v>
      </c>
      <c r="B196" s="4">
        <v>12905</v>
      </c>
      <c r="C196" s="4" t="s">
        <v>2049</v>
      </c>
      <c r="D196" s="4" t="s">
        <v>2050</v>
      </c>
      <c r="E196" s="4" t="s">
        <v>362</v>
      </c>
      <c r="F196" s="4" t="s">
        <v>2051</v>
      </c>
      <c r="G196" s="4" t="s">
        <v>2052</v>
      </c>
      <c r="H196" s="4" t="s">
        <v>368</v>
      </c>
      <c r="I196" s="4" t="s">
        <v>976</v>
      </c>
      <c r="J196" s="4" t="s">
        <v>100</v>
      </c>
      <c r="K196" s="4" t="s">
        <v>101</v>
      </c>
      <c r="L196" s="2" t="s">
        <v>374</v>
      </c>
      <c r="M196" s="2" t="s">
        <v>391</v>
      </c>
      <c r="N196" s="4" t="s">
        <v>2053</v>
      </c>
      <c r="O196" s="4" t="s">
        <v>164</v>
      </c>
      <c r="P196" s="4" t="s">
        <v>105</v>
      </c>
      <c r="Q196" s="152">
        <v>60</v>
      </c>
      <c r="R196" s="152">
        <v>3.681</v>
      </c>
      <c r="S196" s="152">
        <v>22769</v>
      </c>
      <c r="U196" s="152">
        <v>50.287999999999997</v>
      </c>
      <c r="V196" s="152">
        <v>0</v>
      </c>
      <c r="W196" s="166">
        <v>1.53480539104802E-2</v>
      </c>
      <c r="X196" s="166">
        <v>1.73693240997346E-3</v>
      </c>
    </row>
    <row r="197" spans="1:24">
      <c r="A197" s="4" t="s">
        <v>119</v>
      </c>
      <c r="B197" s="4">
        <v>12905</v>
      </c>
      <c r="C197" s="4" t="s">
        <v>2054</v>
      </c>
      <c r="D197" s="4" t="s">
        <v>2055</v>
      </c>
      <c r="E197" s="4" t="s">
        <v>362</v>
      </c>
      <c r="F197" s="4" t="s">
        <v>2056</v>
      </c>
      <c r="G197" s="4" t="s">
        <v>2057</v>
      </c>
      <c r="H197" s="4" t="s">
        <v>368</v>
      </c>
      <c r="I197" s="4" t="s">
        <v>976</v>
      </c>
      <c r="J197" s="4" t="s">
        <v>100</v>
      </c>
      <c r="K197" s="4" t="s">
        <v>318</v>
      </c>
      <c r="L197" s="2" t="s">
        <v>374</v>
      </c>
      <c r="M197" s="2" t="s">
        <v>391</v>
      </c>
      <c r="N197" s="4" t="s">
        <v>560</v>
      </c>
      <c r="O197" s="4" t="s">
        <v>164</v>
      </c>
      <c r="P197" s="4" t="s">
        <v>105</v>
      </c>
      <c r="Q197" s="152">
        <v>174</v>
      </c>
      <c r="R197" s="152">
        <v>3.681</v>
      </c>
      <c r="S197" s="152">
        <v>7236</v>
      </c>
      <c r="U197" s="152">
        <v>46.345999999999997</v>
      </c>
      <c r="V197" s="152">
        <v>0</v>
      </c>
      <c r="W197" s="166">
        <v>1.41450965118837E-2</v>
      </c>
      <c r="X197" s="166">
        <v>1.60079425815131E-3</v>
      </c>
    </row>
    <row r="198" spans="1:24">
      <c r="A198" s="4" t="s">
        <v>119</v>
      </c>
      <c r="B198" s="4">
        <v>12905</v>
      </c>
      <c r="C198" s="4" t="s">
        <v>2058</v>
      </c>
      <c r="D198" s="4" t="s">
        <v>2059</v>
      </c>
      <c r="E198" s="4" t="s">
        <v>362</v>
      </c>
      <c r="F198" s="4" t="s">
        <v>2060</v>
      </c>
      <c r="G198" s="4" t="s">
        <v>2061</v>
      </c>
      <c r="H198" s="4" t="s">
        <v>368</v>
      </c>
      <c r="I198" s="4" t="s">
        <v>976</v>
      </c>
      <c r="J198" s="4" t="s">
        <v>100</v>
      </c>
      <c r="K198" s="4" t="s">
        <v>101</v>
      </c>
      <c r="L198" s="2" t="s">
        <v>374</v>
      </c>
      <c r="M198" s="2" t="s">
        <v>393</v>
      </c>
      <c r="N198" s="4" t="s">
        <v>579</v>
      </c>
      <c r="O198" s="4" t="s">
        <v>164</v>
      </c>
      <c r="P198" s="4" t="s">
        <v>105</v>
      </c>
      <c r="Q198" s="152">
        <v>35</v>
      </c>
      <c r="R198" s="152">
        <v>3.681</v>
      </c>
      <c r="S198" s="152">
        <v>21563</v>
      </c>
      <c r="U198" s="152">
        <v>27.780999999999999</v>
      </c>
      <c r="V198" s="152">
        <v>0</v>
      </c>
      <c r="W198" s="166">
        <v>8.4788184421134994E-3</v>
      </c>
      <c r="X198" s="166">
        <v>9.5954409831278098E-4</v>
      </c>
    </row>
    <row r="199" spans="1:24">
      <c r="A199" s="4" t="s">
        <v>119</v>
      </c>
      <c r="B199" s="4">
        <v>12905</v>
      </c>
      <c r="C199" s="4" t="s">
        <v>2062</v>
      </c>
      <c r="D199" s="4" t="s">
        <v>2063</v>
      </c>
      <c r="E199" s="4" t="s">
        <v>362</v>
      </c>
      <c r="F199" s="4" t="s">
        <v>2064</v>
      </c>
      <c r="G199" s="4" t="s">
        <v>2065</v>
      </c>
      <c r="H199" s="4" t="s">
        <v>368</v>
      </c>
      <c r="I199" s="4" t="s">
        <v>976</v>
      </c>
      <c r="J199" s="4" t="s">
        <v>100</v>
      </c>
      <c r="K199" s="4" t="s">
        <v>101</v>
      </c>
      <c r="L199" s="2" t="s">
        <v>374</v>
      </c>
      <c r="M199" s="2" t="s">
        <v>391</v>
      </c>
      <c r="N199" s="4" t="s">
        <v>2066</v>
      </c>
      <c r="O199" s="4" t="s">
        <v>164</v>
      </c>
      <c r="P199" s="4" t="s">
        <v>105</v>
      </c>
      <c r="Q199" s="152">
        <v>47</v>
      </c>
      <c r="R199" s="152">
        <v>3.681</v>
      </c>
      <c r="S199" s="152">
        <v>19299</v>
      </c>
      <c r="U199" s="152">
        <v>33.389000000000003</v>
      </c>
      <c r="V199" s="152">
        <v>0</v>
      </c>
      <c r="W199" s="166">
        <v>1.01903892307251E-2</v>
      </c>
      <c r="X199" s="166">
        <v>1.15324180044773E-3</v>
      </c>
    </row>
    <row r="200" spans="1:24">
      <c r="A200" s="4" t="s">
        <v>119</v>
      </c>
      <c r="B200" s="4">
        <v>12905</v>
      </c>
      <c r="D200" s="4" t="s">
        <v>1598</v>
      </c>
      <c r="E200" s="4" t="s">
        <v>362</v>
      </c>
      <c r="F200" s="4" t="s">
        <v>2067</v>
      </c>
      <c r="G200" s="4" t="s">
        <v>2068</v>
      </c>
      <c r="H200" s="4" t="s">
        <v>368</v>
      </c>
      <c r="I200" s="4" t="s">
        <v>976</v>
      </c>
      <c r="J200" s="4" t="s">
        <v>100</v>
      </c>
      <c r="L200" s="2" t="s">
        <v>374</v>
      </c>
      <c r="M200" s="2" t="s">
        <v>204</v>
      </c>
      <c r="N200" s="4" t="s">
        <v>1392</v>
      </c>
      <c r="O200" s="4" t="s">
        <v>164</v>
      </c>
      <c r="P200" s="4" t="s">
        <v>105</v>
      </c>
      <c r="Q200" s="152">
        <v>28.65</v>
      </c>
      <c r="R200" s="152">
        <v>3.681</v>
      </c>
      <c r="S200" s="152">
        <v>129156</v>
      </c>
      <c r="U200" s="152">
        <v>136.209</v>
      </c>
      <c r="V200" s="152">
        <v>0</v>
      </c>
      <c r="W200" s="166">
        <v>4.1571655640853501E-2</v>
      </c>
      <c r="X200" s="166">
        <v>4.7046457120892204E-3</v>
      </c>
    </row>
    <row r="201" spans="1:24">
      <c r="A201" s="4" t="s">
        <v>119</v>
      </c>
      <c r="B201" s="4">
        <v>12905</v>
      </c>
      <c r="C201" s="4" t="s">
        <v>2069</v>
      </c>
      <c r="D201" s="4" t="s">
        <v>2070</v>
      </c>
      <c r="E201" s="4" t="s">
        <v>362</v>
      </c>
      <c r="F201" s="4" t="s">
        <v>2071</v>
      </c>
      <c r="G201" s="4" t="s">
        <v>2072</v>
      </c>
      <c r="H201" s="4" t="s">
        <v>368</v>
      </c>
      <c r="I201" s="4" t="s">
        <v>976</v>
      </c>
      <c r="J201" s="4" t="s">
        <v>100</v>
      </c>
      <c r="K201" s="4" t="s">
        <v>101</v>
      </c>
      <c r="L201" s="2" t="s">
        <v>374</v>
      </c>
      <c r="M201" s="2" t="s">
        <v>391</v>
      </c>
      <c r="N201" s="4" t="s">
        <v>2066</v>
      </c>
      <c r="O201" s="4" t="s">
        <v>164</v>
      </c>
      <c r="P201" s="4" t="s">
        <v>105</v>
      </c>
      <c r="Q201" s="152">
        <v>33</v>
      </c>
      <c r="R201" s="152">
        <v>3.681</v>
      </c>
      <c r="S201" s="152">
        <v>41074</v>
      </c>
      <c r="U201" s="152">
        <v>49.893999999999998</v>
      </c>
      <c r="V201" s="152">
        <v>0</v>
      </c>
      <c r="W201" s="166">
        <v>1.52278660229033E-2</v>
      </c>
      <c r="X201" s="166">
        <v>1.7233308003859399E-3</v>
      </c>
    </row>
    <row r="202" spans="1:24">
      <c r="A202" s="4" t="s">
        <v>119</v>
      </c>
      <c r="B202" s="4">
        <v>12905</v>
      </c>
      <c r="C202" s="4" t="s">
        <v>2073</v>
      </c>
      <c r="D202" s="4" t="s">
        <v>2074</v>
      </c>
      <c r="E202" s="4" t="s">
        <v>362</v>
      </c>
      <c r="F202" s="4" t="s">
        <v>2073</v>
      </c>
      <c r="G202" s="4" t="s">
        <v>2075</v>
      </c>
      <c r="H202" s="4" t="s">
        <v>368</v>
      </c>
      <c r="I202" s="4" t="s">
        <v>976</v>
      </c>
      <c r="J202" s="4" t="s">
        <v>100</v>
      </c>
      <c r="K202" s="4" t="s">
        <v>101</v>
      </c>
      <c r="L202" s="2" t="s">
        <v>374</v>
      </c>
      <c r="M202" s="2" t="s">
        <v>393</v>
      </c>
      <c r="N202" s="4" t="s">
        <v>591</v>
      </c>
      <c r="O202" s="4" t="s">
        <v>164</v>
      </c>
      <c r="P202" s="4" t="s">
        <v>105</v>
      </c>
      <c r="Q202" s="152">
        <v>280</v>
      </c>
      <c r="R202" s="152">
        <v>3.681</v>
      </c>
      <c r="S202" s="152">
        <v>2861</v>
      </c>
      <c r="U202" s="152">
        <v>29.488</v>
      </c>
      <c r="V202" s="152">
        <v>9.9999999999999995E-7</v>
      </c>
      <c r="W202" s="166">
        <v>8.9998236100307799E-3</v>
      </c>
      <c r="X202" s="166">
        <v>1.01850602059931E-3</v>
      </c>
    </row>
    <row r="203" spans="1:24">
      <c r="A203" s="4" t="s">
        <v>119</v>
      </c>
      <c r="B203" s="4">
        <v>12905</v>
      </c>
      <c r="C203" s="4" t="s">
        <v>2080</v>
      </c>
      <c r="D203" s="4" t="s">
        <v>2081</v>
      </c>
      <c r="E203" s="4" t="s">
        <v>362</v>
      </c>
      <c r="F203" s="4" t="s">
        <v>2082</v>
      </c>
      <c r="G203" s="4" t="s">
        <v>2083</v>
      </c>
      <c r="H203" s="4" t="s">
        <v>368</v>
      </c>
      <c r="I203" s="4" t="s">
        <v>976</v>
      </c>
      <c r="J203" s="4" t="s">
        <v>100</v>
      </c>
      <c r="K203" s="4" t="s">
        <v>101</v>
      </c>
      <c r="L203" s="2" t="s">
        <v>374</v>
      </c>
      <c r="M203" s="2" t="s">
        <v>393</v>
      </c>
      <c r="N203" s="4" t="s">
        <v>594</v>
      </c>
      <c r="O203" s="4" t="s">
        <v>164</v>
      </c>
      <c r="P203" s="4" t="s">
        <v>105</v>
      </c>
      <c r="Q203" s="152">
        <v>80</v>
      </c>
      <c r="R203" s="152">
        <v>3.681</v>
      </c>
      <c r="S203" s="152">
        <v>15226</v>
      </c>
      <c r="U203" s="152">
        <v>44.838000000000001</v>
      </c>
      <c r="V203" s="152">
        <v>0</v>
      </c>
      <c r="W203" s="166">
        <v>1.36846571414918E-2</v>
      </c>
      <c r="X203" s="166">
        <v>1.54868654013533E-3</v>
      </c>
    </row>
    <row r="204" spans="1:24">
      <c r="A204" s="4" t="s">
        <v>119</v>
      </c>
      <c r="B204" s="4">
        <v>12905</v>
      </c>
      <c r="C204" s="4" t="s">
        <v>2084</v>
      </c>
      <c r="D204" s="4" t="s">
        <v>2085</v>
      </c>
      <c r="E204" s="4" t="s">
        <v>362</v>
      </c>
      <c r="F204" s="4" t="s">
        <v>2086</v>
      </c>
      <c r="G204" s="4" t="s">
        <v>2087</v>
      </c>
      <c r="H204" s="4" t="s">
        <v>368</v>
      </c>
      <c r="I204" s="4" t="s">
        <v>976</v>
      </c>
      <c r="J204" s="4" t="s">
        <v>100</v>
      </c>
      <c r="L204" s="2" t="s">
        <v>374</v>
      </c>
      <c r="M204" s="2" t="s">
        <v>204</v>
      </c>
      <c r="N204" s="4" t="s">
        <v>2088</v>
      </c>
      <c r="O204" s="4" t="s">
        <v>164</v>
      </c>
      <c r="P204" s="4" t="s">
        <v>1224</v>
      </c>
      <c r="Q204" s="152">
        <v>16</v>
      </c>
      <c r="R204" s="152">
        <v>3.9790000000000001</v>
      </c>
      <c r="S204" s="152">
        <v>83370</v>
      </c>
      <c r="U204" s="152">
        <v>53.078000000000003</v>
      </c>
      <c r="V204" s="152">
        <v>0</v>
      </c>
      <c r="W204" s="166">
        <v>1.61996983931555E-2</v>
      </c>
      <c r="X204" s="166">
        <v>1.83331263592014E-3</v>
      </c>
    </row>
    <row r="205" spans="1:24">
      <c r="A205" s="4" t="s">
        <v>119</v>
      </c>
      <c r="B205" s="4">
        <v>12905</v>
      </c>
      <c r="C205" s="4" t="s">
        <v>2089</v>
      </c>
      <c r="D205" s="4" t="s">
        <v>2090</v>
      </c>
      <c r="E205" s="4" t="s">
        <v>362</v>
      </c>
      <c r="F205" s="4" t="s">
        <v>2091</v>
      </c>
      <c r="G205" s="4" t="s">
        <v>2092</v>
      </c>
      <c r="H205" s="4" t="s">
        <v>368</v>
      </c>
      <c r="I205" s="4" t="s">
        <v>976</v>
      </c>
      <c r="J205" s="4" t="s">
        <v>100</v>
      </c>
      <c r="K205" s="4" t="s">
        <v>101</v>
      </c>
      <c r="L205" s="2" t="s">
        <v>374</v>
      </c>
      <c r="M205" s="2" t="s">
        <v>391</v>
      </c>
      <c r="N205" s="4" t="s">
        <v>2053</v>
      </c>
      <c r="O205" s="4" t="s">
        <v>164</v>
      </c>
      <c r="P205" s="4" t="s">
        <v>105</v>
      </c>
      <c r="Q205" s="152">
        <v>28</v>
      </c>
      <c r="R205" s="152">
        <v>3.681</v>
      </c>
      <c r="S205" s="152">
        <v>481.57</v>
      </c>
      <c r="U205" s="152">
        <v>49.634</v>
      </c>
      <c r="V205" s="152">
        <v>0</v>
      </c>
      <c r="W205" s="166">
        <v>1.51487069412182E-2</v>
      </c>
      <c r="X205" s="166">
        <v>1.7143724024467301E-3</v>
      </c>
    </row>
    <row r="206" spans="1:24">
      <c r="A206" s="4" t="s">
        <v>119</v>
      </c>
      <c r="B206" s="4">
        <v>12905</v>
      </c>
      <c r="C206" s="4" t="s">
        <v>2093</v>
      </c>
      <c r="D206" s="4" t="s">
        <v>2094</v>
      </c>
      <c r="E206" s="4" t="s">
        <v>362</v>
      </c>
      <c r="F206" s="4" t="s">
        <v>2095</v>
      </c>
      <c r="G206" s="4" t="s">
        <v>2096</v>
      </c>
      <c r="H206" s="4" t="s">
        <v>368</v>
      </c>
      <c r="I206" s="4" t="s">
        <v>976</v>
      </c>
      <c r="J206" s="4" t="s">
        <v>100</v>
      </c>
      <c r="K206" s="4" t="s">
        <v>101</v>
      </c>
      <c r="L206" s="2" t="s">
        <v>374</v>
      </c>
      <c r="M206" s="2" t="s">
        <v>391</v>
      </c>
      <c r="N206" s="4" t="s">
        <v>579</v>
      </c>
      <c r="O206" s="4" t="s">
        <v>164</v>
      </c>
      <c r="P206" s="4" t="s">
        <v>105</v>
      </c>
      <c r="Q206" s="152">
        <v>84</v>
      </c>
      <c r="R206" s="152">
        <v>3.681</v>
      </c>
      <c r="S206" s="152">
        <v>13195</v>
      </c>
      <c r="T206" s="150">
        <v>4.9000000000000002E-2</v>
      </c>
      <c r="U206" s="152">
        <v>40.981000000000002</v>
      </c>
      <c r="V206" s="152">
        <v>0</v>
      </c>
      <c r="W206" s="166">
        <v>1.25074745144547E-2</v>
      </c>
      <c r="X206" s="166">
        <v>1.41546530770518E-3</v>
      </c>
    </row>
    <row r="207" spans="1:24">
      <c r="A207" s="4" t="s">
        <v>119</v>
      </c>
      <c r="B207" s="4">
        <v>12905</v>
      </c>
      <c r="C207" s="4" t="s">
        <v>2097</v>
      </c>
      <c r="D207" s="4" t="s">
        <v>2098</v>
      </c>
      <c r="E207" s="4" t="s">
        <v>362</v>
      </c>
      <c r="F207" s="4" t="s">
        <v>2099</v>
      </c>
      <c r="G207" s="4" t="s">
        <v>2100</v>
      </c>
      <c r="H207" s="4" t="s">
        <v>368</v>
      </c>
      <c r="I207" s="4" t="s">
        <v>976</v>
      </c>
      <c r="J207" s="4" t="s">
        <v>100</v>
      </c>
      <c r="K207" s="4" t="s">
        <v>101</v>
      </c>
      <c r="L207" s="2" t="s">
        <v>374</v>
      </c>
      <c r="M207" s="2" t="s">
        <v>393</v>
      </c>
      <c r="N207" s="4" t="s">
        <v>589</v>
      </c>
      <c r="O207" s="4" t="s">
        <v>164</v>
      </c>
      <c r="P207" s="4" t="s">
        <v>105</v>
      </c>
      <c r="Q207" s="152">
        <v>60</v>
      </c>
      <c r="R207" s="152">
        <v>3.681</v>
      </c>
      <c r="S207" s="152">
        <v>420.72</v>
      </c>
      <c r="U207" s="152">
        <v>92.92</v>
      </c>
      <c r="V207" s="152">
        <v>0</v>
      </c>
      <c r="W207" s="166">
        <v>2.83597577461338E-2</v>
      </c>
      <c r="X207" s="166">
        <v>3.2094611248804799E-3</v>
      </c>
    </row>
    <row r="208" spans="1:24">
      <c r="A208" s="4" t="s">
        <v>119</v>
      </c>
      <c r="B208" s="4">
        <v>12905</v>
      </c>
      <c r="C208" s="4" t="s">
        <v>2101</v>
      </c>
      <c r="D208" s="4" t="s">
        <v>2102</v>
      </c>
      <c r="E208" s="4" t="s">
        <v>362</v>
      </c>
      <c r="F208" s="4" t="s">
        <v>2101</v>
      </c>
      <c r="G208" s="4" t="s">
        <v>2103</v>
      </c>
      <c r="H208" s="4" t="s">
        <v>368</v>
      </c>
      <c r="I208" s="4" t="s">
        <v>976</v>
      </c>
      <c r="J208" s="4" t="s">
        <v>100</v>
      </c>
      <c r="K208" s="4" t="s">
        <v>101</v>
      </c>
      <c r="L208" s="2" t="s">
        <v>374</v>
      </c>
      <c r="M208" s="2" t="s">
        <v>393</v>
      </c>
      <c r="N208" s="4" t="s">
        <v>579</v>
      </c>
      <c r="O208" s="4" t="s">
        <v>164</v>
      </c>
      <c r="P208" s="4" t="s">
        <v>105</v>
      </c>
      <c r="Q208" s="152">
        <v>103</v>
      </c>
      <c r="R208" s="152">
        <v>3.681</v>
      </c>
      <c r="S208" s="152">
        <v>10656</v>
      </c>
      <c r="U208" s="152">
        <v>40.401000000000003</v>
      </c>
      <c r="V208" s="152">
        <v>0</v>
      </c>
      <c r="W208" s="166">
        <v>1.23307514855124E-2</v>
      </c>
      <c r="X208" s="166">
        <v>1.3954656414055301E-3</v>
      </c>
    </row>
    <row r="209" spans="1:24">
      <c r="A209" s="4" t="s">
        <v>119</v>
      </c>
      <c r="B209" s="4">
        <v>12905</v>
      </c>
      <c r="C209" s="4" t="s">
        <v>2104</v>
      </c>
      <c r="D209" s="4" t="s">
        <v>2105</v>
      </c>
      <c r="E209" s="4" t="s">
        <v>34</v>
      </c>
      <c r="F209" s="4" t="s">
        <v>2104</v>
      </c>
      <c r="G209" s="4" t="s">
        <v>2106</v>
      </c>
      <c r="H209" s="4" t="s">
        <v>368</v>
      </c>
      <c r="I209" s="4" t="s">
        <v>976</v>
      </c>
      <c r="J209" s="4" t="s">
        <v>100</v>
      </c>
      <c r="K209" s="4" t="s">
        <v>101</v>
      </c>
      <c r="L209" s="2" t="s">
        <v>374</v>
      </c>
      <c r="M209" s="2" t="s">
        <v>393</v>
      </c>
      <c r="N209" s="4" t="s">
        <v>2053</v>
      </c>
      <c r="O209" s="4" t="s">
        <v>164</v>
      </c>
      <c r="P209" s="4" t="s">
        <v>105</v>
      </c>
      <c r="Q209" s="152">
        <v>120</v>
      </c>
      <c r="R209" s="152">
        <v>3.681</v>
      </c>
      <c r="S209" s="152">
        <v>6310</v>
      </c>
      <c r="U209" s="152">
        <v>27.873000000000001</v>
      </c>
      <c r="V209" s="152">
        <v>0</v>
      </c>
      <c r="W209" s="166">
        <v>8.5068488010127605E-3</v>
      </c>
      <c r="X209" s="166">
        <v>9.6271628151720003E-4</v>
      </c>
    </row>
    <row r="210" spans="1:24">
      <c r="A210" s="4" t="s">
        <v>119</v>
      </c>
      <c r="B210" s="4">
        <v>12905</v>
      </c>
      <c r="C210" s="4" t="s">
        <v>2107</v>
      </c>
      <c r="D210" s="4" t="s">
        <v>2108</v>
      </c>
      <c r="E210" s="4" t="s">
        <v>362</v>
      </c>
      <c r="F210" s="4" t="s">
        <v>2109</v>
      </c>
      <c r="G210" s="4" t="s">
        <v>2110</v>
      </c>
      <c r="H210" s="4" t="s">
        <v>368</v>
      </c>
      <c r="I210" s="4" t="s">
        <v>976</v>
      </c>
      <c r="J210" s="4" t="s">
        <v>100</v>
      </c>
      <c r="K210" s="4" t="s">
        <v>101</v>
      </c>
      <c r="L210" s="2" t="s">
        <v>374</v>
      </c>
      <c r="M210" s="2" t="s">
        <v>393</v>
      </c>
      <c r="N210" s="4" t="s">
        <v>594</v>
      </c>
      <c r="O210" s="4" t="s">
        <v>164</v>
      </c>
      <c r="P210" s="4" t="s">
        <v>105</v>
      </c>
      <c r="Q210" s="152">
        <v>17</v>
      </c>
      <c r="R210" s="152">
        <v>3.681</v>
      </c>
      <c r="S210" s="152">
        <v>60733</v>
      </c>
      <c r="U210" s="152">
        <v>38.005000000000003</v>
      </c>
      <c r="V210" s="152">
        <v>0</v>
      </c>
      <c r="W210" s="166">
        <v>1.1599299550901301E-2</v>
      </c>
      <c r="X210" s="166">
        <v>1.3126875524716399E-3</v>
      </c>
    </row>
    <row r="211" spans="1:24">
      <c r="A211" s="4" t="s">
        <v>119</v>
      </c>
      <c r="B211" s="4">
        <v>12905</v>
      </c>
      <c r="C211" s="4" t="s">
        <v>2115</v>
      </c>
      <c r="D211" s="4" t="s">
        <v>2116</v>
      </c>
      <c r="E211" s="4" t="s">
        <v>362</v>
      </c>
      <c r="F211" s="4" t="s">
        <v>2117</v>
      </c>
      <c r="G211" s="4" t="s">
        <v>2118</v>
      </c>
      <c r="H211" s="4" t="s">
        <v>368</v>
      </c>
      <c r="I211" s="4" t="s">
        <v>976</v>
      </c>
      <c r="J211" s="4" t="s">
        <v>100</v>
      </c>
      <c r="L211" s="2" t="s">
        <v>374</v>
      </c>
      <c r="M211" s="2" t="s">
        <v>204</v>
      </c>
      <c r="N211" s="4" t="s">
        <v>579</v>
      </c>
      <c r="O211" s="4" t="s">
        <v>164</v>
      </c>
      <c r="P211" s="4" t="s">
        <v>105</v>
      </c>
      <c r="Q211" s="152">
        <v>115</v>
      </c>
      <c r="R211" s="152">
        <v>3.681</v>
      </c>
      <c r="S211" s="152">
        <v>12840</v>
      </c>
      <c r="T211" s="150">
        <v>0.107</v>
      </c>
      <c r="U211" s="152">
        <v>54.747</v>
      </c>
      <c r="V211" s="152">
        <v>0</v>
      </c>
      <c r="W211" s="166">
        <v>1.6709093545578299E-2</v>
      </c>
      <c r="X211" s="166">
        <v>1.8909606579356501E-3</v>
      </c>
    </row>
    <row r="212" spans="1:24">
      <c r="A212" s="4" t="s">
        <v>119</v>
      </c>
      <c r="B212" s="4">
        <v>12905</v>
      </c>
      <c r="C212" s="4" t="s">
        <v>2119</v>
      </c>
      <c r="D212" s="4" t="s">
        <v>2120</v>
      </c>
      <c r="E212" s="4" t="s">
        <v>362</v>
      </c>
      <c r="F212" s="4" t="s">
        <v>2121</v>
      </c>
      <c r="G212" s="4" t="s">
        <v>2122</v>
      </c>
      <c r="H212" s="4" t="s">
        <v>368</v>
      </c>
      <c r="I212" s="4" t="s">
        <v>976</v>
      </c>
      <c r="J212" s="4" t="s">
        <v>100</v>
      </c>
      <c r="K212" s="4" t="s">
        <v>101</v>
      </c>
      <c r="L212" s="2" t="s">
        <v>374</v>
      </c>
      <c r="M212" s="2" t="s">
        <v>393</v>
      </c>
      <c r="N212" s="4" t="s">
        <v>593</v>
      </c>
      <c r="O212" s="4" t="s">
        <v>164</v>
      </c>
      <c r="P212" s="4" t="s">
        <v>105</v>
      </c>
      <c r="Q212" s="152">
        <v>30</v>
      </c>
      <c r="R212" s="152">
        <v>3.681</v>
      </c>
      <c r="S212" s="152">
        <v>90356</v>
      </c>
      <c r="U212" s="152">
        <v>99.78</v>
      </c>
      <c r="V212" s="152">
        <v>0</v>
      </c>
      <c r="W212" s="166">
        <v>3.04534401847983E-2</v>
      </c>
      <c r="X212" s="166">
        <v>3.4464022318846299E-3</v>
      </c>
    </row>
    <row r="213" spans="1:24">
      <c r="A213" s="4" t="s">
        <v>119</v>
      </c>
      <c r="B213" s="4">
        <v>12905</v>
      </c>
      <c r="C213" s="4" t="s">
        <v>2126</v>
      </c>
      <c r="D213" s="4" t="s">
        <v>2127</v>
      </c>
      <c r="E213" s="4" t="s">
        <v>362</v>
      </c>
      <c r="F213" s="4" t="s">
        <v>2128</v>
      </c>
      <c r="G213" s="4" t="s">
        <v>2129</v>
      </c>
      <c r="H213" s="4" t="s">
        <v>368</v>
      </c>
      <c r="I213" s="4" t="s">
        <v>976</v>
      </c>
      <c r="J213" s="4" t="s">
        <v>100</v>
      </c>
      <c r="K213" s="4" t="s">
        <v>101</v>
      </c>
      <c r="L213" s="2" t="s">
        <v>374</v>
      </c>
      <c r="M213" s="2" t="s">
        <v>391</v>
      </c>
      <c r="N213" s="4" t="s">
        <v>613</v>
      </c>
      <c r="O213" s="4" t="s">
        <v>164</v>
      </c>
      <c r="P213" s="4" t="s">
        <v>105</v>
      </c>
      <c r="Q213" s="152">
        <v>100</v>
      </c>
      <c r="R213" s="152">
        <v>3.681</v>
      </c>
      <c r="S213" s="152">
        <v>13022</v>
      </c>
      <c r="U213" s="152">
        <v>47.933999999999997</v>
      </c>
      <c r="V213" s="152">
        <v>0</v>
      </c>
      <c r="W213" s="166">
        <v>1.46297127689895E-2</v>
      </c>
      <c r="X213" s="166">
        <v>1.6556380636446101E-3</v>
      </c>
    </row>
    <row r="214" spans="1:24">
      <c r="A214" s="4" t="s">
        <v>119</v>
      </c>
      <c r="B214" s="4">
        <v>12905</v>
      </c>
      <c r="C214" s="4" t="s">
        <v>2130</v>
      </c>
      <c r="D214" s="4" t="s">
        <v>2131</v>
      </c>
      <c r="E214" s="4" t="s">
        <v>362</v>
      </c>
      <c r="F214" s="4" t="s">
        <v>2132</v>
      </c>
      <c r="G214" s="4" t="s">
        <v>2133</v>
      </c>
      <c r="H214" s="4" t="s">
        <v>368</v>
      </c>
      <c r="I214" s="4" t="s">
        <v>976</v>
      </c>
      <c r="J214" s="4" t="s">
        <v>100</v>
      </c>
      <c r="K214" s="4" t="s">
        <v>101</v>
      </c>
      <c r="L214" s="2" t="s">
        <v>374</v>
      </c>
      <c r="M214" s="2" t="s">
        <v>391</v>
      </c>
      <c r="N214" s="4" t="s">
        <v>531</v>
      </c>
      <c r="O214" s="4" t="s">
        <v>164</v>
      </c>
      <c r="P214" s="4" t="s">
        <v>105</v>
      </c>
      <c r="Q214" s="152">
        <v>217</v>
      </c>
      <c r="R214" s="152">
        <v>3.681</v>
      </c>
      <c r="S214" s="152">
        <v>54.81</v>
      </c>
      <c r="T214" s="150">
        <v>6.0999999999999999E-2</v>
      </c>
      <c r="U214" s="152">
        <v>44.003999999999998</v>
      </c>
      <c r="V214" s="152">
        <v>0</v>
      </c>
      <c r="W214" s="166">
        <v>1.34301684616279E-2</v>
      </c>
      <c r="X214" s="166">
        <v>1.5198861698339601E-3</v>
      </c>
    </row>
    <row r="215" spans="1:24">
      <c r="A215" s="4" t="s">
        <v>119</v>
      </c>
      <c r="B215" s="4">
        <v>12905</v>
      </c>
      <c r="C215" s="4" t="s">
        <v>2134</v>
      </c>
      <c r="D215" s="4" t="s">
        <v>2135</v>
      </c>
      <c r="E215" s="4" t="s">
        <v>362</v>
      </c>
      <c r="F215" s="4" t="s">
        <v>2134</v>
      </c>
      <c r="G215" s="4" t="s">
        <v>2136</v>
      </c>
      <c r="H215" s="4" t="s">
        <v>368</v>
      </c>
      <c r="I215" s="4" t="s">
        <v>976</v>
      </c>
      <c r="J215" s="4" t="s">
        <v>100</v>
      </c>
      <c r="K215" s="4" t="s">
        <v>101</v>
      </c>
      <c r="L215" s="2" t="s">
        <v>374</v>
      </c>
      <c r="M215" s="2" t="s">
        <v>393</v>
      </c>
      <c r="N215" s="4" t="s">
        <v>560</v>
      </c>
      <c r="O215" s="4" t="s">
        <v>164</v>
      </c>
      <c r="P215" s="4" t="s">
        <v>105</v>
      </c>
      <c r="Q215" s="152">
        <v>432</v>
      </c>
      <c r="R215" s="152">
        <v>3.681</v>
      </c>
      <c r="S215" s="152">
        <v>1906</v>
      </c>
      <c r="U215" s="152">
        <v>30.309000000000001</v>
      </c>
      <c r="V215" s="152">
        <v>3.9999999999999998E-6</v>
      </c>
      <c r="W215" s="166">
        <v>9.2504902904959104E-3</v>
      </c>
      <c r="X215" s="166">
        <v>1.0468738569347699E-3</v>
      </c>
    </row>
    <row r="216" spans="1:24">
      <c r="A216" s="4" t="s">
        <v>119</v>
      </c>
      <c r="B216" s="4">
        <v>12905</v>
      </c>
      <c r="C216" s="4" t="s">
        <v>2137</v>
      </c>
      <c r="D216" s="4" t="s">
        <v>2138</v>
      </c>
      <c r="E216" s="4" t="s">
        <v>362</v>
      </c>
      <c r="F216" s="4" t="s">
        <v>2139</v>
      </c>
      <c r="G216" s="4" t="s">
        <v>2140</v>
      </c>
      <c r="H216" s="4" t="s">
        <v>368</v>
      </c>
      <c r="I216" s="4" t="s">
        <v>976</v>
      </c>
      <c r="J216" s="4" t="s">
        <v>100</v>
      </c>
      <c r="K216" s="4" t="s">
        <v>318</v>
      </c>
      <c r="L216" s="2" t="s">
        <v>374</v>
      </c>
      <c r="M216" s="2" t="s">
        <v>391</v>
      </c>
      <c r="N216" s="4" t="s">
        <v>593</v>
      </c>
      <c r="O216" s="4" t="s">
        <v>164</v>
      </c>
      <c r="P216" s="4" t="s">
        <v>105</v>
      </c>
      <c r="Q216" s="152">
        <v>148</v>
      </c>
      <c r="R216" s="152">
        <v>3.681</v>
      </c>
      <c r="S216" s="152">
        <v>13605</v>
      </c>
      <c r="T216" s="150">
        <v>6.6000000000000003E-2</v>
      </c>
      <c r="U216" s="152">
        <v>74.36</v>
      </c>
      <c r="V216" s="152">
        <v>0</v>
      </c>
      <c r="W216" s="166">
        <v>2.2695061553182998E-2</v>
      </c>
      <c r="X216" s="166">
        <v>2.5683899853354698E-3</v>
      </c>
    </row>
    <row r="217" spans="1:24">
      <c r="A217" s="4" t="s">
        <v>119</v>
      </c>
      <c r="B217" s="4">
        <v>12905</v>
      </c>
      <c r="C217" s="4" t="s">
        <v>2141</v>
      </c>
      <c r="D217" s="4" t="s">
        <v>2142</v>
      </c>
      <c r="E217" s="4" t="s">
        <v>362</v>
      </c>
      <c r="F217" s="4" t="s">
        <v>2141</v>
      </c>
      <c r="G217" s="4" t="s">
        <v>2143</v>
      </c>
      <c r="H217" s="4" t="s">
        <v>368</v>
      </c>
      <c r="I217" s="4" t="s">
        <v>976</v>
      </c>
      <c r="J217" s="4" t="s">
        <v>100</v>
      </c>
      <c r="K217" s="4" t="s">
        <v>101</v>
      </c>
      <c r="L217" s="2" t="s">
        <v>374</v>
      </c>
      <c r="M217" s="2" t="s">
        <v>393</v>
      </c>
      <c r="N217" s="4" t="s">
        <v>557</v>
      </c>
      <c r="O217" s="4" t="s">
        <v>164</v>
      </c>
      <c r="P217" s="4" t="s">
        <v>105</v>
      </c>
      <c r="Q217" s="152">
        <v>78</v>
      </c>
      <c r="R217" s="152">
        <v>3.681</v>
      </c>
      <c r="S217" s="152">
        <v>17579</v>
      </c>
      <c r="U217" s="152">
        <v>50.472000000000001</v>
      </c>
      <c r="V217" s="152">
        <v>0</v>
      </c>
      <c r="W217" s="166">
        <v>1.5404474135887801E-2</v>
      </c>
      <c r="X217" s="166">
        <v>1.7433174616979499E-3</v>
      </c>
    </row>
    <row r="218" spans="1:24">
      <c r="A218" s="4" t="s">
        <v>119</v>
      </c>
      <c r="B218" s="4">
        <v>12905</v>
      </c>
      <c r="C218" s="4" t="s">
        <v>2148</v>
      </c>
      <c r="D218" s="4" t="s">
        <v>2149</v>
      </c>
      <c r="E218" s="4" t="s">
        <v>362</v>
      </c>
      <c r="F218" s="4" t="s">
        <v>2150</v>
      </c>
      <c r="G218" s="4" t="s">
        <v>2151</v>
      </c>
      <c r="H218" s="4" t="s">
        <v>368</v>
      </c>
      <c r="I218" s="4" t="s">
        <v>976</v>
      </c>
      <c r="J218" s="4" t="s">
        <v>100</v>
      </c>
      <c r="K218" s="4" t="s">
        <v>101</v>
      </c>
      <c r="L218" s="2" t="s">
        <v>374</v>
      </c>
      <c r="M218" s="2" t="s">
        <v>391</v>
      </c>
      <c r="N218" s="4" t="s">
        <v>2053</v>
      </c>
      <c r="O218" s="4" t="s">
        <v>164</v>
      </c>
      <c r="P218" s="4" t="s">
        <v>105</v>
      </c>
      <c r="Q218" s="152">
        <v>55</v>
      </c>
      <c r="R218" s="152">
        <v>3.681</v>
      </c>
      <c r="S218" s="152">
        <v>27908</v>
      </c>
      <c r="U218" s="152">
        <v>56.500999999999998</v>
      </c>
      <c r="V218" s="152">
        <v>0</v>
      </c>
      <c r="W218" s="166">
        <v>1.7244456548635202E-2</v>
      </c>
      <c r="X218" s="166">
        <v>1.95154745001586E-3</v>
      </c>
    </row>
    <row r="219" spans="1:24">
      <c r="A219" s="4" t="s">
        <v>119</v>
      </c>
      <c r="B219" s="4">
        <v>12905</v>
      </c>
      <c r="C219" s="4" t="s">
        <v>2152</v>
      </c>
      <c r="D219" s="4" t="s">
        <v>2153</v>
      </c>
      <c r="E219" s="4" t="s">
        <v>362</v>
      </c>
      <c r="F219" s="4" t="s">
        <v>2154</v>
      </c>
      <c r="G219" s="4" t="s">
        <v>2155</v>
      </c>
      <c r="H219" s="4" t="s">
        <v>368</v>
      </c>
      <c r="I219" s="4" t="s">
        <v>976</v>
      </c>
      <c r="J219" s="4" t="s">
        <v>100</v>
      </c>
      <c r="K219" s="4" t="s">
        <v>101</v>
      </c>
      <c r="L219" s="2" t="s">
        <v>374</v>
      </c>
      <c r="M219" s="2" t="s">
        <v>391</v>
      </c>
      <c r="N219" s="4" t="s">
        <v>594</v>
      </c>
      <c r="O219" s="4" t="s">
        <v>164</v>
      </c>
      <c r="P219" s="4" t="s">
        <v>105</v>
      </c>
      <c r="Q219" s="152">
        <v>122</v>
      </c>
      <c r="R219" s="152">
        <v>3.681</v>
      </c>
      <c r="S219" s="152">
        <v>12236</v>
      </c>
      <c r="U219" s="152">
        <v>54.95</v>
      </c>
      <c r="V219" s="152">
        <v>0</v>
      </c>
      <c r="W219" s="166">
        <v>1.6770940088961201E-2</v>
      </c>
      <c r="X219" s="166">
        <v>1.89795980364319E-3</v>
      </c>
    </row>
    <row r="220" spans="1:24">
      <c r="A220" s="4" t="s">
        <v>119</v>
      </c>
      <c r="B220" s="4">
        <v>13680</v>
      </c>
      <c r="C220" s="4" t="s">
        <v>2156</v>
      </c>
      <c r="D220" s="4" t="s">
        <v>2157</v>
      </c>
      <c r="E220" s="4" t="s">
        <v>362</v>
      </c>
      <c r="F220" s="4" t="s">
        <v>2156</v>
      </c>
      <c r="G220" s="4" t="s">
        <v>2158</v>
      </c>
      <c r="H220" s="4" t="s">
        <v>368</v>
      </c>
      <c r="I220" s="4" t="s">
        <v>976</v>
      </c>
      <c r="J220" s="4" t="s">
        <v>31</v>
      </c>
      <c r="K220" s="4" t="s">
        <v>101</v>
      </c>
      <c r="L220" s="2" t="s">
        <v>374</v>
      </c>
      <c r="M220" s="2" t="s">
        <v>32</v>
      </c>
      <c r="N220" s="4" t="s">
        <v>575</v>
      </c>
      <c r="O220" s="4" t="s">
        <v>164</v>
      </c>
      <c r="P220" s="4" t="s">
        <v>105</v>
      </c>
      <c r="Q220" s="152">
        <v>83</v>
      </c>
      <c r="R220" s="152">
        <v>3.681</v>
      </c>
      <c r="S220" s="152">
        <v>24972</v>
      </c>
      <c r="T220" s="150">
        <v>1.7000000000000001E-2</v>
      </c>
      <c r="U220" s="152">
        <v>76.358000000000004</v>
      </c>
      <c r="V220" s="152">
        <v>0</v>
      </c>
      <c r="W220" s="166">
        <v>1.32118466857012E-2</v>
      </c>
      <c r="X220" s="166">
        <v>2.6105106650552699E-3</v>
      </c>
    </row>
    <row r="221" spans="1:24">
      <c r="A221" s="4" t="s">
        <v>119</v>
      </c>
      <c r="B221" s="4">
        <v>13680</v>
      </c>
      <c r="C221" s="4" t="s">
        <v>1843</v>
      </c>
      <c r="D221" s="4" t="s">
        <v>1844</v>
      </c>
      <c r="E221" s="4" t="s">
        <v>362</v>
      </c>
      <c r="F221" s="4" t="s">
        <v>1845</v>
      </c>
      <c r="G221" s="4" t="s">
        <v>1846</v>
      </c>
      <c r="H221" s="4" t="s">
        <v>368</v>
      </c>
      <c r="I221" s="4" t="s">
        <v>976</v>
      </c>
      <c r="J221" s="4" t="s">
        <v>100</v>
      </c>
      <c r="K221" s="4" t="s">
        <v>101</v>
      </c>
      <c r="L221" s="2" t="s">
        <v>374</v>
      </c>
      <c r="M221" s="2" t="s">
        <v>32</v>
      </c>
      <c r="N221" s="4" t="s">
        <v>485</v>
      </c>
      <c r="O221" s="4" t="s">
        <v>164</v>
      </c>
      <c r="P221" s="4" t="s">
        <v>35</v>
      </c>
      <c r="Q221" s="152">
        <v>581</v>
      </c>
      <c r="R221" s="152">
        <v>1</v>
      </c>
      <c r="S221" s="152">
        <v>24060</v>
      </c>
      <c r="U221" s="152">
        <v>139.78899999999999</v>
      </c>
      <c r="V221" s="152">
        <v>1.0000000000000001E-5</v>
      </c>
      <c r="W221" s="166">
        <v>2.4186950399300602E-2</v>
      </c>
      <c r="X221" s="166">
        <v>4.7790663542040604E-3</v>
      </c>
    </row>
    <row r="222" spans="1:24">
      <c r="A222" s="4" t="s">
        <v>119</v>
      </c>
      <c r="B222" s="4">
        <v>13680</v>
      </c>
      <c r="C222" s="4" t="s">
        <v>1847</v>
      </c>
      <c r="D222" s="4" t="s">
        <v>1848</v>
      </c>
      <c r="E222" s="4" t="s">
        <v>1380</v>
      </c>
      <c r="F222" s="4" t="s">
        <v>1849</v>
      </c>
      <c r="G222" s="4" t="s">
        <v>1850</v>
      </c>
      <c r="H222" s="4" t="s">
        <v>368</v>
      </c>
      <c r="I222" s="4" t="s">
        <v>976</v>
      </c>
      <c r="J222" s="4" t="s">
        <v>31</v>
      </c>
      <c r="K222" s="4" t="s">
        <v>31</v>
      </c>
      <c r="L222" s="2" t="s">
        <v>374</v>
      </c>
      <c r="M222" s="2" t="s">
        <v>32</v>
      </c>
      <c r="N222" s="4" t="s">
        <v>500</v>
      </c>
      <c r="O222" s="4" t="s">
        <v>164</v>
      </c>
      <c r="P222" s="4" t="s">
        <v>35</v>
      </c>
      <c r="Q222" s="152">
        <v>6500</v>
      </c>
      <c r="R222" s="152">
        <v>1</v>
      </c>
      <c r="S222" s="152">
        <v>1951</v>
      </c>
      <c r="U222" s="152">
        <v>126.815</v>
      </c>
      <c r="V222" s="152">
        <v>5.0000000000000004E-6</v>
      </c>
      <c r="W222" s="166">
        <v>2.19421906713946E-2</v>
      </c>
      <c r="X222" s="166">
        <v>4.3355273585141199E-3</v>
      </c>
    </row>
    <row r="223" spans="1:24">
      <c r="A223" s="4" t="s">
        <v>119</v>
      </c>
      <c r="B223" s="4">
        <v>13680</v>
      </c>
      <c r="C223" s="4" t="s">
        <v>1851</v>
      </c>
      <c r="D223" s="4" t="s">
        <v>1852</v>
      </c>
      <c r="E223" s="4" t="s">
        <v>1380</v>
      </c>
      <c r="F223" s="4" t="s">
        <v>1853</v>
      </c>
      <c r="G223" s="4" t="s">
        <v>1854</v>
      </c>
      <c r="H223" s="4" t="s">
        <v>368</v>
      </c>
      <c r="I223" s="4" t="s">
        <v>976</v>
      </c>
      <c r="J223" s="4" t="s">
        <v>31</v>
      </c>
      <c r="K223" s="4" t="s">
        <v>31</v>
      </c>
      <c r="L223" s="2" t="s">
        <v>374</v>
      </c>
      <c r="M223" s="2" t="s">
        <v>32</v>
      </c>
      <c r="N223" s="4" t="s">
        <v>489</v>
      </c>
      <c r="O223" s="4" t="s">
        <v>164</v>
      </c>
      <c r="P223" s="4" t="s">
        <v>35</v>
      </c>
      <c r="Q223" s="152">
        <v>629</v>
      </c>
      <c r="R223" s="152">
        <v>1</v>
      </c>
      <c r="S223" s="152">
        <v>10700</v>
      </c>
      <c r="U223" s="152">
        <v>67.302999999999997</v>
      </c>
      <c r="V223" s="152">
        <v>4.3000000000000002E-5</v>
      </c>
      <c r="W223" s="166">
        <v>1.16451150002513E-2</v>
      </c>
      <c r="X223" s="166">
        <v>2.3009423002805398E-3</v>
      </c>
    </row>
    <row r="224" spans="1:24">
      <c r="A224" s="4" t="s">
        <v>119</v>
      </c>
      <c r="B224" s="4">
        <v>13680</v>
      </c>
      <c r="C224" s="4" t="s">
        <v>1855</v>
      </c>
      <c r="D224" s="4" t="s">
        <v>1856</v>
      </c>
      <c r="E224" s="4" t="s">
        <v>1380</v>
      </c>
      <c r="F224" s="4" t="s">
        <v>1857</v>
      </c>
      <c r="G224" s="4" t="s">
        <v>1858</v>
      </c>
      <c r="H224" s="4" t="s">
        <v>368</v>
      </c>
      <c r="I224" s="4" t="s">
        <v>976</v>
      </c>
      <c r="J224" s="4" t="s">
        <v>31</v>
      </c>
      <c r="K224" s="4" t="s">
        <v>31</v>
      </c>
      <c r="L224" s="2" t="s">
        <v>374</v>
      </c>
      <c r="M224" s="2" t="s">
        <v>32</v>
      </c>
      <c r="N224" s="4" t="s">
        <v>507</v>
      </c>
      <c r="O224" s="4" t="s">
        <v>164</v>
      </c>
      <c r="P224" s="4" t="s">
        <v>35</v>
      </c>
      <c r="Q224" s="152">
        <v>791</v>
      </c>
      <c r="R224" s="152">
        <v>1</v>
      </c>
      <c r="S224" s="152">
        <v>1180</v>
      </c>
      <c r="U224" s="152">
        <v>9.3339999999999996</v>
      </c>
      <c r="V224" s="152">
        <v>6.0000000000000002E-6</v>
      </c>
      <c r="W224" s="166">
        <v>1.6149826068577299E-3</v>
      </c>
      <c r="X224" s="166">
        <v>3.1910219815399699E-4</v>
      </c>
    </row>
    <row r="225" spans="1:24">
      <c r="A225" s="4" t="s">
        <v>119</v>
      </c>
      <c r="B225" s="4">
        <v>13680</v>
      </c>
      <c r="C225" s="4" t="s">
        <v>1863</v>
      </c>
      <c r="D225" s="4" t="s">
        <v>1864</v>
      </c>
      <c r="E225" s="4" t="s">
        <v>1380</v>
      </c>
      <c r="F225" s="4" t="s">
        <v>1865</v>
      </c>
      <c r="G225" s="4" t="s">
        <v>1866</v>
      </c>
      <c r="H225" s="4" t="s">
        <v>368</v>
      </c>
      <c r="I225" s="4" t="s">
        <v>976</v>
      </c>
      <c r="J225" s="4" t="s">
        <v>31</v>
      </c>
      <c r="K225" s="4" t="s">
        <v>31</v>
      </c>
      <c r="L225" s="2" t="s">
        <v>374</v>
      </c>
      <c r="M225" s="2" t="s">
        <v>32</v>
      </c>
      <c r="N225" s="4" t="s">
        <v>490</v>
      </c>
      <c r="O225" s="4" t="s">
        <v>164</v>
      </c>
      <c r="P225" s="4" t="s">
        <v>35</v>
      </c>
      <c r="Q225" s="152">
        <v>213</v>
      </c>
      <c r="R225" s="152">
        <v>1</v>
      </c>
      <c r="S225" s="152">
        <v>77500</v>
      </c>
      <c r="U225" s="152">
        <v>165.07499999999999</v>
      </c>
      <c r="V225" s="152">
        <v>5.0000000000000004E-6</v>
      </c>
      <c r="W225" s="166">
        <v>2.8562134803299801E-2</v>
      </c>
      <c r="X225" s="166">
        <v>5.6435530395199203E-3</v>
      </c>
    </row>
    <row r="226" spans="1:24">
      <c r="A226" s="4" t="s">
        <v>119</v>
      </c>
      <c r="B226" s="4">
        <v>13680</v>
      </c>
      <c r="C226" s="4" t="s">
        <v>1867</v>
      </c>
      <c r="D226" s="4" t="s">
        <v>1868</v>
      </c>
      <c r="E226" s="4" t="s">
        <v>1380</v>
      </c>
      <c r="F226" s="4" t="s">
        <v>1869</v>
      </c>
      <c r="G226" s="4" t="s">
        <v>1870</v>
      </c>
      <c r="H226" s="4" t="s">
        <v>368</v>
      </c>
      <c r="I226" s="4" t="s">
        <v>976</v>
      </c>
      <c r="J226" s="4" t="s">
        <v>31</v>
      </c>
      <c r="K226" s="4" t="s">
        <v>31</v>
      </c>
      <c r="L226" s="2" t="s">
        <v>374</v>
      </c>
      <c r="M226" s="2" t="s">
        <v>32</v>
      </c>
      <c r="N226" s="4" t="s">
        <v>495</v>
      </c>
      <c r="O226" s="4" t="s">
        <v>164</v>
      </c>
      <c r="P226" s="4" t="s">
        <v>35</v>
      </c>
      <c r="Q226" s="152">
        <v>55</v>
      </c>
      <c r="R226" s="152">
        <v>1</v>
      </c>
      <c r="S226" s="152">
        <v>158340</v>
      </c>
      <c r="U226" s="152">
        <v>87.087000000000003</v>
      </c>
      <c r="V226" s="152">
        <v>1.4E-5</v>
      </c>
      <c r="W226" s="166">
        <v>1.50682455466604E-2</v>
      </c>
      <c r="X226" s="166">
        <v>2.97731396972692E-3</v>
      </c>
    </row>
    <row r="227" spans="1:24">
      <c r="A227" s="4" t="s">
        <v>119</v>
      </c>
      <c r="B227" s="4">
        <v>13680</v>
      </c>
      <c r="C227" s="4" t="s">
        <v>1871</v>
      </c>
      <c r="D227" s="4" t="s">
        <v>1872</v>
      </c>
      <c r="E227" s="4" t="s">
        <v>1380</v>
      </c>
      <c r="F227" s="4" t="s">
        <v>1873</v>
      </c>
      <c r="G227" s="4" t="s">
        <v>1874</v>
      </c>
      <c r="H227" s="4" t="s">
        <v>368</v>
      </c>
      <c r="I227" s="4" t="s">
        <v>976</v>
      </c>
      <c r="J227" s="4" t="s">
        <v>31</v>
      </c>
      <c r="K227" s="4" t="s">
        <v>101</v>
      </c>
      <c r="L227" s="2" t="s">
        <v>374</v>
      </c>
      <c r="M227" s="2" t="s">
        <v>32</v>
      </c>
      <c r="N227" s="4" t="s">
        <v>485</v>
      </c>
      <c r="O227" s="4" t="s">
        <v>164</v>
      </c>
      <c r="P227" s="4" t="s">
        <v>35</v>
      </c>
      <c r="Q227" s="152">
        <v>638.9</v>
      </c>
      <c r="R227" s="152">
        <v>1</v>
      </c>
      <c r="S227" s="152">
        <v>6299</v>
      </c>
      <c r="U227" s="152">
        <v>40.244</v>
      </c>
      <c r="V227" s="152">
        <v>5.0000000000000004E-6</v>
      </c>
      <c r="W227" s="166">
        <v>6.9632799385001996E-3</v>
      </c>
      <c r="X227" s="166">
        <v>1.37586493210622E-3</v>
      </c>
    </row>
    <row r="228" spans="1:24">
      <c r="A228" s="4" t="s">
        <v>119</v>
      </c>
      <c r="B228" s="4">
        <v>13680</v>
      </c>
      <c r="C228" s="4" t="s">
        <v>1875</v>
      </c>
      <c r="D228" s="4" t="s">
        <v>1876</v>
      </c>
      <c r="E228" s="4" t="s">
        <v>362</v>
      </c>
      <c r="F228" s="4" t="s">
        <v>1877</v>
      </c>
      <c r="G228" s="4" t="s">
        <v>1878</v>
      </c>
      <c r="H228" s="4" t="s">
        <v>368</v>
      </c>
      <c r="I228" s="4" t="s">
        <v>976</v>
      </c>
      <c r="J228" s="4" t="s">
        <v>100</v>
      </c>
      <c r="K228" s="4" t="s">
        <v>283</v>
      </c>
      <c r="L228" s="2" t="s">
        <v>374</v>
      </c>
      <c r="M228" s="2" t="s">
        <v>32</v>
      </c>
      <c r="N228" s="4" t="s">
        <v>498</v>
      </c>
      <c r="O228" s="4" t="s">
        <v>164</v>
      </c>
      <c r="P228" s="4" t="s">
        <v>35</v>
      </c>
      <c r="Q228" s="152">
        <v>1622</v>
      </c>
      <c r="R228" s="152">
        <v>1</v>
      </c>
      <c r="S228" s="152">
        <v>5008</v>
      </c>
      <c r="T228" s="150">
        <v>1.7809999999999999</v>
      </c>
      <c r="U228" s="152">
        <v>83.010999999999996</v>
      </c>
      <c r="V228" s="152">
        <v>9.0000000000000002E-6</v>
      </c>
      <c r="W228" s="166">
        <v>1.4362946386545301E-2</v>
      </c>
      <c r="X228" s="166">
        <v>2.8379548760789799E-3</v>
      </c>
    </row>
    <row r="229" spans="1:24">
      <c r="A229" s="4" t="s">
        <v>119</v>
      </c>
      <c r="B229" s="4">
        <v>13680</v>
      </c>
      <c r="C229" s="4" t="s">
        <v>1883</v>
      </c>
      <c r="D229" s="4" t="s">
        <v>1884</v>
      </c>
      <c r="E229" s="4" t="s">
        <v>1380</v>
      </c>
      <c r="F229" s="4" t="s">
        <v>1885</v>
      </c>
      <c r="G229" s="4" t="s">
        <v>1886</v>
      </c>
      <c r="H229" s="4" t="s">
        <v>368</v>
      </c>
      <c r="I229" s="4" t="s">
        <v>976</v>
      </c>
      <c r="J229" s="4" t="s">
        <v>31</v>
      </c>
      <c r="K229" s="4" t="s">
        <v>31</v>
      </c>
      <c r="L229" s="2" t="s">
        <v>374</v>
      </c>
      <c r="M229" s="2" t="s">
        <v>32</v>
      </c>
      <c r="N229" s="4" t="s">
        <v>491</v>
      </c>
      <c r="O229" s="4" t="s">
        <v>164</v>
      </c>
      <c r="P229" s="4" t="s">
        <v>35</v>
      </c>
      <c r="Q229" s="152">
        <v>1328</v>
      </c>
      <c r="R229" s="152">
        <v>1</v>
      </c>
      <c r="S229" s="152">
        <v>5478</v>
      </c>
      <c r="U229" s="152">
        <v>72.748000000000005</v>
      </c>
      <c r="V229" s="152">
        <v>1.2999999999999999E-5</v>
      </c>
      <c r="W229" s="166">
        <v>1.2587209527359601E-2</v>
      </c>
      <c r="X229" s="166">
        <v>2.4870894657004899E-3</v>
      </c>
    </row>
    <row r="230" spans="1:24">
      <c r="A230" s="4" t="s">
        <v>119</v>
      </c>
      <c r="B230" s="4">
        <v>13680</v>
      </c>
      <c r="C230" s="4" t="s">
        <v>1891</v>
      </c>
      <c r="D230" s="4" t="s">
        <v>1892</v>
      </c>
      <c r="E230" s="4" t="s">
        <v>1380</v>
      </c>
      <c r="F230" s="4" t="s">
        <v>1893</v>
      </c>
      <c r="G230" s="4" t="s">
        <v>1894</v>
      </c>
      <c r="H230" s="4" t="s">
        <v>368</v>
      </c>
      <c r="I230" s="4" t="s">
        <v>976</v>
      </c>
      <c r="J230" s="4" t="s">
        <v>31</v>
      </c>
      <c r="K230" s="4" t="s">
        <v>31</v>
      </c>
      <c r="L230" s="2" t="s">
        <v>374</v>
      </c>
      <c r="M230" s="2" t="s">
        <v>32</v>
      </c>
      <c r="N230" s="4" t="s">
        <v>484</v>
      </c>
      <c r="O230" s="4" t="s">
        <v>164</v>
      </c>
      <c r="P230" s="4" t="s">
        <v>35</v>
      </c>
      <c r="Q230" s="152">
        <v>21035</v>
      </c>
      <c r="R230" s="152">
        <v>1</v>
      </c>
      <c r="S230" s="152">
        <v>122</v>
      </c>
      <c r="T230" s="150">
        <v>3.5009999999999999</v>
      </c>
      <c r="U230" s="152">
        <v>29.164000000000001</v>
      </c>
      <c r="V230" s="152">
        <v>6.9999999999999999E-6</v>
      </c>
      <c r="W230" s="166">
        <v>5.0461397922704704E-3</v>
      </c>
      <c r="X230" s="166">
        <v>9.9705984019164999E-4</v>
      </c>
    </row>
    <row r="231" spans="1:24">
      <c r="A231" s="4" t="s">
        <v>119</v>
      </c>
      <c r="B231" s="4">
        <v>13680</v>
      </c>
      <c r="C231" s="4" t="s">
        <v>1895</v>
      </c>
      <c r="D231" s="4" t="s">
        <v>1896</v>
      </c>
      <c r="E231" s="4" t="s">
        <v>1380</v>
      </c>
      <c r="F231" s="4" t="s">
        <v>1897</v>
      </c>
      <c r="G231" s="4" t="s">
        <v>1898</v>
      </c>
      <c r="H231" s="4" t="s">
        <v>368</v>
      </c>
      <c r="I231" s="4" t="s">
        <v>976</v>
      </c>
      <c r="J231" s="4" t="s">
        <v>31</v>
      </c>
      <c r="K231" s="4" t="s">
        <v>31</v>
      </c>
      <c r="L231" s="2" t="s">
        <v>374</v>
      </c>
      <c r="M231" s="2" t="s">
        <v>32</v>
      </c>
      <c r="N231" s="4" t="s">
        <v>529</v>
      </c>
      <c r="O231" s="4" t="s">
        <v>164</v>
      </c>
      <c r="P231" s="4" t="s">
        <v>35</v>
      </c>
      <c r="Q231" s="152">
        <v>33892</v>
      </c>
      <c r="R231" s="152">
        <v>1</v>
      </c>
      <c r="S231" s="152">
        <v>473</v>
      </c>
      <c r="U231" s="152">
        <v>160.309</v>
      </c>
      <c r="V231" s="152">
        <v>1.2E-5</v>
      </c>
      <c r="W231" s="166">
        <v>2.7737524386634901E-2</v>
      </c>
      <c r="X231" s="166">
        <v>5.4806193983394603E-3</v>
      </c>
    </row>
    <row r="232" spans="1:24">
      <c r="A232" s="4" t="s">
        <v>119</v>
      </c>
      <c r="B232" s="4">
        <v>13680</v>
      </c>
      <c r="C232" s="4" t="s">
        <v>1899</v>
      </c>
      <c r="D232" s="4" t="s">
        <v>1900</v>
      </c>
      <c r="E232" s="4" t="s">
        <v>1380</v>
      </c>
      <c r="F232" s="4" t="s">
        <v>1901</v>
      </c>
      <c r="G232" s="4" t="s">
        <v>1902</v>
      </c>
      <c r="H232" s="4" t="s">
        <v>368</v>
      </c>
      <c r="I232" s="4" t="s">
        <v>976</v>
      </c>
      <c r="J232" s="4" t="s">
        <v>31</v>
      </c>
      <c r="K232" s="4" t="s">
        <v>31</v>
      </c>
      <c r="L232" s="2" t="s">
        <v>374</v>
      </c>
      <c r="M232" s="2" t="s">
        <v>32</v>
      </c>
      <c r="N232" s="4" t="s">
        <v>508</v>
      </c>
      <c r="O232" s="4" t="s">
        <v>164</v>
      </c>
      <c r="P232" s="4" t="s">
        <v>35</v>
      </c>
      <c r="Q232" s="152">
        <v>144</v>
      </c>
      <c r="R232" s="152">
        <v>1</v>
      </c>
      <c r="S232" s="152">
        <v>41030</v>
      </c>
      <c r="U232" s="152">
        <v>59.082999999999998</v>
      </c>
      <c r="V232" s="152">
        <v>6.0000000000000002E-6</v>
      </c>
      <c r="W232" s="166">
        <v>1.0222882465608501E-2</v>
      </c>
      <c r="X232" s="166">
        <v>2.0199253245165101E-3</v>
      </c>
    </row>
    <row r="233" spans="1:24">
      <c r="A233" s="4" t="s">
        <v>119</v>
      </c>
      <c r="B233" s="4">
        <v>13680</v>
      </c>
      <c r="C233" s="4" t="s">
        <v>1903</v>
      </c>
      <c r="D233" s="4" t="s">
        <v>1904</v>
      </c>
      <c r="E233" s="4" t="s">
        <v>1380</v>
      </c>
      <c r="F233" s="4" t="s">
        <v>1905</v>
      </c>
      <c r="G233" s="4" t="s">
        <v>1906</v>
      </c>
      <c r="H233" s="4" t="s">
        <v>368</v>
      </c>
      <c r="I233" s="4" t="s">
        <v>976</v>
      </c>
      <c r="J233" s="4" t="s">
        <v>31</v>
      </c>
      <c r="K233" s="4" t="s">
        <v>31</v>
      </c>
      <c r="L233" s="2" t="s">
        <v>374</v>
      </c>
      <c r="M233" s="2" t="s">
        <v>32</v>
      </c>
      <c r="N233" s="4" t="s">
        <v>492</v>
      </c>
      <c r="O233" s="4" t="s">
        <v>164</v>
      </c>
      <c r="P233" s="4" t="s">
        <v>35</v>
      </c>
      <c r="Q233" s="152">
        <v>85</v>
      </c>
      <c r="R233" s="152">
        <v>1</v>
      </c>
      <c r="S233" s="152">
        <v>15440</v>
      </c>
      <c r="U233" s="152">
        <v>13.124000000000001</v>
      </c>
      <c r="V233" s="152">
        <v>9.9999999999999995E-7</v>
      </c>
      <c r="W233" s="166">
        <v>2.27078271790705E-3</v>
      </c>
      <c r="X233" s="166">
        <v>4.4868084259069803E-4</v>
      </c>
    </row>
    <row r="234" spans="1:24">
      <c r="A234" s="4" t="s">
        <v>119</v>
      </c>
      <c r="B234" s="4">
        <v>13680</v>
      </c>
      <c r="C234" s="4" t="s">
        <v>1911</v>
      </c>
      <c r="D234" s="4" t="s">
        <v>1912</v>
      </c>
      <c r="E234" s="4" t="s">
        <v>1380</v>
      </c>
      <c r="F234" s="4" t="s">
        <v>1913</v>
      </c>
      <c r="G234" s="4" t="s">
        <v>1914</v>
      </c>
      <c r="H234" s="4" t="s">
        <v>368</v>
      </c>
      <c r="I234" s="4" t="s">
        <v>976</v>
      </c>
      <c r="J234" s="4" t="s">
        <v>31</v>
      </c>
      <c r="K234" s="4" t="s">
        <v>31</v>
      </c>
      <c r="L234" s="2" t="s">
        <v>374</v>
      </c>
      <c r="M234" s="2" t="s">
        <v>32</v>
      </c>
      <c r="N234" s="4" t="s">
        <v>492</v>
      </c>
      <c r="O234" s="4" t="s">
        <v>164</v>
      </c>
      <c r="P234" s="4" t="s">
        <v>35</v>
      </c>
      <c r="Q234" s="152">
        <v>8355</v>
      </c>
      <c r="R234" s="152">
        <v>1</v>
      </c>
      <c r="S234" s="152">
        <v>1946</v>
      </c>
      <c r="T234" s="150">
        <v>1.2410000000000001</v>
      </c>
      <c r="U234" s="152">
        <v>163.83000000000001</v>
      </c>
      <c r="V234" s="152">
        <v>6.9999999999999999E-6</v>
      </c>
      <c r="W234" s="166">
        <v>2.8346669982897799E-2</v>
      </c>
      <c r="X234" s="166">
        <v>5.6009796411915702E-3</v>
      </c>
    </row>
    <row r="235" spans="1:24">
      <c r="A235" s="4" t="s">
        <v>119</v>
      </c>
      <c r="B235" s="4">
        <v>13680</v>
      </c>
      <c r="C235" s="4" t="s">
        <v>2159</v>
      </c>
      <c r="D235" s="4" t="s">
        <v>2160</v>
      </c>
      <c r="E235" s="4" t="s">
        <v>1380</v>
      </c>
      <c r="F235" s="4" t="s">
        <v>2161</v>
      </c>
      <c r="G235" s="4" t="s">
        <v>2162</v>
      </c>
      <c r="H235" s="4" t="s">
        <v>368</v>
      </c>
      <c r="I235" s="4" t="s">
        <v>976</v>
      </c>
      <c r="J235" s="4" t="s">
        <v>31</v>
      </c>
      <c r="K235" s="4" t="s">
        <v>31</v>
      </c>
      <c r="L235" s="2" t="s">
        <v>374</v>
      </c>
      <c r="M235" s="2" t="s">
        <v>32</v>
      </c>
      <c r="N235" s="4" t="s">
        <v>498</v>
      </c>
      <c r="O235" s="4" t="s">
        <v>164</v>
      </c>
      <c r="P235" s="4" t="s">
        <v>35</v>
      </c>
      <c r="Q235" s="152">
        <v>81</v>
      </c>
      <c r="R235" s="152">
        <v>1</v>
      </c>
      <c r="S235" s="152">
        <v>48400</v>
      </c>
      <c r="U235" s="152">
        <v>39.204000000000001</v>
      </c>
      <c r="V235" s="152">
        <v>3.9999999999999998E-6</v>
      </c>
      <c r="W235" s="166">
        <v>6.7832799202093902E-3</v>
      </c>
      <c r="X235" s="166">
        <v>1.34029897538294E-3</v>
      </c>
    </row>
    <row r="236" spans="1:24">
      <c r="A236" s="4" t="s">
        <v>119</v>
      </c>
      <c r="B236" s="4">
        <v>13680</v>
      </c>
      <c r="C236" s="4" t="s">
        <v>1915</v>
      </c>
      <c r="D236" s="4" t="s">
        <v>1916</v>
      </c>
      <c r="E236" s="4" t="s">
        <v>1380</v>
      </c>
      <c r="F236" s="4" t="s">
        <v>1917</v>
      </c>
      <c r="G236" s="4" t="s">
        <v>1918</v>
      </c>
      <c r="H236" s="4" t="s">
        <v>368</v>
      </c>
      <c r="I236" s="4" t="s">
        <v>976</v>
      </c>
      <c r="J236" s="4" t="s">
        <v>31</v>
      </c>
      <c r="K236" s="4" t="s">
        <v>31</v>
      </c>
      <c r="L236" s="2" t="s">
        <v>374</v>
      </c>
      <c r="M236" s="2" t="s">
        <v>32</v>
      </c>
      <c r="N236" s="4" t="s">
        <v>481</v>
      </c>
      <c r="O236" s="4" t="s">
        <v>164</v>
      </c>
      <c r="P236" s="4" t="s">
        <v>35</v>
      </c>
      <c r="Q236" s="152">
        <v>460</v>
      </c>
      <c r="R236" s="152">
        <v>1</v>
      </c>
      <c r="S236" s="152">
        <v>16390</v>
      </c>
      <c r="U236" s="152">
        <v>75.394000000000005</v>
      </c>
      <c r="V236" s="152">
        <v>1.8E-5</v>
      </c>
      <c r="W236" s="166">
        <v>1.3045061889201799E-2</v>
      </c>
      <c r="X236" s="166">
        <v>2.5775558858795399E-3</v>
      </c>
    </row>
    <row r="237" spans="1:24">
      <c r="A237" s="4" t="s">
        <v>119</v>
      </c>
      <c r="B237" s="4">
        <v>13680</v>
      </c>
      <c r="C237" s="4" t="s">
        <v>2182</v>
      </c>
      <c r="D237" s="4" t="s">
        <v>2183</v>
      </c>
      <c r="E237" s="4" t="s">
        <v>1380</v>
      </c>
      <c r="F237" s="4" t="s">
        <v>2184</v>
      </c>
      <c r="G237" s="4" t="s">
        <v>2185</v>
      </c>
      <c r="H237" s="4" t="s">
        <v>368</v>
      </c>
      <c r="I237" s="4" t="s">
        <v>976</v>
      </c>
      <c r="J237" s="4" t="s">
        <v>31</v>
      </c>
      <c r="K237" s="4" t="s">
        <v>31</v>
      </c>
      <c r="L237" s="2" t="s">
        <v>374</v>
      </c>
      <c r="M237" s="2" t="s">
        <v>32</v>
      </c>
      <c r="N237" s="4" t="s">
        <v>508</v>
      </c>
      <c r="O237" s="4" t="s">
        <v>164</v>
      </c>
      <c r="P237" s="4" t="s">
        <v>35</v>
      </c>
      <c r="Q237" s="152">
        <v>237</v>
      </c>
      <c r="R237" s="152">
        <v>1</v>
      </c>
      <c r="S237" s="152">
        <v>3387</v>
      </c>
      <c r="U237" s="152">
        <v>8.0269999999999992</v>
      </c>
      <c r="V237" s="152">
        <v>6.0000000000000002E-6</v>
      </c>
      <c r="W237" s="166">
        <v>1.38890615097198E-3</v>
      </c>
      <c r="X237" s="166">
        <v>2.7443206132548198E-4</v>
      </c>
    </row>
    <row r="238" spans="1:24">
      <c r="A238" s="4" t="s">
        <v>119</v>
      </c>
      <c r="B238" s="4">
        <v>13680</v>
      </c>
      <c r="C238" s="4" t="s">
        <v>1919</v>
      </c>
      <c r="D238" s="4" t="s">
        <v>1920</v>
      </c>
      <c r="E238" s="4" t="s">
        <v>1380</v>
      </c>
      <c r="F238" s="4" t="s">
        <v>1921</v>
      </c>
      <c r="G238" s="4" t="s">
        <v>1922</v>
      </c>
      <c r="H238" s="4" t="s">
        <v>368</v>
      </c>
      <c r="I238" s="4" t="s">
        <v>976</v>
      </c>
      <c r="J238" s="4" t="s">
        <v>31</v>
      </c>
      <c r="K238" s="4" t="s">
        <v>31</v>
      </c>
      <c r="L238" s="2" t="s">
        <v>374</v>
      </c>
      <c r="M238" s="2" t="s">
        <v>32</v>
      </c>
      <c r="N238" s="4" t="s">
        <v>489</v>
      </c>
      <c r="O238" s="4" t="s">
        <v>164</v>
      </c>
      <c r="P238" s="4" t="s">
        <v>35</v>
      </c>
      <c r="Q238" s="152">
        <v>448</v>
      </c>
      <c r="R238" s="152">
        <v>1</v>
      </c>
      <c r="S238" s="152">
        <v>3810</v>
      </c>
      <c r="U238" s="152">
        <v>17.068999999999999</v>
      </c>
      <c r="V238" s="152">
        <v>1.9999999999999999E-6</v>
      </c>
      <c r="W238" s="166">
        <v>2.9533325247951699E-3</v>
      </c>
      <c r="X238" s="166">
        <v>5.8354492273789301E-4</v>
      </c>
    </row>
    <row r="239" spans="1:24">
      <c r="A239" s="4" t="s">
        <v>119</v>
      </c>
      <c r="B239" s="4">
        <v>13680</v>
      </c>
      <c r="C239" s="4" t="s">
        <v>1923</v>
      </c>
      <c r="D239" s="4" t="s">
        <v>1924</v>
      </c>
      <c r="E239" s="4" t="s">
        <v>1380</v>
      </c>
      <c r="F239" s="4" t="s">
        <v>1925</v>
      </c>
      <c r="G239" s="4" t="s">
        <v>1926</v>
      </c>
      <c r="H239" s="4" t="s">
        <v>368</v>
      </c>
      <c r="I239" s="4" t="s">
        <v>976</v>
      </c>
      <c r="J239" s="4" t="s">
        <v>31</v>
      </c>
      <c r="K239" s="4" t="s">
        <v>31</v>
      </c>
      <c r="L239" s="2" t="s">
        <v>374</v>
      </c>
      <c r="M239" s="2" t="s">
        <v>32</v>
      </c>
      <c r="N239" s="4" t="s">
        <v>489</v>
      </c>
      <c r="O239" s="4" t="s">
        <v>164</v>
      </c>
      <c r="P239" s="4" t="s">
        <v>35</v>
      </c>
      <c r="Q239" s="152">
        <v>1926</v>
      </c>
      <c r="R239" s="152">
        <v>1</v>
      </c>
      <c r="S239" s="152">
        <v>3510</v>
      </c>
      <c r="U239" s="152">
        <v>67.602999999999994</v>
      </c>
      <c r="V239" s="152">
        <v>9.0000000000000002E-6</v>
      </c>
      <c r="W239" s="166">
        <v>1.1696953350014E-2</v>
      </c>
      <c r="X239" s="166">
        <v>2.31118496870786E-3</v>
      </c>
    </row>
    <row r="240" spans="1:24">
      <c r="A240" s="4" t="s">
        <v>119</v>
      </c>
      <c r="B240" s="4">
        <v>13680</v>
      </c>
      <c r="C240" s="4" t="s">
        <v>1927</v>
      </c>
      <c r="D240" s="4" t="s">
        <v>1928</v>
      </c>
      <c r="E240" s="4" t="s">
        <v>1380</v>
      </c>
      <c r="F240" s="4" t="s">
        <v>1929</v>
      </c>
      <c r="G240" s="4" t="s">
        <v>1930</v>
      </c>
      <c r="H240" s="4" t="s">
        <v>368</v>
      </c>
      <c r="I240" s="4" t="s">
        <v>976</v>
      </c>
      <c r="J240" s="4" t="s">
        <v>31</v>
      </c>
      <c r="K240" s="4" t="s">
        <v>31</v>
      </c>
      <c r="L240" s="2" t="s">
        <v>374</v>
      </c>
      <c r="M240" s="2" t="s">
        <v>32</v>
      </c>
      <c r="N240" s="4" t="s">
        <v>495</v>
      </c>
      <c r="O240" s="4" t="s">
        <v>164</v>
      </c>
      <c r="P240" s="4" t="s">
        <v>35</v>
      </c>
      <c r="Q240" s="152">
        <v>12</v>
      </c>
      <c r="R240" s="152">
        <v>1</v>
      </c>
      <c r="S240" s="152">
        <v>100120</v>
      </c>
      <c r="U240" s="152">
        <v>12.013999999999999</v>
      </c>
      <c r="V240" s="152">
        <v>1.9999999999999999E-6</v>
      </c>
      <c r="W240" s="166">
        <v>2.0787939565698301E-3</v>
      </c>
      <c r="X240" s="166">
        <v>4.1074604657281898E-4</v>
      </c>
    </row>
    <row r="241" spans="1:24">
      <c r="A241" s="4" t="s">
        <v>119</v>
      </c>
      <c r="B241" s="4">
        <v>13680</v>
      </c>
      <c r="C241" s="4" t="s">
        <v>1931</v>
      </c>
      <c r="D241" s="4" t="s">
        <v>1932</v>
      </c>
      <c r="E241" s="4" t="s">
        <v>1380</v>
      </c>
      <c r="F241" s="4" t="s">
        <v>1933</v>
      </c>
      <c r="G241" s="4" t="s">
        <v>1934</v>
      </c>
      <c r="H241" s="4" t="s">
        <v>368</v>
      </c>
      <c r="I241" s="4" t="s">
        <v>976</v>
      </c>
      <c r="J241" s="4" t="s">
        <v>31</v>
      </c>
      <c r="K241" s="4" t="s">
        <v>31</v>
      </c>
      <c r="L241" s="2" t="s">
        <v>374</v>
      </c>
      <c r="M241" s="2" t="s">
        <v>32</v>
      </c>
      <c r="N241" s="4" t="s">
        <v>521</v>
      </c>
      <c r="O241" s="4" t="s">
        <v>164</v>
      </c>
      <c r="P241" s="4" t="s">
        <v>35</v>
      </c>
      <c r="Q241" s="152">
        <v>131</v>
      </c>
      <c r="R241" s="152">
        <v>1</v>
      </c>
      <c r="S241" s="152">
        <v>23460</v>
      </c>
      <c r="U241" s="152">
        <v>30.733000000000001</v>
      </c>
      <c r="V241" s="152">
        <v>6.0000000000000002E-6</v>
      </c>
      <c r="W241" s="166">
        <v>5.3175142453787102E-3</v>
      </c>
      <c r="X241" s="166">
        <v>1.0506803461599299E-3</v>
      </c>
    </row>
    <row r="242" spans="1:24">
      <c r="A242" s="4" t="s">
        <v>119</v>
      </c>
      <c r="B242" s="4">
        <v>13680</v>
      </c>
      <c r="C242" s="4" t="s">
        <v>1939</v>
      </c>
      <c r="D242" s="4" t="s">
        <v>1940</v>
      </c>
      <c r="E242" s="4" t="s">
        <v>1380</v>
      </c>
      <c r="F242" s="4" t="s">
        <v>1941</v>
      </c>
      <c r="G242" s="4" t="s">
        <v>1942</v>
      </c>
      <c r="H242" s="4" t="s">
        <v>368</v>
      </c>
      <c r="I242" s="4" t="s">
        <v>976</v>
      </c>
      <c r="J242" s="4" t="s">
        <v>31</v>
      </c>
      <c r="K242" s="4" t="s">
        <v>346</v>
      </c>
      <c r="L242" s="2" t="s">
        <v>374</v>
      </c>
      <c r="M242" s="2" t="s">
        <v>32</v>
      </c>
      <c r="N242" s="4" t="s">
        <v>502</v>
      </c>
      <c r="O242" s="4" t="s">
        <v>164</v>
      </c>
      <c r="P242" s="4" t="s">
        <v>35</v>
      </c>
      <c r="Q242" s="152">
        <v>954</v>
      </c>
      <c r="R242" s="152">
        <v>1</v>
      </c>
      <c r="S242" s="152">
        <v>12310</v>
      </c>
      <c r="U242" s="152">
        <v>117.437</v>
      </c>
      <c r="V242" s="152">
        <v>9.0000000000000002E-6</v>
      </c>
      <c r="W242" s="166">
        <v>2.0319629560799898E-2</v>
      </c>
      <c r="X242" s="166">
        <v>4.01492773420153E-3</v>
      </c>
    </row>
    <row r="243" spans="1:24">
      <c r="A243" s="4" t="s">
        <v>119</v>
      </c>
      <c r="B243" s="4">
        <v>13680</v>
      </c>
      <c r="C243" s="4" t="s">
        <v>1943</v>
      </c>
      <c r="D243" s="4" t="s">
        <v>1944</v>
      </c>
      <c r="E243" s="4" t="s">
        <v>1380</v>
      </c>
      <c r="F243" s="4" t="s">
        <v>1945</v>
      </c>
      <c r="G243" s="4" t="s">
        <v>1946</v>
      </c>
      <c r="H243" s="4" t="s">
        <v>368</v>
      </c>
      <c r="I243" s="4" t="s">
        <v>976</v>
      </c>
      <c r="J243" s="4" t="s">
        <v>31</v>
      </c>
      <c r="K243" s="4" t="s">
        <v>101</v>
      </c>
      <c r="L243" s="2" t="s">
        <v>374</v>
      </c>
      <c r="M243" s="2" t="s">
        <v>32</v>
      </c>
      <c r="N243" s="4" t="s">
        <v>511</v>
      </c>
      <c r="O243" s="4" t="s">
        <v>164</v>
      </c>
      <c r="P243" s="4" t="s">
        <v>35</v>
      </c>
      <c r="Q243" s="152">
        <v>8004</v>
      </c>
      <c r="R243" s="152">
        <v>1</v>
      </c>
      <c r="S243" s="152">
        <v>5173</v>
      </c>
      <c r="U243" s="152">
        <v>414.04700000000003</v>
      </c>
      <c r="V243" s="152">
        <v>6.9999999999999999E-6</v>
      </c>
      <c r="W243" s="166">
        <v>7.1640550924919402E-2</v>
      </c>
      <c r="X243" s="166">
        <v>1.4155358193971601E-2</v>
      </c>
    </row>
    <row r="244" spans="1:24">
      <c r="A244" s="4" t="s">
        <v>119</v>
      </c>
      <c r="B244" s="4">
        <v>13680</v>
      </c>
      <c r="C244" s="4" t="s">
        <v>1947</v>
      </c>
      <c r="D244" s="4" t="s">
        <v>1948</v>
      </c>
      <c r="E244" s="4" t="s">
        <v>1380</v>
      </c>
      <c r="F244" s="4" t="s">
        <v>1949</v>
      </c>
      <c r="G244" s="4" t="s">
        <v>1950</v>
      </c>
      <c r="H244" s="4" t="s">
        <v>368</v>
      </c>
      <c r="I244" s="4" t="s">
        <v>976</v>
      </c>
      <c r="J244" s="4" t="s">
        <v>31</v>
      </c>
      <c r="K244" s="4" t="s">
        <v>31</v>
      </c>
      <c r="L244" s="2" t="s">
        <v>374</v>
      </c>
      <c r="M244" s="2" t="s">
        <v>32</v>
      </c>
      <c r="N244" s="4" t="s">
        <v>520</v>
      </c>
      <c r="O244" s="4" t="s">
        <v>164</v>
      </c>
      <c r="P244" s="4" t="s">
        <v>35</v>
      </c>
      <c r="Q244" s="152">
        <v>7126</v>
      </c>
      <c r="R244" s="152">
        <v>1</v>
      </c>
      <c r="S244" s="152">
        <v>511</v>
      </c>
      <c r="U244" s="152">
        <v>36.414000000000001</v>
      </c>
      <c r="V244" s="152">
        <v>6.7000000000000002E-5</v>
      </c>
      <c r="W244" s="166">
        <v>6.3005153901468198E-3</v>
      </c>
      <c r="X244" s="166">
        <v>1.2449101940551399E-3</v>
      </c>
    </row>
    <row r="245" spans="1:24">
      <c r="A245" s="4" t="s">
        <v>119</v>
      </c>
      <c r="B245" s="4">
        <v>13680</v>
      </c>
      <c r="C245" s="4" t="s">
        <v>1951</v>
      </c>
      <c r="D245" s="4" t="s">
        <v>1952</v>
      </c>
      <c r="E245" s="4" t="s">
        <v>1380</v>
      </c>
      <c r="F245" s="4" t="s">
        <v>1953</v>
      </c>
      <c r="G245" s="4" t="s">
        <v>1954</v>
      </c>
      <c r="H245" s="4" t="s">
        <v>368</v>
      </c>
      <c r="I245" s="4" t="s">
        <v>976</v>
      </c>
      <c r="J245" s="4" t="s">
        <v>31</v>
      </c>
      <c r="K245" s="4" t="s">
        <v>31</v>
      </c>
      <c r="L245" s="2" t="s">
        <v>374</v>
      </c>
      <c r="M245" s="2" t="s">
        <v>32</v>
      </c>
      <c r="N245" s="4" t="s">
        <v>523</v>
      </c>
      <c r="O245" s="4" t="s">
        <v>164</v>
      </c>
      <c r="P245" s="4" t="s">
        <v>35</v>
      </c>
      <c r="Q245" s="152">
        <v>4025</v>
      </c>
      <c r="R245" s="152">
        <v>1</v>
      </c>
      <c r="S245" s="152">
        <v>1476</v>
      </c>
      <c r="T245" s="150">
        <v>0.92200000000000004</v>
      </c>
      <c r="U245" s="152">
        <v>60.331000000000003</v>
      </c>
      <c r="V245" s="152">
        <v>2.0000000000000002E-5</v>
      </c>
      <c r="W245" s="166">
        <v>1.0438812723797E-2</v>
      </c>
      <c r="X245" s="166">
        <v>2.0625906880587198E-3</v>
      </c>
    </row>
    <row r="246" spans="1:24">
      <c r="A246" s="4" t="s">
        <v>119</v>
      </c>
      <c r="B246" s="4">
        <v>13680</v>
      </c>
      <c r="C246" s="4" t="s">
        <v>1955</v>
      </c>
      <c r="D246" s="4" t="s">
        <v>1956</v>
      </c>
      <c r="E246" s="4" t="s">
        <v>1380</v>
      </c>
      <c r="F246" s="4" t="s">
        <v>1957</v>
      </c>
      <c r="G246" s="4" t="s">
        <v>1958</v>
      </c>
      <c r="H246" s="4" t="s">
        <v>368</v>
      </c>
      <c r="I246" s="4" t="s">
        <v>976</v>
      </c>
      <c r="J246" s="4" t="s">
        <v>31</v>
      </c>
      <c r="K246" s="4" t="s">
        <v>31</v>
      </c>
      <c r="L246" s="2" t="s">
        <v>374</v>
      </c>
      <c r="M246" s="2" t="s">
        <v>32</v>
      </c>
      <c r="N246" s="4" t="s">
        <v>489</v>
      </c>
      <c r="O246" s="4" t="s">
        <v>164</v>
      </c>
      <c r="P246" s="4" t="s">
        <v>35</v>
      </c>
      <c r="Q246" s="152">
        <v>552</v>
      </c>
      <c r="R246" s="152">
        <v>1</v>
      </c>
      <c r="S246" s="152">
        <v>6569</v>
      </c>
      <c r="U246" s="152">
        <v>36.261000000000003</v>
      </c>
      <c r="V246" s="152">
        <v>6.9999999999999999E-6</v>
      </c>
      <c r="W246" s="166">
        <v>6.2740459951311604E-3</v>
      </c>
      <c r="X246" s="166">
        <v>1.2396801425998299E-3</v>
      </c>
    </row>
    <row r="247" spans="1:24">
      <c r="A247" s="4" t="s">
        <v>119</v>
      </c>
      <c r="B247" s="4">
        <v>13680</v>
      </c>
      <c r="C247" s="4" t="s">
        <v>1219</v>
      </c>
      <c r="D247" s="4" t="s">
        <v>1959</v>
      </c>
      <c r="E247" s="4" t="s">
        <v>1380</v>
      </c>
      <c r="F247" s="4" t="s">
        <v>1960</v>
      </c>
      <c r="G247" s="4" t="s">
        <v>1961</v>
      </c>
      <c r="H247" s="4" t="s">
        <v>368</v>
      </c>
      <c r="I247" s="4" t="s">
        <v>976</v>
      </c>
      <c r="J247" s="4" t="s">
        <v>31</v>
      </c>
      <c r="K247" s="4" t="s">
        <v>31</v>
      </c>
      <c r="L247" s="2" t="s">
        <v>374</v>
      </c>
      <c r="M247" s="2" t="s">
        <v>32</v>
      </c>
      <c r="N247" s="4" t="s">
        <v>492</v>
      </c>
      <c r="O247" s="4" t="s">
        <v>164</v>
      </c>
      <c r="P247" s="4" t="s">
        <v>35</v>
      </c>
      <c r="Q247" s="152">
        <v>10747</v>
      </c>
      <c r="R247" s="152">
        <v>1</v>
      </c>
      <c r="S247" s="152">
        <v>3100</v>
      </c>
      <c r="T247" s="150">
        <v>2.5760000000000001</v>
      </c>
      <c r="U247" s="152">
        <v>335.733</v>
      </c>
      <c r="V247" s="152">
        <v>6.9999999999999999E-6</v>
      </c>
      <c r="W247" s="166">
        <v>5.8090293518795202E-2</v>
      </c>
      <c r="X247" s="166">
        <v>1.14779814188373E-2</v>
      </c>
    </row>
    <row r="248" spans="1:24">
      <c r="A248" s="4" t="s">
        <v>119</v>
      </c>
      <c r="B248" s="4">
        <v>13680</v>
      </c>
      <c r="C248" s="4" t="s">
        <v>2163</v>
      </c>
      <c r="D248" s="4" t="s">
        <v>2164</v>
      </c>
      <c r="E248" s="4" t="s">
        <v>1380</v>
      </c>
      <c r="F248" s="4" t="s">
        <v>2165</v>
      </c>
      <c r="G248" s="4" t="s">
        <v>2166</v>
      </c>
      <c r="H248" s="4" t="s">
        <v>368</v>
      </c>
      <c r="I248" s="4" t="s">
        <v>976</v>
      </c>
      <c r="J248" s="4" t="s">
        <v>31</v>
      </c>
      <c r="K248" s="4" t="s">
        <v>31</v>
      </c>
      <c r="L248" s="2" t="s">
        <v>374</v>
      </c>
      <c r="M248" s="2" t="s">
        <v>32</v>
      </c>
      <c r="N248" s="4" t="s">
        <v>520</v>
      </c>
      <c r="O248" s="4" t="s">
        <v>164</v>
      </c>
      <c r="P248" s="4" t="s">
        <v>35</v>
      </c>
      <c r="Q248" s="152">
        <v>220</v>
      </c>
      <c r="R248" s="152">
        <v>1</v>
      </c>
      <c r="S248" s="152">
        <v>18180</v>
      </c>
      <c r="U248" s="152">
        <v>39.996000000000002</v>
      </c>
      <c r="V248" s="152">
        <v>1.5E-5</v>
      </c>
      <c r="W248" s="166">
        <v>6.9203158781934197E-3</v>
      </c>
      <c r="X248" s="166">
        <v>1.36737572236037E-3</v>
      </c>
    </row>
    <row r="249" spans="1:24">
      <c r="A249" s="4" t="s">
        <v>119</v>
      </c>
      <c r="B249" s="4">
        <v>13680</v>
      </c>
      <c r="C249" s="4" t="s">
        <v>2167</v>
      </c>
      <c r="D249" s="4" t="s">
        <v>2168</v>
      </c>
      <c r="E249" s="4" t="s">
        <v>1380</v>
      </c>
      <c r="F249" s="4" t="s">
        <v>2169</v>
      </c>
      <c r="G249" s="4" t="s">
        <v>2170</v>
      </c>
      <c r="H249" s="4" t="s">
        <v>368</v>
      </c>
      <c r="I249" s="4" t="s">
        <v>976</v>
      </c>
      <c r="J249" s="4" t="s">
        <v>31</v>
      </c>
      <c r="K249" s="4" t="s">
        <v>31</v>
      </c>
      <c r="L249" s="2" t="s">
        <v>374</v>
      </c>
      <c r="M249" s="2" t="s">
        <v>32</v>
      </c>
      <c r="N249" s="4" t="s">
        <v>508</v>
      </c>
      <c r="O249" s="4" t="s">
        <v>164</v>
      </c>
      <c r="P249" s="4" t="s">
        <v>35</v>
      </c>
      <c r="Q249" s="152">
        <v>8869</v>
      </c>
      <c r="R249" s="152">
        <v>1</v>
      </c>
      <c r="S249" s="152">
        <v>907.1</v>
      </c>
      <c r="U249" s="152">
        <v>80.450999999999993</v>
      </c>
      <c r="V249" s="152">
        <v>1.2E-5</v>
      </c>
      <c r="W249" s="166">
        <v>1.39199982423607E-2</v>
      </c>
      <c r="X249" s="166">
        <v>2.75043335982403E-3</v>
      </c>
    </row>
    <row r="250" spans="1:24">
      <c r="A250" s="4" t="s">
        <v>119</v>
      </c>
      <c r="B250" s="4">
        <v>13680</v>
      </c>
      <c r="C250" s="4" t="s">
        <v>1966</v>
      </c>
      <c r="D250" s="4" t="s">
        <v>1967</v>
      </c>
      <c r="E250" s="4" t="s">
        <v>1380</v>
      </c>
      <c r="F250" s="4" t="s">
        <v>1968</v>
      </c>
      <c r="G250" s="4" t="s">
        <v>1969</v>
      </c>
      <c r="H250" s="4" t="s">
        <v>368</v>
      </c>
      <c r="I250" s="4" t="s">
        <v>976</v>
      </c>
      <c r="J250" s="4" t="s">
        <v>31</v>
      </c>
      <c r="K250" s="4" t="s">
        <v>31</v>
      </c>
      <c r="L250" s="2" t="s">
        <v>374</v>
      </c>
      <c r="M250" s="2" t="s">
        <v>32</v>
      </c>
      <c r="N250" s="4" t="s">
        <v>503</v>
      </c>
      <c r="O250" s="4" t="s">
        <v>164</v>
      </c>
      <c r="P250" s="4" t="s">
        <v>35</v>
      </c>
      <c r="Q250" s="152">
        <v>83</v>
      </c>
      <c r="R250" s="152">
        <v>1</v>
      </c>
      <c r="S250" s="152">
        <v>15760</v>
      </c>
      <c r="U250" s="152">
        <v>13.081</v>
      </c>
      <c r="V250" s="152">
        <v>2.5000000000000001E-5</v>
      </c>
      <c r="W250" s="166">
        <v>2.2633080292897398E-3</v>
      </c>
      <c r="X250" s="166">
        <v>4.4720392911920201E-4</v>
      </c>
    </row>
    <row r="251" spans="1:24">
      <c r="A251" s="4" t="s">
        <v>119</v>
      </c>
      <c r="B251" s="4">
        <v>13680</v>
      </c>
      <c r="C251" s="4" t="s">
        <v>1970</v>
      </c>
      <c r="D251" s="4" t="s">
        <v>1971</v>
      </c>
      <c r="E251" s="4" t="s">
        <v>1380</v>
      </c>
      <c r="F251" s="4" t="s">
        <v>1972</v>
      </c>
      <c r="G251" s="4" t="s">
        <v>1973</v>
      </c>
      <c r="H251" s="4" t="s">
        <v>368</v>
      </c>
      <c r="I251" s="4" t="s">
        <v>976</v>
      </c>
      <c r="J251" s="4" t="s">
        <v>31</v>
      </c>
      <c r="K251" s="4" t="s">
        <v>31</v>
      </c>
      <c r="L251" s="2" t="s">
        <v>374</v>
      </c>
      <c r="M251" s="2" t="s">
        <v>32</v>
      </c>
      <c r="N251" s="4" t="s">
        <v>521</v>
      </c>
      <c r="O251" s="4" t="s">
        <v>164</v>
      </c>
      <c r="P251" s="4" t="s">
        <v>35</v>
      </c>
      <c r="Q251" s="152">
        <v>153</v>
      </c>
      <c r="R251" s="152">
        <v>1</v>
      </c>
      <c r="S251" s="152">
        <v>8160</v>
      </c>
      <c r="T251" s="150">
        <v>0.19400000000000001</v>
      </c>
      <c r="U251" s="152">
        <v>12.679</v>
      </c>
      <c r="V251" s="152">
        <v>1.9999999999999999E-6</v>
      </c>
      <c r="W251" s="166">
        <v>2.1938055369127101E-3</v>
      </c>
      <c r="X251" s="166">
        <v>4.3347102698111401E-4</v>
      </c>
    </row>
    <row r="252" spans="1:24">
      <c r="A252" s="4" t="s">
        <v>119</v>
      </c>
      <c r="B252" s="4">
        <v>13680</v>
      </c>
      <c r="C252" s="4" t="s">
        <v>1974</v>
      </c>
      <c r="D252" s="4" t="s">
        <v>1975</v>
      </c>
      <c r="E252" s="4" t="s">
        <v>1380</v>
      </c>
      <c r="F252" s="4" t="s">
        <v>1976</v>
      </c>
      <c r="G252" s="4" t="s">
        <v>1977</v>
      </c>
      <c r="H252" s="4" t="s">
        <v>368</v>
      </c>
      <c r="I252" s="4" t="s">
        <v>976</v>
      </c>
      <c r="J252" s="4" t="s">
        <v>31</v>
      </c>
      <c r="K252" s="4" t="s">
        <v>31</v>
      </c>
      <c r="L252" s="2" t="s">
        <v>374</v>
      </c>
      <c r="M252" s="2" t="s">
        <v>32</v>
      </c>
      <c r="N252" s="4" t="s">
        <v>508</v>
      </c>
      <c r="O252" s="4" t="s">
        <v>164</v>
      </c>
      <c r="P252" s="4" t="s">
        <v>35</v>
      </c>
      <c r="Q252" s="152">
        <v>140</v>
      </c>
      <c r="R252" s="152">
        <v>1</v>
      </c>
      <c r="S252" s="152">
        <v>26900</v>
      </c>
      <c r="T252" s="150">
        <v>0.35399999999999998</v>
      </c>
      <c r="U252" s="152">
        <v>38.014000000000003</v>
      </c>
      <c r="V252" s="152">
        <v>3.0000000000000001E-6</v>
      </c>
      <c r="W252" s="166">
        <v>6.5772986109906397E-3</v>
      </c>
      <c r="X252" s="166">
        <v>1.2995994110215499E-3</v>
      </c>
    </row>
    <row r="253" spans="1:24">
      <c r="A253" s="4" t="s">
        <v>119</v>
      </c>
      <c r="B253" s="4">
        <v>13680</v>
      </c>
      <c r="C253" s="4" t="s">
        <v>1978</v>
      </c>
      <c r="D253" s="4" t="s">
        <v>1979</v>
      </c>
      <c r="E253" s="4" t="s">
        <v>1380</v>
      </c>
      <c r="F253" s="4" t="s">
        <v>1980</v>
      </c>
      <c r="G253" s="4" t="s">
        <v>1981</v>
      </c>
      <c r="H253" s="4" t="s">
        <v>368</v>
      </c>
      <c r="I253" s="4" t="s">
        <v>976</v>
      </c>
      <c r="J253" s="4" t="s">
        <v>31</v>
      </c>
      <c r="K253" s="4" t="s">
        <v>31</v>
      </c>
      <c r="L253" s="2" t="s">
        <v>374</v>
      </c>
      <c r="M253" s="2" t="s">
        <v>32</v>
      </c>
      <c r="N253" s="4" t="s">
        <v>489</v>
      </c>
      <c r="O253" s="4" t="s">
        <v>164</v>
      </c>
      <c r="P253" s="4" t="s">
        <v>35</v>
      </c>
      <c r="Q253" s="152">
        <v>231</v>
      </c>
      <c r="R253" s="152">
        <v>1</v>
      </c>
      <c r="S253" s="152">
        <v>9800</v>
      </c>
      <c r="U253" s="152">
        <v>22.638000000000002</v>
      </c>
      <c r="V253" s="152">
        <v>3.9999999999999998E-6</v>
      </c>
      <c r="W253" s="166">
        <v>3.9169444657101401E-3</v>
      </c>
      <c r="X253" s="166">
        <v>7.7394368443829795E-4</v>
      </c>
    </row>
    <row r="254" spans="1:24">
      <c r="A254" s="4" t="s">
        <v>119</v>
      </c>
      <c r="B254" s="4">
        <v>13680</v>
      </c>
      <c r="C254" s="4" t="s">
        <v>2186</v>
      </c>
      <c r="D254" s="4" t="s">
        <v>2187</v>
      </c>
      <c r="E254" s="4" t="s">
        <v>1380</v>
      </c>
      <c r="F254" s="4" t="s">
        <v>2188</v>
      </c>
      <c r="G254" s="4" t="s">
        <v>2189</v>
      </c>
      <c r="H254" s="4" t="s">
        <v>368</v>
      </c>
      <c r="I254" s="4" t="s">
        <v>976</v>
      </c>
      <c r="J254" s="4" t="s">
        <v>31</v>
      </c>
      <c r="K254" s="4" t="s">
        <v>31</v>
      </c>
      <c r="L254" s="2" t="s">
        <v>374</v>
      </c>
      <c r="M254" s="2" t="s">
        <v>32</v>
      </c>
      <c r="N254" s="4" t="s">
        <v>508</v>
      </c>
      <c r="O254" s="4" t="s">
        <v>164</v>
      </c>
      <c r="P254" s="4" t="s">
        <v>35</v>
      </c>
      <c r="Q254" s="152">
        <v>1981</v>
      </c>
      <c r="R254" s="152">
        <v>1</v>
      </c>
      <c r="S254" s="152">
        <v>176.3</v>
      </c>
      <c r="U254" s="152">
        <v>3.4929999999999999</v>
      </c>
      <c r="V254" s="152">
        <v>3.0000000000000001E-6</v>
      </c>
      <c r="W254" s="166">
        <v>6.0429102824127799E-4</v>
      </c>
      <c r="X254" s="166">
        <v>1.19401035415311E-4</v>
      </c>
    </row>
    <row r="255" spans="1:24">
      <c r="A255" s="4" t="s">
        <v>119</v>
      </c>
      <c r="B255" s="4">
        <v>13680</v>
      </c>
      <c r="C255" s="4" t="s">
        <v>1982</v>
      </c>
      <c r="D255" s="4" t="s">
        <v>1522</v>
      </c>
      <c r="E255" s="4" t="s">
        <v>1380</v>
      </c>
      <c r="F255" s="4" t="s">
        <v>1983</v>
      </c>
      <c r="G255" s="4" t="s">
        <v>1984</v>
      </c>
      <c r="H255" s="4" t="s">
        <v>368</v>
      </c>
      <c r="I255" s="4" t="s">
        <v>976</v>
      </c>
      <c r="J255" s="4" t="s">
        <v>31</v>
      </c>
      <c r="K255" s="4" t="s">
        <v>31</v>
      </c>
      <c r="L255" s="2" t="s">
        <v>374</v>
      </c>
      <c r="M255" s="2" t="s">
        <v>32</v>
      </c>
      <c r="N255" s="4" t="s">
        <v>487</v>
      </c>
      <c r="O255" s="4" t="s">
        <v>164</v>
      </c>
      <c r="P255" s="4" t="s">
        <v>35</v>
      </c>
      <c r="Q255" s="152">
        <v>3253</v>
      </c>
      <c r="R255" s="152">
        <v>1</v>
      </c>
      <c r="S255" s="152">
        <v>1207</v>
      </c>
      <c r="U255" s="152">
        <v>39.264000000000003</v>
      </c>
      <c r="V255" s="152">
        <v>5.3999999999999998E-5</v>
      </c>
      <c r="W255" s="166">
        <v>6.7936112548700302E-3</v>
      </c>
      <c r="X255" s="166">
        <v>1.34234032962792E-3</v>
      </c>
    </row>
    <row r="256" spans="1:24">
      <c r="A256" s="4" t="s">
        <v>119</v>
      </c>
      <c r="B256" s="4">
        <v>13680</v>
      </c>
      <c r="C256" s="4" t="s">
        <v>1985</v>
      </c>
      <c r="D256" s="4" t="s">
        <v>1986</v>
      </c>
      <c r="E256" s="4" t="s">
        <v>1380</v>
      </c>
      <c r="F256" s="4" t="s">
        <v>1987</v>
      </c>
      <c r="G256" s="4" t="s">
        <v>1988</v>
      </c>
      <c r="H256" s="4" t="s">
        <v>368</v>
      </c>
      <c r="I256" s="4" t="s">
        <v>976</v>
      </c>
      <c r="J256" s="4" t="s">
        <v>31</v>
      </c>
      <c r="K256" s="4" t="s">
        <v>31</v>
      </c>
      <c r="L256" s="2" t="s">
        <v>374</v>
      </c>
      <c r="M256" s="2" t="s">
        <v>32</v>
      </c>
      <c r="N256" s="4" t="s">
        <v>520</v>
      </c>
      <c r="O256" s="4" t="s">
        <v>164</v>
      </c>
      <c r="P256" s="4" t="s">
        <v>35</v>
      </c>
      <c r="Q256" s="152">
        <v>2571</v>
      </c>
      <c r="R256" s="152">
        <v>1</v>
      </c>
      <c r="S256" s="152">
        <v>841.6</v>
      </c>
      <c r="U256" s="152">
        <v>21.638000000000002</v>
      </c>
      <c r="V256" s="152">
        <v>1.8E-5</v>
      </c>
      <c r="W256" s="166">
        <v>3.7438389825427999E-3</v>
      </c>
      <c r="X256" s="166">
        <v>7.3974000945341105E-4</v>
      </c>
    </row>
    <row r="257" spans="1:24">
      <c r="A257" s="4" t="s">
        <v>119</v>
      </c>
      <c r="B257" s="4">
        <v>13680</v>
      </c>
      <c r="C257" s="4" t="s">
        <v>1989</v>
      </c>
      <c r="D257" s="4" t="s">
        <v>1990</v>
      </c>
      <c r="E257" s="4" t="s">
        <v>1380</v>
      </c>
      <c r="F257" s="4" t="s">
        <v>1991</v>
      </c>
      <c r="G257" s="4" t="s">
        <v>1992</v>
      </c>
      <c r="H257" s="4" t="s">
        <v>368</v>
      </c>
      <c r="I257" s="4" t="s">
        <v>976</v>
      </c>
      <c r="J257" s="4" t="s">
        <v>31</v>
      </c>
      <c r="K257" s="4" t="s">
        <v>31</v>
      </c>
      <c r="L257" s="2" t="s">
        <v>374</v>
      </c>
      <c r="M257" s="2" t="s">
        <v>32</v>
      </c>
      <c r="N257" s="4" t="s">
        <v>498</v>
      </c>
      <c r="O257" s="4" t="s">
        <v>164</v>
      </c>
      <c r="P257" s="4" t="s">
        <v>35</v>
      </c>
      <c r="Q257" s="152">
        <v>6054</v>
      </c>
      <c r="R257" s="152">
        <v>1</v>
      </c>
      <c r="S257" s="152">
        <v>935.3</v>
      </c>
      <c r="T257" s="150">
        <v>1.155</v>
      </c>
      <c r="U257" s="152">
        <v>57.777999999999999</v>
      </c>
      <c r="V257" s="152">
        <v>5.0000000000000004E-6</v>
      </c>
      <c r="W257" s="166">
        <v>9.9970572423123804E-3</v>
      </c>
      <c r="X257" s="166">
        <v>1.9753048283907902E-3</v>
      </c>
    </row>
    <row r="258" spans="1:24">
      <c r="A258" s="4" t="s">
        <v>119</v>
      </c>
      <c r="B258" s="4">
        <v>13680</v>
      </c>
      <c r="C258" s="4" t="s">
        <v>1993</v>
      </c>
      <c r="D258" s="4" t="s">
        <v>1994</v>
      </c>
      <c r="E258" s="4" t="s">
        <v>1380</v>
      </c>
      <c r="F258" s="4" t="s">
        <v>1995</v>
      </c>
      <c r="G258" s="4" t="s">
        <v>1996</v>
      </c>
      <c r="H258" s="4" t="s">
        <v>368</v>
      </c>
      <c r="I258" s="4" t="s">
        <v>976</v>
      </c>
      <c r="J258" s="4" t="s">
        <v>31</v>
      </c>
      <c r="K258" s="4" t="s">
        <v>101</v>
      </c>
      <c r="L258" s="2" t="s">
        <v>374</v>
      </c>
      <c r="M258" s="2" t="s">
        <v>32</v>
      </c>
      <c r="N258" s="4" t="s">
        <v>525</v>
      </c>
      <c r="O258" s="4" t="s">
        <v>164</v>
      </c>
      <c r="P258" s="4" t="s">
        <v>35</v>
      </c>
      <c r="Q258" s="152">
        <v>187</v>
      </c>
      <c r="R258" s="152">
        <v>1</v>
      </c>
      <c r="S258" s="152">
        <v>95150</v>
      </c>
      <c r="U258" s="152">
        <v>177.93</v>
      </c>
      <c r="V258" s="152">
        <v>3.0000000000000001E-6</v>
      </c>
      <c r="W258" s="166">
        <v>3.07864602551478E-2</v>
      </c>
      <c r="X258" s="166">
        <v>6.0830544546315304E-3</v>
      </c>
    </row>
    <row r="259" spans="1:24">
      <c r="A259" s="4" t="s">
        <v>119</v>
      </c>
      <c r="B259" s="4">
        <v>13680</v>
      </c>
      <c r="C259" s="4" t="s">
        <v>2171</v>
      </c>
      <c r="D259" s="4" t="s">
        <v>2172</v>
      </c>
      <c r="E259" s="4" t="s">
        <v>1380</v>
      </c>
      <c r="F259" s="4" t="s">
        <v>2171</v>
      </c>
      <c r="G259" s="4" t="s">
        <v>2173</v>
      </c>
      <c r="H259" s="4" t="s">
        <v>368</v>
      </c>
      <c r="I259" s="4" t="s">
        <v>976</v>
      </c>
      <c r="J259" s="4" t="s">
        <v>31</v>
      </c>
      <c r="K259" s="4" t="s">
        <v>31</v>
      </c>
      <c r="L259" s="2" t="s">
        <v>374</v>
      </c>
      <c r="M259" s="2" t="s">
        <v>32</v>
      </c>
      <c r="N259" s="4" t="s">
        <v>483</v>
      </c>
      <c r="O259" s="4" t="s">
        <v>164</v>
      </c>
      <c r="P259" s="4" t="s">
        <v>35</v>
      </c>
      <c r="Q259" s="152">
        <v>388</v>
      </c>
      <c r="R259" s="152">
        <v>1</v>
      </c>
      <c r="S259" s="152">
        <v>4273</v>
      </c>
      <c r="U259" s="152">
        <v>16.579000000000001</v>
      </c>
      <c r="V259" s="152">
        <v>5.0000000000000004E-6</v>
      </c>
      <c r="W259" s="166">
        <v>2.8686263081403002E-3</v>
      </c>
      <c r="X259" s="166">
        <v>5.6680793757340803E-4</v>
      </c>
    </row>
    <row r="260" spans="1:24">
      <c r="A260" s="4" t="s">
        <v>119</v>
      </c>
      <c r="B260" s="4">
        <v>13680</v>
      </c>
      <c r="C260" s="4" t="s">
        <v>2001</v>
      </c>
      <c r="D260" s="4" t="s">
        <v>2002</v>
      </c>
      <c r="E260" s="4" t="s">
        <v>1380</v>
      </c>
      <c r="F260" s="4" t="s">
        <v>2003</v>
      </c>
      <c r="G260" s="4" t="s">
        <v>2004</v>
      </c>
      <c r="H260" s="4" t="s">
        <v>368</v>
      </c>
      <c r="I260" s="4" t="s">
        <v>976</v>
      </c>
      <c r="J260" s="4" t="s">
        <v>31</v>
      </c>
      <c r="K260" s="4" t="s">
        <v>31</v>
      </c>
      <c r="L260" s="2" t="s">
        <v>374</v>
      </c>
      <c r="M260" s="2" t="s">
        <v>32</v>
      </c>
      <c r="N260" s="4" t="s">
        <v>529</v>
      </c>
      <c r="O260" s="4" t="s">
        <v>164</v>
      </c>
      <c r="P260" s="4" t="s">
        <v>35</v>
      </c>
      <c r="Q260" s="152">
        <v>2777</v>
      </c>
      <c r="R260" s="152">
        <v>1</v>
      </c>
      <c r="S260" s="152">
        <v>1560</v>
      </c>
      <c r="U260" s="152">
        <v>43.320999999999998</v>
      </c>
      <c r="V260" s="152">
        <v>1.7E-5</v>
      </c>
      <c r="W260" s="166">
        <v>7.4956592714869597E-3</v>
      </c>
      <c r="X260" s="166">
        <v>1.4810570342913901E-3</v>
      </c>
    </row>
    <row r="261" spans="1:24">
      <c r="A261" s="4" t="s">
        <v>119</v>
      </c>
      <c r="B261" s="4">
        <v>13680</v>
      </c>
      <c r="C261" s="4" t="s">
        <v>2005</v>
      </c>
      <c r="D261" s="4" t="s">
        <v>2006</v>
      </c>
      <c r="E261" s="4" t="s">
        <v>1380</v>
      </c>
      <c r="F261" s="4" t="s">
        <v>2007</v>
      </c>
      <c r="G261" s="4" t="s">
        <v>2008</v>
      </c>
      <c r="H261" s="4" t="s">
        <v>368</v>
      </c>
      <c r="I261" s="4" t="s">
        <v>976</v>
      </c>
      <c r="J261" s="4" t="s">
        <v>31</v>
      </c>
      <c r="K261" s="4" t="s">
        <v>31</v>
      </c>
      <c r="L261" s="2" t="s">
        <v>374</v>
      </c>
      <c r="M261" s="2" t="s">
        <v>32</v>
      </c>
      <c r="N261" s="4" t="s">
        <v>508</v>
      </c>
      <c r="O261" s="4" t="s">
        <v>164</v>
      </c>
      <c r="P261" s="4" t="s">
        <v>35</v>
      </c>
      <c r="Q261" s="152">
        <v>435</v>
      </c>
      <c r="R261" s="152">
        <v>1</v>
      </c>
      <c r="S261" s="152">
        <v>26610</v>
      </c>
      <c r="U261" s="152">
        <v>115.754</v>
      </c>
      <c r="V261" s="152">
        <v>3.9999999999999998E-6</v>
      </c>
      <c r="W261" s="166">
        <v>2.0028272427404299E-2</v>
      </c>
      <c r="X261" s="166">
        <v>3.9573588778438196E-3</v>
      </c>
    </row>
    <row r="262" spans="1:24">
      <c r="A262" s="4" t="s">
        <v>119</v>
      </c>
      <c r="B262" s="4">
        <v>13680</v>
      </c>
      <c r="C262" s="4" t="s">
        <v>2009</v>
      </c>
      <c r="D262" s="4" t="s">
        <v>2010</v>
      </c>
      <c r="E262" s="4" t="s">
        <v>1380</v>
      </c>
      <c r="F262" s="4" t="s">
        <v>2011</v>
      </c>
      <c r="G262" s="4" t="s">
        <v>2012</v>
      </c>
      <c r="H262" s="4" t="s">
        <v>368</v>
      </c>
      <c r="I262" s="4" t="s">
        <v>976</v>
      </c>
      <c r="J262" s="4" t="s">
        <v>31</v>
      </c>
      <c r="K262" s="4" t="s">
        <v>31</v>
      </c>
      <c r="L262" s="2" t="s">
        <v>374</v>
      </c>
      <c r="M262" s="2" t="s">
        <v>32</v>
      </c>
      <c r="N262" s="4" t="s">
        <v>492</v>
      </c>
      <c r="O262" s="4" t="s">
        <v>164</v>
      </c>
      <c r="P262" s="4" t="s">
        <v>35</v>
      </c>
      <c r="Q262" s="152">
        <v>7973</v>
      </c>
      <c r="R262" s="152">
        <v>1</v>
      </c>
      <c r="S262" s="152">
        <v>3500</v>
      </c>
      <c r="T262" s="150">
        <v>1.2070000000000001</v>
      </c>
      <c r="U262" s="152">
        <v>280.262</v>
      </c>
      <c r="V262" s="152">
        <v>6.0000000000000002E-6</v>
      </c>
      <c r="W262" s="166">
        <v>4.8492365961925701E-2</v>
      </c>
      <c r="X262" s="166">
        <v>9.5815400775407407E-3</v>
      </c>
    </row>
    <row r="263" spans="1:24">
      <c r="A263" s="4" t="s">
        <v>119</v>
      </c>
      <c r="B263" s="4">
        <v>13680</v>
      </c>
      <c r="C263" s="4" t="s">
        <v>2017</v>
      </c>
      <c r="D263" s="4" t="s">
        <v>2018</v>
      </c>
      <c r="E263" s="4" t="s">
        <v>1380</v>
      </c>
      <c r="F263" s="4" t="s">
        <v>2019</v>
      </c>
      <c r="G263" s="4" t="s">
        <v>2020</v>
      </c>
      <c r="H263" s="4" t="s">
        <v>368</v>
      </c>
      <c r="I263" s="4" t="s">
        <v>976</v>
      </c>
      <c r="J263" s="4" t="s">
        <v>31</v>
      </c>
      <c r="K263" s="4" t="s">
        <v>31</v>
      </c>
      <c r="L263" s="2" t="s">
        <v>374</v>
      </c>
      <c r="M263" s="2" t="s">
        <v>32</v>
      </c>
      <c r="N263" s="4" t="s">
        <v>529</v>
      </c>
      <c r="O263" s="4" t="s">
        <v>164</v>
      </c>
      <c r="P263" s="4" t="s">
        <v>35</v>
      </c>
      <c r="Q263" s="152">
        <v>2557</v>
      </c>
      <c r="R263" s="152">
        <v>1</v>
      </c>
      <c r="S263" s="152">
        <v>1597</v>
      </c>
      <c r="U263" s="152">
        <v>40.835000000000001</v>
      </c>
      <c r="V263" s="152">
        <v>1.4E-5</v>
      </c>
      <c r="W263" s="166">
        <v>7.0655341978606004E-3</v>
      </c>
      <c r="X263" s="166">
        <v>1.3960692109597299E-3</v>
      </c>
    </row>
    <row r="264" spans="1:24">
      <c r="A264" s="4" t="s">
        <v>119</v>
      </c>
      <c r="B264" s="4">
        <v>13680</v>
      </c>
      <c r="C264" s="4" t="s">
        <v>2025</v>
      </c>
      <c r="D264" s="4" t="s">
        <v>2026</v>
      </c>
      <c r="E264" s="4" t="s">
        <v>1380</v>
      </c>
      <c r="F264" s="4" t="s">
        <v>2027</v>
      </c>
      <c r="G264" s="4" t="s">
        <v>2028</v>
      </c>
      <c r="H264" s="4" t="s">
        <v>368</v>
      </c>
      <c r="I264" s="4" t="s">
        <v>976</v>
      </c>
      <c r="J264" s="4" t="s">
        <v>31</v>
      </c>
      <c r="K264" s="4" t="s">
        <v>346</v>
      </c>
      <c r="L264" s="2" t="s">
        <v>374</v>
      </c>
      <c r="M264" s="2" t="s">
        <v>32</v>
      </c>
      <c r="N264" s="4" t="s">
        <v>525</v>
      </c>
      <c r="O264" s="4" t="s">
        <v>164</v>
      </c>
      <c r="P264" s="4" t="s">
        <v>35</v>
      </c>
      <c r="Q264" s="152">
        <v>671</v>
      </c>
      <c r="R264" s="152">
        <v>1</v>
      </c>
      <c r="S264" s="152">
        <v>8289</v>
      </c>
      <c r="U264" s="152">
        <v>55.619</v>
      </c>
      <c r="V264" s="152">
        <v>1.5E-5</v>
      </c>
      <c r="W264" s="166">
        <v>9.6235214443758498E-3</v>
      </c>
      <c r="X264" s="166">
        <v>1.90149840242397E-3</v>
      </c>
    </row>
    <row r="265" spans="1:24">
      <c r="A265" s="4" t="s">
        <v>119</v>
      </c>
      <c r="B265" s="4">
        <v>13680</v>
      </c>
      <c r="C265" s="4" t="s">
        <v>2029</v>
      </c>
      <c r="D265" s="4" t="s">
        <v>2030</v>
      </c>
      <c r="E265" s="4" t="s">
        <v>1380</v>
      </c>
      <c r="F265" s="4" t="s">
        <v>2031</v>
      </c>
      <c r="G265" s="4" t="s">
        <v>2032</v>
      </c>
      <c r="H265" s="4" t="s">
        <v>368</v>
      </c>
      <c r="I265" s="4" t="s">
        <v>976</v>
      </c>
      <c r="J265" s="4" t="s">
        <v>31</v>
      </c>
      <c r="K265" s="4" t="s">
        <v>31</v>
      </c>
      <c r="L265" s="2" t="s">
        <v>374</v>
      </c>
      <c r="M265" s="2" t="s">
        <v>32</v>
      </c>
      <c r="N265" s="4" t="s">
        <v>507</v>
      </c>
      <c r="O265" s="4" t="s">
        <v>164</v>
      </c>
      <c r="P265" s="4" t="s">
        <v>35</v>
      </c>
      <c r="Q265" s="152">
        <v>9299</v>
      </c>
      <c r="R265" s="152">
        <v>1</v>
      </c>
      <c r="S265" s="152">
        <v>510</v>
      </c>
      <c r="T265" s="150">
        <v>1.617</v>
      </c>
      <c r="U265" s="152">
        <v>49.042000000000002</v>
      </c>
      <c r="V265" s="152">
        <v>3.1999999999999999E-5</v>
      </c>
      <c r="W265" s="166">
        <v>8.4855122141542696E-3</v>
      </c>
      <c r="X265" s="166">
        <v>1.6766407195354699E-3</v>
      </c>
    </row>
    <row r="266" spans="1:24">
      <c r="A266" s="4" t="s">
        <v>119</v>
      </c>
      <c r="B266" s="4">
        <v>13680</v>
      </c>
      <c r="C266" s="4" t="s">
        <v>2037</v>
      </c>
      <c r="D266" s="4" t="s">
        <v>2038</v>
      </c>
      <c r="E266" s="4" t="s">
        <v>1380</v>
      </c>
      <c r="F266" s="4" t="s">
        <v>2039</v>
      </c>
      <c r="G266" s="4" t="s">
        <v>2040</v>
      </c>
      <c r="H266" s="4" t="s">
        <v>368</v>
      </c>
      <c r="I266" s="4" t="s">
        <v>976</v>
      </c>
      <c r="J266" s="4" t="s">
        <v>31</v>
      </c>
      <c r="K266" s="4" t="s">
        <v>31</v>
      </c>
      <c r="L266" s="2" t="s">
        <v>374</v>
      </c>
      <c r="M266" s="2" t="s">
        <v>32</v>
      </c>
      <c r="N266" s="4" t="s">
        <v>503</v>
      </c>
      <c r="O266" s="4" t="s">
        <v>164</v>
      </c>
      <c r="P266" s="4" t="s">
        <v>35</v>
      </c>
      <c r="Q266" s="152">
        <v>1934</v>
      </c>
      <c r="R266" s="152">
        <v>1</v>
      </c>
      <c r="S266" s="152">
        <v>6910</v>
      </c>
      <c r="U266" s="152">
        <v>133.63900000000001</v>
      </c>
      <c r="V266" s="152">
        <v>1.7E-5</v>
      </c>
      <c r="W266" s="166">
        <v>2.3122983842690299E-2</v>
      </c>
      <c r="X266" s="166">
        <v>4.5688386616363399E-3</v>
      </c>
    </row>
    <row r="267" spans="1:24">
      <c r="A267" s="4" t="s">
        <v>119</v>
      </c>
      <c r="B267" s="4">
        <v>13680</v>
      </c>
      <c r="C267" s="4" t="s">
        <v>2041</v>
      </c>
      <c r="D267" s="4" t="s">
        <v>2042</v>
      </c>
      <c r="E267" s="4" t="s">
        <v>1380</v>
      </c>
      <c r="F267" s="4" t="s">
        <v>2043</v>
      </c>
      <c r="G267" s="4" t="s">
        <v>2044</v>
      </c>
      <c r="H267" s="4" t="s">
        <v>368</v>
      </c>
      <c r="I267" s="4" t="s">
        <v>976</v>
      </c>
      <c r="J267" s="4" t="s">
        <v>31</v>
      </c>
      <c r="K267" s="4" t="s">
        <v>31</v>
      </c>
      <c r="L267" s="2" t="s">
        <v>374</v>
      </c>
      <c r="M267" s="2" t="s">
        <v>32</v>
      </c>
      <c r="N267" s="4" t="s">
        <v>507</v>
      </c>
      <c r="O267" s="4" t="s">
        <v>164</v>
      </c>
      <c r="P267" s="4" t="s">
        <v>35</v>
      </c>
      <c r="Q267" s="152">
        <v>4848</v>
      </c>
      <c r="R267" s="152">
        <v>1</v>
      </c>
      <c r="S267" s="152">
        <v>2100</v>
      </c>
      <c r="U267" s="152">
        <v>101.80800000000001</v>
      </c>
      <c r="V267" s="152">
        <v>1.4E-5</v>
      </c>
      <c r="W267" s="166">
        <v>1.7615349508128701E-2</v>
      </c>
      <c r="X267" s="166">
        <v>3.48059274782641E-3</v>
      </c>
    </row>
    <row r="268" spans="1:24">
      <c r="A268" s="4" t="s">
        <v>119</v>
      </c>
      <c r="B268" s="4">
        <v>13680</v>
      </c>
      <c r="C268" s="4" t="s">
        <v>2045</v>
      </c>
      <c r="D268" s="4" t="s">
        <v>2046</v>
      </c>
      <c r="E268" s="4" t="s">
        <v>362</v>
      </c>
      <c r="F268" s="4" t="s">
        <v>2047</v>
      </c>
      <c r="G268" s="4" t="s">
        <v>2048</v>
      </c>
      <c r="H268" s="4" t="s">
        <v>368</v>
      </c>
      <c r="I268" s="4" t="s">
        <v>976</v>
      </c>
      <c r="J268" s="4" t="s">
        <v>100</v>
      </c>
      <c r="K268" s="4" t="s">
        <v>101</v>
      </c>
      <c r="L268" s="2" t="s">
        <v>374</v>
      </c>
      <c r="M268" s="2" t="s">
        <v>393</v>
      </c>
      <c r="N268" s="4" t="s">
        <v>560</v>
      </c>
      <c r="O268" s="4" t="s">
        <v>164</v>
      </c>
      <c r="P268" s="4" t="s">
        <v>105</v>
      </c>
      <c r="Q268" s="152">
        <v>94</v>
      </c>
      <c r="R268" s="152">
        <v>3.681</v>
      </c>
      <c r="S268" s="152">
        <v>180.38</v>
      </c>
      <c r="U268" s="152">
        <v>62.414000000000001</v>
      </c>
      <c r="V268" s="152">
        <v>0</v>
      </c>
      <c r="W268" s="166">
        <v>1.07991957205132E-2</v>
      </c>
      <c r="X268" s="166">
        <v>2.1337982700729901E-3</v>
      </c>
    </row>
    <row r="269" spans="1:24">
      <c r="A269" s="4" t="s">
        <v>119</v>
      </c>
      <c r="B269" s="4">
        <v>13680</v>
      </c>
      <c r="C269" s="4" t="s">
        <v>2049</v>
      </c>
      <c r="D269" s="4" t="s">
        <v>2050</v>
      </c>
      <c r="E269" s="4" t="s">
        <v>362</v>
      </c>
      <c r="F269" s="4" t="s">
        <v>2051</v>
      </c>
      <c r="G269" s="4" t="s">
        <v>2052</v>
      </c>
      <c r="H269" s="4" t="s">
        <v>368</v>
      </c>
      <c r="I269" s="4" t="s">
        <v>976</v>
      </c>
      <c r="J269" s="4" t="s">
        <v>100</v>
      </c>
      <c r="K269" s="4" t="s">
        <v>101</v>
      </c>
      <c r="L269" s="2" t="s">
        <v>374</v>
      </c>
      <c r="M269" s="2" t="s">
        <v>391</v>
      </c>
      <c r="N269" s="4" t="s">
        <v>2053</v>
      </c>
      <c r="O269" s="4" t="s">
        <v>164</v>
      </c>
      <c r="P269" s="4" t="s">
        <v>105</v>
      </c>
      <c r="Q269" s="152">
        <v>104</v>
      </c>
      <c r="R269" s="152">
        <v>3.681</v>
      </c>
      <c r="S269" s="152">
        <v>22769</v>
      </c>
      <c r="U269" s="152">
        <v>87.165000000000006</v>
      </c>
      <c r="V269" s="152">
        <v>0</v>
      </c>
      <c r="W269" s="166">
        <v>1.50817755220527E-2</v>
      </c>
      <c r="X269" s="166">
        <v>2.9799873390067501E-3</v>
      </c>
    </row>
    <row r="270" spans="1:24">
      <c r="A270" s="4" t="s">
        <v>119</v>
      </c>
      <c r="B270" s="4">
        <v>13680</v>
      </c>
      <c r="C270" s="4" t="s">
        <v>2054</v>
      </c>
      <c r="D270" s="4" t="s">
        <v>2055</v>
      </c>
      <c r="E270" s="4" t="s">
        <v>362</v>
      </c>
      <c r="F270" s="4" t="s">
        <v>2056</v>
      </c>
      <c r="G270" s="4" t="s">
        <v>2057</v>
      </c>
      <c r="H270" s="4" t="s">
        <v>368</v>
      </c>
      <c r="I270" s="4" t="s">
        <v>976</v>
      </c>
      <c r="J270" s="4" t="s">
        <v>100</v>
      </c>
      <c r="K270" s="4" t="s">
        <v>318</v>
      </c>
      <c r="L270" s="2" t="s">
        <v>374</v>
      </c>
      <c r="M270" s="2" t="s">
        <v>391</v>
      </c>
      <c r="N270" s="4" t="s">
        <v>560</v>
      </c>
      <c r="O270" s="4" t="s">
        <v>164</v>
      </c>
      <c r="P270" s="4" t="s">
        <v>105</v>
      </c>
      <c r="Q270" s="152">
        <v>251</v>
      </c>
      <c r="R270" s="152">
        <v>3.681</v>
      </c>
      <c r="S270" s="152">
        <v>7236</v>
      </c>
      <c r="U270" s="152">
        <v>66.855999999999995</v>
      </c>
      <c r="V270" s="152">
        <v>0</v>
      </c>
      <c r="W270" s="166">
        <v>1.15677116858747E-2</v>
      </c>
      <c r="X270" s="166">
        <v>2.2856482855604398E-3</v>
      </c>
    </row>
    <row r="271" spans="1:24">
      <c r="A271" s="4" t="s">
        <v>119</v>
      </c>
      <c r="B271" s="4">
        <v>13680</v>
      </c>
      <c r="C271" s="4" t="s">
        <v>2058</v>
      </c>
      <c r="D271" s="4" t="s">
        <v>2059</v>
      </c>
      <c r="E271" s="4" t="s">
        <v>362</v>
      </c>
      <c r="F271" s="4" t="s">
        <v>2060</v>
      </c>
      <c r="G271" s="4" t="s">
        <v>2061</v>
      </c>
      <c r="H271" s="4" t="s">
        <v>368</v>
      </c>
      <c r="I271" s="4" t="s">
        <v>976</v>
      </c>
      <c r="J271" s="4" t="s">
        <v>100</v>
      </c>
      <c r="K271" s="4" t="s">
        <v>101</v>
      </c>
      <c r="L271" s="2" t="s">
        <v>374</v>
      </c>
      <c r="M271" s="2" t="s">
        <v>393</v>
      </c>
      <c r="N271" s="4" t="s">
        <v>579</v>
      </c>
      <c r="O271" s="4" t="s">
        <v>164</v>
      </c>
      <c r="P271" s="4" t="s">
        <v>105</v>
      </c>
      <c r="Q271" s="152">
        <v>100</v>
      </c>
      <c r="R271" s="152">
        <v>3.681</v>
      </c>
      <c r="S271" s="152">
        <v>21563</v>
      </c>
      <c r="U271" s="152">
        <v>79.373000000000005</v>
      </c>
      <c r="V271" s="152">
        <v>9.9999999999999995E-7</v>
      </c>
      <c r="W271" s="166">
        <v>1.3733598887067299E-2</v>
      </c>
      <c r="X271" s="166">
        <v>2.7136029668798399E-3</v>
      </c>
    </row>
    <row r="272" spans="1:24">
      <c r="A272" s="4" t="s">
        <v>119</v>
      </c>
      <c r="B272" s="4">
        <v>13680</v>
      </c>
      <c r="C272" s="4" t="s">
        <v>2062</v>
      </c>
      <c r="D272" s="4" t="s">
        <v>2063</v>
      </c>
      <c r="E272" s="4" t="s">
        <v>362</v>
      </c>
      <c r="F272" s="4" t="s">
        <v>2064</v>
      </c>
      <c r="G272" s="4" t="s">
        <v>2065</v>
      </c>
      <c r="H272" s="4" t="s">
        <v>368</v>
      </c>
      <c r="I272" s="4" t="s">
        <v>976</v>
      </c>
      <c r="J272" s="4" t="s">
        <v>100</v>
      </c>
      <c r="K272" s="4" t="s">
        <v>101</v>
      </c>
      <c r="L272" s="2" t="s">
        <v>374</v>
      </c>
      <c r="M272" s="2" t="s">
        <v>391</v>
      </c>
      <c r="N272" s="4" t="s">
        <v>2066</v>
      </c>
      <c r="O272" s="4" t="s">
        <v>164</v>
      </c>
      <c r="P272" s="4" t="s">
        <v>105</v>
      </c>
      <c r="Q272" s="152">
        <v>84</v>
      </c>
      <c r="R272" s="152">
        <v>3.681</v>
      </c>
      <c r="S272" s="152">
        <v>19299</v>
      </c>
      <c r="U272" s="152">
        <v>59.673000000000002</v>
      </c>
      <c r="V272" s="152">
        <v>0</v>
      </c>
      <c r="W272" s="166">
        <v>1.03249811683936E-2</v>
      </c>
      <c r="X272" s="166">
        <v>2.0400988671596598E-3</v>
      </c>
    </row>
    <row r="273" spans="1:24">
      <c r="A273" s="4" t="s">
        <v>119</v>
      </c>
      <c r="B273" s="4">
        <v>13680</v>
      </c>
      <c r="D273" s="4" t="s">
        <v>1598</v>
      </c>
      <c r="E273" s="4" t="s">
        <v>362</v>
      </c>
      <c r="F273" s="4" t="s">
        <v>2067</v>
      </c>
      <c r="G273" s="4" t="s">
        <v>2068</v>
      </c>
      <c r="H273" s="4" t="s">
        <v>368</v>
      </c>
      <c r="I273" s="4" t="s">
        <v>976</v>
      </c>
      <c r="J273" s="4" t="s">
        <v>100</v>
      </c>
      <c r="L273" s="2" t="s">
        <v>374</v>
      </c>
      <c r="M273" s="2" t="s">
        <v>204</v>
      </c>
      <c r="N273" s="4" t="s">
        <v>1392</v>
      </c>
      <c r="O273" s="4" t="s">
        <v>164</v>
      </c>
      <c r="P273" s="4" t="s">
        <v>105</v>
      </c>
      <c r="Q273" s="152">
        <v>13.16</v>
      </c>
      <c r="R273" s="152">
        <v>3.681</v>
      </c>
      <c r="S273" s="152">
        <v>129156</v>
      </c>
      <c r="U273" s="152">
        <v>62.566000000000003</v>
      </c>
      <c r="V273" s="152">
        <v>0</v>
      </c>
      <c r="W273" s="166">
        <v>1.08254423520902E-2</v>
      </c>
      <c r="X273" s="166">
        <v>2.13898430600602E-3</v>
      </c>
    </row>
    <row r="274" spans="1:24">
      <c r="A274" s="4" t="s">
        <v>119</v>
      </c>
      <c r="B274" s="4">
        <v>13680</v>
      </c>
      <c r="C274" s="4" t="s">
        <v>2069</v>
      </c>
      <c r="D274" s="4" t="s">
        <v>2070</v>
      </c>
      <c r="E274" s="4" t="s">
        <v>362</v>
      </c>
      <c r="F274" s="4" t="s">
        <v>2071</v>
      </c>
      <c r="G274" s="4" t="s">
        <v>2072</v>
      </c>
      <c r="H274" s="4" t="s">
        <v>368</v>
      </c>
      <c r="I274" s="4" t="s">
        <v>976</v>
      </c>
      <c r="J274" s="4" t="s">
        <v>100</v>
      </c>
      <c r="K274" s="4" t="s">
        <v>101</v>
      </c>
      <c r="L274" s="2" t="s">
        <v>374</v>
      </c>
      <c r="M274" s="2" t="s">
        <v>391</v>
      </c>
      <c r="N274" s="4" t="s">
        <v>2066</v>
      </c>
      <c r="O274" s="4" t="s">
        <v>164</v>
      </c>
      <c r="P274" s="4" t="s">
        <v>105</v>
      </c>
      <c r="Q274" s="152">
        <v>42</v>
      </c>
      <c r="R274" s="152">
        <v>3.681</v>
      </c>
      <c r="S274" s="152">
        <v>41074</v>
      </c>
      <c r="U274" s="152">
        <v>63.500999999999998</v>
      </c>
      <c r="V274" s="152">
        <v>0</v>
      </c>
      <c r="W274" s="166">
        <v>1.0987312205570201E-2</v>
      </c>
      <c r="X274" s="166">
        <v>2.1709679483319301E-3</v>
      </c>
    </row>
    <row r="275" spans="1:24">
      <c r="A275" s="4" t="s">
        <v>119</v>
      </c>
      <c r="B275" s="4">
        <v>13680</v>
      </c>
      <c r="C275" s="4" t="s">
        <v>2073</v>
      </c>
      <c r="D275" s="4" t="s">
        <v>2074</v>
      </c>
      <c r="E275" s="4" t="s">
        <v>362</v>
      </c>
      <c r="F275" s="4" t="s">
        <v>2073</v>
      </c>
      <c r="G275" s="4" t="s">
        <v>2075</v>
      </c>
      <c r="H275" s="4" t="s">
        <v>368</v>
      </c>
      <c r="I275" s="4" t="s">
        <v>976</v>
      </c>
      <c r="J275" s="4" t="s">
        <v>100</v>
      </c>
      <c r="K275" s="4" t="s">
        <v>101</v>
      </c>
      <c r="L275" s="2" t="s">
        <v>374</v>
      </c>
      <c r="M275" s="2" t="s">
        <v>393</v>
      </c>
      <c r="N275" s="4" t="s">
        <v>591</v>
      </c>
      <c r="O275" s="4" t="s">
        <v>164</v>
      </c>
      <c r="P275" s="4" t="s">
        <v>105</v>
      </c>
      <c r="Q275" s="152">
        <v>381</v>
      </c>
      <c r="R275" s="152">
        <v>3.681</v>
      </c>
      <c r="S275" s="152">
        <v>2861</v>
      </c>
      <c r="U275" s="152">
        <v>40.124000000000002</v>
      </c>
      <c r="V275" s="152">
        <v>9.9999999999999995E-7</v>
      </c>
      <c r="W275" s="166">
        <v>6.9425339073680599E-3</v>
      </c>
      <c r="X275" s="166">
        <v>1.3717657522704001E-3</v>
      </c>
    </row>
    <row r="276" spans="1:24">
      <c r="A276" s="4" t="s">
        <v>119</v>
      </c>
      <c r="B276" s="4">
        <v>13680</v>
      </c>
      <c r="C276" s="4" t="s">
        <v>2080</v>
      </c>
      <c r="D276" s="4" t="s">
        <v>2081</v>
      </c>
      <c r="E276" s="4" t="s">
        <v>362</v>
      </c>
      <c r="F276" s="4" t="s">
        <v>2082</v>
      </c>
      <c r="G276" s="4" t="s">
        <v>2083</v>
      </c>
      <c r="H276" s="4" t="s">
        <v>368</v>
      </c>
      <c r="I276" s="4" t="s">
        <v>976</v>
      </c>
      <c r="J276" s="4" t="s">
        <v>100</v>
      </c>
      <c r="K276" s="4" t="s">
        <v>101</v>
      </c>
      <c r="L276" s="2" t="s">
        <v>374</v>
      </c>
      <c r="M276" s="2" t="s">
        <v>393</v>
      </c>
      <c r="N276" s="4" t="s">
        <v>594</v>
      </c>
      <c r="O276" s="4" t="s">
        <v>164</v>
      </c>
      <c r="P276" s="4" t="s">
        <v>105</v>
      </c>
      <c r="Q276" s="152">
        <v>100</v>
      </c>
      <c r="R276" s="152">
        <v>3.681</v>
      </c>
      <c r="S276" s="152">
        <v>15226</v>
      </c>
      <c r="U276" s="152">
        <v>56.046999999999997</v>
      </c>
      <c r="V276" s="152">
        <v>0</v>
      </c>
      <c r="W276" s="166">
        <v>9.6975270905943992E-3</v>
      </c>
      <c r="X276" s="166">
        <v>1.91612107655301E-3</v>
      </c>
    </row>
    <row r="277" spans="1:24">
      <c r="A277" s="4" t="s">
        <v>119</v>
      </c>
      <c r="B277" s="4">
        <v>13680</v>
      </c>
      <c r="C277" s="4" t="s">
        <v>2084</v>
      </c>
      <c r="D277" s="4" t="s">
        <v>2085</v>
      </c>
      <c r="E277" s="4" t="s">
        <v>362</v>
      </c>
      <c r="F277" s="4" t="s">
        <v>2086</v>
      </c>
      <c r="G277" s="4" t="s">
        <v>2087</v>
      </c>
      <c r="H277" s="4" t="s">
        <v>368</v>
      </c>
      <c r="I277" s="4" t="s">
        <v>976</v>
      </c>
      <c r="J277" s="4" t="s">
        <v>100</v>
      </c>
      <c r="L277" s="2" t="s">
        <v>374</v>
      </c>
      <c r="M277" s="2" t="s">
        <v>204</v>
      </c>
      <c r="N277" s="4" t="s">
        <v>2088</v>
      </c>
      <c r="O277" s="4" t="s">
        <v>164</v>
      </c>
      <c r="P277" s="4" t="s">
        <v>1224</v>
      </c>
      <c r="Q277" s="152">
        <v>32</v>
      </c>
      <c r="R277" s="152">
        <v>3.9790000000000001</v>
      </c>
      <c r="S277" s="152">
        <v>83370</v>
      </c>
      <c r="U277" s="152">
        <v>106.15600000000001</v>
      </c>
      <c r="V277" s="152">
        <v>0</v>
      </c>
      <c r="W277" s="166">
        <v>1.8367666785105301E-2</v>
      </c>
      <c r="X277" s="166">
        <v>3.6292420866942498E-3</v>
      </c>
    </row>
    <row r="278" spans="1:24">
      <c r="A278" s="4" t="s">
        <v>119</v>
      </c>
      <c r="B278" s="4">
        <v>13680</v>
      </c>
      <c r="C278" s="4" t="s">
        <v>2089</v>
      </c>
      <c r="D278" s="4" t="s">
        <v>2090</v>
      </c>
      <c r="E278" s="4" t="s">
        <v>362</v>
      </c>
      <c r="F278" s="4" t="s">
        <v>2091</v>
      </c>
      <c r="G278" s="4" t="s">
        <v>2092</v>
      </c>
      <c r="H278" s="4" t="s">
        <v>368</v>
      </c>
      <c r="I278" s="4" t="s">
        <v>976</v>
      </c>
      <c r="J278" s="4" t="s">
        <v>100</v>
      </c>
      <c r="K278" s="4" t="s">
        <v>101</v>
      </c>
      <c r="L278" s="2" t="s">
        <v>374</v>
      </c>
      <c r="M278" s="2" t="s">
        <v>391</v>
      </c>
      <c r="N278" s="4" t="s">
        <v>2053</v>
      </c>
      <c r="O278" s="4" t="s">
        <v>164</v>
      </c>
      <c r="P278" s="4" t="s">
        <v>105</v>
      </c>
      <c r="Q278" s="152">
        <v>42</v>
      </c>
      <c r="R278" s="152">
        <v>3.681</v>
      </c>
      <c r="S278" s="152">
        <v>481.57</v>
      </c>
      <c r="U278" s="152">
        <v>74.451999999999998</v>
      </c>
      <c r="V278" s="152">
        <v>0</v>
      </c>
      <c r="W278" s="166">
        <v>1.2882017672582201E-2</v>
      </c>
      <c r="X278" s="166">
        <v>2.5453402027516398E-3</v>
      </c>
    </row>
    <row r="279" spans="1:24">
      <c r="A279" s="4" t="s">
        <v>119</v>
      </c>
      <c r="B279" s="4">
        <v>13680</v>
      </c>
      <c r="C279" s="4" t="s">
        <v>2093</v>
      </c>
      <c r="D279" s="4" t="s">
        <v>2094</v>
      </c>
      <c r="E279" s="4" t="s">
        <v>362</v>
      </c>
      <c r="F279" s="4" t="s">
        <v>2095</v>
      </c>
      <c r="G279" s="4" t="s">
        <v>2096</v>
      </c>
      <c r="H279" s="4" t="s">
        <v>368</v>
      </c>
      <c r="I279" s="4" t="s">
        <v>976</v>
      </c>
      <c r="J279" s="4" t="s">
        <v>100</v>
      </c>
      <c r="K279" s="4" t="s">
        <v>101</v>
      </c>
      <c r="L279" s="2" t="s">
        <v>374</v>
      </c>
      <c r="M279" s="2" t="s">
        <v>391</v>
      </c>
      <c r="N279" s="4" t="s">
        <v>579</v>
      </c>
      <c r="O279" s="4" t="s">
        <v>164</v>
      </c>
      <c r="P279" s="4" t="s">
        <v>105</v>
      </c>
      <c r="Q279" s="152">
        <v>120</v>
      </c>
      <c r="R279" s="152">
        <v>3.681</v>
      </c>
      <c r="S279" s="152">
        <v>13195</v>
      </c>
      <c r="T279" s="150">
        <v>7.0000000000000007E-2</v>
      </c>
      <c r="U279" s="152">
        <v>58.543999999999997</v>
      </c>
      <c r="V279" s="152">
        <v>0</v>
      </c>
      <c r="W279" s="166">
        <v>1.01295152995687E-2</v>
      </c>
      <c r="X279" s="166">
        <v>2.0014770342425599E-3</v>
      </c>
    </row>
    <row r="280" spans="1:24">
      <c r="A280" s="4" t="s">
        <v>119</v>
      </c>
      <c r="B280" s="4">
        <v>13680</v>
      </c>
      <c r="C280" s="4" t="s">
        <v>2097</v>
      </c>
      <c r="D280" s="4" t="s">
        <v>2098</v>
      </c>
      <c r="E280" s="4" t="s">
        <v>362</v>
      </c>
      <c r="F280" s="4" t="s">
        <v>2099</v>
      </c>
      <c r="G280" s="4" t="s">
        <v>2100</v>
      </c>
      <c r="H280" s="4" t="s">
        <v>368</v>
      </c>
      <c r="I280" s="4" t="s">
        <v>976</v>
      </c>
      <c r="J280" s="4" t="s">
        <v>100</v>
      </c>
      <c r="K280" s="4" t="s">
        <v>101</v>
      </c>
      <c r="L280" s="2" t="s">
        <v>374</v>
      </c>
      <c r="M280" s="2" t="s">
        <v>393</v>
      </c>
      <c r="N280" s="4" t="s">
        <v>589</v>
      </c>
      <c r="O280" s="4" t="s">
        <v>164</v>
      </c>
      <c r="P280" s="4" t="s">
        <v>105</v>
      </c>
      <c r="Q280" s="152">
        <v>101</v>
      </c>
      <c r="R280" s="152">
        <v>3.681</v>
      </c>
      <c r="S280" s="152">
        <v>420.72</v>
      </c>
      <c r="U280" s="152">
        <v>156.416</v>
      </c>
      <c r="V280" s="152">
        <v>0</v>
      </c>
      <c r="W280" s="166">
        <v>2.7063858094906301E-2</v>
      </c>
      <c r="X280" s="166">
        <v>5.3475105997678601E-3</v>
      </c>
    </row>
    <row r="281" spans="1:24">
      <c r="A281" s="4" t="s">
        <v>119</v>
      </c>
      <c r="B281" s="4">
        <v>13680</v>
      </c>
      <c r="C281" s="4" t="s">
        <v>2101</v>
      </c>
      <c r="D281" s="4" t="s">
        <v>2102</v>
      </c>
      <c r="E281" s="4" t="s">
        <v>362</v>
      </c>
      <c r="F281" s="4" t="s">
        <v>2101</v>
      </c>
      <c r="G281" s="4" t="s">
        <v>2103</v>
      </c>
      <c r="H281" s="4" t="s">
        <v>368</v>
      </c>
      <c r="I281" s="4" t="s">
        <v>976</v>
      </c>
      <c r="J281" s="4" t="s">
        <v>100</v>
      </c>
      <c r="K281" s="4" t="s">
        <v>101</v>
      </c>
      <c r="L281" s="2" t="s">
        <v>374</v>
      </c>
      <c r="M281" s="2" t="s">
        <v>393</v>
      </c>
      <c r="N281" s="4" t="s">
        <v>579</v>
      </c>
      <c r="O281" s="4" t="s">
        <v>164</v>
      </c>
      <c r="P281" s="4" t="s">
        <v>105</v>
      </c>
      <c r="Q281" s="152">
        <v>209</v>
      </c>
      <c r="R281" s="152">
        <v>3.681</v>
      </c>
      <c r="S281" s="152">
        <v>10656</v>
      </c>
      <c r="U281" s="152">
        <v>81.98</v>
      </c>
      <c r="V281" s="152">
        <v>9.9999999999999995E-7</v>
      </c>
      <c r="W281" s="166">
        <v>1.4184553640858501E-2</v>
      </c>
      <c r="X281" s="166">
        <v>2.8027064981449501E-3</v>
      </c>
    </row>
    <row r="282" spans="1:24">
      <c r="A282" s="4" t="s">
        <v>119</v>
      </c>
      <c r="B282" s="4">
        <v>13680</v>
      </c>
      <c r="C282" s="4" t="s">
        <v>2104</v>
      </c>
      <c r="D282" s="4" t="s">
        <v>2105</v>
      </c>
      <c r="E282" s="4" t="s">
        <v>34</v>
      </c>
      <c r="F282" s="4" t="s">
        <v>2104</v>
      </c>
      <c r="G282" s="4" t="s">
        <v>2106</v>
      </c>
      <c r="H282" s="4" t="s">
        <v>368</v>
      </c>
      <c r="I282" s="4" t="s">
        <v>976</v>
      </c>
      <c r="J282" s="4" t="s">
        <v>100</v>
      </c>
      <c r="K282" s="4" t="s">
        <v>101</v>
      </c>
      <c r="L282" s="2" t="s">
        <v>374</v>
      </c>
      <c r="M282" s="2" t="s">
        <v>393</v>
      </c>
      <c r="N282" s="4" t="s">
        <v>2053</v>
      </c>
      <c r="O282" s="4" t="s">
        <v>164</v>
      </c>
      <c r="P282" s="4" t="s">
        <v>105</v>
      </c>
      <c r="Q282" s="152">
        <v>173</v>
      </c>
      <c r="R282" s="152">
        <v>3.681</v>
      </c>
      <c r="S282" s="152">
        <v>6310</v>
      </c>
      <c r="U282" s="152">
        <v>40.183</v>
      </c>
      <c r="V282" s="152">
        <v>0</v>
      </c>
      <c r="W282" s="166">
        <v>6.9526543398828102E-3</v>
      </c>
      <c r="X282" s="166">
        <v>1.3737654346496499E-3</v>
      </c>
    </row>
    <row r="283" spans="1:24">
      <c r="A283" s="4" t="s">
        <v>119</v>
      </c>
      <c r="B283" s="4">
        <v>13680</v>
      </c>
      <c r="C283" s="4" t="s">
        <v>2107</v>
      </c>
      <c r="D283" s="4" t="s">
        <v>2108</v>
      </c>
      <c r="E283" s="4" t="s">
        <v>362</v>
      </c>
      <c r="F283" s="4" t="s">
        <v>2109</v>
      </c>
      <c r="G283" s="4" t="s">
        <v>2110</v>
      </c>
      <c r="H283" s="4" t="s">
        <v>368</v>
      </c>
      <c r="I283" s="4" t="s">
        <v>976</v>
      </c>
      <c r="J283" s="4" t="s">
        <v>100</v>
      </c>
      <c r="K283" s="4" t="s">
        <v>101</v>
      </c>
      <c r="L283" s="2" t="s">
        <v>374</v>
      </c>
      <c r="M283" s="2" t="s">
        <v>393</v>
      </c>
      <c r="N283" s="4" t="s">
        <v>594</v>
      </c>
      <c r="O283" s="4" t="s">
        <v>164</v>
      </c>
      <c r="P283" s="4" t="s">
        <v>105</v>
      </c>
      <c r="Q283" s="152">
        <v>24</v>
      </c>
      <c r="R283" s="152">
        <v>3.681</v>
      </c>
      <c r="S283" s="152">
        <v>60733</v>
      </c>
      <c r="U283" s="152">
        <v>53.654000000000003</v>
      </c>
      <c r="V283" s="152">
        <v>0</v>
      </c>
      <c r="W283" s="166">
        <v>9.2834873946103201E-3</v>
      </c>
      <c r="X283" s="166">
        <v>1.83431154092674E-3</v>
      </c>
    </row>
    <row r="284" spans="1:24">
      <c r="A284" s="4" t="s">
        <v>119</v>
      </c>
      <c r="B284" s="4">
        <v>13680</v>
      </c>
      <c r="C284" s="4" t="s">
        <v>2115</v>
      </c>
      <c r="D284" s="4" t="s">
        <v>2116</v>
      </c>
      <c r="E284" s="4" t="s">
        <v>362</v>
      </c>
      <c r="F284" s="4" t="s">
        <v>2117</v>
      </c>
      <c r="G284" s="4" t="s">
        <v>2118</v>
      </c>
      <c r="H284" s="4" t="s">
        <v>368</v>
      </c>
      <c r="I284" s="4" t="s">
        <v>976</v>
      </c>
      <c r="J284" s="4" t="s">
        <v>100</v>
      </c>
      <c r="L284" s="2" t="s">
        <v>374</v>
      </c>
      <c r="M284" s="2" t="s">
        <v>204</v>
      </c>
      <c r="N284" s="4" t="s">
        <v>579</v>
      </c>
      <c r="O284" s="4" t="s">
        <v>164</v>
      </c>
      <c r="P284" s="4" t="s">
        <v>105</v>
      </c>
      <c r="Q284" s="152">
        <v>168</v>
      </c>
      <c r="R284" s="152">
        <v>3.681</v>
      </c>
      <c r="S284" s="152">
        <v>12840</v>
      </c>
      <c r="T284" s="150">
        <v>0.156</v>
      </c>
      <c r="U284" s="152">
        <v>79.977999999999994</v>
      </c>
      <c r="V284" s="152">
        <v>0</v>
      </c>
      <c r="W284" s="166">
        <v>1.3838261610487601E-2</v>
      </c>
      <c r="X284" s="166">
        <v>2.7342831308434499E-3</v>
      </c>
    </row>
    <row r="285" spans="1:24">
      <c r="A285" s="4" t="s">
        <v>119</v>
      </c>
      <c r="B285" s="4">
        <v>13680</v>
      </c>
      <c r="C285" s="4" t="s">
        <v>2119</v>
      </c>
      <c r="D285" s="4" t="s">
        <v>2120</v>
      </c>
      <c r="E285" s="4" t="s">
        <v>362</v>
      </c>
      <c r="F285" s="4" t="s">
        <v>2121</v>
      </c>
      <c r="G285" s="4" t="s">
        <v>2122</v>
      </c>
      <c r="H285" s="4" t="s">
        <v>368</v>
      </c>
      <c r="I285" s="4" t="s">
        <v>976</v>
      </c>
      <c r="J285" s="4" t="s">
        <v>100</v>
      </c>
      <c r="K285" s="4" t="s">
        <v>101</v>
      </c>
      <c r="L285" s="2" t="s">
        <v>374</v>
      </c>
      <c r="M285" s="2" t="s">
        <v>393</v>
      </c>
      <c r="N285" s="4" t="s">
        <v>593</v>
      </c>
      <c r="O285" s="4" t="s">
        <v>164</v>
      </c>
      <c r="P285" s="4" t="s">
        <v>105</v>
      </c>
      <c r="Q285" s="152">
        <v>36</v>
      </c>
      <c r="R285" s="152">
        <v>3.681</v>
      </c>
      <c r="S285" s="152">
        <v>90356</v>
      </c>
      <c r="U285" s="152">
        <v>119.736</v>
      </c>
      <c r="V285" s="152">
        <v>0</v>
      </c>
      <c r="W285" s="166">
        <v>2.0717372442347899E-2</v>
      </c>
      <c r="X285" s="166">
        <v>4.09351720461634E-3</v>
      </c>
    </row>
    <row r="286" spans="1:24">
      <c r="A286" s="4" t="s">
        <v>119</v>
      </c>
      <c r="B286" s="4">
        <v>13680</v>
      </c>
      <c r="C286" s="4" t="s">
        <v>2126</v>
      </c>
      <c r="D286" s="4" t="s">
        <v>2127</v>
      </c>
      <c r="E286" s="4" t="s">
        <v>362</v>
      </c>
      <c r="F286" s="4" t="s">
        <v>2128</v>
      </c>
      <c r="G286" s="4" t="s">
        <v>2129</v>
      </c>
      <c r="H286" s="4" t="s">
        <v>368</v>
      </c>
      <c r="I286" s="4" t="s">
        <v>976</v>
      </c>
      <c r="J286" s="4" t="s">
        <v>100</v>
      </c>
      <c r="K286" s="4" t="s">
        <v>101</v>
      </c>
      <c r="L286" s="2" t="s">
        <v>374</v>
      </c>
      <c r="M286" s="2" t="s">
        <v>391</v>
      </c>
      <c r="N286" s="4" t="s">
        <v>613</v>
      </c>
      <c r="O286" s="4" t="s">
        <v>164</v>
      </c>
      <c r="P286" s="4" t="s">
        <v>105</v>
      </c>
      <c r="Q286" s="152">
        <v>120</v>
      </c>
      <c r="R286" s="152">
        <v>3.681</v>
      </c>
      <c r="S286" s="152">
        <v>13022</v>
      </c>
      <c r="U286" s="152">
        <v>57.521000000000001</v>
      </c>
      <c r="V286" s="152">
        <v>0</v>
      </c>
      <c r="W286" s="166">
        <v>9.9525441566047802E-3</v>
      </c>
      <c r="X286" s="166">
        <v>1.96650954884066E-3</v>
      </c>
    </row>
    <row r="287" spans="1:24">
      <c r="A287" s="4" t="s">
        <v>119</v>
      </c>
      <c r="B287" s="4">
        <v>13680</v>
      </c>
      <c r="C287" s="4" t="s">
        <v>2130</v>
      </c>
      <c r="D287" s="4" t="s">
        <v>2131</v>
      </c>
      <c r="E287" s="4" t="s">
        <v>362</v>
      </c>
      <c r="F287" s="4" t="s">
        <v>2132</v>
      </c>
      <c r="G287" s="4" t="s">
        <v>2133</v>
      </c>
      <c r="H287" s="4" t="s">
        <v>368</v>
      </c>
      <c r="I287" s="4" t="s">
        <v>976</v>
      </c>
      <c r="J287" s="4" t="s">
        <v>100</v>
      </c>
      <c r="K287" s="4" t="s">
        <v>101</v>
      </c>
      <c r="L287" s="2" t="s">
        <v>374</v>
      </c>
      <c r="M287" s="2" t="s">
        <v>391</v>
      </c>
      <c r="N287" s="4" t="s">
        <v>531</v>
      </c>
      <c r="O287" s="4" t="s">
        <v>164</v>
      </c>
      <c r="P287" s="4" t="s">
        <v>105</v>
      </c>
      <c r="Q287" s="152">
        <v>420</v>
      </c>
      <c r="R287" s="152">
        <v>3.681</v>
      </c>
      <c r="S287" s="152">
        <v>54.81</v>
      </c>
      <c r="T287" s="150">
        <v>7.8E-2</v>
      </c>
      <c r="U287" s="152">
        <v>85.025000000000006</v>
      </c>
      <c r="V287" s="152">
        <v>0</v>
      </c>
      <c r="W287" s="166">
        <v>1.4711418480791799E-2</v>
      </c>
      <c r="X287" s="166">
        <v>2.90680899921144E-3</v>
      </c>
    </row>
    <row r="288" spans="1:24">
      <c r="A288" s="4" t="s">
        <v>119</v>
      </c>
      <c r="B288" s="4">
        <v>13680</v>
      </c>
      <c r="C288" s="4" t="s">
        <v>2134</v>
      </c>
      <c r="D288" s="4" t="s">
        <v>2135</v>
      </c>
      <c r="E288" s="4" t="s">
        <v>362</v>
      </c>
      <c r="F288" s="4" t="s">
        <v>2134</v>
      </c>
      <c r="G288" s="4" t="s">
        <v>2136</v>
      </c>
      <c r="H288" s="4" t="s">
        <v>368</v>
      </c>
      <c r="I288" s="4" t="s">
        <v>976</v>
      </c>
      <c r="J288" s="4" t="s">
        <v>100</v>
      </c>
      <c r="K288" s="4" t="s">
        <v>101</v>
      </c>
      <c r="L288" s="2" t="s">
        <v>374</v>
      </c>
      <c r="M288" s="2" t="s">
        <v>393</v>
      </c>
      <c r="N288" s="4" t="s">
        <v>560</v>
      </c>
      <c r="O288" s="4" t="s">
        <v>164</v>
      </c>
      <c r="P288" s="4" t="s">
        <v>105</v>
      </c>
      <c r="Q288" s="152">
        <v>860</v>
      </c>
      <c r="R288" s="152">
        <v>3.681</v>
      </c>
      <c r="S288" s="152">
        <v>1906</v>
      </c>
      <c r="U288" s="152">
        <v>60.337000000000003</v>
      </c>
      <c r="V288" s="152">
        <v>6.9999999999999999E-6</v>
      </c>
      <c r="W288" s="166">
        <v>1.0439904443595599E-2</v>
      </c>
      <c r="X288" s="166">
        <v>2.06280639947631E-3</v>
      </c>
    </row>
    <row r="289" spans="1:24">
      <c r="A289" s="4" t="s">
        <v>119</v>
      </c>
      <c r="B289" s="4">
        <v>13680</v>
      </c>
      <c r="C289" s="4" t="s">
        <v>2137</v>
      </c>
      <c r="D289" s="4" t="s">
        <v>2138</v>
      </c>
      <c r="E289" s="4" t="s">
        <v>362</v>
      </c>
      <c r="F289" s="4" t="s">
        <v>2139</v>
      </c>
      <c r="G289" s="4" t="s">
        <v>2140</v>
      </c>
      <c r="H289" s="4" t="s">
        <v>368</v>
      </c>
      <c r="I289" s="4" t="s">
        <v>976</v>
      </c>
      <c r="J289" s="4" t="s">
        <v>100</v>
      </c>
      <c r="K289" s="4" t="s">
        <v>318</v>
      </c>
      <c r="L289" s="2" t="s">
        <v>374</v>
      </c>
      <c r="M289" s="2" t="s">
        <v>391</v>
      </c>
      <c r="N289" s="4" t="s">
        <v>593</v>
      </c>
      <c r="O289" s="4" t="s">
        <v>164</v>
      </c>
      <c r="P289" s="4" t="s">
        <v>105</v>
      </c>
      <c r="Q289" s="152">
        <v>217</v>
      </c>
      <c r="R289" s="152">
        <v>3.681</v>
      </c>
      <c r="S289" s="152">
        <v>13605</v>
      </c>
      <c r="T289" s="150">
        <v>9.6000000000000002E-2</v>
      </c>
      <c r="U289" s="152">
        <v>109.02800000000001</v>
      </c>
      <c r="V289" s="152">
        <v>0</v>
      </c>
      <c r="W289" s="166">
        <v>1.8864546608856201E-2</v>
      </c>
      <c r="X289" s="166">
        <v>3.7274198895411699E-3</v>
      </c>
    </row>
    <row r="290" spans="1:24">
      <c r="A290" s="4" t="s">
        <v>119</v>
      </c>
      <c r="B290" s="4">
        <v>13680</v>
      </c>
      <c r="C290" s="4" t="s">
        <v>2141</v>
      </c>
      <c r="D290" s="4" t="s">
        <v>2142</v>
      </c>
      <c r="E290" s="4" t="s">
        <v>362</v>
      </c>
      <c r="F290" s="4" t="s">
        <v>2141</v>
      </c>
      <c r="G290" s="4" t="s">
        <v>2143</v>
      </c>
      <c r="H290" s="4" t="s">
        <v>368</v>
      </c>
      <c r="I290" s="4" t="s">
        <v>976</v>
      </c>
      <c r="J290" s="4" t="s">
        <v>100</v>
      </c>
      <c r="K290" s="4" t="s">
        <v>101</v>
      </c>
      <c r="L290" s="2" t="s">
        <v>374</v>
      </c>
      <c r="M290" s="2" t="s">
        <v>393</v>
      </c>
      <c r="N290" s="4" t="s">
        <v>557</v>
      </c>
      <c r="O290" s="4" t="s">
        <v>164</v>
      </c>
      <c r="P290" s="4" t="s">
        <v>105</v>
      </c>
      <c r="Q290" s="152">
        <v>130</v>
      </c>
      <c r="R290" s="152">
        <v>3.681</v>
      </c>
      <c r="S290" s="152">
        <v>17579</v>
      </c>
      <c r="U290" s="152">
        <v>84.120999999999995</v>
      </c>
      <c r="V290" s="152">
        <v>0</v>
      </c>
      <c r="W290" s="166">
        <v>1.4555016244793601E-2</v>
      </c>
      <c r="X290" s="166">
        <v>2.8759056959242698E-3</v>
      </c>
    </row>
    <row r="291" spans="1:24">
      <c r="A291" s="4" t="s">
        <v>119</v>
      </c>
      <c r="B291" s="4">
        <v>13680</v>
      </c>
      <c r="C291" s="4" t="s">
        <v>2148</v>
      </c>
      <c r="D291" s="4" t="s">
        <v>2149</v>
      </c>
      <c r="E291" s="4" t="s">
        <v>362</v>
      </c>
      <c r="F291" s="4" t="s">
        <v>2150</v>
      </c>
      <c r="G291" s="4" t="s">
        <v>2151</v>
      </c>
      <c r="H291" s="4" t="s">
        <v>368</v>
      </c>
      <c r="I291" s="4" t="s">
        <v>976</v>
      </c>
      <c r="J291" s="4" t="s">
        <v>100</v>
      </c>
      <c r="K291" s="4" t="s">
        <v>101</v>
      </c>
      <c r="L291" s="2" t="s">
        <v>374</v>
      </c>
      <c r="M291" s="2" t="s">
        <v>391</v>
      </c>
      <c r="N291" s="4" t="s">
        <v>2053</v>
      </c>
      <c r="O291" s="4" t="s">
        <v>164</v>
      </c>
      <c r="P291" s="4" t="s">
        <v>105</v>
      </c>
      <c r="Q291" s="152">
        <v>82</v>
      </c>
      <c r="R291" s="152">
        <v>3.681</v>
      </c>
      <c r="S291" s="152">
        <v>27908</v>
      </c>
      <c r="U291" s="152">
        <v>84.238</v>
      </c>
      <c r="V291" s="152">
        <v>0</v>
      </c>
      <c r="W291" s="166">
        <v>1.45753080622838E-2</v>
      </c>
      <c r="X291" s="166">
        <v>2.8799151283095902E-3</v>
      </c>
    </row>
    <row r="292" spans="1:24">
      <c r="A292" s="4" t="s">
        <v>119</v>
      </c>
      <c r="B292" s="4">
        <v>13680</v>
      </c>
      <c r="C292" s="4" t="s">
        <v>2152</v>
      </c>
      <c r="D292" s="4" t="s">
        <v>2153</v>
      </c>
      <c r="E292" s="4" t="s">
        <v>362</v>
      </c>
      <c r="F292" s="4" t="s">
        <v>2154</v>
      </c>
      <c r="G292" s="4" t="s">
        <v>2155</v>
      </c>
      <c r="H292" s="4" t="s">
        <v>368</v>
      </c>
      <c r="I292" s="4" t="s">
        <v>976</v>
      </c>
      <c r="J292" s="4" t="s">
        <v>100</v>
      </c>
      <c r="K292" s="4" t="s">
        <v>101</v>
      </c>
      <c r="L292" s="2" t="s">
        <v>374</v>
      </c>
      <c r="M292" s="2" t="s">
        <v>391</v>
      </c>
      <c r="N292" s="4" t="s">
        <v>594</v>
      </c>
      <c r="O292" s="4" t="s">
        <v>164</v>
      </c>
      <c r="P292" s="4" t="s">
        <v>105</v>
      </c>
      <c r="Q292" s="152">
        <v>140</v>
      </c>
      <c r="R292" s="152">
        <v>3.681</v>
      </c>
      <c r="S292" s="152">
        <v>12236</v>
      </c>
      <c r="U292" s="152">
        <v>63.057000000000002</v>
      </c>
      <c r="V292" s="152">
        <v>0</v>
      </c>
      <c r="W292" s="166">
        <v>1.0910450418541899E-2</v>
      </c>
      <c r="X292" s="166">
        <v>2.1557809332578199E-3</v>
      </c>
    </row>
    <row r="293" spans="1:24">
      <c r="A293" s="4" t="s">
        <v>128</v>
      </c>
      <c r="B293" s="4">
        <v>7228</v>
      </c>
      <c r="C293" s="4" t="s">
        <v>2190</v>
      </c>
      <c r="D293" s="4" t="s">
        <v>2191</v>
      </c>
      <c r="E293" s="4" t="s">
        <v>1380</v>
      </c>
      <c r="F293" s="4" t="s">
        <v>2192</v>
      </c>
      <c r="G293" s="4" t="s">
        <v>2193</v>
      </c>
      <c r="H293" s="4" t="s">
        <v>368</v>
      </c>
      <c r="I293" s="4" t="s">
        <v>976</v>
      </c>
      <c r="J293" s="4" t="s">
        <v>31</v>
      </c>
      <c r="K293" s="4" t="s">
        <v>31</v>
      </c>
      <c r="L293" s="2" t="s">
        <v>374</v>
      </c>
      <c r="M293" s="2" t="s">
        <v>32</v>
      </c>
      <c r="N293" s="4" t="s">
        <v>508</v>
      </c>
      <c r="O293" s="4" t="s">
        <v>164</v>
      </c>
      <c r="P293" s="4" t="s">
        <v>35</v>
      </c>
      <c r="Q293" s="152">
        <v>2469</v>
      </c>
      <c r="R293" s="152">
        <v>1</v>
      </c>
      <c r="S293" s="152">
        <v>33230</v>
      </c>
      <c r="U293" s="152">
        <v>820.44899999999996</v>
      </c>
      <c r="V293" s="152">
        <v>1.2569E-2</v>
      </c>
      <c r="W293" s="166">
        <v>2.92608222031625E-3</v>
      </c>
      <c r="X293" s="166">
        <v>3.54026598908449E-4</v>
      </c>
    </row>
    <row r="294" spans="1:24">
      <c r="A294" s="4" t="s">
        <v>128</v>
      </c>
      <c r="B294" s="4">
        <v>7228</v>
      </c>
      <c r="C294" s="4" t="s">
        <v>2190</v>
      </c>
      <c r="D294" s="4" t="s">
        <v>2191</v>
      </c>
      <c r="E294" s="4" t="s">
        <v>1380</v>
      </c>
      <c r="F294" s="4" t="s">
        <v>2194</v>
      </c>
      <c r="G294" s="4" t="s">
        <v>2195</v>
      </c>
      <c r="H294" s="4" t="s">
        <v>368</v>
      </c>
      <c r="I294" s="4" t="s">
        <v>976</v>
      </c>
      <c r="J294" s="4" t="s">
        <v>31</v>
      </c>
      <c r="K294" s="4" t="s">
        <v>31</v>
      </c>
      <c r="L294" s="2" t="s">
        <v>374</v>
      </c>
      <c r="M294" s="2" t="s">
        <v>32</v>
      </c>
      <c r="N294" s="4" t="s">
        <v>508</v>
      </c>
      <c r="O294" s="4" t="s">
        <v>164</v>
      </c>
      <c r="P294" s="4" t="s">
        <v>35</v>
      </c>
      <c r="Q294" s="152">
        <v>801</v>
      </c>
      <c r="R294" s="152">
        <v>1</v>
      </c>
      <c r="S294" s="152">
        <v>101300</v>
      </c>
      <c r="U294" s="152">
        <v>811.41300000000001</v>
      </c>
      <c r="V294" s="152">
        <v>7.5523000000000007E-2</v>
      </c>
      <c r="W294" s="166">
        <v>2.8938569256474799E-3</v>
      </c>
      <c r="X294" s="166">
        <v>3.5012766148584499E-4</v>
      </c>
    </row>
    <row r="295" spans="1:24">
      <c r="A295" s="4" t="s">
        <v>128</v>
      </c>
      <c r="B295" s="4">
        <v>7228</v>
      </c>
      <c r="C295" s="4" t="s">
        <v>1843</v>
      </c>
      <c r="D295" s="4" t="s">
        <v>1844</v>
      </c>
      <c r="E295" s="4" t="s">
        <v>362</v>
      </c>
      <c r="F295" s="4" t="s">
        <v>1845</v>
      </c>
      <c r="G295" s="4" t="s">
        <v>1846</v>
      </c>
      <c r="H295" s="4" t="s">
        <v>368</v>
      </c>
      <c r="I295" s="4" t="s">
        <v>976</v>
      </c>
      <c r="J295" s="4" t="s">
        <v>100</v>
      </c>
      <c r="K295" s="4" t="s">
        <v>101</v>
      </c>
      <c r="L295" s="2" t="s">
        <v>374</v>
      </c>
      <c r="M295" s="2" t="s">
        <v>32</v>
      </c>
      <c r="N295" s="4" t="s">
        <v>485</v>
      </c>
      <c r="O295" s="4" t="s">
        <v>164</v>
      </c>
      <c r="P295" s="4" t="s">
        <v>35</v>
      </c>
      <c r="Q295" s="152">
        <v>17966.39</v>
      </c>
      <c r="R295" s="152">
        <v>1</v>
      </c>
      <c r="S295" s="152">
        <v>24060</v>
      </c>
      <c r="U295" s="152">
        <v>4322.7129999999997</v>
      </c>
      <c r="V295" s="152">
        <v>3.2000000000000003E-4</v>
      </c>
      <c r="W295" s="166">
        <v>1.5416704204357401E-2</v>
      </c>
      <c r="X295" s="166">
        <v>1.86526657315062E-3</v>
      </c>
    </row>
    <row r="296" spans="1:24">
      <c r="A296" s="4" t="s">
        <v>128</v>
      </c>
      <c r="B296" s="4">
        <v>7228</v>
      </c>
      <c r="C296" s="4" t="s">
        <v>1847</v>
      </c>
      <c r="D296" s="4" t="s">
        <v>1848</v>
      </c>
      <c r="E296" s="4" t="s">
        <v>1380</v>
      </c>
      <c r="F296" s="4" t="s">
        <v>1849</v>
      </c>
      <c r="G296" s="4" t="s">
        <v>1850</v>
      </c>
      <c r="H296" s="4" t="s">
        <v>368</v>
      </c>
      <c r="I296" s="4" t="s">
        <v>976</v>
      </c>
      <c r="J296" s="4" t="s">
        <v>31</v>
      </c>
      <c r="K296" s="4" t="s">
        <v>31</v>
      </c>
      <c r="L296" s="2" t="s">
        <v>374</v>
      </c>
      <c r="M296" s="2" t="s">
        <v>32</v>
      </c>
      <c r="N296" s="4" t="s">
        <v>500</v>
      </c>
      <c r="O296" s="4" t="s">
        <v>164</v>
      </c>
      <c r="P296" s="4" t="s">
        <v>35</v>
      </c>
      <c r="Q296" s="152">
        <v>241260</v>
      </c>
      <c r="R296" s="152">
        <v>1</v>
      </c>
      <c r="S296" s="152">
        <v>1951</v>
      </c>
      <c r="U296" s="152">
        <v>4706.9830000000002</v>
      </c>
      <c r="V296" s="152">
        <v>1.8699999999999999E-4</v>
      </c>
      <c r="W296" s="166">
        <v>1.6787177671435099E-2</v>
      </c>
      <c r="X296" s="166">
        <v>2.0310801162817999E-3</v>
      </c>
    </row>
    <row r="297" spans="1:24">
      <c r="A297" s="4" t="s">
        <v>128</v>
      </c>
      <c r="B297" s="4">
        <v>7228</v>
      </c>
      <c r="C297" s="4" t="s">
        <v>1851</v>
      </c>
      <c r="D297" s="4" t="s">
        <v>1852</v>
      </c>
      <c r="E297" s="4" t="s">
        <v>1380</v>
      </c>
      <c r="F297" s="4" t="s">
        <v>1853</v>
      </c>
      <c r="G297" s="4" t="s">
        <v>1854</v>
      </c>
      <c r="H297" s="4" t="s">
        <v>368</v>
      </c>
      <c r="I297" s="4" t="s">
        <v>976</v>
      </c>
      <c r="J297" s="4" t="s">
        <v>31</v>
      </c>
      <c r="K297" s="4" t="s">
        <v>31</v>
      </c>
      <c r="L297" s="2" t="s">
        <v>374</v>
      </c>
      <c r="M297" s="2" t="s">
        <v>32</v>
      </c>
      <c r="N297" s="4" t="s">
        <v>489</v>
      </c>
      <c r="O297" s="4" t="s">
        <v>164</v>
      </c>
      <c r="P297" s="4" t="s">
        <v>35</v>
      </c>
      <c r="Q297" s="152">
        <v>16199</v>
      </c>
      <c r="R297" s="152">
        <v>1</v>
      </c>
      <c r="S297" s="152">
        <v>10700</v>
      </c>
      <c r="U297" s="152">
        <v>1733.2929999999999</v>
      </c>
      <c r="V297" s="152">
        <v>1.1039999999999999E-3</v>
      </c>
      <c r="W297" s="166">
        <v>6.1816879347832603E-3</v>
      </c>
      <c r="X297" s="166">
        <v>7.4792223535953301E-4</v>
      </c>
    </row>
    <row r="298" spans="1:24">
      <c r="A298" s="4" t="s">
        <v>128</v>
      </c>
      <c r="B298" s="4">
        <v>7228</v>
      </c>
      <c r="C298" s="4" t="s">
        <v>1855</v>
      </c>
      <c r="D298" s="4" t="s">
        <v>1856</v>
      </c>
      <c r="E298" s="4" t="s">
        <v>1380</v>
      </c>
      <c r="F298" s="4" t="s">
        <v>1857</v>
      </c>
      <c r="G298" s="4" t="s">
        <v>1858</v>
      </c>
      <c r="H298" s="4" t="s">
        <v>368</v>
      </c>
      <c r="I298" s="4" t="s">
        <v>976</v>
      </c>
      <c r="J298" s="4" t="s">
        <v>31</v>
      </c>
      <c r="K298" s="4" t="s">
        <v>31</v>
      </c>
      <c r="L298" s="2" t="s">
        <v>374</v>
      </c>
      <c r="M298" s="2" t="s">
        <v>32</v>
      </c>
      <c r="N298" s="4" t="s">
        <v>507</v>
      </c>
      <c r="O298" s="4" t="s">
        <v>164</v>
      </c>
      <c r="P298" s="4" t="s">
        <v>35</v>
      </c>
      <c r="Q298" s="152">
        <v>123139</v>
      </c>
      <c r="R298" s="152">
        <v>1</v>
      </c>
      <c r="S298" s="152">
        <v>1180</v>
      </c>
      <c r="U298" s="152">
        <v>1453.04</v>
      </c>
      <c r="V298" s="152">
        <v>9.8400000000000007E-4</v>
      </c>
      <c r="W298" s="166">
        <v>5.1821827429609701E-3</v>
      </c>
      <c r="X298" s="166">
        <v>6.2699213257727505E-4</v>
      </c>
    </row>
    <row r="299" spans="1:24">
      <c r="A299" s="4" t="s">
        <v>128</v>
      </c>
      <c r="B299" s="4">
        <v>7228</v>
      </c>
      <c r="C299" s="4" t="s">
        <v>1859</v>
      </c>
      <c r="D299" s="4" t="s">
        <v>1860</v>
      </c>
      <c r="E299" s="4" t="s">
        <v>34</v>
      </c>
      <c r="F299" s="4" t="s">
        <v>1861</v>
      </c>
      <c r="G299" s="4" t="s">
        <v>1862</v>
      </c>
      <c r="H299" s="4" t="s">
        <v>368</v>
      </c>
      <c r="I299" s="4" t="s">
        <v>976</v>
      </c>
      <c r="J299" s="4" t="s">
        <v>31</v>
      </c>
      <c r="K299" s="4" t="s">
        <v>31</v>
      </c>
      <c r="L299" s="2" t="s">
        <v>374</v>
      </c>
      <c r="M299" s="2" t="s">
        <v>32</v>
      </c>
      <c r="N299" s="4" t="s">
        <v>522</v>
      </c>
      <c r="O299" s="4" t="s">
        <v>164</v>
      </c>
      <c r="P299" s="4" t="s">
        <v>35</v>
      </c>
      <c r="Q299" s="152">
        <v>0</v>
      </c>
      <c r="R299" s="152">
        <v>1</v>
      </c>
      <c r="S299" s="152">
        <v>499.9</v>
      </c>
      <c r="T299" s="150">
        <v>1E-3</v>
      </c>
      <c r="U299" s="152">
        <v>1E-3</v>
      </c>
      <c r="W299" s="166">
        <v>1.8545495343760701E-9</v>
      </c>
      <c r="X299" s="166">
        <v>2.24381891801881E-10</v>
      </c>
    </row>
    <row r="300" spans="1:24">
      <c r="A300" s="4" t="s">
        <v>128</v>
      </c>
      <c r="B300" s="4">
        <v>7228</v>
      </c>
      <c r="C300" s="4" t="s">
        <v>1863</v>
      </c>
      <c r="D300" s="4" t="s">
        <v>1864</v>
      </c>
      <c r="E300" s="4" t="s">
        <v>1380</v>
      </c>
      <c r="F300" s="4" t="s">
        <v>1865</v>
      </c>
      <c r="G300" s="4" t="s">
        <v>1866</v>
      </c>
      <c r="H300" s="4" t="s">
        <v>368</v>
      </c>
      <c r="I300" s="4" t="s">
        <v>976</v>
      </c>
      <c r="J300" s="4" t="s">
        <v>31</v>
      </c>
      <c r="K300" s="4" t="s">
        <v>31</v>
      </c>
      <c r="L300" s="2" t="s">
        <v>374</v>
      </c>
      <c r="M300" s="2" t="s">
        <v>32</v>
      </c>
      <c r="N300" s="4" t="s">
        <v>490</v>
      </c>
      <c r="O300" s="4" t="s">
        <v>164</v>
      </c>
      <c r="P300" s="4" t="s">
        <v>35</v>
      </c>
      <c r="Q300" s="152">
        <v>10859.67</v>
      </c>
      <c r="R300" s="152">
        <v>1</v>
      </c>
      <c r="S300" s="152">
        <v>77500</v>
      </c>
      <c r="U300" s="152">
        <v>8416.2440000000006</v>
      </c>
      <c r="V300" s="152">
        <v>2.4499999999999999E-4</v>
      </c>
      <c r="W300" s="166">
        <v>3.0016042028909101E-2</v>
      </c>
      <c r="X300" s="166">
        <v>3.6316400128494201E-3</v>
      </c>
    </row>
    <row r="301" spans="1:24">
      <c r="A301" s="4" t="s">
        <v>128</v>
      </c>
      <c r="B301" s="4">
        <v>7228</v>
      </c>
      <c r="C301" s="4" t="s">
        <v>1867</v>
      </c>
      <c r="D301" s="4" t="s">
        <v>1868</v>
      </c>
      <c r="E301" s="4" t="s">
        <v>1380</v>
      </c>
      <c r="F301" s="4" t="s">
        <v>1869</v>
      </c>
      <c r="G301" s="4" t="s">
        <v>1870</v>
      </c>
      <c r="H301" s="4" t="s">
        <v>368</v>
      </c>
      <c r="I301" s="4" t="s">
        <v>976</v>
      </c>
      <c r="J301" s="4" t="s">
        <v>31</v>
      </c>
      <c r="K301" s="4" t="s">
        <v>31</v>
      </c>
      <c r="L301" s="2" t="s">
        <v>374</v>
      </c>
      <c r="M301" s="2" t="s">
        <v>32</v>
      </c>
      <c r="N301" s="4" t="s">
        <v>495</v>
      </c>
      <c r="O301" s="4" t="s">
        <v>164</v>
      </c>
      <c r="P301" s="4" t="s">
        <v>35</v>
      </c>
      <c r="Q301" s="152">
        <v>1205</v>
      </c>
      <c r="R301" s="152">
        <v>1</v>
      </c>
      <c r="S301" s="152">
        <v>158340</v>
      </c>
      <c r="U301" s="152">
        <v>1907.9970000000001</v>
      </c>
      <c r="V301" s="152">
        <v>3.1399999999999999E-4</v>
      </c>
      <c r="W301" s="166">
        <v>6.8047595152710199E-3</v>
      </c>
      <c r="X301" s="166">
        <v>8.2330764694675605E-4</v>
      </c>
    </row>
    <row r="302" spans="1:24">
      <c r="A302" s="4" t="s">
        <v>128</v>
      </c>
      <c r="B302" s="4">
        <v>7228</v>
      </c>
      <c r="C302" s="4" t="s">
        <v>1871</v>
      </c>
      <c r="D302" s="4" t="s">
        <v>1872</v>
      </c>
      <c r="E302" s="4" t="s">
        <v>1380</v>
      </c>
      <c r="F302" s="4" t="s">
        <v>1873</v>
      </c>
      <c r="G302" s="4" t="s">
        <v>1874</v>
      </c>
      <c r="H302" s="4" t="s">
        <v>368</v>
      </c>
      <c r="I302" s="4" t="s">
        <v>976</v>
      </c>
      <c r="J302" s="4" t="s">
        <v>31</v>
      </c>
      <c r="K302" s="4" t="s">
        <v>101</v>
      </c>
      <c r="L302" s="2" t="s">
        <v>374</v>
      </c>
      <c r="M302" s="2" t="s">
        <v>32</v>
      </c>
      <c r="N302" s="4" t="s">
        <v>485</v>
      </c>
      <c r="O302" s="4" t="s">
        <v>164</v>
      </c>
      <c r="P302" s="4" t="s">
        <v>35</v>
      </c>
      <c r="Q302" s="152">
        <v>48087.8</v>
      </c>
      <c r="R302" s="152">
        <v>1</v>
      </c>
      <c r="S302" s="152">
        <v>6299</v>
      </c>
      <c r="U302" s="152">
        <v>3029.0509999999999</v>
      </c>
      <c r="V302" s="152">
        <v>4.08E-4</v>
      </c>
      <c r="W302" s="166">
        <v>1.0802931221493599E-2</v>
      </c>
      <c r="X302" s="166">
        <v>1.3070463201727599E-3</v>
      </c>
    </row>
    <row r="303" spans="1:24">
      <c r="A303" s="4" t="s">
        <v>128</v>
      </c>
      <c r="B303" s="4">
        <v>7228</v>
      </c>
      <c r="C303" s="4" t="s">
        <v>1875</v>
      </c>
      <c r="D303" s="4" t="s">
        <v>1876</v>
      </c>
      <c r="E303" s="4" t="s">
        <v>362</v>
      </c>
      <c r="F303" s="4" t="s">
        <v>1877</v>
      </c>
      <c r="G303" s="4" t="s">
        <v>1878</v>
      </c>
      <c r="H303" s="4" t="s">
        <v>368</v>
      </c>
      <c r="I303" s="4" t="s">
        <v>976</v>
      </c>
      <c r="J303" s="4" t="s">
        <v>100</v>
      </c>
      <c r="K303" s="4" t="s">
        <v>283</v>
      </c>
      <c r="L303" s="2" t="s">
        <v>374</v>
      </c>
      <c r="M303" s="2" t="s">
        <v>32</v>
      </c>
      <c r="N303" s="4" t="s">
        <v>498</v>
      </c>
      <c r="O303" s="4" t="s">
        <v>164</v>
      </c>
      <c r="P303" s="4" t="s">
        <v>35</v>
      </c>
      <c r="Q303" s="152">
        <v>39372</v>
      </c>
      <c r="R303" s="152">
        <v>1</v>
      </c>
      <c r="S303" s="152">
        <v>5008</v>
      </c>
      <c r="T303" s="150">
        <v>43.23</v>
      </c>
      <c r="U303" s="152">
        <v>2014.98</v>
      </c>
      <c r="V303" s="152">
        <v>2.22E-4</v>
      </c>
      <c r="W303" s="166">
        <v>7.1863089014961197E-3</v>
      </c>
      <c r="X303" s="166">
        <v>8.6947129559032698E-4</v>
      </c>
    </row>
    <row r="304" spans="1:24">
      <c r="A304" s="4" t="s">
        <v>128</v>
      </c>
      <c r="B304" s="4">
        <v>7228</v>
      </c>
      <c r="C304" s="4" t="s">
        <v>1883</v>
      </c>
      <c r="D304" s="4" t="s">
        <v>1884</v>
      </c>
      <c r="E304" s="4" t="s">
        <v>1380</v>
      </c>
      <c r="F304" s="4" t="s">
        <v>1885</v>
      </c>
      <c r="G304" s="4" t="s">
        <v>1886</v>
      </c>
      <c r="H304" s="4" t="s">
        <v>368</v>
      </c>
      <c r="I304" s="4" t="s">
        <v>976</v>
      </c>
      <c r="J304" s="4" t="s">
        <v>31</v>
      </c>
      <c r="K304" s="4" t="s">
        <v>31</v>
      </c>
      <c r="L304" s="2" t="s">
        <v>374</v>
      </c>
      <c r="M304" s="2" t="s">
        <v>32</v>
      </c>
      <c r="N304" s="4" t="s">
        <v>491</v>
      </c>
      <c r="O304" s="4" t="s">
        <v>164</v>
      </c>
      <c r="P304" s="4" t="s">
        <v>35</v>
      </c>
      <c r="Q304" s="152">
        <v>79721</v>
      </c>
      <c r="R304" s="152">
        <v>1</v>
      </c>
      <c r="S304" s="152">
        <v>5478</v>
      </c>
      <c r="U304" s="152">
        <v>4367.116</v>
      </c>
      <c r="V304" s="152">
        <v>7.8799999999999996E-4</v>
      </c>
      <c r="W304" s="166">
        <v>1.5575064709798201E-2</v>
      </c>
      <c r="X304" s="166">
        <v>1.8844266058911201E-3</v>
      </c>
    </row>
    <row r="305" spans="1:24">
      <c r="A305" s="4" t="s">
        <v>128</v>
      </c>
      <c r="B305" s="4">
        <v>7228</v>
      </c>
      <c r="C305" s="4" t="s">
        <v>1887</v>
      </c>
      <c r="D305" s="4" t="s">
        <v>1888</v>
      </c>
      <c r="E305" s="4" t="s">
        <v>1380</v>
      </c>
      <c r="F305" s="4" t="s">
        <v>1889</v>
      </c>
      <c r="G305" s="4" t="s">
        <v>1890</v>
      </c>
      <c r="H305" s="4" t="s">
        <v>368</v>
      </c>
      <c r="I305" s="4" t="s">
        <v>976</v>
      </c>
      <c r="J305" s="4" t="s">
        <v>31</v>
      </c>
      <c r="K305" s="4" t="s">
        <v>101</v>
      </c>
      <c r="L305" s="2" t="s">
        <v>374</v>
      </c>
      <c r="M305" s="2" t="s">
        <v>32</v>
      </c>
      <c r="N305" s="4" t="s">
        <v>509</v>
      </c>
      <c r="O305" s="4" t="s">
        <v>164</v>
      </c>
      <c r="P305" s="4" t="s">
        <v>35</v>
      </c>
      <c r="Q305" s="152">
        <v>92800</v>
      </c>
      <c r="R305" s="152">
        <v>1</v>
      </c>
      <c r="S305" s="152">
        <v>755</v>
      </c>
      <c r="U305" s="152">
        <v>700.64</v>
      </c>
      <c r="V305" s="152">
        <v>1.6789999999999999E-3</v>
      </c>
      <c r="W305" s="166">
        <v>2.4987915110870102E-3</v>
      </c>
      <c r="X305" s="166">
        <v>3.0232870898475001E-4</v>
      </c>
    </row>
    <row r="306" spans="1:24">
      <c r="A306" s="4" t="s">
        <v>128</v>
      </c>
      <c r="B306" s="4">
        <v>7228</v>
      </c>
      <c r="C306" s="4" t="s">
        <v>1891</v>
      </c>
      <c r="D306" s="4" t="s">
        <v>1892</v>
      </c>
      <c r="E306" s="4" t="s">
        <v>1380</v>
      </c>
      <c r="F306" s="4" t="s">
        <v>1893</v>
      </c>
      <c r="G306" s="4" t="s">
        <v>1894</v>
      </c>
      <c r="H306" s="4" t="s">
        <v>368</v>
      </c>
      <c r="I306" s="4" t="s">
        <v>976</v>
      </c>
      <c r="J306" s="4" t="s">
        <v>31</v>
      </c>
      <c r="K306" s="4" t="s">
        <v>31</v>
      </c>
      <c r="L306" s="2" t="s">
        <v>374</v>
      </c>
      <c r="M306" s="2" t="s">
        <v>32</v>
      </c>
      <c r="N306" s="4" t="s">
        <v>484</v>
      </c>
      <c r="O306" s="4" t="s">
        <v>164</v>
      </c>
      <c r="P306" s="4" t="s">
        <v>35</v>
      </c>
      <c r="Q306" s="152">
        <v>1287364</v>
      </c>
      <c r="R306" s="152">
        <v>1</v>
      </c>
      <c r="S306" s="152">
        <v>122</v>
      </c>
      <c r="T306" s="150">
        <v>214.29499999999999</v>
      </c>
      <c r="U306" s="152">
        <v>1784.8789999999999</v>
      </c>
      <c r="V306" s="152">
        <v>4.0400000000000001E-4</v>
      </c>
      <c r="W306" s="166">
        <v>6.3656652758793501E-3</v>
      </c>
      <c r="X306" s="166">
        <v>7.7018164826742801E-4</v>
      </c>
    </row>
    <row r="307" spans="1:24">
      <c r="A307" s="4" t="s">
        <v>128</v>
      </c>
      <c r="B307" s="4">
        <v>7228</v>
      </c>
      <c r="C307" s="4" t="s">
        <v>1895</v>
      </c>
      <c r="D307" s="4" t="s">
        <v>1896</v>
      </c>
      <c r="E307" s="4" t="s">
        <v>1380</v>
      </c>
      <c r="F307" s="4" t="s">
        <v>1897</v>
      </c>
      <c r="G307" s="4" t="s">
        <v>1898</v>
      </c>
      <c r="H307" s="4" t="s">
        <v>368</v>
      </c>
      <c r="I307" s="4" t="s">
        <v>976</v>
      </c>
      <c r="J307" s="4" t="s">
        <v>31</v>
      </c>
      <c r="K307" s="4" t="s">
        <v>31</v>
      </c>
      <c r="L307" s="2" t="s">
        <v>374</v>
      </c>
      <c r="M307" s="2" t="s">
        <v>32</v>
      </c>
      <c r="N307" s="4" t="s">
        <v>529</v>
      </c>
      <c r="O307" s="4" t="s">
        <v>164</v>
      </c>
      <c r="P307" s="4" t="s">
        <v>35</v>
      </c>
      <c r="Q307" s="152">
        <v>747628.76</v>
      </c>
      <c r="R307" s="152">
        <v>1</v>
      </c>
      <c r="S307" s="152">
        <v>473</v>
      </c>
      <c r="U307" s="152">
        <v>3536.2840000000001</v>
      </c>
      <c r="V307" s="152">
        <v>2.7E-4</v>
      </c>
      <c r="W307" s="166">
        <v>1.26119498272305E-2</v>
      </c>
      <c r="X307" s="166">
        <v>1.52591942630233E-3</v>
      </c>
    </row>
    <row r="308" spans="1:24">
      <c r="A308" s="4" t="s">
        <v>128</v>
      </c>
      <c r="B308" s="4">
        <v>7228</v>
      </c>
      <c r="C308" s="4" t="s">
        <v>1899</v>
      </c>
      <c r="D308" s="4" t="s">
        <v>1900</v>
      </c>
      <c r="E308" s="4" t="s">
        <v>1380</v>
      </c>
      <c r="F308" s="4" t="s">
        <v>1901</v>
      </c>
      <c r="G308" s="4" t="s">
        <v>1902</v>
      </c>
      <c r="H308" s="4" t="s">
        <v>368</v>
      </c>
      <c r="I308" s="4" t="s">
        <v>976</v>
      </c>
      <c r="J308" s="4" t="s">
        <v>31</v>
      </c>
      <c r="K308" s="4" t="s">
        <v>31</v>
      </c>
      <c r="L308" s="2" t="s">
        <v>374</v>
      </c>
      <c r="M308" s="2" t="s">
        <v>32</v>
      </c>
      <c r="N308" s="4" t="s">
        <v>508</v>
      </c>
      <c r="O308" s="4" t="s">
        <v>164</v>
      </c>
      <c r="P308" s="4" t="s">
        <v>35</v>
      </c>
      <c r="Q308" s="152">
        <v>7599.88</v>
      </c>
      <c r="R308" s="152">
        <v>1</v>
      </c>
      <c r="S308" s="152">
        <v>41030</v>
      </c>
      <c r="U308" s="152">
        <v>3118.2310000000002</v>
      </c>
      <c r="V308" s="152">
        <v>3.0899999999999998E-4</v>
      </c>
      <c r="W308" s="166">
        <v>1.1120987329717899E-2</v>
      </c>
      <c r="X308" s="166">
        <v>1.34552791904066E-3</v>
      </c>
    </row>
    <row r="309" spans="1:24">
      <c r="A309" s="4" t="s">
        <v>128</v>
      </c>
      <c r="B309" s="4">
        <v>7228</v>
      </c>
      <c r="C309" s="4" t="s">
        <v>1911</v>
      </c>
      <c r="D309" s="4" t="s">
        <v>1912</v>
      </c>
      <c r="E309" s="4" t="s">
        <v>1380</v>
      </c>
      <c r="F309" s="4" t="s">
        <v>1913</v>
      </c>
      <c r="G309" s="4" t="s">
        <v>1914</v>
      </c>
      <c r="H309" s="4" t="s">
        <v>368</v>
      </c>
      <c r="I309" s="4" t="s">
        <v>976</v>
      </c>
      <c r="J309" s="4" t="s">
        <v>31</v>
      </c>
      <c r="K309" s="4" t="s">
        <v>31</v>
      </c>
      <c r="L309" s="2" t="s">
        <v>374</v>
      </c>
      <c r="M309" s="2" t="s">
        <v>32</v>
      </c>
      <c r="N309" s="4" t="s">
        <v>492</v>
      </c>
      <c r="O309" s="4" t="s">
        <v>164</v>
      </c>
      <c r="P309" s="4" t="s">
        <v>35</v>
      </c>
      <c r="Q309" s="152">
        <v>120639</v>
      </c>
      <c r="R309" s="152">
        <v>1</v>
      </c>
      <c r="S309" s="152">
        <v>1946</v>
      </c>
      <c r="T309" s="150">
        <v>17.925000000000001</v>
      </c>
      <c r="U309" s="152">
        <v>2365.56</v>
      </c>
      <c r="V309" s="152">
        <v>9.7999999999999997E-5</v>
      </c>
      <c r="W309" s="166">
        <v>8.4366309688676394E-3</v>
      </c>
      <c r="X309" s="166">
        <v>1.0207477245226201E-3</v>
      </c>
    </row>
    <row r="310" spans="1:24">
      <c r="A310" s="4" t="s">
        <v>128</v>
      </c>
      <c r="B310" s="4">
        <v>7228</v>
      </c>
      <c r="C310" s="4" t="s">
        <v>1915</v>
      </c>
      <c r="D310" s="4" t="s">
        <v>1916</v>
      </c>
      <c r="E310" s="4" t="s">
        <v>1380</v>
      </c>
      <c r="F310" s="4" t="s">
        <v>1917</v>
      </c>
      <c r="G310" s="4" t="s">
        <v>1918</v>
      </c>
      <c r="H310" s="4" t="s">
        <v>368</v>
      </c>
      <c r="I310" s="4" t="s">
        <v>976</v>
      </c>
      <c r="J310" s="4" t="s">
        <v>31</v>
      </c>
      <c r="K310" s="4" t="s">
        <v>31</v>
      </c>
      <c r="L310" s="2" t="s">
        <v>374</v>
      </c>
      <c r="M310" s="2" t="s">
        <v>32</v>
      </c>
      <c r="N310" s="4" t="s">
        <v>481</v>
      </c>
      <c r="O310" s="4" t="s">
        <v>164</v>
      </c>
      <c r="P310" s="4" t="s">
        <v>35</v>
      </c>
      <c r="Q310" s="152">
        <v>33839</v>
      </c>
      <c r="R310" s="152">
        <v>1</v>
      </c>
      <c r="S310" s="152">
        <v>16390</v>
      </c>
      <c r="U310" s="152">
        <v>5546.2120000000004</v>
      </c>
      <c r="V310" s="152">
        <v>1.3159999999999999E-3</v>
      </c>
      <c r="W310" s="166">
        <v>1.97802405146267E-2</v>
      </c>
      <c r="X310" s="166">
        <v>2.3932106987163099E-3</v>
      </c>
    </row>
    <row r="311" spans="1:24">
      <c r="A311" s="4" t="s">
        <v>128</v>
      </c>
      <c r="B311" s="4">
        <v>7228</v>
      </c>
      <c r="C311" s="4" t="s">
        <v>2182</v>
      </c>
      <c r="D311" s="4" t="s">
        <v>2183</v>
      </c>
      <c r="E311" s="4" t="s">
        <v>1380</v>
      </c>
      <c r="F311" s="4" t="s">
        <v>2184</v>
      </c>
      <c r="G311" s="4" t="s">
        <v>2185</v>
      </c>
      <c r="H311" s="4" t="s">
        <v>368</v>
      </c>
      <c r="I311" s="4" t="s">
        <v>976</v>
      </c>
      <c r="J311" s="4" t="s">
        <v>31</v>
      </c>
      <c r="K311" s="4" t="s">
        <v>31</v>
      </c>
      <c r="L311" s="2" t="s">
        <v>374</v>
      </c>
      <c r="M311" s="2" t="s">
        <v>32</v>
      </c>
      <c r="N311" s="4" t="s">
        <v>508</v>
      </c>
      <c r="O311" s="4" t="s">
        <v>164</v>
      </c>
      <c r="P311" s="4" t="s">
        <v>35</v>
      </c>
      <c r="Q311" s="152">
        <v>29627</v>
      </c>
      <c r="R311" s="152">
        <v>1</v>
      </c>
      <c r="S311" s="152">
        <v>3387</v>
      </c>
      <c r="U311" s="152">
        <v>1003.466</v>
      </c>
      <c r="V311" s="152">
        <v>8.0400000000000003E-4</v>
      </c>
      <c r="W311" s="166">
        <v>3.5788044457528601E-3</v>
      </c>
      <c r="X311" s="166">
        <v>4.3299944112691E-4</v>
      </c>
    </row>
    <row r="312" spans="1:24">
      <c r="A312" s="4" t="s">
        <v>128</v>
      </c>
      <c r="B312" s="4">
        <v>7228</v>
      </c>
      <c r="C312" s="4" t="s">
        <v>1919</v>
      </c>
      <c r="D312" s="4" t="s">
        <v>1920</v>
      </c>
      <c r="E312" s="4" t="s">
        <v>1380</v>
      </c>
      <c r="F312" s="4" t="s">
        <v>1921</v>
      </c>
      <c r="G312" s="4" t="s">
        <v>1922</v>
      </c>
      <c r="H312" s="4" t="s">
        <v>368</v>
      </c>
      <c r="I312" s="4" t="s">
        <v>976</v>
      </c>
      <c r="J312" s="4" t="s">
        <v>31</v>
      </c>
      <c r="K312" s="4" t="s">
        <v>31</v>
      </c>
      <c r="L312" s="2" t="s">
        <v>374</v>
      </c>
      <c r="M312" s="2" t="s">
        <v>32</v>
      </c>
      <c r="N312" s="4" t="s">
        <v>489</v>
      </c>
      <c r="O312" s="4" t="s">
        <v>164</v>
      </c>
      <c r="P312" s="4" t="s">
        <v>35</v>
      </c>
      <c r="Q312" s="152">
        <v>113784</v>
      </c>
      <c r="R312" s="152">
        <v>1</v>
      </c>
      <c r="S312" s="152">
        <v>3810</v>
      </c>
      <c r="U312" s="152">
        <v>4335.17</v>
      </c>
      <c r="V312" s="152">
        <v>4.3800000000000002E-4</v>
      </c>
      <c r="W312" s="166">
        <v>1.5461131243770999E-2</v>
      </c>
      <c r="X312" s="166">
        <v>1.87064179929907E-3</v>
      </c>
    </row>
    <row r="313" spans="1:24">
      <c r="A313" s="4" t="s">
        <v>128</v>
      </c>
      <c r="B313" s="4">
        <v>7228</v>
      </c>
      <c r="C313" s="4" t="s">
        <v>1923</v>
      </c>
      <c r="D313" s="4" t="s">
        <v>1924</v>
      </c>
      <c r="E313" s="4" t="s">
        <v>1380</v>
      </c>
      <c r="F313" s="4" t="s">
        <v>1925</v>
      </c>
      <c r="G313" s="4" t="s">
        <v>1926</v>
      </c>
      <c r="H313" s="4" t="s">
        <v>368</v>
      </c>
      <c r="I313" s="4" t="s">
        <v>976</v>
      </c>
      <c r="J313" s="4" t="s">
        <v>31</v>
      </c>
      <c r="K313" s="4" t="s">
        <v>31</v>
      </c>
      <c r="L313" s="2" t="s">
        <v>374</v>
      </c>
      <c r="M313" s="2" t="s">
        <v>32</v>
      </c>
      <c r="N313" s="4" t="s">
        <v>489</v>
      </c>
      <c r="O313" s="4" t="s">
        <v>164</v>
      </c>
      <c r="P313" s="4" t="s">
        <v>35</v>
      </c>
      <c r="Q313" s="152">
        <v>129616</v>
      </c>
      <c r="R313" s="152">
        <v>1</v>
      </c>
      <c r="S313" s="152">
        <v>3510</v>
      </c>
      <c r="U313" s="152">
        <v>4549.5219999999999</v>
      </c>
      <c r="V313" s="152">
        <v>6.2100000000000002E-4</v>
      </c>
      <c r="W313" s="166">
        <v>1.6225602240219E-2</v>
      </c>
      <c r="X313" s="166">
        <v>1.9631351219260001E-3</v>
      </c>
    </row>
    <row r="314" spans="1:24">
      <c r="A314" s="4" t="s">
        <v>128</v>
      </c>
      <c r="B314" s="4">
        <v>7228</v>
      </c>
      <c r="C314" s="4" t="s">
        <v>1927</v>
      </c>
      <c r="D314" s="4" t="s">
        <v>1928</v>
      </c>
      <c r="E314" s="4" t="s">
        <v>1380</v>
      </c>
      <c r="F314" s="4" t="s">
        <v>1929</v>
      </c>
      <c r="G314" s="4" t="s">
        <v>1930</v>
      </c>
      <c r="H314" s="4" t="s">
        <v>368</v>
      </c>
      <c r="I314" s="4" t="s">
        <v>976</v>
      </c>
      <c r="J314" s="4" t="s">
        <v>31</v>
      </c>
      <c r="K314" s="4" t="s">
        <v>31</v>
      </c>
      <c r="L314" s="2" t="s">
        <v>374</v>
      </c>
      <c r="M314" s="2" t="s">
        <v>32</v>
      </c>
      <c r="N314" s="4" t="s">
        <v>495</v>
      </c>
      <c r="O314" s="4" t="s">
        <v>164</v>
      </c>
      <c r="P314" s="4" t="s">
        <v>35</v>
      </c>
      <c r="Q314" s="152">
        <v>1785</v>
      </c>
      <c r="R314" s="152">
        <v>1</v>
      </c>
      <c r="S314" s="152">
        <v>100120</v>
      </c>
      <c r="U314" s="152">
        <v>1787.1420000000001</v>
      </c>
      <c r="V314" s="152">
        <v>2.33E-4</v>
      </c>
      <c r="W314" s="166">
        <v>6.3737372383921402E-3</v>
      </c>
      <c r="X314" s="166">
        <v>7.7115827476653199E-4</v>
      </c>
    </row>
    <row r="315" spans="1:24">
      <c r="A315" s="4" t="s">
        <v>128</v>
      </c>
      <c r="B315" s="4">
        <v>7228</v>
      </c>
      <c r="C315" s="4" t="s">
        <v>1931</v>
      </c>
      <c r="D315" s="4" t="s">
        <v>1932</v>
      </c>
      <c r="E315" s="4" t="s">
        <v>1380</v>
      </c>
      <c r="F315" s="4" t="s">
        <v>1933</v>
      </c>
      <c r="G315" s="4" t="s">
        <v>1934</v>
      </c>
      <c r="H315" s="4" t="s">
        <v>368</v>
      </c>
      <c r="I315" s="4" t="s">
        <v>976</v>
      </c>
      <c r="J315" s="4" t="s">
        <v>31</v>
      </c>
      <c r="K315" s="4" t="s">
        <v>31</v>
      </c>
      <c r="L315" s="2" t="s">
        <v>374</v>
      </c>
      <c r="M315" s="2" t="s">
        <v>32</v>
      </c>
      <c r="N315" s="4" t="s">
        <v>521</v>
      </c>
      <c r="O315" s="4" t="s">
        <v>164</v>
      </c>
      <c r="P315" s="4" t="s">
        <v>35</v>
      </c>
      <c r="Q315" s="152">
        <v>12867</v>
      </c>
      <c r="R315" s="152">
        <v>1</v>
      </c>
      <c r="S315" s="152">
        <v>23460</v>
      </c>
      <c r="U315" s="152">
        <v>3018.598</v>
      </c>
      <c r="V315" s="152">
        <v>5.4699999999999996E-4</v>
      </c>
      <c r="W315" s="166">
        <v>1.07656536274585E-2</v>
      </c>
      <c r="X315" s="166">
        <v>1.3025361052033701E-3</v>
      </c>
    </row>
    <row r="316" spans="1:24">
      <c r="A316" s="4" t="s">
        <v>128</v>
      </c>
      <c r="B316" s="4">
        <v>7228</v>
      </c>
      <c r="C316" s="4" t="s">
        <v>1939</v>
      </c>
      <c r="D316" s="4" t="s">
        <v>1940</v>
      </c>
      <c r="E316" s="4" t="s">
        <v>1380</v>
      </c>
      <c r="F316" s="4" t="s">
        <v>1941</v>
      </c>
      <c r="G316" s="4" t="s">
        <v>1942</v>
      </c>
      <c r="H316" s="4" t="s">
        <v>368</v>
      </c>
      <c r="I316" s="4" t="s">
        <v>976</v>
      </c>
      <c r="J316" s="4" t="s">
        <v>31</v>
      </c>
      <c r="K316" s="4" t="s">
        <v>346</v>
      </c>
      <c r="L316" s="2" t="s">
        <v>374</v>
      </c>
      <c r="M316" s="2" t="s">
        <v>32</v>
      </c>
      <c r="N316" s="4" t="s">
        <v>502</v>
      </c>
      <c r="O316" s="4" t="s">
        <v>164</v>
      </c>
      <c r="P316" s="4" t="s">
        <v>35</v>
      </c>
      <c r="Q316" s="152">
        <v>22303.32</v>
      </c>
      <c r="R316" s="152">
        <v>1</v>
      </c>
      <c r="S316" s="152">
        <v>12310</v>
      </c>
      <c r="U316" s="152">
        <v>2745.5390000000002</v>
      </c>
      <c r="V316" s="152">
        <v>2.03E-4</v>
      </c>
      <c r="W316" s="166">
        <v>9.79180289011552E-3</v>
      </c>
      <c r="X316" s="166">
        <v>1.1847099340888899E-3</v>
      </c>
    </row>
    <row r="317" spans="1:24">
      <c r="A317" s="4" t="s">
        <v>128</v>
      </c>
      <c r="B317" s="4">
        <v>7228</v>
      </c>
      <c r="C317" s="4" t="s">
        <v>1943</v>
      </c>
      <c r="D317" s="4" t="s">
        <v>1944</v>
      </c>
      <c r="E317" s="4" t="s">
        <v>1380</v>
      </c>
      <c r="F317" s="4" t="s">
        <v>1945</v>
      </c>
      <c r="G317" s="4" t="s">
        <v>1946</v>
      </c>
      <c r="H317" s="4" t="s">
        <v>368</v>
      </c>
      <c r="I317" s="4" t="s">
        <v>976</v>
      </c>
      <c r="J317" s="4" t="s">
        <v>31</v>
      </c>
      <c r="K317" s="4" t="s">
        <v>101</v>
      </c>
      <c r="L317" s="2" t="s">
        <v>374</v>
      </c>
      <c r="M317" s="2" t="s">
        <v>32</v>
      </c>
      <c r="N317" s="4" t="s">
        <v>511</v>
      </c>
      <c r="O317" s="4" t="s">
        <v>164</v>
      </c>
      <c r="P317" s="4" t="s">
        <v>35</v>
      </c>
      <c r="Q317" s="152">
        <v>233159</v>
      </c>
      <c r="R317" s="152">
        <v>1</v>
      </c>
      <c r="S317" s="152">
        <v>5173</v>
      </c>
      <c r="U317" s="152">
        <v>12061.315000000001</v>
      </c>
      <c r="V317" s="152">
        <v>2.0799999999999999E-4</v>
      </c>
      <c r="W317" s="166">
        <v>4.3015973551983701E-2</v>
      </c>
      <c r="X317" s="166">
        <v>5.20450133274064E-3</v>
      </c>
    </row>
    <row r="318" spans="1:24">
      <c r="A318" s="4" t="s">
        <v>128</v>
      </c>
      <c r="B318" s="4">
        <v>7228</v>
      </c>
      <c r="C318" s="4" t="s">
        <v>1947</v>
      </c>
      <c r="D318" s="4" t="s">
        <v>1948</v>
      </c>
      <c r="E318" s="4" t="s">
        <v>1380</v>
      </c>
      <c r="F318" s="4" t="s">
        <v>1949</v>
      </c>
      <c r="G318" s="4" t="s">
        <v>1950</v>
      </c>
      <c r="H318" s="4" t="s">
        <v>368</v>
      </c>
      <c r="I318" s="4" t="s">
        <v>976</v>
      </c>
      <c r="J318" s="4" t="s">
        <v>31</v>
      </c>
      <c r="K318" s="4" t="s">
        <v>31</v>
      </c>
      <c r="L318" s="2" t="s">
        <v>374</v>
      </c>
      <c r="M318" s="2" t="s">
        <v>32</v>
      </c>
      <c r="N318" s="4" t="s">
        <v>520</v>
      </c>
      <c r="O318" s="4" t="s">
        <v>164</v>
      </c>
      <c r="P318" s="4" t="s">
        <v>35</v>
      </c>
      <c r="Q318" s="152">
        <v>317285</v>
      </c>
      <c r="R318" s="152">
        <v>1</v>
      </c>
      <c r="S318" s="152">
        <v>511</v>
      </c>
      <c r="U318" s="152">
        <v>1621.326</v>
      </c>
      <c r="V318" s="152">
        <v>2.98E-3</v>
      </c>
      <c r="W318" s="166">
        <v>5.78236543743105E-3</v>
      </c>
      <c r="X318" s="166">
        <v>6.9960821854084298E-4</v>
      </c>
    </row>
    <row r="319" spans="1:24">
      <c r="A319" s="4" t="s">
        <v>128</v>
      </c>
      <c r="B319" s="4">
        <v>7228</v>
      </c>
      <c r="C319" s="4" t="s">
        <v>1951</v>
      </c>
      <c r="D319" s="4" t="s">
        <v>1952</v>
      </c>
      <c r="E319" s="4" t="s">
        <v>1380</v>
      </c>
      <c r="F319" s="4" t="s">
        <v>1953</v>
      </c>
      <c r="G319" s="4" t="s">
        <v>1954</v>
      </c>
      <c r="H319" s="4" t="s">
        <v>368</v>
      </c>
      <c r="I319" s="4" t="s">
        <v>976</v>
      </c>
      <c r="J319" s="4" t="s">
        <v>31</v>
      </c>
      <c r="K319" s="4" t="s">
        <v>31</v>
      </c>
      <c r="L319" s="2" t="s">
        <v>374</v>
      </c>
      <c r="M319" s="2" t="s">
        <v>32</v>
      </c>
      <c r="N319" s="4" t="s">
        <v>523</v>
      </c>
      <c r="O319" s="4" t="s">
        <v>164</v>
      </c>
      <c r="P319" s="4" t="s">
        <v>35</v>
      </c>
      <c r="Q319" s="152">
        <v>184991</v>
      </c>
      <c r="R319" s="152">
        <v>1</v>
      </c>
      <c r="S319" s="152">
        <v>1476</v>
      </c>
      <c r="T319" s="150">
        <v>42.383000000000003</v>
      </c>
      <c r="U319" s="152">
        <v>2772.8510000000001</v>
      </c>
      <c r="V319" s="152">
        <v>9.2400000000000002E-4</v>
      </c>
      <c r="W319" s="166">
        <v>9.8892089245392906E-3</v>
      </c>
      <c r="X319" s="166">
        <v>1.19649508723352E-3</v>
      </c>
    </row>
    <row r="320" spans="1:24">
      <c r="A320" s="4" t="s">
        <v>128</v>
      </c>
      <c r="B320" s="4">
        <v>7228</v>
      </c>
      <c r="C320" s="4" t="s">
        <v>1955</v>
      </c>
      <c r="D320" s="4" t="s">
        <v>1956</v>
      </c>
      <c r="E320" s="4" t="s">
        <v>1380</v>
      </c>
      <c r="F320" s="4" t="s">
        <v>1957</v>
      </c>
      <c r="G320" s="4" t="s">
        <v>1958</v>
      </c>
      <c r="H320" s="4" t="s">
        <v>368</v>
      </c>
      <c r="I320" s="4" t="s">
        <v>976</v>
      </c>
      <c r="J320" s="4" t="s">
        <v>31</v>
      </c>
      <c r="K320" s="4" t="s">
        <v>31</v>
      </c>
      <c r="L320" s="2" t="s">
        <v>374</v>
      </c>
      <c r="M320" s="2" t="s">
        <v>32</v>
      </c>
      <c r="N320" s="4" t="s">
        <v>489</v>
      </c>
      <c r="O320" s="4" t="s">
        <v>164</v>
      </c>
      <c r="P320" s="4" t="s">
        <v>35</v>
      </c>
      <c r="Q320" s="152">
        <v>72602</v>
      </c>
      <c r="R320" s="152">
        <v>1</v>
      </c>
      <c r="S320" s="152">
        <v>6569</v>
      </c>
      <c r="U320" s="152">
        <v>4769.2250000000004</v>
      </c>
      <c r="V320" s="152">
        <v>9.19E-4</v>
      </c>
      <c r="W320" s="166">
        <v>1.7009162899641401E-2</v>
      </c>
      <c r="X320" s="166">
        <v>2.0579381022960501E-3</v>
      </c>
    </row>
    <row r="321" spans="1:24">
      <c r="A321" s="4" t="s">
        <v>128</v>
      </c>
      <c r="B321" s="4">
        <v>7228</v>
      </c>
      <c r="C321" s="4" t="s">
        <v>1219</v>
      </c>
      <c r="D321" s="4" t="s">
        <v>1959</v>
      </c>
      <c r="E321" s="4" t="s">
        <v>1380</v>
      </c>
      <c r="F321" s="4" t="s">
        <v>1960</v>
      </c>
      <c r="G321" s="4" t="s">
        <v>1961</v>
      </c>
      <c r="H321" s="4" t="s">
        <v>368</v>
      </c>
      <c r="I321" s="4" t="s">
        <v>976</v>
      </c>
      <c r="J321" s="4" t="s">
        <v>31</v>
      </c>
      <c r="K321" s="4" t="s">
        <v>31</v>
      </c>
      <c r="L321" s="2" t="s">
        <v>374</v>
      </c>
      <c r="M321" s="2" t="s">
        <v>32</v>
      </c>
      <c r="N321" s="4" t="s">
        <v>492</v>
      </c>
      <c r="O321" s="4" t="s">
        <v>164</v>
      </c>
      <c r="P321" s="4" t="s">
        <v>35</v>
      </c>
      <c r="Q321" s="152">
        <v>231051</v>
      </c>
      <c r="R321" s="152">
        <v>1</v>
      </c>
      <c r="S321" s="152">
        <v>3100</v>
      </c>
      <c r="T321" s="150">
        <v>55.384999999999998</v>
      </c>
      <c r="U321" s="152">
        <v>7217.9660000000003</v>
      </c>
      <c r="V321" s="152">
        <v>1.4300000000000001E-4</v>
      </c>
      <c r="W321" s="166">
        <v>2.5742451713435401E-2</v>
      </c>
      <c r="X321" s="166">
        <v>3.1145784504604799E-3</v>
      </c>
    </row>
    <row r="322" spans="1:24">
      <c r="A322" s="4" t="s">
        <v>128</v>
      </c>
      <c r="B322" s="4">
        <v>7228</v>
      </c>
      <c r="C322" s="4" t="s">
        <v>1962</v>
      </c>
      <c r="D322" s="4" t="s">
        <v>1963</v>
      </c>
      <c r="E322" s="4" t="s">
        <v>1380</v>
      </c>
      <c r="F322" s="4" t="s">
        <v>1964</v>
      </c>
      <c r="G322" s="4" t="s">
        <v>1965</v>
      </c>
      <c r="H322" s="4" t="s">
        <v>368</v>
      </c>
      <c r="I322" s="4" t="s">
        <v>976</v>
      </c>
      <c r="J322" s="4" t="s">
        <v>31</v>
      </c>
      <c r="K322" s="4" t="s">
        <v>31</v>
      </c>
      <c r="L322" s="2" t="s">
        <v>374</v>
      </c>
      <c r="M322" s="2" t="s">
        <v>32</v>
      </c>
      <c r="N322" s="4" t="s">
        <v>508</v>
      </c>
      <c r="O322" s="4" t="s">
        <v>164</v>
      </c>
      <c r="P322" s="4" t="s">
        <v>35</v>
      </c>
      <c r="Q322" s="152">
        <v>118140</v>
      </c>
      <c r="R322" s="152">
        <v>1</v>
      </c>
      <c r="S322" s="152">
        <v>962.6</v>
      </c>
      <c r="U322" s="152">
        <v>1137.2159999999999</v>
      </c>
      <c r="V322" s="152">
        <v>7.8600000000000002E-4</v>
      </c>
      <c r="W322" s="166">
        <v>4.05581295316766E-3</v>
      </c>
      <c r="X322" s="166">
        <v>4.9071268594209005E-4</v>
      </c>
    </row>
    <row r="323" spans="1:24">
      <c r="A323" s="4" t="s">
        <v>128</v>
      </c>
      <c r="B323" s="4">
        <v>7228</v>
      </c>
      <c r="C323" s="4" t="s">
        <v>1966</v>
      </c>
      <c r="D323" s="4" t="s">
        <v>1967</v>
      </c>
      <c r="E323" s="4" t="s">
        <v>1380</v>
      </c>
      <c r="F323" s="4" t="s">
        <v>1968</v>
      </c>
      <c r="G323" s="4" t="s">
        <v>1969</v>
      </c>
      <c r="H323" s="4" t="s">
        <v>368</v>
      </c>
      <c r="I323" s="4" t="s">
        <v>976</v>
      </c>
      <c r="J323" s="4" t="s">
        <v>31</v>
      </c>
      <c r="K323" s="4" t="s">
        <v>31</v>
      </c>
      <c r="L323" s="2" t="s">
        <v>374</v>
      </c>
      <c r="M323" s="2" t="s">
        <v>32</v>
      </c>
      <c r="N323" s="4" t="s">
        <v>503</v>
      </c>
      <c r="O323" s="4" t="s">
        <v>164</v>
      </c>
      <c r="P323" s="4" t="s">
        <v>35</v>
      </c>
      <c r="Q323" s="152">
        <v>12964.46</v>
      </c>
      <c r="R323" s="152">
        <v>1</v>
      </c>
      <c r="S323" s="152">
        <v>15760</v>
      </c>
      <c r="U323" s="152">
        <v>2043.1990000000001</v>
      </c>
      <c r="V323" s="152">
        <v>3.8990000000000001E-3</v>
      </c>
      <c r="W323" s="166">
        <v>7.2869491561817204E-3</v>
      </c>
      <c r="X323" s="166">
        <v>8.8164775694614297E-4</v>
      </c>
    </row>
    <row r="324" spans="1:24">
      <c r="A324" s="4" t="s">
        <v>128</v>
      </c>
      <c r="B324" s="4">
        <v>7228</v>
      </c>
      <c r="C324" s="4" t="s">
        <v>2196</v>
      </c>
      <c r="D324" s="4" t="s">
        <v>2197</v>
      </c>
      <c r="E324" s="4" t="s">
        <v>1380</v>
      </c>
      <c r="F324" s="4" t="s">
        <v>2198</v>
      </c>
      <c r="G324" s="4" t="s">
        <v>2199</v>
      </c>
      <c r="H324" s="4" t="s">
        <v>368</v>
      </c>
      <c r="I324" s="4" t="s">
        <v>976</v>
      </c>
      <c r="J324" s="4" t="s">
        <v>31</v>
      </c>
      <c r="K324" s="4" t="s">
        <v>31</v>
      </c>
      <c r="L324" s="2" t="s">
        <v>374</v>
      </c>
      <c r="M324" s="2" t="s">
        <v>32</v>
      </c>
      <c r="N324" s="4" t="s">
        <v>520</v>
      </c>
      <c r="O324" s="4" t="s">
        <v>164</v>
      </c>
      <c r="P324" s="4" t="s">
        <v>35</v>
      </c>
      <c r="Q324" s="152">
        <v>43050</v>
      </c>
      <c r="R324" s="152">
        <v>1</v>
      </c>
      <c r="S324" s="152">
        <v>232</v>
      </c>
      <c r="U324" s="152">
        <v>99.876000000000005</v>
      </c>
      <c r="V324" s="152">
        <v>1.8370000000000001E-3</v>
      </c>
      <c r="W324" s="166">
        <v>3.5620190249104598E-4</v>
      </c>
      <c r="X324" s="166">
        <v>4.3096857356931999E-5</v>
      </c>
    </row>
    <row r="325" spans="1:24">
      <c r="A325" s="4" t="s">
        <v>128</v>
      </c>
      <c r="B325" s="4">
        <v>7228</v>
      </c>
      <c r="C325" s="4" t="s">
        <v>1970</v>
      </c>
      <c r="D325" s="4" t="s">
        <v>1971</v>
      </c>
      <c r="E325" s="4" t="s">
        <v>1380</v>
      </c>
      <c r="F325" s="4" t="s">
        <v>1972</v>
      </c>
      <c r="G325" s="4" t="s">
        <v>1973</v>
      </c>
      <c r="H325" s="4" t="s">
        <v>368</v>
      </c>
      <c r="I325" s="4" t="s">
        <v>976</v>
      </c>
      <c r="J325" s="4" t="s">
        <v>31</v>
      </c>
      <c r="K325" s="4" t="s">
        <v>31</v>
      </c>
      <c r="L325" s="2" t="s">
        <v>374</v>
      </c>
      <c r="M325" s="2" t="s">
        <v>32</v>
      </c>
      <c r="N325" s="4" t="s">
        <v>521</v>
      </c>
      <c r="O325" s="4" t="s">
        <v>164</v>
      </c>
      <c r="P325" s="4" t="s">
        <v>35</v>
      </c>
      <c r="Q325" s="152">
        <v>20764</v>
      </c>
      <c r="R325" s="152">
        <v>1</v>
      </c>
      <c r="S325" s="152">
        <v>8160</v>
      </c>
      <c r="T325" s="150">
        <v>26.37</v>
      </c>
      <c r="U325" s="152">
        <v>1720.713</v>
      </c>
      <c r="V325" s="152">
        <v>3.2699999999999998E-4</v>
      </c>
      <c r="W325" s="166">
        <v>6.1368209605557602E-3</v>
      </c>
      <c r="X325" s="166">
        <v>7.4249378151131605E-4</v>
      </c>
    </row>
    <row r="326" spans="1:24">
      <c r="A326" s="4" t="s">
        <v>128</v>
      </c>
      <c r="B326" s="4">
        <v>7228</v>
      </c>
      <c r="C326" s="4" t="s">
        <v>1974</v>
      </c>
      <c r="D326" s="4" t="s">
        <v>1975</v>
      </c>
      <c r="E326" s="4" t="s">
        <v>1380</v>
      </c>
      <c r="F326" s="4" t="s">
        <v>1976</v>
      </c>
      <c r="G326" s="4" t="s">
        <v>1977</v>
      </c>
      <c r="H326" s="4" t="s">
        <v>368</v>
      </c>
      <c r="I326" s="4" t="s">
        <v>976</v>
      </c>
      <c r="J326" s="4" t="s">
        <v>31</v>
      </c>
      <c r="K326" s="4" t="s">
        <v>31</v>
      </c>
      <c r="L326" s="2" t="s">
        <v>374</v>
      </c>
      <c r="M326" s="2" t="s">
        <v>32</v>
      </c>
      <c r="N326" s="4" t="s">
        <v>508</v>
      </c>
      <c r="O326" s="4" t="s">
        <v>164</v>
      </c>
      <c r="P326" s="4" t="s">
        <v>35</v>
      </c>
      <c r="Q326" s="152">
        <v>4654</v>
      </c>
      <c r="R326" s="152">
        <v>1</v>
      </c>
      <c r="S326" s="152">
        <v>26900</v>
      </c>
      <c r="T326" s="150">
        <v>11.752000000000001</v>
      </c>
      <c r="U326" s="152">
        <v>1263.6780000000001</v>
      </c>
      <c r="V326" s="152">
        <v>9.7999999999999997E-5</v>
      </c>
      <c r="W326" s="166">
        <v>4.5068343712455199E-3</v>
      </c>
      <c r="X326" s="166">
        <v>5.4528175360817695E-4</v>
      </c>
    </row>
    <row r="327" spans="1:24">
      <c r="A327" s="4" t="s">
        <v>128</v>
      </c>
      <c r="B327" s="4">
        <v>7228</v>
      </c>
      <c r="C327" s="4" t="s">
        <v>1978</v>
      </c>
      <c r="D327" s="4" t="s">
        <v>1979</v>
      </c>
      <c r="E327" s="4" t="s">
        <v>1380</v>
      </c>
      <c r="F327" s="4" t="s">
        <v>1980</v>
      </c>
      <c r="G327" s="4" t="s">
        <v>1981</v>
      </c>
      <c r="H327" s="4" t="s">
        <v>368</v>
      </c>
      <c r="I327" s="4" t="s">
        <v>976</v>
      </c>
      <c r="J327" s="4" t="s">
        <v>31</v>
      </c>
      <c r="K327" s="4" t="s">
        <v>31</v>
      </c>
      <c r="L327" s="2" t="s">
        <v>374</v>
      </c>
      <c r="M327" s="2" t="s">
        <v>32</v>
      </c>
      <c r="N327" s="4" t="s">
        <v>489</v>
      </c>
      <c r="O327" s="4" t="s">
        <v>164</v>
      </c>
      <c r="P327" s="4" t="s">
        <v>35</v>
      </c>
      <c r="Q327" s="152">
        <v>41274</v>
      </c>
      <c r="R327" s="152">
        <v>1</v>
      </c>
      <c r="S327" s="152">
        <v>9800</v>
      </c>
      <c r="U327" s="152">
        <v>4044.8519999999999</v>
      </c>
      <c r="V327" s="152">
        <v>6.6699999999999995E-4</v>
      </c>
      <c r="W327" s="166">
        <v>1.44257276792694E-2</v>
      </c>
      <c r="X327" s="166">
        <v>1.7453683534973501E-3</v>
      </c>
    </row>
    <row r="328" spans="1:24">
      <c r="A328" s="4" t="s">
        <v>128</v>
      </c>
      <c r="B328" s="4">
        <v>7228</v>
      </c>
      <c r="C328" s="4" t="s">
        <v>1982</v>
      </c>
      <c r="D328" s="4" t="s">
        <v>1522</v>
      </c>
      <c r="E328" s="4" t="s">
        <v>1380</v>
      </c>
      <c r="F328" s="4" t="s">
        <v>1983</v>
      </c>
      <c r="G328" s="4" t="s">
        <v>1984</v>
      </c>
      <c r="H328" s="4" t="s">
        <v>368</v>
      </c>
      <c r="I328" s="4" t="s">
        <v>976</v>
      </c>
      <c r="J328" s="4" t="s">
        <v>31</v>
      </c>
      <c r="K328" s="4" t="s">
        <v>31</v>
      </c>
      <c r="L328" s="2" t="s">
        <v>374</v>
      </c>
      <c r="M328" s="2" t="s">
        <v>32</v>
      </c>
      <c r="N328" s="4" t="s">
        <v>487</v>
      </c>
      <c r="O328" s="4" t="s">
        <v>164</v>
      </c>
      <c r="P328" s="4" t="s">
        <v>35</v>
      </c>
      <c r="Q328" s="152">
        <v>405371</v>
      </c>
      <c r="R328" s="152">
        <v>1</v>
      </c>
      <c r="S328" s="152">
        <v>1207</v>
      </c>
      <c r="U328" s="152">
        <v>4892.8280000000004</v>
      </c>
      <c r="V328" s="152">
        <v>6.7029999999999998E-3</v>
      </c>
      <c r="W328" s="166">
        <v>1.7449984295280201E-2</v>
      </c>
      <c r="X328" s="166">
        <v>2.1112730695572201E-3</v>
      </c>
    </row>
    <row r="329" spans="1:24">
      <c r="A329" s="4" t="s">
        <v>128</v>
      </c>
      <c r="B329" s="4">
        <v>7228</v>
      </c>
      <c r="C329" s="4" t="s">
        <v>1985</v>
      </c>
      <c r="D329" s="4" t="s">
        <v>1986</v>
      </c>
      <c r="E329" s="4" t="s">
        <v>1380</v>
      </c>
      <c r="F329" s="4" t="s">
        <v>1987</v>
      </c>
      <c r="G329" s="4" t="s">
        <v>1988</v>
      </c>
      <c r="H329" s="4" t="s">
        <v>368</v>
      </c>
      <c r="I329" s="4" t="s">
        <v>976</v>
      </c>
      <c r="J329" s="4" t="s">
        <v>31</v>
      </c>
      <c r="K329" s="4" t="s">
        <v>31</v>
      </c>
      <c r="L329" s="2" t="s">
        <v>374</v>
      </c>
      <c r="M329" s="2" t="s">
        <v>32</v>
      </c>
      <c r="N329" s="4" t="s">
        <v>520</v>
      </c>
      <c r="O329" s="4" t="s">
        <v>164</v>
      </c>
      <c r="P329" s="4" t="s">
        <v>35</v>
      </c>
      <c r="Q329" s="152">
        <v>284742</v>
      </c>
      <c r="R329" s="152">
        <v>1</v>
      </c>
      <c r="S329" s="152">
        <v>841.6</v>
      </c>
      <c r="U329" s="152">
        <v>2396.3890000000001</v>
      </c>
      <c r="V329" s="152">
        <v>2.0479999999999999E-3</v>
      </c>
      <c r="W329" s="166">
        <v>8.5465797996955393E-3</v>
      </c>
      <c r="X329" s="166">
        <v>1.0340504302229899E-3</v>
      </c>
    </row>
    <row r="330" spans="1:24">
      <c r="A330" s="4" t="s">
        <v>128</v>
      </c>
      <c r="B330" s="4">
        <v>7228</v>
      </c>
      <c r="C330" s="4" t="s">
        <v>1989</v>
      </c>
      <c r="D330" s="4" t="s">
        <v>1990</v>
      </c>
      <c r="E330" s="4" t="s">
        <v>1380</v>
      </c>
      <c r="F330" s="4" t="s">
        <v>1991</v>
      </c>
      <c r="G330" s="4" t="s">
        <v>1992</v>
      </c>
      <c r="H330" s="4" t="s">
        <v>368</v>
      </c>
      <c r="I330" s="4" t="s">
        <v>976</v>
      </c>
      <c r="J330" s="4" t="s">
        <v>31</v>
      </c>
      <c r="K330" s="4" t="s">
        <v>31</v>
      </c>
      <c r="L330" s="2" t="s">
        <v>374</v>
      </c>
      <c r="M330" s="2" t="s">
        <v>32</v>
      </c>
      <c r="N330" s="4" t="s">
        <v>498</v>
      </c>
      <c r="O330" s="4" t="s">
        <v>164</v>
      </c>
      <c r="P330" s="4" t="s">
        <v>35</v>
      </c>
      <c r="Q330" s="152">
        <v>205266.19</v>
      </c>
      <c r="R330" s="152">
        <v>1</v>
      </c>
      <c r="S330" s="152">
        <v>935.3</v>
      </c>
      <c r="T330" s="150">
        <v>39.161000000000001</v>
      </c>
      <c r="U330" s="152">
        <v>1959.0150000000001</v>
      </c>
      <c r="V330" s="152">
        <v>1.75E-4</v>
      </c>
      <c r="W330" s="166">
        <v>6.9867134182493096E-3</v>
      </c>
      <c r="X330" s="166">
        <v>8.4532224413827299E-4</v>
      </c>
    </row>
    <row r="331" spans="1:24">
      <c r="A331" s="4" t="s">
        <v>128</v>
      </c>
      <c r="B331" s="4">
        <v>7228</v>
      </c>
      <c r="C331" s="4" t="s">
        <v>1993</v>
      </c>
      <c r="D331" s="4" t="s">
        <v>1994</v>
      </c>
      <c r="E331" s="4" t="s">
        <v>1380</v>
      </c>
      <c r="F331" s="4" t="s">
        <v>1995</v>
      </c>
      <c r="G331" s="4" t="s">
        <v>1996</v>
      </c>
      <c r="H331" s="4" t="s">
        <v>368</v>
      </c>
      <c r="I331" s="4" t="s">
        <v>976</v>
      </c>
      <c r="J331" s="4" t="s">
        <v>31</v>
      </c>
      <c r="K331" s="4" t="s">
        <v>101</v>
      </c>
      <c r="L331" s="2" t="s">
        <v>374</v>
      </c>
      <c r="M331" s="2" t="s">
        <v>32</v>
      </c>
      <c r="N331" s="4" t="s">
        <v>525</v>
      </c>
      <c r="O331" s="4" t="s">
        <v>164</v>
      </c>
      <c r="P331" s="4" t="s">
        <v>35</v>
      </c>
      <c r="Q331" s="152">
        <v>11440</v>
      </c>
      <c r="R331" s="152">
        <v>1</v>
      </c>
      <c r="S331" s="152">
        <v>95150</v>
      </c>
      <c r="U331" s="152">
        <v>10885.16</v>
      </c>
      <c r="V331" s="152">
        <v>1.8100000000000001E-4</v>
      </c>
      <c r="W331" s="166">
        <v>3.8821285403094201E-2</v>
      </c>
      <c r="X331" s="166">
        <v>4.6969861410887702E-3</v>
      </c>
    </row>
    <row r="332" spans="1:24">
      <c r="A332" s="4" t="s">
        <v>128</v>
      </c>
      <c r="B332" s="4">
        <v>7228</v>
      </c>
      <c r="C332" s="4" t="s">
        <v>1997</v>
      </c>
      <c r="D332" s="4" t="s">
        <v>1998</v>
      </c>
      <c r="E332" s="4" t="s">
        <v>1380</v>
      </c>
      <c r="F332" s="4" t="s">
        <v>1999</v>
      </c>
      <c r="G332" s="4" t="s">
        <v>2000</v>
      </c>
      <c r="H332" s="4" t="s">
        <v>368</v>
      </c>
      <c r="I332" s="4" t="s">
        <v>976</v>
      </c>
      <c r="J332" s="4" t="s">
        <v>31</v>
      </c>
      <c r="K332" s="4" t="s">
        <v>31</v>
      </c>
      <c r="L332" s="2" t="s">
        <v>374</v>
      </c>
      <c r="M332" s="2" t="s">
        <v>32</v>
      </c>
      <c r="N332" s="4" t="s">
        <v>525</v>
      </c>
      <c r="O332" s="4" t="s">
        <v>164</v>
      </c>
      <c r="P332" s="4" t="s">
        <v>35</v>
      </c>
      <c r="Q332" s="152">
        <v>207690</v>
      </c>
      <c r="R332" s="152">
        <v>1</v>
      </c>
      <c r="S332" s="152">
        <v>53.4</v>
      </c>
      <c r="U332" s="152">
        <v>110.90600000000001</v>
      </c>
      <c r="V332" s="152">
        <v>1.513E-3</v>
      </c>
      <c r="W332" s="166">
        <v>3.9554139183134202E-4</v>
      </c>
      <c r="X332" s="166">
        <v>4.7856540976633902E-5</v>
      </c>
    </row>
    <row r="333" spans="1:24">
      <c r="A333" s="4" t="s">
        <v>128</v>
      </c>
      <c r="B333" s="4">
        <v>7228</v>
      </c>
      <c r="C333" s="4" t="s">
        <v>2001</v>
      </c>
      <c r="D333" s="4" t="s">
        <v>2002</v>
      </c>
      <c r="E333" s="4" t="s">
        <v>1380</v>
      </c>
      <c r="F333" s="4" t="s">
        <v>2003</v>
      </c>
      <c r="G333" s="4" t="s">
        <v>2004</v>
      </c>
      <c r="H333" s="4" t="s">
        <v>368</v>
      </c>
      <c r="I333" s="4" t="s">
        <v>976</v>
      </c>
      <c r="J333" s="4" t="s">
        <v>31</v>
      </c>
      <c r="K333" s="4" t="s">
        <v>31</v>
      </c>
      <c r="L333" s="2" t="s">
        <v>374</v>
      </c>
      <c r="M333" s="2" t="s">
        <v>32</v>
      </c>
      <c r="N333" s="4" t="s">
        <v>529</v>
      </c>
      <c r="O333" s="4" t="s">
        <v>164</v>
      </c>
      <c r="P333" s="4" t="s">
        <v>35</v>
      </c>
      <c r="Q333" s="152">
        <v>64464</v>
      </c>
      <c r="R333" s="152">
        <v>1</v>
      </c>
      <c r="S333" s="152">
        <v>1560</v>
      </c>
      <c r="U333" s="152">
        <v>1005.638</v>
      </c>
      <c r="V333" s="152">
        <v>3.8999999999999999E-4</v>
      </c>
      <c r="W333" s="166">
        <v>3.5865504355205601E-3</v>
      </c>
      <c r="X333" s="166">
        <v>4.3393662819349299E-4</v>
      </c>
    </row>
    <row r="334" spans="1:24">
      <c r="A334" s="4" t="s">
        <v>128</v>
      </c>
      <c r="B334" s="4">
        <v>7228</v>
      </c>
      <c r="C334" s="4" t="s">
        <v>2005</v>
      </c>
      <c r="D334" s="4" t="s">
        <v>2006</v>
      </c>
      <c r="E334" s="4" t="s">
        <v>1380</v>
      </c>
      <c r="F334" s="4" t="s">
        <v>2007</v>
      </c>
      <c r="G334" s="4" t="s">
        <v>2008</v>
      </c>
      <c r="H334" s="4" t="s">
        <v>368</v>
      </c>
      <c r="I334" s="4" t="s">
        <v>976</v>
      </c>
      <c r="J334" s="4" t="s">
        <v>31</v>
      </c>
      <c r="K334" s="4" t="s">
        <v>31</v>
      </c>
      <c r="L334" s="2" t="s">
        <v>374</v>
      </c>
      <c r="M334" s="2" t="s">
        <v>32</v>
      </c>
      <c r="N334" s="4" t="s">
        <v>508</v>
      </c>
      <c r="O334" s="4" t="s">
        <v>164</v>
      </c>
      <c r="P334" s="4" t="s">
        <v>35</v>
      </c>
      <c r="Q334" s="152">
        <v>2773</v>
      </c>
      <c r="R334" s="152">
        <v>1</v>
      </c>
      <c r="S334" s="152">
        <v>26610</v>
      </c>
      <c r="U334" s="152">
        <v>737.89499999999998</v>
      </c>
      <c r="V334" s="152">
        <v>2.3E-5</v>
      </c>
      <c r="W334" s="166">
        <v>2.6316603558332501E-3</v>
      </c>
      <c r="X334" s="166">
        <v>3.1840450647253101E-4</v>
      </c>
    </row>
    <row r="335" spans="1:24">
      <c r="A335" s="4" t="s">
        <v>128</v>
      </c>
      <c r="B335" s="4">
        <v>7228</v>
      </c>
      <c r="C335" s="4" t="s">
        <v>2009</v>
      </c>
      <c r="D335" s="4" t="s">
        <v>2010</v>
      </c>
      <c r="E335" s="4" t="s">
        <v>1380</v>
      </c>
      <c r="F335" s="4" t="s">
        <v>2011</v>
      </c>
      <c r="G335" s="4" t="s">
        <v>2012</v>
      </c>
      <c r="H335" s="4" t="s">
        <v>368</v>
      </c>
      <c r="I335" s="4" t="s">
        <v>976</v>
      </c>
      <c r="J335" s="4" t="s">
        <v>31</v>
      </c>
      <c r="K335" s="4" t="s">
        <v>31</v>
      </c>
      <c r="L335" s="2" t="s">
        <v>374</v>
      </c>
      <c r="M335" s="2" t="s">
        <v>32</v>
      </c>
      <c r="N335" s="4" t="s">
        <v>492</v>
      </c>
      <c r="O335" s="4" t="s">
        <v>164</v>
      </c>
      <c r="P335" s="4" t="s">
        <v>35</v>
      </c>
      <c r="Q335" s="152">
        <v>141339</v>
      </c>
      <c r="R335" s="152">
        <v>1</v>
      </c>
      <c r="S335" s="152">
        <v>3500</v>
      </c>
      <c r="T335" s="150">
        <v>35.201999999999998</v>
      </c>
      <c r="U335" s="152">
        <v>4982.067</v>
      </c>
      <c r="V335" s="152">
        <v>1.06E-4</v>
      </c>
      <c r="W335" s="166">
        <v>1.7768251208723499E-2</v>
      </c>
      <c r="X335" s="166">
        <v>2.14978017374217E-3</v>
      </c>
    </row>
    <row r="336" spans="1:24">
      <c r="A336" s="4" t="s">
        <v>128</v>
      </c>
      <c r="B336" s="4">
        <v>7228</v>
      </c>
      <c r="C336" s="4" t="s">
        <v>2013</v>
      </c>
      <c r="D336" s="4" t="s">
        <v>2014</v>
      </c>
      <c r="E336" s="4" t="s">
        <v>1380</v>
      </c>
      <c r="F336" s="4" t="s">
        <v>2015</v>
      </c>
      <c r="G336" s="4" t="s">
        <v>2016</v>
      </c>
      <c r="H336" s="4" t="s">
        <v>368</v>
      </c>
      <c r="I336" s="4" t="s">
        <v>976</v>
      </c>
      <c r="J336" s="4" t="s">
        <v>31</v>
      </c>
      <c r="K336" s="4" t="s">
        <v>31</v>
      </c>
      <c r="L336" s="2" t="s">
        <v>374</v>
      </c>
      <c r="M336" s="2" t="s">
        <v>32</v>
      </c>
      <c r="N336" s="4" t="s">
        <v>504</v>
      </c>
      <c r="O336" s="4" t="s">
        <v>164</v>
      </c>
      <c r="P336" s="4" t="s">
        <v>35</v>
      </c>
      <c r="Q336" s="152">
        <v>54700</v>
      </c>
      <c r="R336" s="152">
        <v>1</v>
      </c>
      <c r="S336" s="152">
        <v>451</v>
      </c>
      <c r="U336" s="152">
        <v>246.697</v>
      </c>
      <c r="V336" s="152">
        <v>1.0950000000000001E-3</v>
      </c>
      <c r="W336" s="166">
        <v>8.7983039708071603E-4</v>
      </c>
      <c r="X336" s="166">
        <v>1.06450653003555E-4</v>
      </c>
    </row>
    <row r="337" spans="1:24">
      <c r="A337" s="4" t="s">
        <v>128</v>
      </c>
      <c r="B337" s="4">
        <v>7228</v>
      </c>
      <c r="C337" s="4" t="s">
        <v>2017</v>
      </c>
      <c r="D337" s="4" t="s">
        <v>2018</v>
      </c>
      <c r="E337" s="4" t="s">
        <v>1380</v>
      </c>
      <c r="F337" s="4" t="s">
        <v>2019</v>
      </c>
      <c r="G337" s="4" t="s">
        <v>2020</v>
      </c>
      <c r="H337" s="4" t="s">
        <v>368</v>
      </c>
      <c r="I337" s="4" t="s">
        <v>976</v>
      </c>
      <c r="J337" s="4" t="s">
        <v>31</v>
      </c>
      <c r="K337" s="4" t="s">
        <v>31</v>
      </c>
      <c r="L337" s="2" t="s">
        <v>374</v>
      </c>
      <c r="M337" s="2" t="s">
        <v>32</v>
      </c>
      <c r="N337" s="4" t="s">
        <v>529</v>
      </c>
      <c r="O337" s="4" t="s">
        <v>164</v>
      </c>
      <c r="P337" s="4" t="s">
        <v>35</v>
      </c>
      <c r="Q337" s="152">
        <v>103198</v>
      </c>
      <c r="R337" s="152">
        <v>1</v>
      </c>
      <c r="S337" s="152">
        <v>1597</v>
      </c>
      <c r="U337" s="152">
        <v>1648.0719999999999</v>
      </c>
      <c r="V337" s="152">
        <v>5.5400000000000002E-4</v>
      </c>
      <c r="W337" s="166">
        <v>5.8777524451753896E-3</v>
      </c>
      <c r="X337" s="166">
        <v>7.1114908970888995E-4</v>
      </c>
    </row>
    <row r="338" spans="1:24">
      <c r="A338" s="4" t="s">
        <v>128</v>
      </c>
      <c r="B338" s="4">
        <v>7228</v>
      </c>
      <c r="C338" s="4" t="s">
        <v>2021</v>
      </c>
      <c r="D338" s="4" t="s">
        <v>2022</v>
      </c>
      <c r="E338" s="4" t="s">
        <v>1380</v>
      </c>
      <c r="F338" s="4" t="s">
        <v>2023</v>
      </c>
      <c r="G338" s="4" t="s">
        <v>2024</v>
      </c>
      <c r="H338" s="4" t="s">
        <v>368</v>
      </c>
      <c r="I338" s="4" t="s">
        <v>976</v>
      </c>
      <c r="J338" s="4" t="s">
        <v>31</v>
      </c>
      <c r="K338" s="4" t="s">
        <v>31</v>
      </c>
      <c r="L338" s="2" t="s">
        <v>374</v>
      </c>
      <c r="M338" s="2" t="s">
        <v>32</v>
      </c>
      <c r="N338" s="4" t="s">
        <v>522</v>
      </c>
      <c r="O338" s="4" t="s">
        <v>164</v>
      </c>
      <c r="P338" s="4" t="s">
        <v>35</v>
      </c>
      <c r="Q338" s="152">
        <v>1948</v>
      </c>
      <c r="R338" s="152">
        <v>1</v>
      </c>
      <c r="S338" s="152">
        <v>5830</v>
      </c>
      <c r="T338" s="150">
        <v>2.3879999999999999</v>
      </c>
      <c r="U338" s="152">
        <v>115.956</v>
      </c>
      <c r="V338" s="152">
        <v>1.194E-3</v>
      </c>
      <c r="W338" s="166">
        <v>4.1355003074931498E-4</v>
      </c>
      <c r="X338" s="166">
        <v>5.0035405652012399E-5</v>
      </c>
    </row>
    <row r="339" spans="1:24">
      <c r="A339" s="4" t="s">
        <v>128</v>
      </c>
      <c r="B339" s="4">
        <v>7228</v>
      </c>
      <c r="C339" s="4" t="s">
        <v>2025</v>
      </c>
      <c r="D339" s="4" t="s">
        <v>2026</v>
      </c>
      <c r="E339" s="4" t="s">
        <v>1380</v>
      </c>
      <c r="F339" s="4" t="s">
        <v>2027</v>
      </c>
      <c r="G339" s="4" t="s">
        <v>2028</v>
      </c>
      <c r="H339" s="4" t="s">
        <v>368</v>
      </c>
      <c r="I339" s="4" t="s">
        <v>976</v>
      </c>
      <c r="J339" s="4" t="s">
        <v>31</v>
      </c>
      <c r="K339" s="4" t="s">
        <v>346</v>
      </c>
      <c r="L339" s="2" t="s">
        <v>374</v>
      </c>
      <c r="M339" s="2" t="s">
        <v>32</v>
      </c>
      <c r="N339" s="4" t="s">
        <v>525</v>
      </c>
      <c r="O339" s="4" t="s">
        <v>164</v>
      </c>
      <c r="P339" s="4" t="s">
        <v>35</v>
      </c>
      <c r="Q339" s="152">
        <v>24925</v>
      </c>
      <c r="R339" s="152">
        <v>1</v>
      </c>
      <c r="S339" s="152">
        <v>8289</v>
      </c>
      <c r="U339" s="152">
        <v>2066.0329999999999</v>
      </c>
      <c r="V339" s="152">
        <v>5.4000000000000001E-4</v>
      </c>
      <c r="W339" s="166">
        <v>7.36838654190956E-3</v>
      </c>
      <c r="X339" s="166">
        <v>8.9150086377036203E-4</v>
      </c>
    </row>
    <row r="340" spans="1:24">
      <c r="A340" s="4" t="s">
        <v>128</v>
      </c>
      <c r="B340" s="4">
        <v>7228</v>
      </c>
      <c r="C340" s="4" t="s">
        <v>2029</v>
      </c>
      <c r="D340" s="4" t="s">
        <v>2030</v>
      </c>
      <c r="E340" s="4" t="s">
        <v>1380</v>
      </c>
      <c r="F340" s="4" t="s">
        <v>2031</v>
      </c>
      <c r="G340" s="4" t="s">
        <v>2032</v>
      </c>
      <c r="H340" s="4" t="s">
        <v>368</v>
      </c>
      <c r="I340" s="4" t="s">
        <v>976</v>
      </c>
      <c r="J340" s="4" t="s">
        <v>31</v>
      </c>
      <c r="K340" s="4" t="s">
        <v>31</v>
      </c>
      <c r="L340" s="2" t="s">
        <v>374</v>
      </c>
      <c r="M340" s="2" t="s">
        <v>32</v>
      </c>
      <c r="N340" s="4" t="s">
        <v>507</v>
      </c>
      <c r="O340" s="4" t="s">
        <v>164</v>
      </c>
      <c r="P340" s="4" t="s">
        <v>35</v>
      </c>
      <c r="Q340" s="152">
        <v>726426</v>
      </c>
      <c r="R340" s="152">
        <v>1</v>
      </c>
      <c r="S340" s="152">
        <v>510</v>
      </c>
      <c r="T340" s="150">
        <v>126.331</v>
      </c>
      <c r="U340" s="152">
        <v>3831.1030000000001</v>
      </c>
      <c r="V340" s="152">
        <v>2.5270000000000002E-3</v>
      </c>
      <c r="W340" s="166">
        <v>1.3663405000134901E-2</v>
      </c>
      <c r="X340" s="166">
        <v>1.6531349557168901E-3</v>
      </c>
    </row>
    <row r="341" spans="1:24">
      <c r="A341" s="4" t="s">
        <v>128</v>
      </c>
      <c r="B341" s="4">
        <v>7228</v>
      </c>
      <c r="C341" s="4" t="s">
        <v>2033</v>
      </c>
      <c r="D341" s="4" t="s">
        <v>2034</v>
      </c>
      <c r="E341" s="4" t="s">
        <v>1380</v>
      </c>
      <c r="F341" s="4" t="s">
        <v>2035</v>
      </c>
      <c r="G341" s="4" t="s">
        <v>2036</v>
      </c>
      <c r="H341" s="4" t="s">
        <v>368</v>
      </c>
      <c r="I341" s="4" t="s">
        <v>976</v>
      </c>
      <c r="J341" s="4" t="s">
        <v>31</v>
      </c>
      <c r="K341" s="4" t="s">
        <v>31</v>
      </c>
      <c r="L341" s="2" t="s">
        <v>374</v>
      </c>
      <c r="M341" s="2" t="s">
        <v>32</v>
      </c>
      <c r="N341" s="4" t="s">
        <v>508</v>
      </c>
      <c r="O341" s="4" t="s">
        <v>164</v>
      </c>
      <c r="P341" s="4" t="s">
        <v>35</v>
      </c>
      <c r="Q341" s="152">
        <v>216496.9</v>
      </c>
      <c r="R341" s="152">
        <v>1</v>
      </c>
      <c r="S341" s="152">
        <v>434.7</v>
      </c>
      <c r="U341" s="152">
        <v>941.11199999999997</v>
      </c>
      <c r="V341" s="152">
        <v>3.045E-3</v>
      </c>
      <c r="W341" s="166">
        <v>3.35642089704093E-3</v>
      </c>
      <c r="X341" s="166">
        <v>4.0609326232679099E-4</v>
      </c>
    </row>
    <row r="342" spans="1:24">
      <c r="A342" s="4" t="s">
        <v>128</v>
      </c>
      <c r="B342" s="4">
        <v>7228</v>
      </c>
      <c r="C342" s="4" t="s">
        <v>2037</v>
      </c>
      <c r="D342" s="4" t="s">
        <v>2038</v>
      </c>
      <c r="E342" s="4" t="s">
        <v>1380</v>
      </c>
      <c r="F342" s="4" t="s">
        <v>2039</v>
      </c>
      <c r="G342" s="4" t="s">
        <v>2040</v>
      </c>
      <c r="H342" s="4" t="s">
        <v>368</v>
      </c>
      <c r="I342" s="4" t="s">
        <v>976</v>
      </c>
      <c r="J342" s="4" t="s">
        <v>31</v>
      </c>
      <c r="K342" s="4" t="s">
        <v>31</v>
      </c>
      <c r="L342" s="2" t="s">
        <v>374</v>
      </c>
      <c r="M342" s="2" t="s">
        <v>32</v>
      </c>
      <c r="N342" s="4" t="s">
        <v>503</v>
      </c>
      <c r="O342" s="4" t="s">
        <v>164</v>
      </c>
      <c r="P342" s="4" t="s">
        <v>35</v>
      </c>
      <c r="Q342" s="152">
        <v>77189</v>
      </c>
      <c r="R342" s="152">
        <v>1</v>
      </c>
      <c r="S342" s="152">
        <v>6910</v>
      </c>
      <c r="U342" s="152">
        <v>5333.76</v>
      </c>
      <c r="V342" s="152">
        <v>6.6200000000000005E-4</v>
      </c>
      <c r="W342" s="166">
        <v>1.9022542190420599E-2</v>
      </c>
      <c r="X342" s="166">
        <v>2.3015368014981E-3</v>
      </c>
    </row>
    <row r="343" spans="1:24">
      <c r="A343" s="4" t="s">
        <v>128</v>
      </c>
      <c r="B343" s="4">
        <v>7228</v>
      </c>
      <c r="C343" s="4" t="s">
        <v>2041</v>
      </c>
      <c r="D343" s="4" t="s">
        <v>2042</v>
      </c>
      <c r="E343" s="4" t="s">
        <v>1380</v>
      </c>
      <c r="F343" s="4" t="s">
        <v>2043</v>
      </c>
      <c r="G343" s="4" t="s">
        <v>2044</v>
      </c>
      <c r="H343" s="4" t="s">
        <v>368</v>
      </c>
      <c r="I343" s="4" t="s">
        <v>976</v>
      </c>
      <c r="J343" s="4" t="s">
        <v>31</v>
      </c>
      <c r="K343" s="4" t="s">
        <v>31</v>
      </c>
      <c r="L343" s="2" t="s">
        <v>374</v>
      </c>
      <c r="M343" s="2" t="s">
        <v>32</v>
      </c>
      <c r="N343" s="4" t="s">
        <v>507</v>
      </c>
      <c r="O343" s="4" t="s">
        <v>164</v>
      </c>
      <c r="P343" s="4" t="s">
        <v>35</v>
      </c>
      <c r="Q343" s="152">
        <v>161464</v>
      </c>
      <c r="R343" s="152">
        <v>1</v>
      </c>
      <c r="S343" s="152">
        <v>2100</v>
      </c>
      <c r="U343" s="152">
        <v>3390.7440000000001</v>
      </c>
      <c r="V343" s="152">
        <v>4.5199999999999998E-4</v>
      </c>
      <c r="W343" s="166">
        <v>1.20928898199778E-2</v>
      </c>
      <c r="X343" s="166">
        <v>1.46311837179976E-3</v>
      </c>
    </row>
    <row r="344" spans="1:24">
      <c r="A344" s="4" t="s">
        <v>128</v>
      </c>
      <c r="B344" s="4">
        <v>7228</v>
      </c>
      <c r="C344" s="4" t="s">
        <v>2045</v>
      </c>
      <c r="D344" s="4" t="s">
        <v>2046</v>
      </c>
      <c r="E344" s="4" t="s">
        <v>362</v>
      </c>
      <c r="F344" s="4" t="s">
        <v>2047</v>
      </c>
      <c r="G344" s="4" t="s">
        <v>2048</v>
      </c>
      <c r="H344" s="4" t="s">
        <v>368</v>
      </c>
      <c r="I344" s="4" t="s">
        <v>976</v>
      </c>
      <c r="J344" s="4" t="s">
        <v>100</v>
      </c>
      <c r="K344" s="4" t="s">
        <v>101</v>
      </c>
      <c r="L344" s="2" t="s">
        <v>374</v>
      </c>
      <c r="M344" s="2" t="s">
        <v>393</v>
      </c>
      <c r="N344" s="4" t="s">
        <v>560</v>
      </c>
      <c r="O344" s="4" t="s">
        <v>164</v>
      </c>
      <c r="P344" s="4" t="s">
        <v>105</v>
      </c>
      <c r="Q344" s="152">
        <v>12826</v>
      </c>
      <c r="R344" s="152">
        <v>3.681</v>
      </c>
      <c r="S344" s="152">
        <v>180.38</v>
      </c>
      <c r="U344" s="152">
        <v>8516.1919999999991</v>
      </c>
      <c r="V344" s="152">
        <v>9.9999999999999995E-7</v>
      </c>
      <c r="W344" s="166">
        <v>3.0372499225407999E-2</v>
      </c>
      <c r="X344" s="166">
        <v>3.6747677582205998E-3</v>
      </c>
    </row>
    <row r="345" spans="1:24">
      <c r="A345" s="4" t="s">
        <v>128</v>
      </c>
      <c r="B345" s="4">
        <v>7228</v>
      </c>
      <c r="C345" s="4" t="s">
        <v>2049</v>
      </c>
      <c r="D345" s="4" t="s">
        <v>2050</v>
      </c>
      <c r="E345" s="4" t="s">
        <v>362</v>
      </c>
      <c r="F345" s="4" t="s">
        <v>2051</v>
      </c>
      <c r="G345" s="4" t="s">
        <v>2052</v>
      </c>
      <c r="H345" s="4" t="s">
        <v>368</v>
      </c>
      <c r="I345" s="4" t="s">
        <v>976</v>
      </c>
      <c r="J345" s="4" t="s">
        <v>100</v>
      </c>
      <c r="K345" s="4" t="s">
        <v>101</v>
      </c>
      <c r="L345" s="2" t="s">
        <v>374</v>
      </c>
      <c r="M345" s="2" t="s">
        <v>391</v>
      </c>
      <c r="N345" s="4" t="s">
        <v>2053</v>
      </c>
      <c r="O345" s="4" t="s">
        <v>164</v>
      </c>
      <c r="P345" s="4" t="s">
        <v>105</v>
      </c>
      <c r="Q345" s="152">
        <v>7400</v>
      </c>
      <c r="R345" s="152">
        <v>3.681</v>
      </c>
      <c r="S345" s="152">
        <v>22769</v>
      </c>
      <c r="U345" s="152">
        <v>6202.1390000000001</v>
      </c>
      <c r="V345" s="152">
        <v>1.4E-5</v>
      </c>
      <c r="W345" s="166">
        <v>2.2119565324273002E-2</v>
      </c>
      <c r="X345" s="166">
        <v>2.6762455363401501E-3</v>
      </c>
    </row>
    <row r="346" spans="1:24">
      <c r="A346" s="4" t="s">
        <v>128</v>
      </c>
      <c r="B346" s="4">
        <v>7228</v>
      </c>
      <c r="C346" s="4" t="s">
        <v>2054</v>
      </c>
      <c r="D346" s="4" t="s">
        <v>2055</v>
      </c>
      <c r="E346" s="4" t="s">
        <v>362</v>
      </c>
      <c r="F346" s="4" t="s">
        <v>2056</v>
      </c>
      <c r="G346" s="4" t="s">
        <v>2057</v>
      </c>
      <c r="H346" s="4" t="s">
        <v>368</v>
      </c>
      <c r="I346" s="4" t="s">
        <v>976</v>
      </c>
      <c r="J346" s="4" t="s">
        <v>100</v>
      </c>
      <c r="K346" s="4" t="s">
        <v>318</v>
      </c>
      <c r="L346" s="2" t="s">
        <v>374</v>
      </c>
      <c r="M346" s="2" t="s">
        <v>391</v>
      </c>
      <c r="N346" s="4" t="s">
        <v>560</v>
      </c>
      <c r="O346" s="4" t="s">
        <v>164</v>
      </c>
      <c r="P346" s="4" t="s">
        <v>105</v>
      </c>
      <c r="Q346" s="152">
        <v>11933</v>
      </c>
      <c r="R346" s="152">
        <v>3.681</v>
      </c>
      <c r="S346" s="152">
        <v>7236</v>
      </c>
      <c r="U346" s="152">
        <v>3178.44</v>
      </c>
      <c r="V346" s="152">
        <v>5.0000000000000004E-6</v>
      </c>
      <c r="W346" s="166">
        <v>1.1335720007723199E-2</v>
      </c>
      <c r="X346" s="166">
        <v>1.3715084192265001E-3</v>
      </c>
    </row>
    <row r="347" spans="1:24">
      <c r="A347" s="4" t="s">
        <v>128</v>
      </c>
      <c r="B347" s="4">
        <v>7228</v>
      </c>
      <c r="C347" s="4" t="s">
        <v>2058</v>
      </c>
      <c r="D347" s="4" t="s">
        <v>2059</v>
      </c>
      <c r="E347" s="4" t="s">
        <v>362</v>
      </c>
      <c r="F347" s="4" t="s">
        <v>2060</v>
      </c>
      <c r="G347" s="4" t="s">
        <v>2061</v>
      </c>
      <c r="H347" s="4" t="s">
        <v>368</v>
      </c>
      <c r="I347" s="4" t="s">
        <v>976</v>
      </c>
      <c r="J347" s="4" t="s">
        <v>100</v>
      </c>
      <c r="K347" s="4" t="s">
        <v>101</v>
      </c>
      <c r="L347" s="2" t="s">
        <v>374</v>
      </c>
      <c r="M347" s="2" t="s">
        <v>393</v>
      </c>
      <c r="N347" s="4" t="s">
        <v>579</v>
      </c>
      <c r="O347" s="4" t="s">
        <v>164</v>
      </c>
      <c r="P347" s="4" t="s">
        <v>105</v>
      </c>
      <c r="Q347" s="152">
        <v>3547</v>
      </c>
      <c r="R347" s="152">
        <v>3.681</v>
      </c>
      <c r="S347" s="152">
        <v>21563</v>
      </c>
      <c r="U347" s="152">
        <v>2815.375</v>
      </c>
      <c r="V347" s="152">
        <v>2.4000000000000001E-5</v>
      </c>
      <c r="W347" s="166">
        <v>1.00408685801976E-2</v>
      </c>
      <c r="X347" s="166">
        <v>1.2148443843624801E-3</v>
      </c>
    </row>
    <row r="348" spans="1:24">
      <c r="A348" s="4" t="s">
        <v>128</v>
      </c>
      <c r="B348" s="4">
        <v>7228</v>
      </c>
      <c r="D348" s="4" t="s">
        <v>1598</v>
      </c>
      <c r="E348" s="4" t="s">
        <v>362</v>
      </c>
      <c r="F348" s="4" t="s">
        <v>2067</v>
      </c>
      <c r="G348" s="4" t="s">
        <v>2068</v>
      </c>
      <c r="H348" s="4" t="s">
        <v>368</v>
      </c>
      <c r="I348" s="4" t="s">
        <v>976</v>
      </c>
      <c r="J348" s="4" t="s">
        <v>100</v>
      </c>
      <c r="L348" s="2" t="s">
        <v>374</v>
      </c>
      <c r="M348" s="2" t="s">
        <v>204</v>
      </c>
      <c r="N348" s="4" t="s">
        <v>1392</v>
      </c>
      <c r="O348" s="4" t="s">
        <v>164</v>
      </c>
      <c r="P348" s="4" t="s">
        <v>105</v>
      </c>
      <c r="Q348" s="152">
        <v>2322.77</v>
      </c>
      <c r="R348" s="152">
        <v>3.681</v>
      </c>
      <c r="S348" s="152">
        <v>129156</v>
      </c>
      <c r="U348" s="152">
        <v>11042.987999999999</v>
      </c>
      <c r="V348" s="152">
        <v>0</v>
      </c>
      <c r="W348" s="166">
        <v>3.9384170784094001E-2</v>
      </c>
      <c r="X348" s="166">
        <v>4.76508962622908E-3</v>
      </c>
    </row>
    <row r="349" spans="1:24">
      <c r="A349" s="4" t="s">
        <v>128</v>
      </c>
      <c r="B349" s="4">
        <v>7228</v>
      </c>
      <c r="C349" s="4" t="s">
        <v>2069</v>
      </c>
      <c r="D349" s="4" t="s">
        <v>2070</v>
      </c>
      <c r="E349" s="4" t="s">
        <v>362</v>
      </c>
      <c r="F349" s="4" t="s">
        <v>2071</v>
      </c>
      <c r="G349" s="4" t="s">
        <v>2072</v>
      </c>
      <c r="H349" s="4" t="s">
        <v>368</v>
      </c>
      <c r="I349" s="4" t="s">
        <v>976</v>
      </c>
      <c r="J349" s="4" t="s">
        <v>100</v>
      </c>
      <c r="K349" s="4" t="s">
        <v>101</v>
      </c>
      <c r="L349" s="2" t="s">
        <v>374</v>
      </c>
      <c r="M349" s="2" t="s">
        <v>391</v>
      </c>
      <c r="N349" s="4" t="s">
        <v>2066</v>
      </c>
      <c r="O349" s="4" t="s">
        <v>164</v>
      </c>
      <c r="P349" s="4" t="s">
        <v>105</v>
      </c>
      <c r="Q349" s="152">
        <v>2268</v>
      </c>
      <c r="R349" s="152">
        <v>3.681</v>
      </c>
      <c r="S349" s="152">
        <v>41074</v>
      </c>
      <c r="U349" s="152">
        <v>3429.0659999999998</v>
      </c>
      <c r="V349" s="152">
        <v>9.0000000000000002E-6</v>
      </c>
      <c r="W349" s="166">
        <v>1.22295636151868E-2</v>
      </c>
      <c r="X349" s="166">
        <v>1.4796545301283999E-3</v>
      </c>
    </row>
    <row r="350" spans="1:24">
      <c r="A350" s="4" t="s">
        <v>128</v>
      </c>
      <c r="B350" s="4">
        <v>7228</v>
      </c>
      <c r="C350" s="4" t="s">
        <v>2200</v>
      </c>
      <c r="D350" s="4" t="s">
        <v>2201</v>
      </c>
      <c r="E350" s="4" t="s">
        <v>1380</v>
      </c>
      <c r="F350" s="4" t="s">
        <v>2202</v>
      </c>
      <c r="G350" s="4" t="s">
        <v>2203</v>
      </c>
      <c r="H350" s="4" t="s">
        <v>368</v>
      </c>
      <c r="I350" s="4" t="s">
        <v>976</v>
      </c>
      <c r="J350" s="4" t="s">
        <v>100</v>
      </c>
      <c r="K350" s="4" t="s">
        <v>101</v>
      </c>
      <c r="L350" s="2" t="s">
        <v>374</v>
      </c>
      <c r="M350" s="2" t="s">
        <v>391</v>
      </c>
      <c r="N350" s="4" t="s">
        <v>602</v>
      </c>
      <c r="O350" s="4" t="s">
        <v>164</v>
      </c>
      <c r="P350" s="4" t="s">
        <v>105</v>
      </c>
      <c r="Q350" s="152">
        <v>1900</v>
      </c>
      <c r="R350" s="152">
        <v>3.681</v>
      </c>
      <c r="S350" s="152">
        <v>1571</v>
      </c>
      <c r="U350" s="152">
        <v>109.874</v>
      </c>
      <c r="V350" s="152">
        <v>3.3300000000000002E-4</v>
      </c>
      <c r="W350" s="166">
        <v>3.9185978645943701E-4</v>
      </c>
      <c r="X350" s="166">
        <v>4.7411103654576097E-5</v>
      </c>
    </row>
    <row r="351" spans="1:24">
      <c r="A351" s="4" t="s">
        <v>128</v>
      </c>
      <c r="B351" s="4">
        <v>7228</v>
      </c>
      <c r="C351" s="4" t="s">
        <v>2073</v>
      </c>
      <c r="D351" s="4" t="s">
        <v>2074</v>
      </c>
      <c r="E351" s="4" t="s">
        <v>362</v>
      </c>
      <c r="F351" s="4" t="s">
        <v>2073</v>
      </c>
      <c r="G351" s="4" t="s">
        <v>2075</v>
      </c>
      <c r="H351" s="4" t="s">
        <v>368</v>
      </c>
      <c r="I351" s="4" t="s">
        <v>976</v>
      </c>
      <c r="J351" s="4" t="s">
        <v>100</v>
      </c>
      <c r="K351" s="4" t="s">
        <v>101</v>
      </c>
      <c r="L351" s="2" t="s">
        <v>374</v>
      </c>
      <c r="M351" s="2" t="s">
        <v>393</v>
      </c>
      <c r="N351" s="4" t="s">
        <v>591</v>
      </c>
      <c r="O351" s="4" t="s">
        <v>164</v>
      </c>
      <c r="P351" s="4" t="s">
        <v>105</v>
      </c>
      <c r="Q351" s="152">
        <v>38000</v>
      </c>
      <c r="R351" s="152">
        <v>3.681</v>
      </c>
      <c r="S351" s="152">
        <v>2861</v>
      </c>
      <c r="U351" s="152">
        <v>4001.91</v>
      </c>
      <c r="V351" s="152">
        <v>9.1000000000000003E-5</v>
      </c>
      <c r="W351" s="166">
        <v>1.4272576054238701E-2</v>
      </c>
      <c r="X351" s="166">
        <v>1.7268385430393701E-3</v>
      </c>
    </row>
    <row r="352" spans="1:24">
      <c r="A352" s="4" t="s">
        <v>128</v>
      </c>
      <c r="B352" s="4">
        <v>7228</v>
      </c>
      <c r="C352" s="4" t="s">
        <v>2076</v>
      </c>
      <c r="D352" s="4" t="s">
        <v>2077</v>
      </c>
      <c r="E352" s="4" t="s">
        <v>1380</v>
      </c>
      <c r="F352" s="4" t="s">
        <v>2078</v>
      </c>
      <c r="G352" s="4" t="s">
        <v>2079</v>
      </c>
      <c r="H352" s="4" t="s">
        <v>368</v>
      </c>
      <c r="I352" s="4" t="s">
        <v>976</v>
      </c>
      <c r="J352" s="4" t="s">
        <v>31</v>
      </c>
      <c r="K352" s="4" t="s">
        <v>31</v>
      </c>
      <c r="L352" s="2" t="s">
        <v>374</v>
      </c>
      <c r="M352" s="2" t="s">
        <v>393</v>
      </c>
      <c r="N352" s="4" t="s">
        <v>579</v>
      </c>
      <c r="O352" s="4" t="s">
        <v>164</v>
      </c>
      <c r="P352" s="4" t="s">
        <v>105</v>
      </c>
      <c r="Q352" s="152">
        <v>94000</v>
      </c>
      <c r="R352" s="152">
        <v>3.681</v>
      </c>
      <c r="S352" s="152">
        <v>3.61</v>
      </c>
      <c r="U352" s="152">
        <v>12.491</v>
      </c>
      <c r="V352" s="152">
        <v>1.567E-3</v>
      </c>
      <c r="W352" s="166">
        <v>4.4548795583485302E-5</v>
      </c>
      <c r="X352" s="166">
        <v>5.3899574237474798E-6</v>
      </c>
    </row>
    <row r="353" spans="1:24">
      <c r="A353" s="4" t="s">
        <v>128</v>
      </c>
      <c r="B353" s="4">
        <v>7228</v>
      </c>
      <c r="C353" s="4" t="s">
        <v>2084</v>
      </c>
      <c r="D353" s="4" t="s">
        <v>2085</v>
      </c>
      <c r="E353" s="4" t="s">
        <v>362</v>
      </c>
      <c r="F353" s="4" t="s">
        <v>2086</v>
      </c>
      <c r="G353" s="4" t="s">
        <v>2087</v>
      </c>
      <c r="H353" s="4" t="s">
        <v>368</v>
      </c>
      <c r="I353" s="4" t="s">
        <v>976</v>
      </c>
      <c r="J353" s="4" t="s">
        <v>100</v>
      </c>
      <c r="L353" s="2" t="s">
        <v>374</v>
      </c>
      <c r="M353" s="2" t="s">
        <v>204</v>
      </c>
      <c r="N353" s="4" t="s">
        <v>2088</v>
      </c>
      <c r="O353" s="4" t="s">
        <v>164</v>
      </c>
      <c r="P353" s="4" t="s">
        <v>1224</v>
      </c>
      <c r="Q353" s="152">
        <v>986</v>
      </c>
      <c r="R353" s="152">
        <v>3.9790000000000001</v>
      </c>
      <c r="S353" s="152">
        <v>83370</v>
      </c>
      <c r="U353" s="152">
        <v>3270.9319999999998</v>
      </c>
      <c r="V353" s="152">
        <v>0</v>
      </c>
      <c r="W353" s="166">
        <v>1.1665588805944E-2</v>
      </c>
      <c r="X353" s="166">
        <v>1.41141923509808E-3</v>
      </c>
    </row>
    <row r="354" spans="1:24">
      <c r="A354" s="4" t="s">
        <v>128</v>
      </c>
      <c r="B354" s="4">
        <v>7228</v>
      </c>
      <c r="C354" s="4" t="s">
        <v>2089</v>
      </c>
      <c r="D354" s="4" t="s">
        <v>2090</v>
      </c>
      <c r="E354" s="4" t="s">
        <v>362</v>
      </c>
      <c r="F354" s="4" t="s">
        <v>2091</v>
      </c>
      <c r="G354" s="4" t="s">
        <v>2092</v>
      </c>
      <c r="H354" s="4" t="s">
        <v>368</v>
      </c>
      <c r="I354" s="4" t="s">
        <v>976</v>
      </c>
      <c r="J354" s="4" t="s">
        <v>100</v>
      </c>
      <c r="K354" s="4" t="s">
        <v>101</v>
      </c>
      <c r="L354" s="2" t="s">
        <v>374</v>
      </c>
      <c r="M354" s="2" t="s">
        <v>391</v>
      </c>
      <c r="N354" s="4" t="s">
        <v>2053</v>
      </c>
      <c r="O354" s="4" t="s">
        <v>164</v>
      </c>
      <c r="P354" s="4" t="s">
        <v>105</v>
      </c>
      <c r="Q354" s="152">
        <v>3200</v>
      </c>
      <c r="R354" s="152">
        <v>3.681</v>
      </c>
      <c r="S354" s="152">
        <v>481.57</v>
      </c>
      <c r="U354" s="152">
        <v>5672.509</v>
      </c>
      <c r="V354" s="152">
        <v>3.9999999999999998E-6</v>
      </c>
      <c r="W354" s="166">
        <v>2.0230672235882902E-2</v>
      </c>
      <c r="X354" s="166">
        <v>2.4477084189818599E-3</v>
      </c>
    </row>
    <row r="355" spans="1:24">
      <c r="A355" s="4" t="s">
        <v>128</v>
      </c>
      <c r="B355" s="4">
        <v>7228</v>
      </c>
      <c r="C355" s="4" t="s">
        <v>2097</v>
      </c>
      <c r="D355" s="4" t="s">
        <v>2098</v>
      </c>
      <c r="E355" s="4" t="s">
        <v>362</v>
      </c>
      <c r="F355" s="4" t="s">
        <v>2099</v>
      </c>
      <c r="G355" s="4" t="s">
        <v>2100</v>
      </c>
      <c r="H355" s="4" t="s">
        <v>368</v>
      </c>
      <c r="I355" s="4" t="s">
        <v>976</v>
      </c>
      <c r="J355" s="4" t="s">
        <v>100</v>
      </c>
      <c r="K355" s="4" t="s">
        <v>101</v>
      </c>
      <c r="L355" s="2" t="s">
        <v>374</v>
      </c>
      <c r="M355" s="2" t="s">
        <v>393</v>
      </c>
      <c r="N355" s="4" t="s">
        <v>589</v>
      </c>
      <c r="O355" s="4" t="s">
        <v>164</v>
      </c>
      <c r="P355" s="4" t="s">
        <v>105</v>
      </c>
      <c r="Q355" s="152">
        <v>9894</v>
      </c>
      <c r="R355" s="152">
        <v>3.681</v>
      </c>
      <c r="S355" s="152">
        <v>420.72</v>
      </c>
      <c r="U355" s="152">
        <v>15322.544</v>
      </c>
      <c r="V355" s="152">
        <v>9.9999999999999995E-7</v>
      </c>
      <c r="W355" s="166">
        <v>5.4646955983787299E-2</v>
      </c>
      <c r="X355" s="166">
        <v>6.6117335436831999E-3</v>
      </c>
    </row>
    <row r="356" spans="1:24">
      <c r="A356" s="4" t="s">
        <v>128</v>
      </c>
      <c r="B356" s="4">
        <v>7228</v>
      </c>
      <c r="C356" s="4" t="s">
        <v>2101</v>
      </c>
      <c r="D356" s="4" t="s">
        <v>2102</v>
      </c>
      <c r="E356" s="4" t="s">
        <v>362</v>
      </c>
      <c r="F356" s="4" t="s">
        <v>2101</v>
      </c>
      <c r="G356" s="4" t="s">
        <v>2103</v>
      </c>
      <c r="H356" s="4" t="s">
        <v>368</v>
      </c>
      <c r="I356" s="4" t="s">
        <v>976</v>
      </c>
      <c r="J356" s="4" t="s">
        <v>100</v>
      </c>
      <c r="K356" s="4" t="s">
        <v>101</v>
      </c>
      <c r="L356" s="2" t="s">
        <v>374</v>
      </c>
      <c r="M356" s="2" t="s">
        <v>393</v>
      </c>
      <c r="N356" s="4" t="s">
        <v>579</v>
      </c>
      <c r="O356" s="4" t="s">
        <v>164</v>
      </c>
      <c r="P356" s="4" t="s">
        <v>105</v>
      </c>
      <c r="Q356" s="152">
        <v>10006</v>
      </c>
      <c r="R356" s="152">
        <v>3.681</v>
      </c>
      <c r="S356" s="152">
        <v>10656</v>
      </c>
      <c r="U356" s="152">
        <v>3924.8270000000002</v>
      </c>
      <c r="V356" s="152">
        <v>3.0000000000000001E-5</v>
      </c>
      <c r="W356" s="166">
        <v>1.39976658489144E-2</v>
      </c>
      <c r="X356" s="166">
        <v>1.6935771656520801E-3</v>
      </c>
    </row>
    <row r="357" spans="1:24">
      <c r="A357" s="4" t="s">
        <v>128</v>
      </c>
      <c r="B357" s="4">
        <v>7228</v>
      </c>
      <c r="C357" s="4" t="s">
        <v>2104</v>
      </c>
      <c r="D357" s="4" t="s">
        <v>2105</v>
      </c>
      <c r="E357" s="4" t="s">
        <v>34</v>
      </c>
      <c r="F357" s="4" t="s">
        <v>2104</v>
      </c>
      <c r="G357" s="4" t="s">
        <v>2106</v>
      </c>
      <c r="H357" s="4" t="s">
        <v>368</v>
      </c>
      <c r="I357" s="4" t="s">
        <v>976</v>
      </c>
      <c r="J357" s="4" t="s">
        <v>100</v>
      </c>
      <c r="K357" s="4" t="s">
        <v>101</v>
      </c>
      <c r="L357" s="2" t="s">
        <v>374</v>
      </c>
      <c r="M357" s="2" t="s">
        <v>393</v>
      </c>
      <c r="N357" s="4" t="s">
        <v>2053</v>
      </c>
      <c r="O357" s="4" t="s">
        <v>164</v>
      </c>
      <c r="P357" s="4" t="s">
        <v>105</v>
      </c>
      <c r="Q357" s="152">
        <v>15775</v>
      </c>
      <c r="R357" s="152">
        <v>3.681</v>
      </c>
      <c r="S357" s="152">
        <v>6310</v>
      </c>
      <c r="U357" s="152">
        <v>3664.0770000000002</v>
      </c>
      <c r="V357" s="152">
        <v>0</v>
      </c>
      <c r="W357" s="166">
        <v>1.3067714532855001E-2</v>
      </c>
      <c r="X357" s="166">
        <v>1.5810623841845299E-3</v>
      </c>
    </row>
    <row r="358" spans="1:24">
      <c r="A358" s="4" t="s">
        <v>128</v>
      </c>
      <c r="B358" s="4">
        <v>7228</v>
      </c>
      <c r="C358" s="4" t="s">
        <v>2107</v>
      </c>
      <c r="D358" s="4" t="s">
        <v>2108</v>
      </c>
      <c r="E358" s="4" t="s">
        <v>362</v>
      </c>
      <c r="F358" s="4" t="s">
        <v>2109</v>
      </c>
      <c r="G358" s="4" t="s">
        <v>2110</v>
      </c>
      <c r="H358" s="4" t="s">
        <v>368</v>
      </c>
      <c r="I358" s="4" t="s">
        <v>976</v>
      </c>
      <c r="J358" s="4" t="s">
        <v>100</v>
      </c>
      <c r="K358" s="4" t="s">
        <v>101</v>
      </c>
      <c r="L358" s="2" t="s">
        <v>374</v>
      </c>
      <c r="M358" s="2" t="s">
        <v>393</v>
      </c>
      <c r="N358" s="4" t="s">
        <v>594</v>
      </c>
      <c r="O358" s="4" t="s">
        <v>164</v>
      </c>
      <c r="P358" s="4" t="s">
        <v>105</v>
      </c>
      <c r="Q358" s="152">
        <v>3100</v>
      </c>
      <c r="R358" s="152">
        <v>3.681</v>
      </c>
      <c r="S358" s="152">
        <v>60733</v>
      </c>
      <c r="U358" s="152">
        <v>6930.3029999999999</v>
      </c>
      <c r="V358" s="152">
        <v>6.9999999999999999E-6</v>
      </c>
      <c r="W358" s="166">
        <v>2.47165209133395E-2</v>
      </c>
      <c r="X358" s="166">
        <v>2.9904511141363001E-3</v>
      </c>
    </row>
    <row r="359" spans="1:24">
      <c r="A359" s="4" t="s">
        <v>128</v>
      </c>
      <c r="B359" s="4">
        <v>7228</v>
      </c>
      <c r="C359" s="4" t="s">
        <v>2111</v>
      </c>
      <c r="D359" s="4" t="s">
        <v>2112</v>
      </c>
      <c r="E359" s="4" t="s">
        <v>362</v>
      </c>
      <c r="F359" s="4" t="s">
        <v>2113</v>
      </c>
      <c r="G359" s="4" t="s">
        <v>2114</v>
      </c>
      <c r="H359" s="4" t="s">
        <v>368</v>
      </c>
      <c r="I359" s="4" t="s">
        <v>976</v>
      </c>
      <c r="J359" s="4" t="s">
        <v>100</v>
      </c>
      <c r="K359" s="4" t="s">
        <v>101</v>
      </c>
      <c r="L359" s="2" t="s">
        <v>374</v>
      </c>
      <c r="M359" s="2" t="s">
        <v>391</v>
      </c>
      <c r="N359" s="4" t="s">
        <v>2066</v>
      </c>
      <c r="O359" s="4" t="s">
        <v>164</v>
      </c>
      <c r="P359" s="4" t="s">
        <v>105</v>
      </c>
      <c r="Q359" s="152">
        <v>577</v>
      </c>
      <c r="R359" s="152">
        <v>3.681</v>
      </c>
      <c r="S359" s="152">
        <v>47866</v>
      </c>
      <c r="U359" s="152">
        <v>1016.644</v>
      </c>
      <c r="V359" s="152">
        <v>3.9999999999999998E-6</v>
      </c>
      <c r="W359" s="166">
        <v>3.6258001376297702E-3</v>
      </c>
      <c r="X359" s="166">
        <v>4.38685448458834E-4</v>
      </c>
    </row>
    <row r="360" spans="1:24">
      <c r="A360" s="4" t="s">
        <v>128</v>
      </c>
      <c r="B360" s="4">
        <v>7228</v>
      </c>
      <c r="C360" s="4" t="s">
        <v>2115</v>
      </c>
      <c r="D360" s="4" t="s">
        <v>2116</v>
      </c>
      <c r="E360" s="4" t="s">
        <v>362</v>
      </c>
      <c r="F360" s="4" t="s">
        <v>2117</v>
      </c>
      <c r="G360" s="4" t="s">
        <v>2118</v>
      </c>
      <c r="H360" s="4" t="s">
        <v>368</v>
      </c>
      <c r="I360" s="4" t="s">
        <v>976</v>
      </c>
      <c r="J360" s="4" t="s">
        <v>100</v>
      </c>
      <c r="L360" s="2" t="s">
        <v>374</v>
      </c>
      <c r="M360" s="2" t="s">
        <v>204</v>
      </c>
      <c r="N360" s="4" t="s">
        <v>579</v>
      </c>
      <c r="O360" s="4" t="s">
        <v>164</v>
      </c>
      <c r="P360" s="4" t="s">
        <v>105</v>
      </c>
      <c r="Q360" s="152">
        <v>6961</v>
      </c>
      <c r="R360" s="152">
        <v>3.681</v>
      </c>
      <c r="S360" s="152">
        <v>12840</v>
      </c>
      <c r="T360" s="150">
        <v>6.4690000000000003</v>
      </c>
      <c r="U360" s="152">
        <v>3313.8629999999998</v>
      </c>
      <c r="V360" s="152">
        <v>0</v>
      </c>
      <c r="W360" s="166">
        <v>1.1818696745205999E-2</v>
      </c>
      <c r="X360" s="166">
        <v>1.42994376001622E-3</v>
      </c>
    </row>
    <row r="361" spans="1:24">
      <c r="A361" s="4" t="s">
        <v>128</v>
      </c>
      <c r="B361" s="4">
        <v>7228</v>
      </c>
      <c r="C361" s="4" t="s">
        <v>2119</v>
      </c>
      <c r="D361" s="4" t="s">
        <v>2120</v>
      </c>
      <c r="E361" s="4" t="s">
        <v>362</v>
      </c>
      <c r="F361" s="4" t="s">
        <v>2121</v>
      </c>
      <c r="G361" s="4" t="s">
        <v>2122</v>
      </c>
      <c r="H361" s="4" t="s">
        <v>368</v>
      </c>
      <c r="I361" s="4" t="s">
        <v>976</v>
      </c>
      <c r="J361" s="4" t="s">
        <v>100</v>
      </c>
      <c r="K361" s="4" t="s">
        <v>101</v>
      </c>
      <c r="L361" s="2" t="s">
        <v>374</v>
      </c>
      <c r="M361" s="2" t="s">
        <v>393</v>
      </c>
      <c r="N361" s="4" t="s">
        <v>593</v>
      </c>
      <c r="O361" s="4" t="s">
        <v>164</v>
      </c>
      <c r="P361" s="4" t="s">
        <v>105</v>
      </c>
      <c r="Q361" s="152">
        <v>1932</v>
      </c>
      <c r="R361" s="152">
        <v>3.681</v>
      </c>
      <c r="S361" s="152">
        <v>90356</v>
      </c>
      <c r="U361" s="152">
        <v>6425.84</v>
      </c>
      <c r="V361" s="152">
        <v>9.9999999999999995E-7</v>
      </c>
      <c r="W361" s="166">
        <v>2.2917383395026799E-2</v>
      </c>
      <c r="X361" s="166">
        <v>2.7727735204738798E-3</v>
      </c>
    </row>
    <row r="362" spans="1:24">
      <c r="A362" s="4" t="s">
        <v>128</v>
      </c>
      <c r="B362" s="4">
        <v>7228</v>
      </c>
      <c r="C362" s="4" t="s">
        <v>2204</v>
      </c>
      <c r="D362" s="4" t="s">
        <v>2205</v>
      </c>
      <c r="E362" s="4" t="s">
        <v>362</v>
      </c>
      <c r="F362" s="4" t="s">
        <v>2206</v>
      </c>
      <c r="G362" s="4" t="s">
        <v>2207</v>
      </c>
      <c r="H362" s="4" t="s">
        <v>368</v>
      </c>
      <c r="I362" s="4" t="s">
        <v>976</v>
      </c>
      <c r="J362" s="4" t="s">
        <v>100</v>
      </c>
      <c r="K362" s="4" t="s">
        <v>101</v>
      </c>
      <c r="L362" s="2" t="s">
        <v>374</v>
      </c>
      <c r="M362" s="2" t="s">
        <v>393</v>
      </c>
      <c r="N362" s="4" t="s">
        <v>594</v>
      </c>
      <c r="O362" s="4" t="s">
        <v>164</v>
      </c>
      <c r="P362" s="4" t="s">
        <v>105</v>
      </c>
      <c r="Q362" s="152">
        <v>271794</v>
      </c>
      <c r="R362" s="152">
        <v>3.681</v>
      </c>
      <c r="S362" s="152">
        <v>395</v>
      </c>
      <c r="U362" s="152">
        <v>3951.8710000000001</v>
      </c>
      <c r="V362" s="152">
        <v>8.3330000000000001E-3</v>
      </c>
      <c r="W362" s="166">
        <v>1.40941169976809E-2</v>
      </c>
      <c r="X362" s="166">
        <v>1.7052467872100501E-3</v>
      </c>
    </row>
    <row r="363" spans="1:24">
      <c r="A363" s="4" t="s">
        <v>128</v>
      </c>
      <c r="B363" s="4">
        <v>7228</v>
      </c>
      <c r="C363" s="4" t="s">
        <v>2123</v>
      </c>
      <c r="D363" s="4" t="s">
        <v>1564</v>
      </c>
      <c r="E363" s="4" t="s">
        <v>362</v>
      </c>
      <c r="F363" s="4" t="s">
        <v>2124</v>
      </c>
      <c r="G363" s="4" t="s">
        <v>2125</v>
      </c>
      <c r="H363" s="4" t="s">
        <v>368</v>
      </c>
      <c r="I363" s="4" t="s">
        <v>976</v>
      </c>
      <c r="J363" s="4" t="s">
        <v>100</v>
      </c>
      <c r="K363" s="4" t="s">
        <v>101</v>
      </c>
      <c r="L363" s="2" t="s">
        <v>374</v>
      </c>
      <c r="M363" s="2" t="s">
        <v>393</v>
      </c>
      <c r="N363" s="4" t="s">
        <v>579</v>
      </c>
      <c r="O363" s="4" t="s">
        <v>164</v>
      </c>
      <c r="P363" s="4" t="s">
        <v>105</v>
      </c>
      <c r="Q363" s="152">
        <v>34759</v>
      </c>
      <c r="R363" s="152">
        <v>3.681</v>
      </c>
      <c r="S363" s="152">
        <v>80.599999999999994</v>
      </c>
      <c r="U363" s="152">
        <v>103.126</v>
      </c>
      <c r="V363" s="152">
        <v>1.1019999999999999E-3</v>
      </c>
      <c r="W363" s="166">
        <v>3.6779280310697597E-4</v>
      </c>
      <c r="X363" s="166">
        <v>4.4499240070190102E-5</v>
      </c>
    </row>
    <row r="364" spans="1:24">
      <c r="A364" s="4" t="s">
        <v>128</v>
      </c>
      <c r="B364" s="4">
        <v>7228</v>
      </c>
      <c r="C364" s="4" t="s">
        <v>2126</v>
      </c>
      <c r="D364" s="4" t="s">
        <v>2127</v>
      </c>
      <c r="E364" s="4" t="s">
        <v>362</v>
      </c>
      <c r="F364" s="4" t="s">
        <v>2128</v>
      </c>
      <c r="G364" s="4" t="s">
        <v>2129</v>
      </c>
      <c r="H364" s="4" t="s">
        <v>368</v>
      </c>
      <c r="I364" s="4" t="s">
        <v>976</v>
      </c>
      <c r="J364" s="4" t="s">
        <v>100</v>
      </c>
      <c r="K364" s="4" t="s">
        <v>101</v>
      </c>
      <c r="L364" s="2" t="s">
        <v>374</v>
      </c>
      <c r="M364" s="2" t="s">
        <v>391</v>
      </c>
      <c r="N364" s="4" t="s">
        <v>613</v>
      </c>
      <c r="O364" s="4" t="s">
        <v>164</v>
      </c>
      <c r="P364" s="4" t="s">
        <v>105</v>
      </c>
      <c r="Q364" s="152">
        <v>8000</v>
      </c>
      <c r="R364" s="152">
        <v>3.681</v>
      </c>
      <c r="S364" s="152">
        <v>13022</v>
      </c>
      <c r="U364" s="152">
        <v>3834.7190000000001</v>
      </c>
      <c r="V364" s="152">
        <v>9.0000000000000002E-6</v>
      </c>
      <c r="W364" s="166">
        <v>1.3676299076752401E-2</v>
      </c>
      <c r="X364" s="166">
        <v>1.65469500965497E-3</v>
      </c>
    </row>
    <row r="365" spans="1:24">
      <c r="A365" s="4" t="s">
        <v>128</v>
      </c>
      <c r="B365" s="4">
        <v>7228</v>
      </c>
      <c r="C365" s="4" t="s">
        <v>2130</v>
      </c>
      <c r="D365" s="4" t="s">
        <v>2131</v>
      </c>
      <c r="E365" s="4" t="s">
        <v>362</v>
      </c>
      <c r="F365" s="4" t="s">
        <v>2132</v>
      </c>
      <c r="G365" s="4" t="s">
        <v>2133</v>
      </c>
      <c r="H365" s="4" t="s">
        <v>368</v>
      </c>
      <c r="I365" s="4" t="s">
        <v>976</v>
      </c>
      <c r="J365" s="4" t="s">
        <v>100</v>
      </c>
      <c r="K365" s="4" t="s">
        <v>101</v>
      </c>
      <c r="L365" s="2" t="s">
        <v>374</v>
      </c>
      <c r="M365" s="2" t="s">
        <v>391</v>
      </c>
      <c r="N365" s="4" t="s">
        <v>531</v>
      </c>
      <c r="O365" s="4" t="s">
        <v>164</v>
      </c>
      <c r="P365" s="4" t="s">
        <v>105</v>
      </c>
      <c r="Q365" s="152">
        <v>16636</v>
      </c>
      <c r="R365" s="152">
        <v>3.681</v>
      </c>
      <c r="S365" s="152">
        <v>54.81</v>
      </c>
      <c r="T365" s="150">
        <v>4.6379999999999999</v>
      </c>
      <c r="U365" s="152">
        <v>3373.48</v>
      </c>
      <c r="V365" s="152">
        <v>1.2E-5</v>
      </c>
      <c r="W365" s="166">
        <v>1.2031318268859101E-2</v>
      </c>
      <c r="X365" s="166">
        <v>1.45566883170116E-3</v>
      </c>
    </row>
    <row r="366" spans="1:24">
      <c r="A366" s="4" t="s">
        <v>128</v>
      </c>
      <c r="B366" s="4">
        <v>7228</v>
      </c>
      <c r="C366" s="4" t="s">
        <v>2134</v>
      </c>
      <c r="D366" s="4" t="s">
        <v>2135</v>
      </c>
      <c r="E366" s="4" t="s">
        <v>362</v>
      </c>
      <c r="F366" s="4" t="s">
        <v>2134</v>
      </c>
      <c r="G366" s="4" t="s">
        <v>2136</v>
      </c>
      <c r="H366" s="4" t="s">
        <v>368</v>
      </c>
      <c r="I366" s="4" t="s">
        <v>976</v>
      </c>
      <c r="J366" s="4" t="s">
        <v>100</v>
      </c>
      <c r="K366" s="4" t="s">
        <v>101</v>
      </c>
      <c r="L366" s="2" t="s">
        <v>374</v>
      </c>
      <c r="M366" s="2" t="s">
        <v>393</v>
      </c>
      <c r="N366" s="4" t="s">
        <v>560</v>
      </c>
      <c r="O366" s="4" t="s">
        <v>164</v>
      </c>
      <c r="P366" s="4" t="s">
        <v>105</v>
      </c>
      <c r="Q366" s="152">
        <v>52000</v>
      </c>
      <c r="R366" s="152">
        <v>3.681</v>
      </c>
      <c r="S366" s="152">
        <v>1906</v>
      </c>
      <c r="U366" s="152">
        <v>3648.3130000000001</v>
      </c>
      <c r="V366" s="152">
        <v>4.2900000000000002E-4</v>
      </c>
      <c r="W366" s="166">
        <v>1.3011493569489E-2</v>
      </c>
      <c r="X366" s="166">
        <v>1.5742602115355101E-3</v>
      </c>
    </row>
    <row r="367" spans="1:24">
      <c r="A367" s="4" t="s">
        <v>128</v>
      </c>
      <c r="B367" s="4">
        <v>7228</v>
      </c>
      <c r="C367" s="4" t="s">
        <v>2137</v>
      </c>
      <c r="D367" s="4" t="s">
        <v>2138</v>
      </c>
      <c r="E367" s="4" t="s">
        <v>362</v>
      </c>
      <c r="F367" s="4" t="s">
        <v>2139</v>
      </c>
      <c r="G367" s="4" t="s">
        <v>2140</v>
      </c>
      <c r="H367" s="4" t="s">
        <v>368</v>
      </c>
      <c r="I367" s="4" t="s">
        <v>976</v>
      </c>
      <c r="J367" s="4" t="s">
        <v>100</v>
      </c>
      <c r="K367" s="4" t="s">
        <v>318</v>
      </c>
      <c r="L367" s="2" t="s">
        <v>374</v>
      </c>
      <c r="M367" s="2" t="s">
        <v>391</v>
      </c>
      <c r="N367" s="4" t="s">
        <v>593</v>
      </c>
      <c r="O367" s="4" t="s">
        <v>164</v>
      </c>
      <c r="P367" s="4" t="s">
        <v>105</v>
      </c>
      <c r="Q367" s="152">
        <v>17000</v>
      </c>
      <c r="R367" s="152">
        <v>3.681</v>
      </c>
      <c r="S367" s="152">
        <v>13605</v>
      </c>
      <c r="T367" s="150">
        <v>7.5369999999999999</v>
      </c>
      <c r="U367" s="152">
        <v>8541.3449999999993</v>
      </c>
      <c r="V367" s="152">
        <v>3.0000000000000001E-6</v>
      </c>
      <c r="W367" s="166">
        <v>3.0462207808332999E-2</v>
      </c>
      <c r="X367" s="166">
        <v>3.6856215969423402E-3</v>
      </c>
    </row>
    <row r="368" spans="1:24">
      <c r="A368" s="4" t="s">
        <v>128</v>
      </c>
      <c r="B368" s="4">
        <v>7228</v>
      </c>
      <c r="C368" s="4" t="s">
        <v>2141</v>
      </c>
      <c r="D368" s="4" t="s">
        <v>2142</v>
      </c>
      <c r="E368" s="4" t="s">
        <v>362</v>
      </c>
      <c r="F368" s="4" t="s">
        <v>2141</v>
      </c>
      <c r="G368" s="4" t="s">
        <v>2143</v>
      </c>
      <c r="H368" s="4" t="s">
        <v>368</v>
      </c>
      <c r="I368" s="4" t="s">
        <v>976</v>
      </c>
      <c r="J368" s="4" t="s">
        <v>100</v>
      </c>
      <c r="K368" s="4" t="s">
        <v>101</v>
      </c>
      <c r="L368" s="2" t="s">
        <v>374</v>
      </c>
      <c r="M368" s="2" t="s">
        <v>393</v>
      </c>
      <c r="N368" s="4" t="s">
        <v>557</v>
      </c>
      <c r="O368" s="4" t="s">
        <v>164</v>
      </c>
      <c r="P368" s="4" t="s">
        <v>105</v>
      </c>
      <c r="Q368" s="152">
        <v>7051</v>
      </c>
      <c r="R368" s="152">
        <v>3.681</v>
      </c>
      <c r="S368" s="152">
        <v>17579</v>
      </c>
      <c r="U368" s="152">
        <v>4562.5820000000003</v>
      </c>
      <c r="V368" s="152">
        <v>3.0000000000000001E-6</v>
      </c>
      <c r="W368" s="166">
        <v>1.6272181971150702E-2</v>
      </c>
      <c r="X368" s="166">
        <v>1.96877080215581E-3</v>
      </c>
    </row>
    <row r="369" spans="1:24">
      <c r="A369" s="4" t="s">
        <v>128</v>
      </c>
      <c r="B369" s="4">
        <v>7228</v>
      </c>
      <c r="C369" s="4" t="s">
        <v>2144</v>
      </c>
      <c r="D369" s="4" t="s">
        <v>2145</v>
      </c>
      <c r="E369" s="4" t="s">
        <v>362</v>
      </c>
      <c r="F369" s="4" t="s">
        <v>2146</v>
      </c>
      <c r="G369" s="4" t="s">
        <v>2147</v>
      </c>
      <c r="H369" s="4" t="s">
        <v>368</v>
      </c>
      <c r="I369" s="4" t="s">
        <v>976</v>
      </c>
      <c r="J369" s="4" t="s">
        <v>100</v>
      </c>
      <c r="K369" s="4" t="s">
        <v>322</v>
      </c>
      <c r="L369" s="2" t="s">
        <v>374</v>
      </c>
      <c r="M369" s="2" t="s">
        <v>440</v>
      </c>
      <c r="N369" s="4" t="s">
        <v>613</v>
      </c>
      <c r="O369" s="4" t="s">
        <v>164</v>
      </c>
      <c r="P369" s="4" t="s">
        <v>1224</v>
      </c>
      <c r="Q369" s="152">
        <v>21248</v>
      </c>
      <c r="R369" s="152">
        <v>3.9790000000000001</v>
      </c>
      <c r="S369" s="152">
        <v>600</v>
      </c>
      <c r="U369" s="152">
        <v>507.28800000000001</v>
      </c>
      <c r="V369" s="152">
        <v>1.2022E-2</v>
      </c>
      <c r="W369" s="166">
        <v>1.80921115077584E-3</v>
      </c>
      <c r="X369" s="166">
        <v>2.18896402147985E-4</v>
      </c>
    </row>
    <row r="370" spans="1:24">
      <c r="A370" s="4" t="s">
        <v>128</v>
      </c>
      <c r="B370" s="4">
        <v>7228</v>
      </c>
      <c r="C370" s="4" t="s">
        <v>2148</v>
      </c>
      <c r="D370" s="4" t="s">
        <v>2149</v>
      </c>
      <c r="E370" s="4" t="s">
        <v>362</v>
      </c>
      <c r="F370" s="4" t="s">
        <v>2150</v>
      </c>
      <c r="G370" s="4" t="s">
        <v>2151</v>
      </c>
      <c r="H370" s="4" t="s">
        <v>368</v>
      </c>
      <c r="I370" s="4" t="s">
        <v>976</v>
      </c>
      <c r="J370" s="4" t="s">
        <v>100</v>
      </c>
      <c r="K370" s="4" t="s">
        <v>101</v>
      </c>
      <c r="L370" s="2" t="s">
        <v>374</v>
      </c>
      <c r="M370" s="2" t="s">
        <v>391</v>
      </c>
      <c r="N370" s="4" t="s">
        <v>2053</v>
      </c>
      <c r="O370" s="4" t="s">
        <v>164</v>
      </c>
      <c r="P370" s="4" t="s">
        <v>105</v>
      </c>
      <c r="Q370" s="152">
        <v>6124</v>
      </c>
      <c r="R370" s="152">
        <v>3.681</v>
      </c>
      <c r="S370" s="152">
        <v>27908</v>
      </c>
      <c r="U370" s="152">
        <v>6291.1450000000004</v>
      </c>
      <c r="V370" s="152">
        <v>3.9999999999999998E-6</v>
      </c>
      <c r="W370" s="166">
        <v>2.2437001026903099E-2</v>
      </c>
      <c r="X370" s="166">
        <v>2.7146520723540699E-3</v>
      </c>
    </row>
    <row r="371" spans="1:24">
      <c r="A371" s="4" t="s">
        <v>128</v>
      </c>
      <c r="B371" s="4">
        <v>7228</v>
      </c>
      <c r="C371" s="4" t="s">
        <v>2152</v>
      </c>
      <c r="D371" s="4" t="s">
        <v>2153</v>
      </c>
      <c r="E371" s="4" t="s">
        <v>362</v>
      </c>
      <c r="F371" s="4" t="s">
        <v>2154</v>
      </c>
      <c r="G371" s="4" t="s">
        <v>2155</v>
      </c>
      <c r="H371" s="4" t="s">
        <v>368</v>
      </c>
      <c r="I371" s="4" t="s">
        <v>976</v>
      </c>
      <c r="J371" s="4" t="s">
        <v>100</v>
      </c>
      <c r="K371" s="4" t="s">
        <v>101</v>
      </c>
      <c r="L371" s="2" t="s">
        <v>374</v>
      </c>
      <c r="M371" s="2" t="s">
        <v>391</v>
      </c>
      <c r="N371" s="4" t="s">
        <v>594</v>
      </c>
      <c r="O371" s="4" t="s">
        <v>164</v>
      </c>
      <c r="P371" s="4" t="s">
        <v>105</v>
      </c>
      <c r="Q371" s="152">
        <v>9884</v>
      </c>
      <c r="R371" s="152">
        <v>3.681</v>
      </c>
      <c r="S371" s="152">
        <v>12236</v>
      </c>
      <c r="U371" s="152">
        <v>4451.8239999999996</v>
      </c>
      <c r="V371" s="152">
        <v>5.0000000000000004E-6</v>
      </c>
      <c r="W371" s="166">
        <v>1.5877170791286501E-2</v>
      </c>
      <c r="X371" s="166">
        <v>1.92097841150897E-3</v>
      </c>
    </row>
    <row r="372" spans="1:24">
      <c r="A372" s="4" t="s">
        <v>128</v>
      </c>
      <c r="B372" s="4">
        <v>7228</v>
      </c>
      <c r="C372" s="4" t="s">
        <v>2208</v>
      </c>
      <c r="D372" s="4" t="s">
        <v>2209</v>
      </c>
      <c r="E372" s="4" t="s">
        <v>1380</v>
      </c>
      <c r="F372" s="4" t="s">
        <v>2210</v>
      </c>
      <c r="G372" s="4" t="s">
        <v>2211</v>
      </c>
      <c r="H372" s="4" t="s">
        <v>368</v>
      </c>
      <c r="I372" s="4" t="s">
        <v>976</v>
      </c>
      <c r="J372" s="4" t="s">
        <v>100</v>
      </c>
      <c r="K372" s="4" t="s">
        <v>31</v>
      </c>
      <c r="L372" s="2" t="s">
        <v>374</v>
      </c>
      <c r="M372" s="2" t="s">
        <v>393</v>
      </c>
      <c r="N372" s="4" t="s">
        <v>525</v>
      </c>
      <c r="O372" s="4" t="s">
        <v>164</v>
      </c>
      <c r="P372" s="4" t="s">
        <v>105</v>
      </c>
      <c r="Q372" s="152">
        <v>20000</v>
      </c>
      <c r="R372" s="152">
        <v>3.681</v>
      </c>
      <c r="S372" s="152">
        <v>1196</v>
      </c>
      <c r="U372" s="152">
        <v>880.495</v>
      </c>
      <c r="V372" s="152">
        <v>4.08E-4</v>
      </c>
      <c r="W372" s="166">
        <v>3.14023454457762E-3</v>
      </c>
      <c r="X372" s="166">
        <v>3.79936882112453E-4</v>
      </c>
    </row>
    <row r="373" spans="1:24">
      <c r="A373" s="4" t="s">
        <v>128</v>
      </c>
      <c r="B373" s="4">
        <v>7228</v>
      </c>
      <c r="C373" s="4" t="s">
        <v>2123</v>
      </c>
      <c r="D373" s="4" t="s">
        <v>1564</v>
      </c>
      <c r="E373" s="4" t="s">
        <v>362</v>
      </c>
      <c r="F373" s="4" t="s">
        <v>2212</v>
      </c>
      <c r="G373" s="4" t="s">
        <v>2213</v>
      </c>
      <c r="H373" s="4" t="s">
        <v>368</v>
      </c>
      <c r="I373" s="4" t="s">
        <v>976</v>
      </c>
      <c r="J373" s="4" t="s">
        <v>100</v>
      </c>
      <c r="K373" s="4" t="s">
        <v>101</v>
      </c>
      <c r="L373" s="2" t="s">
        <v>374</v>
      </c>
      <c r="M373" s="2" t="s">
        <v>393</v>
      </c>
      <c r="N373" s="4" t="s">
        <v>488</v>
      </c>
      <c r="O373" s="4" t="s">
        <v>164</v>
      </c>
      <c r="P373" s="4" t="s">
        <v>105</v>
      </c>
      <c r="Q373" s="152">
        <v>8501</v>
      </c>
      <c r="R373" s="152">
        <v>3.681</v>
      </c>
      <c r="S373" s="152">
        <v>80.599999999999994</v>
      </c>
      <c r="U373" s="152">
        <v>25.221</v>
      </c>
      <c r="V373" s="152">
        <v>2.63E-4</v>
      </c>
      <c r="W373" s="166">
        <v>8.9950994539900403E-5</v>
      </c>
      <c r="X373" s="166">
        <v>1.08831680956496E-5</v>
      </c>
    </row>
    <row r="374" spans="1:24">
      <c r="A374" s="4" t="s">
        <v>128</v>
      </c>
      <c r="B374" s="4">
        <v>7229</v>
      </c>
      <c r="C374" s="4" t="s">
        <v>1843</v>
      </c>
      <c r="D374" s="4" t="s">
        <v>1844</v>
      </c>
      <c r="E374" s="4" t="s">
        <v>362</v>
      </c>
      <c r="F374" s="4" t="s">
        <v>1845</v>
      </c>
      <c r="G374" s="4" t="s">
        <v>1846</v>
      </c>
      <c r="H374" s="4" t="s">
        <v>368</v>
      </c>
      <c r="I374" s="4" t="s">
        <v>976</v>
      </c>
      <c r="J374" s="4" t="s">
        <v>100</v>
      </c>
      <c r="K374" s="4" t="s">
        <v>101</v>
      </c>
      <c r="L374" s="2" t="s">
        <v>374</v>
      </c>
      <c r="M374" s="2" t="s">
        <v>32</v>
      </c>
      <c r="N374" s="4" t="s">
        <v>485</v>
      </c>
      <c r="O374" s="4" t="s">
        <v>164</v>
      </c>
      <c r="P374" s="4" t="s">
        <v>35</v>
      </c>
      <c r="Q374" s="152">
        <v>898</v>
      </c>
      <c r="R374" s="152">
        <v>1</v>
      </c>
      <c r="S374" s="152">
        <v>24060</v>
      </c>
      <c r="U374" s="152">
        <v>216.059</v>
      </c>
      <c r="V374" s="152">
        <v>1.5999999999999999E-5</v>
      </c>
      <c r="W374" s="166">
        <v>1.8107496065844799E-2</v>
      </c>
      <c r="X374" s="166">
        <v>1.50716874962048E-3</v>
      </c>
    </row>
    <row r="375" spans="1:24">
      <c r="A375" s="4" t="s">
        <v>128</v>
      </c>
      <c r="B375" s="4">
        <v>7229</v>
      </c>
      <c r="C375" s="4" t="s">
        <v>1847</v>
      </c>
      <c r="D375" s="4" t="s">
        <v>1848</v>
      </c>
      <c r="E375" s="4" t="s">
        <v>1380</v>
      </c>
      <c r="F375" s="4" t="s">
        <v>1849</v>
      </c>
      <c r="G375" s="4" t="s">
        <v>1850</v>
      </c>
      <c r="H375" s="4" t="s">
        <v>368</v>
      </c>
      <c r="I375" s="4" t="s">
        <v>976</v>
      </c>
      <c r="J375" s="4" t="s">
        <v>31</v>
      </c>
      <c r="K375" s="4" t="s">
        <v>31</v>
      </c>
      <c r="L375" s="2" t="s">
        <v>374</v>
      </c>
      <c r="M375" s="2" t="s">
        <v>32</v>
      </c>
      <c r="N375" s="4" t="s">
        <v>500</v>
      </c>
      <c r="O375" s="4" t="s">
        <v>164</v>
      </c>
      <c r="P375" s="4" t="s">
        <v>35</v>
      </c>
      <c r="Q375" s="152">
        <v>4196</v>
      </c>
      <c r="R375" s="152">
        <v>1</v>
      </c>
      <c r="S375" s="152">
        <v>1951</v>
      </c>
      <c r="U375" s="152">
        <v>81.864000000000004</v>
      </c>
      <c r="V375" s="152">
        <v>3.0000000000000001E-6</v>
      </c>
      <c r="W375" s="166">
        <v>6.8608699744443398E-3</v>
      </c>
      <c r="X375" s="166">
        <v>5.7106122144611295E-4</v>
      </c>
    </row>
    <row r="376" spans="1:24">
      <c r="A376" s="4" t="s">
        <v>128</v>
      </c>
      <c r="B376" s="4">
        <v>7229</v>
      </c>
      <c r="C376" s="4" t="s">
        <v>1851</v>
      </c>
      <c r="D376" s="4" t="s">
        <v>1852</v>
      </c>
      <c r="E376" s="4" t="s">
        <v>1380</v>
      </c>
      <c r="F376" s="4" t="s">
        <v>1853</v>
      </c>
      <c r="G376" s="4" t="s">
        <v>1854</v>
      </c>
      <c r="H376" s="4" t="s">
        <v>368</v>
      </c>
      <c r="I376" s="4" t="s">
        <v>976</v>
      </c>
      <c r="J376" s="4" t="s">
        <v>31</v>
      </c>
      <c r="K376" s="4" t="s">
        <v>31</v>
      </c>
      <c r="L376" s="2" t="s">
        <v>374</v>
      </c>
      <c r="M376" s="2" t="s">
        <v>32</v>
      </c>
      <c r="N376" s="4" t="s">
        <v>489</v>
      </c>
      <c r="O376" s="4" t="s">
        <v>164</v>
      </c>
      <c r="P376" s="4" t="s">
        <v>35</v>
      </c>
      <c r="Q376" s="152">
        <v>464</v>
      </c>
      <c r="R376" s="152">
        <v>1</v>
      </c>
      <c r="S376" s="152">
        <v>10700</v>
      </c>
      <c r="U376" s="152">
        <v>49.648000000000003</v>
      </c>
      <c r="V376" s="152">
        <v>3.1999999999999999E-5</v>
      </c>
      <c r="W376" s="166">
        <v>4.1609088112914703E-3</v>
      </c>
      <c r="X376" s="166">
        <v>3.4633124909125599E-4</v>
      </c>
    </row>
    <row r="377" spans="1:24">
      <c r="A377" s="4" t="s">
        <v>128</v>
      </c>
      <c r="B377" s="4">
        <v>7229</v>
      </c>
      <c r="C377" s="4" t="s">
        <v>1855</v>
      </c>
      <c r="D377" s="4" t="s">
        <v>1856</v>
      </c>
      <c r="E377" s="4" t="s">
        <v>1380</v>
      </c>
      <c r="F377" s="4" t="s">
        <v>1857</v>
      </c>
      <c r="G377" s="4" t="s">
        <v>1858</v>
      </c>
      <c r="H377" s="4" t="s">
        <v>368</v>
      </c>
      <c r="I377" s="4" t="s">
        <v>976</v>
      </c>
      <c r="J377" s="4" t="s">
        <v>31</v>
      </c>
      <c r="K377" s="4" t="s">
        <v>31</v>
      </c>
      <c r="L377" s="2" t="s">
        <v>374</v>
      </c>
      <c r="M377" s="2" t="s">
        <v>32</v>
      </c>
      <c r="N377" s="4" t="s">
        <v>507</v>
      </c>
      <c r="O377" s="4" t="s">
        <v>164</v>
      </c>
      <c r="P377" s="4" t="s">
        <v>35</v>
      </c>
      <c r="Q377" s="152">
        <v>4800</v>
      </c>
      <c r="R377" s="152">
        <v>1</v>
      </c>
      <c r="S377" s="152">
        <v>1180</v>
      </c>
      <c r="U377" s="152">
        <v>56.64</v>
      </c>
      <c r="V377" s="152">
        <v>3.8000000000000002E-5</v>
      </c>
      <c r="W377" s="166">
        <v>4.7468956467843397E-3</v>
      </c>
      <c r="X377" s="166">
        <v>3.9510558226975398E-4</v>
      </c>
    </row>
    <row r="378" spans="1:24">
      <c r="A378" s="4" t="s">
        <v>128</v>
      </c>
      <c r="B378" s="4">
        <v>7229</v>
      </c>
      <c r="C378" s="4" t="s">
        <v>1863</v>
      </c>
      <c r="D378" s="4" t="s">
        <v>1864</v>
      </c>
      <c r="E378" s="4" t="s">
        <v>1380</v>
      </c>
      <c r="F378" s="4" t="s">
        <v>1865</v>
      </c>
      <c r="G378" s="4" t="s">
        <v>1866</v>
      </c>
      <c r="H378" s="4" t="s">
        <v>368</v>
      </c>
      <c r="I378" s="4" t="s">
        <v>976</v>
      </c>
      <c r="J378" s="4" t="s">
        <v>31</v>
      </c>
      <c r="K378" s="4" t="s">
        <v>31</v>
      </c>
      <c r="L378" s="2" t="s">
        <v>374</v>
      </c>
      <c r="M378" s="2" t="s">
        <v>32</v>
      </c>
      <c r="N378" s="4" t="s">
        <v>490</v>
      </c>
      <c r="O378" s="4" t="s">
        <v>164</v>
      </c>
      <c r="P378" s="4" t="s">
        <v>35</v>
      </c>
      <c r="Q378" s="152">
        <v>315</v>
      </c>
      <c r="R378" s="152">
        <v>1</v>
      </c>
      <c r="S378" s="152">
        <v>77500</v>
      </c>
      <c r="U378" s="152">
        <v>244.125</v>
      </c>
      <c r="V378" s="152">
        <v>6.9999999999999999E-6</v>
      </c>
      <c r="W378" s="166">
        <v>2.0459673371667101E-2</v>
      </c>
      <c r="X378" s="166">
        <v>1.7029510994280299E-3</v>
      </c>
    </row>
    <row r="379" spans="1:24">
      <c r="A379" s="4" t="s">
        <v>128</v>
      </c>
      <c r="B379" s="4">
        <v>7229</v>
      </c>
      <c r="C379" s="4" t="s">
        <v>1867</v>
      </c>
      <c r="D379" s="4" t="s">
        <v>1868</v>
      </c>
      <c r="E379" s="4" t="s">
        <v>1380</v>
      </c>
      <c r="F379" s="4" t="s">
        <v>1869</v>
      </c>
      <c r="G379" s="4" t="s">
        <v>1870</v>
      </c>
      <c r="H379" s="4" t="s">
        <v>368</v>
      </c>
      <c r="I379" s="4" t="s">
        <v>976</v>
      </c>
      <c r="J379" s="4" t="s">
        <v>31</v>
      </c>
      <c r="K379" s="4" t="s">
        <v>31</v>
      </c>
      <c r="L379" s="2" t="s">
        <v>374</v>
      </c>
      <c r="M379" s="2" t="s">
        <v>32</v>
      </c>
      <c r="N379" s="4" t="s">
        <v>495</v>
      </c>
      <c r="O379" s="4" t="s">
        <v>164</v>
      </c>
      <c r="P379" s="4" t="s">
        <v>35</v>
      </c>
      <c r="Q379" s="152">
        <v>73</v>
      </c>
      <c r="R379" s="152">
        <v>1</v>
      </c>
      <c r="S379" s="152">
        <v>158340</v>
      </c>
      <c r="U379" s="152">
        <v>115.58799999999999</v>
      </c>
      <c r="V379" s="152">
        <v>1.9000000000000001E-5</v>
      </c>
      <c r="W379" s="166">
        <v>9.68723734815744E-3</v>
      </c>
      <c r="X379" s="166">
        <v>8.0631255410509796E-4</v>
      </c>
    </row>
    <row r="380" spans="1:24">
      <c r="A380" s="4" t="s">
        <v>128</v>
      </c>
      <c r="B380" s="4">
        <v>7229</v>
      </c>
      <c r="C380" s="4" t="s">
        <v>1871</v>
      </c>
      <c r="D380" s="4" t="s">
        <v>1872</v>
      </c>
      <c r="E380" s="4" t="s">
        <v>1380</v>
      </c>
      <c r="F380" s="4" t="s">
        <v>1873</v>
      </c>
      <c r="G380" s="4" t="s">
        <v>1874</v>
      </c>
      <c r="H380" s="4" t="s">
        <v>368</v>
      </c>
      <c r="I380" s="4" t="s">
        <v>976</v>
      </c>
      <c r="J380" s="4" t="s">
        <v>31</v>
      </c>
      <c r="K380" s="4" t="s">
        <v>101</v>
      </c>
      <c r="L380" s="2" t="s">
        <v>374</v>
      </c>
      <c r="M380" s="2" t="s">
        <v>32</v>
      </c>
      <c r="N380" s="4" t="s">
        <v>485</v>
      </c>
      <c r="O380" s="4" t="s">
        <v>164</v>
      </c>
      <c r="P380" s="4" t="s">
        <v>35</v>
      </c>
      <c r="Q380" s="152">
        <v>2077.8000000000002</v>
      </c>
      <c r="R380" s="152">
        <v>1</v>
      </c>
      <c r="S380" s="152">
        <v>6299</v>
      </c>
      <c r="U380" s="152">
        <v>130.881</v>
      </c>
      <c r="V380" s="152">
        <v>1.8E-5</v>
      </c>
      <c r="W380" s="166">
        <v>1.0968867493295001E-2</v>
      </c>
      <c r="X380" s="166">
        <v>9.1298842449042295E-4</v>
      </c>
    </row>
    <row r="381" spans="1:24">
      <c r="A381" s="4" t="s">
        <v>128</v>
      </c>
      <c r="B381" s="4">
        <v>7229</v>
      </c>
      <c r="C381" s="4" t="s">
        <v>1875</v>
      </c>
      <c r="D381" s="4" t="s">
        <v>1876</v>
      </c>
      <c r="E381" s="4" t="s">
        <v>362</v>
      </c>
      <c r="F381" s="4" t="s">
        <v>1877</v>
      </c>
      <c r="G381" s="4" t="s">
        <v>1878</v>
      </c>
      <c r="H381" s="4" t="s">
        <v>368</v>
      </c>
      <c r="I381" s="4" t="s">
        <v>976</v>
      </c>
      <c r="J381" s="4" t="s">
        <v>100</v>
      </c>
      <c r="K381" s="4" t="s">
        <v>283</v>
      </c>
      <c r="L381" s="2" t="s">
        <v>374</v>
      </c>
      <c r="M381" s="2" t="s">
        <v>32</v>
      </c>
      <c r="N381" s="4" t="s">
        <v>498</v>
      </c>
      <c r="O381" s="4" t="s">
        <v>164</v>
      </c>
      <c r="P381" s="4" t="s">
        <v>35</v>
      </c>
      <c r="Q381" s="152">
        <v>3222</v>
      </c>
      <c r="R381" s="152">
        <v>1</v>
      </c>
      <c r="S381" s="152">
        <v>5008</v>
      </c>
      <c r="T381" s="150">
        <v>3.5379999999999998</v>
      </c>
      <c r="U381" s="152">
        <v>164.89599999999999</v>
      </c>
      <c r="V381" s="152">
        <v>1.8E-5</v>
      </c>
      <c r="W381" s="166">
        <v>1.3819594386692099E-2</v>
      </c>
      <c r="X381" s="166">
        <v>1.1502673100860499E-3</v>
      </c>
    </row>
    <row r="382" spans="1:24">
      <c r="A382" s="4" t="s">
        <v>128</v>
      </c>
      <c r="B382" s="4">
        <v>7229</v>
      </c>
      <c r="C382" s="4" t="s">
        <v>1883</v>
      </c>
      <c r="D382" s="4" t="s">
        <v>1884</v>
      </c>
      <c r="E382" s="4" t="s">
        <v>1380</v>
      </c>
      <c r="F382" s="4" t="s">
        <v>1885</v>
      </c>
      <c r="G382" s="4" t="s">
        <v>1886</v>
      </c>
      <c r="H382" s="4" t="s">
        <v>368</v>
      </c>
      <c r="I382" s="4" t="s">
        <v>976</v>
      </c>
      <c r="J382" s="4" t="s">
        <v>31</v>
      </c>
      <c r="K382" s="4" t="s">
        <v>31</v>
      </c>
      <c r="L382" s="2" t="s">
        <v>374</v>
      </c>
      <c r="M382" s="2" t="s">
        <v>32</v>
      </c>
      <c r="N382" s="4" t="s">
        <v>491</v>
      </c>
      <c r="O382" s="4" t="s">
        <v>164</v>
      </c>
      <c r="P382" s="4" t="s">
        <v>35</v>
      </c>
      <c r="Q382" s="152">
        <v>5057</v>
      </c>
      <c r="R382" s="152">
        <v>1</v>
      </c>
      <c r="S382" s="152">
        <v>5478</v>
      </c>
      <c r="U382" s="152">
        <v>277.02199999999999</v>
      </c>
      <c r="V382" s="152">
        <v>5.0000000000000002E-5</v>
      </c>
      <c r="W382" s="166">
        <v>2.3216749813479699E-2</v>
      </c>
      <c r="X382" s="166">
        <v>1.93243503460628E-3</v>
      </c>
    </row>
    <row r="383" spans="1:24">
      <c r="A383" s="4" t="s">
        <v>128</v>
      </c>
      <c r="B383" s="4">
        <v>7229</v>
      </c>
      <c r="C383" s="4" t="s">
        <v>1891</v>
      </c>
      <c r="D383" s="4" t="s">
        <v>1892</v>
      </c>
      <c r="E383" s="4" t="s">
        <v>1380</v>
      </c>
      <c r="F383" s="4" t="s">
        <v>1893</v>
      </c>
      <c r="G383" s="4" t="s">
        <v>1894</v>
      </c>
      <c r="H383" s="4" t="s">
        <v>368</v>
      </c>
      <c r="I383" s="4" t="s">
        <v>976</v>
      </c>
      <c r="J383" s="4" t="s">
        <v>31</v>
      </c>
      <c r="K383" s="4" t="s">
        <v>31</v>
      </c>
      <c r="L383" s="2" t="s">
        <v>374</v>
      </c>
      <c r="M383" s="2" t="s">
        <v>32</v>
      </c>
      <c r="N383" s="4" t="s">
        <v>484</v>
      </c>
      <c r="O383" s="4" t="s">
        <v>164</v>
      </c>
      <c r="P383" s="4" t="s">
        <v>35</v>
      </c>
      <c r="Q383" s="152">
        <v>57981</v>
      </c>
      <c r="R383" s="152">
        <v>1</v>
      </c>
      <c r="S383" s="152">
        <v>122</v>
      </c>
      <c r="T383" s="150">
        <v>9.6519999999999992</v>
      </c>
      <c r="U383" s="152">
        <v>80.388000000000005</v>
      </c>
      <c r="V383" s="152">
        <v>1.8E-5</v>
      </c>
      <c r="W383" s="166">
        <v>6.7372009392340998E-3</v>
      </c>
      <c r="X383" s="166">
        <v>5.6076768861933201E-4</v>
      </c>
    </row>
    <row r="384" spans="1:24">
      <c r="A384" s="4" t="s">
        <v>128</v>
      </c>
      <c r="B384" s="4">
        <v>7229</v>
      </c>
      <c r="C384" s="4" t="s">
        <v>1895</v>
      </c>
      <c r="D384" s="4" t="s">
        <v>1896</v>
      </c>
      <c r="E384" s="4" t="s">
        <v>1380</v>
      </c>
      <c r="F384" s="4" t="s">
        <v>1897</v>
      </c>
      <c r="G384" s="4" t="s">
        <v>1898</v>
      </c>
      <c r="H384" s="4" t="s">
        <v>368</v>
      </c>
      <c r="I384" s="4" t="s">
        <v>976</v>
      </c>
      <c r="J384" s="4" t="s">
        <v>31</v>
      </c>
      <c r="K384" s="4" t="s">
        <v>31</v>
      </c>
      <c r="L384" s="2" t="s">
        <v>374</v>
      </c>
      <c r="M384" s="2" t="s">
        <v>32</v>
      </c>
      <c r="N384" s="4" t="s">
        <v>529</v>
      </c>
      <c r="O384" s="4" t="s">
        <v>164</v>
      </c>
      <c r="P384" s="4" t="s">
        <v>35</v>
      </c>
      <c r="Q384" s="152">
        <v>59127</v>
      </c>
      <c r="R384" s="152">
        <v>1</v>
      </c>
      <c r="S384" s="152">
        <v>473</v>
      </c>
      <c r="U384" s="152">
        <v>279.67099999999999</v>
      </c>
      <c r="V384" s="152">
        <v>2.0999999999999999E-5</v>
      </c>
      <c r="W384" s="166">
        <v>2.34386948416682E-2</v>
      </c>
      <c r="X384" s="166">
        <v>1.95090852256966E-3</v>
      </c>
    </row>
    <row r="385" spans="1:24">
      <c r="A385" s="4" t="s">
        <v>128</v>
      </c>
      <c r="B385" s="4">
        <v>7229</v>
      </c>
      <c r="C385" s="4" t="s">
        <v>1911</v>
      </c>
      <c r="D385" s="4" t="s">
        <v>1912</v>
      </c>
      <c r="E385" s="4" t="s">
        <v>1380</v>
      </c>
      <c r="F385" s="4" t="s">
        <v>1913</v>
      </c>
      <c r="G385" s="4" t="s">
        <v>1914</v>
      </c>
      <c r="H385" s="4" t="s">
        <v>368</v>
      </c>
      <c r="I385" s="4" t="s">
        <v>976</v>
      </c>
      <c r="J385" s="4" t="s">
        <v>31</v>
      </c>
      <c r="K385" s="4" t="s">
        <v>31</v>
      </c>
      <c r="L385" s="2" t="s">
        <v>374</v>
      </c>
      <c r="M385" s="2" t="s">
        <v>32</v>
      </c>
      <c r="N385" s="4" t="s">
        <v>492</v>
      </c>
      <c r="O385" s="4" t="s">
        <v>164</v>
      </c>
      <c r="P385" s="4" t="s">
        <v>35</v>
      </c>
      <c r="Q385" s="152">
        <v>5649</v>
      </c>
      <c r="R385" s="152">
        <v>1</v>
      </c>
      <c r="S385" s="152">
        <v>1946</v>
      </c>
      <c r="T385" s="150">
        <v>0.83899999999999997</v>
      </c>
      <c r="U385" s="152">
        <v>110.76900000000001</v>
      </c>
      <c r="V385" s="152">
        <v>5.0000000000000004E-6</v>
      </c>
      <c r="W385" s="166">
        <v>9.2833397199882199E-3</v>
      </c>
      <c r="X385" s="166">
        <v>7.7269432875749105E-4</v>
      </c>
    </row>
    <row r="386" spans="1:24">
      <c r="A386" s="4" t="s">
        <v>128</v>
      </c>
      <c r="B386" s="4">
        <v>7229</v>
      </c>
      <c r="C386" s="4" t="s">
        <v>1915</v>
      </c>
      <c r="D386" s="4" t="s">
        <v>1916</v>
      </c>
      <c r="E386" s="4" t="s">
        <v>1380</v>
      </c>
      <c r="F386" s="4" t="s">
        <v>1917</v>
      </c>
      <c r="G386" s="4" t="s">
        <v>1918</v>
      </c>
      <c r="H386" s="4" t="s">
        <v>368</v>
      </c>
      <c r="I386" s="4" t="s">
        <v>976</v>
      </c>
      <c r="J386" s="4" t="s">
        <v>31</v>
      </c>
      <c r="K386" s="4" t="s">
        <v>31</v>
      </c>
      <c r="L386" s="2" t="s">
        <v>374</v>
      </c>
      <c r="M386" s="2" t="s">
        <v>32</v>
      </c>
      <c r="N386" s="4" t="s">
        <v>481</v>
      </c>
      <c r="O386" s="4" t="s">
        <v>164</v>
      </c>
      <c r="P386" s="4" t="s">
        <v>35</v>
      </c>
      <c r="Q386" s="152">
        <v>1682</v>
      </c>
      <c r="R386" s="152">
        <v>1</v>
      </c>
      <c r="S386" s="152">
        <v>16390</v>
      </c>
      <c r="U386" s="152">
        <v>275.68</v>
      </c>
      <c r="V386" s="152">
        <v>6.4999999999999994E-5</v>
      </c>
      <c r="W386" s="166">
        <v>2.3104223914660601E-2</v>
      </c>
      <c r="X386" s="166">
        <v>1.9230689953921101E-3</v>
      </c>
    </row>
    <row r="387" spans="1:24">
      <c r="A387" s="4" t="s">
        <v>128</v>
      </c>
      <c r="B387" s="4">
        <v>7229</v>
      </c>
      <c r="C387" s="4" t="s">
        <v>1919</v>
      </c>
      <c r="D387" s="4" t="s">
        <v>1920</v>
      </c>
      <c r="E387" s="4" t="s">
        <v>1380</v>
      </c>
      <c r="F387" s="4" t="s">
        <v>1921</v>
      </c>
      <c r="G387" s="4" t="s">
        <v>1922</v>
      </c>
      <c r="H387" s="4" t="s">
        <v>368</v>
      </c>
      <c r="I387" s="4" t="s">
        <v>976</v>
      </c>
      <c r="J387" s="4" t="s">
        <v>31</v>
      </c>
      <c r="K387" s="4" t="s">
        <v>31</v>
      </c>
      <c r="L387" s="2" t="s">
        <v>374</v>
      </c>
      <c r="M387" s="2" t="s">
        <v>32</v>
      </c>
      <c r="N387" s="4" t="s">
        <v>489</v>
      </c>
      <c r="O387" s="4" t="s">
        <v>164</v>
      </c>
      <c r="P387" s="4" t="s">
        <v>35</v>
      </c>
      <c r="Q387" s="152">
        <v>3043</v>
      </c>
      <c r="R387" s="152">
        <v>1</v>
      </c>
      <c r="S387" s="152">
        <v>3810</v>
      </c>
      <c r="U387" s="152">
        <v>115.938</v>
      </c>
      <c r="V387" s="152">
        <v>1.2E-5</v>
      </c>
      <c r="W387" s="166">
        <v>9.7165785940250098E-3</v>
      </c>
      <c r="X387" s="166">
        <v>8.0875475863109801E-4</v>
      </c>
    </row>
    <row r="388" spans="1:24">
      <c r="A388" s="4" t="s">
        <v>128</v>
      </c>
      <c r="B388" s="4">
        <v>7229</v>
      </c>
      <c r="C388" s="4" t="s">
        <v>1923</v>
      </c>
      <c r="D388" s="4" t="s">
        <v>1924</v>
      </c>
      <c r="E388" s="4" t="s">
        <v>1380</v>
      </c>
      <c r="F388" s="4" t="s">
        <v>1925</v>
      </c>
      <c r="G388" s="4" t="s">
        <v>1926</v>
      </c>
      <c r="H388" s="4" t="s">
        <v>368</v>
      </c>
      <c r="I388" s="4" t="s">
        <v>976</v>
      </c>
      <c r="J388" s="4" t="s">
        <v>31</v>
      </c>
      <c r="K388" s="4" t="s">
        <v>31</v>
      </c>
      <c r="L388" s="2" t="s">
        <v>374</v>
      </c>
      <c r="M388" s="2" t="s">
        <v>32</v>
      </c>
      <c r="N388" s="4" t="s">
        <v>489</v>
      </c>
      <c r="O388" s="4" t="s">
        <v>164</v>
      </c>
      <c r="P388" s="4" t="s">
        <v>35</v>
      </c>
      <c r="Q388" s="152">
        <v>6746</v>
      </c>
      <c r="R388" s="152">
        <v>1</v>
      </c>
      <c r="S388" s="152">
        <v>3510</v>
      </c>
      <c r="U388" s="152">
        <v>236.785</v>
      </c>
      <c r="V388" s="152">
        <v>3.1999999999999999E-5</v>
      </c>
      <c r="W388" s="166">
        <v>1.9844487764222599E-2</v>
      </c>
      <c r="X388" s="166">
        <v>1.65174642047159E-3</v>
      </c>
    </row>
    <row r="389" spans="1:24">
      <c r="A389" s="4" t="s">
        <v>128</v>
      </c>
      <c r="B389" s="4">
        <v>7229</v>
      </c>
      <c r="C389" s="4" t="s">
        <v>1931</v>
      </c>
      <c r="D389" s="4" t="s">
        <v>1932</v>
      </c>
      <c r="E389" s="4" t="s">
        <v>1380</v>
      </c>
      <c r="F389" s="4" t="s">
        <v>1933</v>
      </c>
      <c r="G389" s="4" t="s">
        <v>1934</v>
      </c>
      <c r="H389" s="4" t="s">
        <v>368</v>
      </c>
      <c r="I389" s="4" t="s">
        <v>976</v>
      </c>
      <c r="J389" s="4" t="s">
        <v>31</v>
      </c>
      <c r="K389" s="4" t="s">
        <v>31</v>
      </c>
      <c r="L389" s="2" t="s">
        <v>374</v>
      </c>
      <c r="M389" s="2" t="s">
        <v>32</v>
      </c>
      <c r="N389" s="4" t="s">
        <v>521</v>
      </c>
      <c r="O389" s="4" t="s">
        <v>164</v>
      </c>
      <c r="P389" s="4" t="s">
        <v>35</v>
      </c>
      <c r="Q389" s="152">
        <v>585</v>
      </c>
      <c r="R389" s="152">
        <v>1</v>
      </c>
      <c r="S389" s="152">
        <v>23460</v>
      </c>
      <c r="U389" s="152">
        <v>137.24100000000001</v>
      </c>
      <c r="V389" s="152">
        <v>2.5000000000000001E-5</v>
      </c>
      <c r="W389" s="166">
        <v>1.1501919234822199E-2</v>
      </c>
      <c r="X389" s="166">
        <v>9.5735673051347602E-4</v>
      </c>
    </row>
    <row r="390" spans="1:24">
      <c r="A390" s="4" t="s">
        <v>128</v>
      </c>
      <c r="B390" s="4">
        <v>7229</v>
      </c>
      <c r="C390" s="4" t="s">
        <v>1939</v>
      </c>
      <c r="D390" s="4" t="s">
        <v>1940</v>
      </c>
      <c r="E390" s="4" t="s">
        <v>1380</v>
      </c>
      <c r="F390" s="4" t="s">
        <v>1941</v>
      </c>
      <c r="G390" s="4" t="s">
        <v>1942</v>
      </c>
      <c r="H390" s="4" t="s">
        <v>368</v>
      </c>
      <c r="I390" s="4" t="s">
        <v>976</v>
      </c>
      <c r="J390" s="4" t="s">
        <v>31</v>
      </c>
      <c r="K390" s="4" t="s">
        <v>346</v>
      </c>
      <c r="L390" s="2" t="s">
        <v>374</v>
      </c>
      <c r="M390" s="2" t="s">
        <v>32</v>
      </c>
      <c r="N390" s="4" t="s">
        <v>502</v>
      </c>
      <c r="O390" s="4" t="s">
        <v>164</v>
      </c>
      <c r="P390" s="4" t="s">
        <v>35</v>
      </c>
      <c r="Q390" s="152">
        <v>1807</v>
      </c>
      <c r="R390" s="152">
        <v>1</v>
      </c>
      <c r="S390" s="152">
        <v>12310</v>
      </c>
      <c r="U390" s="152">
        <v>222.44200000000001</v>
      </c>
      <c r="V390" s="152">
        <v>1.5999999999999999E-5</v>
      </c>
      <c r="W390" s="166">
        <v>1.8642435335333801E-2</v>
      </c>
      <c r="X390" s="166">
        <v>1.55169416312807E-3</v>
      </c>
    </row>
    <row r="391" spans="1:24">
      <c r="A391" s="4" t="s">
        <v>128</v>
      </c>
      <c r="B391" s="4">
        <v>7229</v>
      </c>
      <c r="C391" s="4" t="s">
        <v>1943</v>
      </c>
      <c r="D391" s="4" t="s">
        <v>1944</v>
      </c>
      <c r="E391" s="4" t="s">
        <v>1380</v>
      </c>
      <c r="F391" s="4" t="s">
        <v>1945</v>
      </c>
      <c r="G391" s="4" t="s">
        <v>1946</v>
      </c>
      <c r="H391" s="4" t="s">
        <v>368</v>
      </c>
      <c r="I391" s="4" t="s">
        <v>976</v>
      </c>
      <c r="J391" s="4" t="s">
        <v>31</v>
      </c>
      <c r="K391" s="4" t="s">
        <v>101</v>
      </c>
      <c r="L391" s="2" t="s">
        <v>374</v>
      </c>
      <c r="M391" s="2" t="s">
        <v>32</v>
      </c>
      <c r="N391" s="4" t="s">
        <v>511</v>
      </c>
      <c r="O391" s="4" t="s">
        <v>164</v>
      </c>
      <c r="P391" s="4" t="s">
        <v>35</v>
      </c>
      <c r="Q391" s="152">
        <v>9801</v>
      </c>
      <c r="R391" s="152">
        <v>1</v>
      </c>
      <c r="S391" s="152">
        <v>5173</v>
      </c>
      <c r="U391" s="152">
        <v>507.00599999999997</v>
      </c>
      <c r="V391" s="152">
        <v>9.0000000000000002E-6</v>
      </c>
      <c r="W391" s="166">
        <v>4.2491230449006302E-2</v>
      </c>
      <c r="X391" s="166">
        <v>3.5367371851297898E-3</v>
      </c>
    </row>
    <row r="392" spans="1:24">
      <c r="A392" s="4" t="s">
        <v>128</v>
      </c>
      <c r="B392" s="4">
        <v>7229</v>
      </c>
      <c r="C392" s="4" t="s">
        <v>1951</v>
      </c>
      <c r="D392" s="4" t="s">
        <v>1952</v>
      </c>
      <c r="E392" s="4" t="s">
        <v>1380</v>
      </c>
      <c r="F392" s="4" t="s">
        <v>1953</v>
      </c>
      <c r="G392" s="4" t="s">
        <v>1954</v>
      </c>
      <c r="H392" s="4" t="s">
        <v>368</v>
      </c>
      <c r="I392" s="4" t="s">
        <v>976</v>
      </c>
      <c r="J392" s="4" t="s">
        <v>31</v>
      </c>
      <c r="K392" s="4" t="s">
        <v>31</v>
      </c>
      <c r="L392" s="2" t="s">
        <v>374</v>
      </c>
      <c r="M392" s="2" t="s">
        <v>32</v>
      </c>
      <c r="N392" s="4" t="s">
        <v>523</v>
      </c>
      <c r="O392" s="4" t="s">
        <v>164</v>
      </c>
      <c r="P392" s="4" t="s">
        <v>35</v>
      </c>
      <c r="Q392" s="152">
        <v>11905</v>
      </c>
      <c r="R392" s="152">
        <v>1</v>
      </c>
      <c r="S392" s="152">
        <v>1476</v>
      </c>
      <c r="T392" s="150">
        <v>2.7280000000000002</v>
      </c>
      <c r="U392" s="152">
        <v>178.44499999999999</v>
      </c>
      <c r="V392" s="152">
        <v>5.8999999999999998E-5</v>
      </c>
      <c r="W392" s="166">
        <v>1.49551818957073E-2</v>
      </c>
      <c r="X392" s="166">
        <v>1.2447873917043801E-3</v>
      </c>
    </row>
    <row r="393" spans="1:24">
      <c r="A393" s="4" t="s">
        <v>128</v>
      </c>
      <c r="B393" s="4">
        <v>7229</v>
      </c>
      <c r="C393" s="4" t="s">
        <v>1955</v>
      </c>
      <c r="D393" s="4" t="s">
        <v>1956</v>
      </c>
      <c r="E393" s="4" t="s">
        <v>1380</v>
      </c>
      <c r="F393" s="4" t="s">
        <v>1957</v>
      </c>
      <c r="G393" s="4" t="s">
        <v>1958</v>
      </c>
      <c r="H393" s="4" t="s">
        <v>368</v>
      </c>
      <c r="I393" s="4" t="s">
        <v>976</v>
      </c>
      <c r="J393" s="4" t="s">
        <v>31</v>
      </c>
      <c r="K393" s="4" t="s">
        <v>31</v>
      </c>
      <c r="L393" s="2" t="s">
        <v>374</v>
      </c>
      <c r="M393" s="2" t="s">
        <v>32</v>
      </c>
      <c r="N393" s="4" t="s">
        <v>489</v>
      </c>
      <c r="O393" s="4" t="s">
        <v>164</v>
      </c>
      <c r="P393" s="4" t="s">
        <v>35</v>
      </c>
      <c r="Q393" s="152">
        <v>2520</v>
      </c>
      <c r="R393" s="152">
        <v>1</v>
      </c>
      <c r="S393" s="152">
        <v>6569</v>
      </c>
      <c r="U393" s="152">
        <v>165.53899999999999</v>
      </c>
      <c r="V393" s="152">
        <v>3.1999999999999999E-5</v>
      </c>
      <c r="W393" s="166">
        <v>1.38735065164884E-2</v>
      </c>
      <c r="X393" s="166">
        <v>1.1547546603502201E-3</v>
      </c>
    </row>
    <row r="394" spans="1:24">
      <c r="A394" s="4" t="s">
        <v>128</v>
      </c>
      <c r="B394" s="4">
        <v>7229</v>
      </c>
      <c r="C394" s="4" t="s">
        <v>1219</v>
      </c>
      <c r="D394" s="4" t="s">
        <v>1959</v>
      </c>
      <c r="E394" s="4" t="s">
        <v>1380</v>
      </c>
      <c r="F394" s="4" t="s">
        <v>1960</v>
      </c>
      <c r="G394" s="4" t="s">
        <v>1961</v>
      </c>
      <c r="H394" s="4" t="s">
        <v>368</v>
      </c>
      <c r="I394" s="4" t="s">
        <v>976</v>
      </c>
      <c r="J394" s="4" t="s">
        <v>31</v>
      </c>
      <c r="K394" s="4" t="s">
        <v>31</v>
      </c>
      <c r="L394" s="2" t="s">
        <v>374</v>
      </c>
      <c r="M394" s="2" t="s">
        <v>32</v>
      </c>
      <c r="N394" s="4" t="s">
        <v>492</v>
      </c>
      <c r="O394" s="4" t="s">
        <v>164</v>
      </c>
      <c r="P394" s="4" t="s">
        <v>35</v>
      </c>
      <c r="Q394" s="152">
        <v>14506</v>
      </c>
      <c r="R394" s="152">
        <v>1</v>
      </c>
      <c r="S394" s="152">
        <v>3100</v>
      </c>
      <c r="T394" s="150">
        <v>3.4769999999999999</v>
      </c>
      <c r="U394" s="152">
        <v>453.16300000000001</v>
      </c>
      <c r="V394" s="152">
        <v>9.0000000000000002E-6</v>
      </c>
      <c r="W394" s="166">
        <v>3.7978785687903603E-2</v>
      </c>
      <c r="X394" s="166">
        <v>3.1611460098733201E-3</v>
      </c>
    </row>
    <row r="395" spans="1:24">
      <c r="A395" s="4" t="s">
        <v>128</v>
      </c>
      <c r="B395" s="4">
        <v>7229</v>
      </c>
      <c r="C395" s="4" t="s">
        <v>1966</v>
      </c>
      <c r="D395" s="4" t="s">
        <v>1967</v>
      </c>
      <c r="E395" s="4" t="s">
        <v>1380</v>
      </c>
      <c r="F395" s="4" t="s">
        <v>1968</v>
      </c>
      <c r="G395" s="4" t="s">
        <v>1969</v>
      </c>
      <c r="H395" s="4" t="s">
        <v>368</v>
      </c>
      <c r="I395" s="4" t="s">
        <v>976</v>
      </c>
      <c r="J395" s="4" t="s">
        <v>31</v>
      </c>
      <c r="K395" s="4" t="s">
        <v>31</v>
      </c>
      <c r="L395" s="2" t="s">
        <v>374</v>
      </c>
      <c r="M395" s="2" t="s">
        <v>32</v>
      </c>
      <c r="N395" s="4" t="s">
        <v>503</v>
      </c>
      <c r="O395" s="4" t="s">
        <v>164</v>
      </c>
      <c r="P395" s="4" t="s">
        <v>35</v>
      </c>
      <c r="Q395" s="152">
        <v>790</v>
      </c>
      <c r="R395" s="152">
        <v>1</v>
      </c>
      <c r="S395" s="152">
        <v>15760</v>
      </c>
      <c r="U395" s="152">
        <v>124.504</v>
      </c>
      <c r="V395" s="152">
        <v>2.3800000000000001E-4</v>
      </c>
      <c r="W395" s="166">
        <v>1.0434454371596701E-2</v>
      </c>
      <c r="X395" s="166">
        <v>8.6850680464183299E-4</v>
      </c>
    </row>
    <row r="396" spans="1:24">
      <c r="A396" s="4" t="s">
        <v>128</v>
      </c>
      <c r="B396" s="4">
        <v>7229</v>
      </c>
      <c r="C396" s="4" t="s">
        <v>1970</v>
      </c>
      <c r="D396" s="4" t="s">
        <v>1971</v>
      </c>
      <c r="E396" s="4" t="s">
        <v>1380</v>
      </c>
      <c r="F396" s="4" t="s">
        <v>1972</v>
      </c>
      <c r="G396" s="4" t="s">
        <v>1973</v>
      </c>
      <c r="H396" s="4" t="s">
        <v>368</v>
      </c>
      <c r="I396" s="4" t="s">
        <v>976</v>
      </c>
      <c r="J396" s="4" t="s">
        <v>31</v>
      </c>
      <c r="K396" s="4" t="s">
        <v>31</v>
      </c>
      <c r="L396" s="2" t="s">
        <v>374</v>
      </c>
      <c r="M396" s="2" t="s">
        <v>32</v>
      </c>
      <c r="N396" s="4" t="s">
        <v>521</v>
      </c>
      <c r="O396" s="4" t="s">
        <v>164</v>
      </c>
      <c r="P396" s="4" t="s">
        <v>35</v>
      </c>
      <c r="Q396" s="152">
        <v>856</v>
      </c>
      <c r="R396" s="152">
        <v>1</v>
      </c>
      <c r="S396" s="152">
        <v>8160</v>
      </c>
      <c r="T396" s="150">
        <v>1.087</v>
      </c>
      <c r="U396" s="152">
        <v>70.936999999999998</v>
      </c>
      <c r="V396" s="152">
        <v>1.2999999999999999E-5</v>
      </c>
      <c r="W396" s="166">
        <v>5.9450778136504196E-3</v>
      </c>
      <c r="X396" s="166">
        <v>4.9483570021021295E-4</v>
      </c>
    </row>
    <row r="397" spans="1:24">
      <c r="A397" s="4" t="s">
        <v>128</v>
      </c>
      <c r="B397" s="4">
        <v>7229</v>
      </c>
      <c r="C397" s="4" t="s">
        <v>1978</v>
      </c>
      <c r="D397" s="4" t="s">
        <v>1979</v>
      </c>
      <c r="E397" s="4" t="s">
        <v>1380</v>
      </c>
      <c r="F397" s="4" t="s">
        <v>1980</v>
      </c>
      <c r="G397" s="4" t="s">
        <v>1981</v>
      </c>
      <c r="H397" s="4" t="s">
        <v>368</v>
      </c>
      <c r="I397" s="4" t="s">
        <v>976</v>
      </c>
      <c r="J397" s="4" t="s">
        <v>31</v>
      </c>
      <c r="K397" s="4" t="s">
        <v>31</v>
      </c>
      <c r="L397" s="2" t="s">
        <v>374</v>
      </c>
      <c r="M397" s="2" t="s">
        <v>32</v>
      </c>
      <c r="N397" s="4" t="s">
        <v>489</v>
      </c>
      <c r="O397" s="4" t="s">
        <v>164</v>
      </c>
      <c r="P397" s="4" t="s">
        <v>35</v>
      </c>
      <c r="Q397" s="152">
        <v>1603</v>
      </c>
      <c r="R397" s="152">
        <v>1</v>
      </c>
      <c r="S397" s="152">
        <v>9800</v>
      </c>
      <c r="U397" s="152">
        <v>157.09399999999999</v>
      </c>
      <c r="V397" s="152">
        <v>2.5999999999999998E-5</v>
      </c>
      <c r="W397" s="166">
        <v>1.3165763148586499E-2</v>
      </c>
      <c r="X397" s="166">
        <v>1.09584598059825E-3</v>
      </c>
    </row>
    <row r="398" spans="1:24">
      <c r="A398" s="4" t="s">
        <v>128</v>
      </c>
      <c r="B398" s="4">
        <v>7229</v>
      </c>
      <c r="C398" s="4" t="s">
        <v>1982</v>
      </c>
      <c r="D398" s="4" t="s">
        <v>1522</v>
      </c>
      <c r="E398" s="4" t="s">
        <v>1380</v>
      </c>
      <c r="F398" s="4" t="s">
        <v>1983</v>
      </c>
      <c r="G398" s="4" t="s">
        <v>1984</v>
      </c>
      <c r="H398" s="4" t="s">
        <v>368</v>
      </c>
      <c r="I398" s="4" t="s">
        <v>976</v>
      </c>
      <c r="J398" s="4" t="s">
        <v>31</v>
      </c>
      <c r="K398" s="4" t="s">
        <v>31</v>
      </c>
      <c r="L398" s="2" t="s">
        <v>374</v>
      </c>
      <c r="M398" s="2" t="s">
        <v>32</v>
      </c>
      <c r="N398" s="4" t="s">
        <v>487</v>
      </c>
      <c r="O398" s="4" t="s">
        <v>164</v>
      </c>
      <c r="P398" s="4" t="s">
        <v>35</v>
      </c>
      <c r="Q398" s="152">
        <v>25536</v>
      </c>
      <c r="R398" s="152">
        <v>1</v>
      </c>
      <c r="S398" s="152">
        <v>1207</v>
      </c>
      <c r="U398" s="152">
        <v>308.22000000000003</v>
      </c>
      <c r="V398" s="152">
        <v>4.2200000000000001E-4</v>
      </c>
      <c r="W398" s="166">
        <v>2.5831318816065599E-2</v>
      </c>
      <c r="X398" s="166">
        <v>2.1500574314354498E-3</v>
      </c>
    </row>
    <row r="399" spans="1:24">
      <c r="A399" s="4" t="s">
        <v>128</v>
      </c>
      <c r="B399" s="4">
        <v>7229</v>
      </c>
      <c r="C399" s="4" t="s">
        <v>1985</v>
      </c>
      <c r="D399" s="4" t="s">
        <v>1986</v>
      </c>
      <c r="E399" s="4" t="s">
        <v>1380</v>
      </c>
      <c r="F399" s="4" t="s">
        <v>1987</v>
      </c>
      <c r="G399" s="4" t="s">
        <v>1988</v>
      </c>
      <c r="H399" s="4" t="s">
        <v>368</v>
      </c>
      <c r="I399" s="4" t="s">
        <v>976</v>
      </c>
      <c r="J399" s="4" t="s">
        <v>31</v>
      </c>
      <c r="K399" s="4" t="s">
        <v>31</v>
      </c>
      <c r="L399" s="2" t="s">
        <v>374</v>
      </c>
      <c r="M399" s="2" t="s">
        <v>32</v>
      </c>
      <c r="N399" s="4" t="s">
        <v>520</v>
      </c>
      <c r="O399" s="4" t="s">
        <v>164</v>
      </c>
      <c r="P399" s="4" t="s">
        <v>35</v>
      </c>
      <c r="Q399" s="152">
        <v>20000</v>
      </c>
      <c r="R399" s="152">
        <v>1</v>
      </c>
      <c r="S399" s="152">
        <v>841.6</v>
      </c>
      <c r="U399" s="152">
        <v>168.32</v>
      </c>
      <c r="V399" s="152">
        <v>1.44E-4</v>
      </c>
      <c r="W399" s="166">
        <v>1.4106593842986201E-2</v>
      </c>
      <c r="X399" s="166">
        <v>1.1741555721688701E-3</v>
      </c>
    </row>
    <row r="400" spans="1:24">
      <c r="A400" s="4" t="s">
        <v>128</v>
      </c>
      <c r="B400" s="4">
        <v>7229</v>
      </c>
      <c r="C400" s="4" t="s">
        <v>1993</v>
      </c>
      <c r="D400" s="4" t="s">
        <v>1994</v>
      </c>
      <c r="E400" s="4" t="s">
        <v>1380</v>
      </c>
      <c r="F400" s="4" t="s">
        <v>1995</v>
      </c>
      <c r="G400" s="4" t="s">
        <v>1996</v>
      </c>
      <c r="H400" s="4" t="s">
        <v>368</v>
      </c>
      <c r="I400" s="4" t="s">
        <v>976</v>
      </c>
      <c r="J400" s="4" t="s">
        <v>31</v>
      </c>
      <c r="K400" s="4" t="s">
        <v>101</v>
      </c>
      <c r="L400" s="2" t="s">
        <v>374</v>
      </c>
      <c r="M400" s="2" t="s">
        <v>32</v>
      </c>
      <c r="N400" s="4" t="s">
        <v>525</v>
      </c>
      <c r="O400" s="4" t="s">
        <v>164</v>
      </c>
      <c r="P400" s="4" t="s">
        <v>35</v>
      </c>
      <c r="Q400" s="152">
        <v>315</v>
      </c>
      <c r="R400" s="152">
        <v>1</v>
      </c>
      <c r="S400" s="152">
        <v>95150</v>
      </c>
      <c r="U400" s="152">
        <v>299.72300000000001</v>
      </c>
      <c r="V400" s="152">
        <v>5.0000000000000004E-6</v>
      </c>
      <c r="W400" s="166">
        <v>2.5119198984698402E-2</v>
      </c>
      <c r="X400" s="166">
        <v>2.0907844788461598E-3</v>
      </c>
    </row>
    <row r="401" spans="1:24">
      <c r="A401" s="4" t="s">
        <v>128</v>
      </c>
      <c r="B401" s="4">
        <v>7229</v>
      </c>
      <c r="C401" s="4" t="s">
        <v>2001</v>
      </c>
      <c r="D401" s="4" t="s">
        <v>2002</v>
      </c>
      <c r="E401" s="4" t="s">
        <v>1380</v>
      </c>
      <c r="F401" s="4" t="s">
        <v>2003</v>
      </c>
      <c r="G401" s="4" t="s">
        <v>2004</v>
      </c>
      <c r="H401" s="4" t="s">
        <v>368</v>
      </c>
      <c r="I401" s="4" t="s">
        <v>976</v>
      </c>
      <c r="J401" s="4" t="s">
        <v>31</v>
      </c>
      <c r="K401" s="4" t="s">
        <v>31</v>
      </c>
      <c r="L401" s="2" t="s">
        <v>374</v>
      </c>
      <c r="M401" s="2" t="s">
        <v>32</v>
      </c>
      <c r="N401" s="4" t="s">
        <v>529</v>
      </c>
      <c r="O401" s="4" t="s">
        <v>164</v>
      </c>
      <c r="P401" s="4" t="s">
        <v>35</v>
      </c>
      <c r="Q401" s="152">
        <v>8891</v>
      </c>
      <c r="R401" s="152">
        <v>1</v>
      </c>
      <c r="S401" s="152">
        <v>1560</v>
      </c>
      <c r="U401" s="152">
        <v>138.69999999999999</v>
      </c>
      <c r="V401" s="152">
        <v>5.3999999999999998E-5</v>
      </c>
      <c r="W401" s="166">
        <v>1.16241618547092E-2</v>
      </c>
      <c r="X401" s="166">
        <v>9.6753153634502004E-4</v>
      </c>
    </row>
    <row r="402" spans="1:24">
      <c r="A402" s="4" t="s">
        <v>128</v>
      </c>
      <c r="B402" s="4">
        <v>7229</v>
      </c>
      <c r="C402" s="4" t="s">
        <v>2009</v>
      </c>
      <c r="D402" s="4" t="s">
        <v>2010</v>
      </c>
      <c r="E402" s="4" t="s">
        <v>1380</v>
      </c>
      <c r="F402" s="4" t="s">
        <v>2011</v>
      </c>
      <c r="G402" s="4" t="s">
        <v>2012</v>
      </c>
      <c r="H402" s="4" t="s">
        <v>368</v>
      </c>
      <c r="I402" s="4" t="s">
        <v>976</v>
      </c>
      <c r="J402" s="4" t="s">
        <v>31</v>
      </c>
      <c r="K402" s="4" t="s">
        <v>31</v>
      </c>
      <c r="L402" s="2" t="s">
        <v>374</v>
      </c>
      <c r="M402" s="2" t="s">
        <v>32</v>
      </c>
      <c r="N402" s="4" t="s">
        <v>492</v>
      </c>
      <c r="O402" s="4" t="s">
        <v>164</v>
      </c>
      <c r="P402" s="4" t="s">
        <v>35</v>
      </c>
      <c r="Q402" s="152">
        <v>3803</v>
      </c>
      <c r="R402" s="152">
        <v>1</v>
      </c>
      <c r="S402" s="152">
        <v>3500</v>
      </c>
      <c r="U402" s="152">
        <v>133.10499999999999</v>
      </c>
      <c r="V402" s="152">
        <v>3.0000000000000001E-6</v>
      </c>
      <c r="W402" s="166">
        <v>1.1155288578129001E-2</v>
      </c>
      <c r="X402" s="166">
        <v>9.2850509406807097E-4</v>
      </c>
    </row>
    <row r="403" spans="1:24">
      <c r="A403" s="4" t="s">
        <v>128</v>
      </c>
      <c r="B403" s="4">
        <v>7229</v>
      </c>
      <c r="C403" s="4" t="s">
        <v>2017</v>
      </c>
      <c r="D403" s="4" t="s">
        <v>2018</v>
      </c>
      <c r="E403" s="4" t="s">
        <v>1380</v>
      </c>
      <c r="F403" s="4" t="s">
        <v>2019</v>
      </c>
      <c r="G403" s="4" t="s">
        <v>2020</v>
      </c>
      <c r="H403" s="4" t="s">
        <v>368</v>
      </c>
      <c r="I403" s="4" t="s">
        <v>976</v>
      </c>
      <c r="J403" s="4" t="s">
        <v>31</v>
      </c>
      <c r="K403" s="4" t="s">
        <v>31</v>
      </c>
      <c r="L403" s="2" t="s">
        <v>374</v>
      </c>
      <c r="M403" s="2" t="s">
        <v>32</v>
      </c>
      <c r="N403" s="4" t="s">
        <v>529</v>
      </c>
      <c r="O403" s="4" t="s">
        <v>164</v>
      </c>
      <c r="P403" s="4" t="s">
        <v>35</v>
      </c>
      <c r="Q403" s="152">
        <v>7694</v>
      </c>
      <c r="R403" s="152">
        <v>1</v>
      </c>
      <c r="S403" s="152">
        <v>1597</v>
      </c>
      <c r="U403" s="152">
        <v>122.873</v>
      </c>
      <c r="V403" s="152">
        <v>4.1E-5</v>
      </c>
      <c r="W403" s="166">
        <v>1.0297778305941901E-2</v>
      </c>
      <c r="X403" s="166">
        <v>8.5713063787493397E-4</v>
      </c>
    </row>
    <row r="404" spans="1:24">
      <c r="A404" s="4" t="s">
        <v>128</v>
      </c>
      <c r="B404" s="4">
        <v>7229</v>
      </c>
      <c r="C404" s="4" t="s">
        <v>2025</v>
      </c>
      <c r="D404" s="4" t="s">
        <v>2026</v>
      </c>
      <c r="E404" s="4" t="s">
        <v>1380</v>
      </c>
      <c r="F404" s="4" t="s">
        <v>2027</v>
      </c>
      <c r="G404" s="4" t="s">
        <v>2028</v>
      </c>
      <c r="H404" s="4" t="s">
        <v>368</v>
      </c>
      <c r="I404" s="4" t="s">
        <v>976</v>
      </c>
      <c r="J404" s="4" t="s">
        <v>31</v>
      </c>
      <c r="K404" s="4" t="s">
        <v>346</v>
      </c>
      <c r="L404" s="2" t="s">
        <v>374</v>
      </c>
      <c r="M404" s="2" t="s">
        <v>32</v>
      </c>
      <c r="N404" s="4" t="s">
        <v>525</v>
      </c>
      <c r="O404" s="4" t="s">
        <v>164</v>
      </c>
      <c r="P404" s="4" t="s">
        <v>35</v>
      </c>
      <c r="Q404" s="152">
        <v>1568</v>
      </c>
      <c r="R404" s="152">
        <v>1</v>
      </c>
      <c r="S404" s="152">
        <v>8289</v>
      </c>
      <c r="U404" s="152">
        <v>129.97200000000001</v>
      </c>
      <c r="V404" s="152">
        <v>3.4E-5</v>
      </c>
      <c r="W404" s="166">
        <v>1.08926773039185E-2</v>
      </c>
      <c r="X404" s="166">
        <v>9.0664677062296897E-4</v>
      </c>
    </row>
    <row r="405" spans="1:24">
      <c r="A405" s="4" t="s">
        <v>128</v>
      </c>
      <c r="B405" s="4">
        <v>7229</v>
      </c>
      <c r="C405" s="4" t="s">
        <v>2029</v>
      </c>
      <c r="D405" s="4" t="s">
        <v>2030</v>
      </c>
      <c r="E405" s="4" t="s">
        <v>1380</v>
      </c>
      <c r="F405" s="4" t="s">
        <v>2031</v>
      </c>
      <c r="G405" s="4" t="s">
        <v>2032</v>
      </c>
      <c r="H405" s="4" t="s">
        <v>368</v>
      </c>
      <c r="I405" s="4" t="s">
        <v>976</v>
      </c>
      <c r="J405" s="4" t="s">
        <v>31</v>
      </c>
      <c r="K405" s="4" t="s">
        <v>31</v>
      </c>
      <c r="L405" s="2" t="s">
        <v>374</v>
      </c>
      <c r="M405" s="2" t="s">
        <v>32</v>
      </c>
      <c r="N405" s="4" t="s">
        <v>507</v>
      </c>
      <c r="O405" s="4" t="s">
        <v>164</v>
      </c>
      <c r="P405" s="4" t="s">
        <v>35</v>
      </c>
      <c r="Q405" s="152">
        <v>29987</v>
      </c>
      <c r="R405" s="152">
        <v>1</v>
      </c>
      <c r="S405" s="152">
        <v>510</v>
      </c>
      <c r="T405" s="150">
        <v>5.2149999999999999</v>
      </c>
      <c r="U405" s="152">
        <v>158.149</v>
      </c>
      <c r="V405" s="152">
        <v>1.0399999999999999E-4</v>
      </c>
      <c r="W405" s="166">
        <v>1.32541514517977E-2</v>
      </c>
      <c r="X405" s="166">
        <v>1.1032029386197999E-3</v>
      </c>
    </row>
    <row r="406" spans="1:24">
      <c r="A406" s="4" t="s">
        <v>128</v>
      </c>
      <c r="B406" s="4">
        <v>7229</v>
      </c>
      <c r="C406" s="4" t="s">
        <v>2037</v>
      </c>
      <c r="D406" s="4" t="s">
        <v>2038</v>
      </c>
      <c r="E406" s="4" t="s">
        <v>1380</v>
      </c>
      <c r="F406" s="4" t="s">
        <v>2039</v>
      </c>
      <c r="G406" s="4" t="s">
        <v>2040</v>
      </c>
      <c r="H406" s="4" t="s">
        <v>368</v>
      </c>
      <c r="I406" s="4" t="s">
        <v>976</v>
      </c>
      <c r="J406" s="4" t="s">
        <v>31</v>
      </c>
      <c r="K406" s="4" t="s">
        <v>31</v>
      </c>
      <c r="L406" s="2" t="s">
        <v>374</v>
      </c>
      <c r="M406" s="2" t="s">
        <v>32</v>
      </c>
      <c r="N406" s="4" t="s">
        <v>503</v>
      </c>
      <c r="O406" s="4" t="s">
        <v>164</v>
      </c>
      <c r="P406" s="4" t="s">
        <v>35</v>
      </c>
      <c r="Q406" s="152">
        <v>3662</v>
      </c>
      <c r="R406" s="152">
        <v>1</v>
      </c>
      <c r="S406" s="152">
        <v>6910</v>
      </c>
      <c r="U406" s="152">
        <v>253.04400000000001</v>
      </c>
      <c r="V406" s="152">
        <v>3.1000000000000001E-5</v>
      </c>
      <c r="W406" s="166">
        <v>2.1207175342938301E-2</v>
      </c>
      <c r="X406" s="166">
        <v>1.76516906746088E-3</v>
      </c>
    </row>
    <row r="407" spans="1:24">
      <c r="A407" s="4" t="s">
        <v>128</v>
      </c>
      <c r="B407" s="4">
        <v>7229</v>
      </c>
      <c r="C407" s="4" t="s">
        <v>2041</v>
      </c>
      <c r="D407" s="4" t="s">
        <v>2042</v>
      </c>
      <c r="E407" s="4" t="s">
        <v>1380</v>
      </c>
      <c r="F407" s="4" t="s">
        <v>2043</v>
      </c>
      <c r="G407" s="4" t="s">
        <v>2044</v>
      </c>
      <c r="H407" s="4" t="s">
        <v>368</v>
      </c>
      <c r="I407" s="4" t="s">
        <v>976</v>
      </c>
      <c r="J407" s="4" t="s">
        <v>31</v>
      </c>
      <c r="K407" s="4" t="s">
        <v>31</v>
      </c>
      <c r="L407" s="2" t="s">
        <v>374</v>
      </c>
      <c r="M407" s="2" t="s">
        <v>32</v>
      </c>
      <c r="N407" s="4" t="s">
        <v>507</v>
      </c>
      <c r="O407" s="4" t="s">
        <v>164</v>
      </c>
      <c r="P407" s="4" t="s">
        <v>35</v>
      </c>
      <c r="Q407" s="152">
        <v>9564</v>
      </c>
      <c r="R407" s="152">
        <v>1</v>
      </c>
      <c r="S407" s="152">
        <v>2100</v>
      </c>
      <c r="U407" s="152">
        <v>200.84399999999999</v>
      </c>
      <c r="V407" s="152">
        <v>2.6999999999999999E-5</v>
      </c>
      <c r="W407" s="166">
        <v>1.6832371279709601E-2</v>
      </c>
      <c r="X407" s="166">
        <v>1.40103434967137E-3</v>
      </c>
    </row>
    <row r="408" spans="1:24">
      <c r="A408" s="4" t="s">
        <v>128</v>
      </c>
      <c r="B408" s="4">
        <v>7229</v>
      </c>
      <c r="C408" s="4" t="s">
        <v>2045</v>
      </c>
      <c r="D408" s="4" t="s">
        <v>2046</v>
      </c>
      <c r="E408" s="4" t="s">
        <v>362</v>
      </c>
      <c r="F408" s="4" t="s">
        <v>2047</v>
      </c>
      <c r="G408" s="4" t="s">
        <v>2048</v>
      </c>
      <c r="H408" s="4" t="s">
        <v>368</v>
      </c>
      <c r="I408" s="4" t="s">
        <v>976</v>
      </c>
      <c r="J408" s="4" t="s">
        <v>100</v>
      </c>
      <c r="K408" s="4" t="s">
        <v>101</v>
      </c>
      <c r="L408" s="2" t="s">
        <v>374</v>
      </c>
      <c r="M408" s="2" t="s">
        <v>393</v>
      </c>
      <c r="N408" s="4" t="s">
        <v>560</v>
      </c>
      <c r="O408" s="4" t="s">
        <v>164</v>
      </c>
      <c r="P408" s="4" t="s">
        <v>105</v>
      </c>
      <c r="Q408" s="152">
        <v>444</v>
      </c>
      <c r="R408" s="152">
        <v>3.681</v>
      </c>
      <c r="S408" s="152">
        <v>180.38</v>
      </c>
      <c r="U408" s="152">
        <v>294.80700000000002</v>
      </c>
      <c r="V408" s="152">
        <v>0</v>
      </c>
      <c r="W408" s="166">
        <v>2.4707204506896101E-2</v>
      </c>
      <c r="X408" s="166">
        <v>2.05649231610306E-3</v>
      </c>
    </row>
    <row r="409" spans="1:24">
      <c r="A409" s="4" t="s">
        <v>128</v>
      </c>
      <c r="B409" s="4">
        <v>7229</v>
      </c>
      <c r="C409" s="4" t="s">
        <v>2049</v>
      </c>
      <c r="D409" s="4" t="s">
        <v>2050</v>
      </c>
      <c r="E409" s="4" t="s">
        <v>362</v>
      </c>
      <c r="F409" s="4" t="s">
        <v>2051</v>
      </c>
      <c r="G409" s="4" t="s">
        <v>2052</v>
      </c>
      <c r="H409" s="4" t="s">
        <v>368</v>
      </c>
      <c r="I409" s="4" t="s">
        <v>976</v>
      </c>
      <c r="J409" s="4" t="s">
        <v>100</v>
      </c>
      <c r="K409" s="4" t="s">
        <v>101</v>
      </c>
      <c r="L409" s="2" t="s">
        <v>374</v>
      </c>
      <c r="M409" s="2" t="s">
        <v>391</v>
      </c>
      <c r="N409" s="4" t="s">
        <v>2053</v>
      </c>
      <c r="O409" s="4" t="s">
        <v>164</v>
      </c>
      <c r="P409" s="4" t="s">
        <v>105</v>
      </c>
      <c r="Q409" s="152">
        <v>398</v>
      </c>
      <c r="R409" s="152">
        <v>3.681</v>
      </c>
      <c r="S409" s="152">
        <v>22769</v>
      </c>
      <c r="U409" s="152">
        <v>333.57499999999999</v>
      </c>
      <c r="V409" s="152">
        <v>9.9999999999999995E-7</v>
      </c>
      <c r="W409" s="166">
        <v>2.7956273878290399E-2</v>
      </c>
      <c r="X409" s="166">
        <v>2.32692704678631E-3</v>
      </c>
    </row>
    <row r="410" spans="1:24">
      <c r="A410" s="4" t="s">
        <v>128</v>
      </c>
      <c r="B410" s="4">
        <v>7229</v>
      </c>
      <c r="C410" s="4" t="s">
        <v>2054</v>
      </c>
      <c r="D410" s="4" t="s">
        <v>2055</v>
      </c>
      <c r="E410" s="4" t="s">
        <v>362</v>
      </c>
      <c r="F410" s="4" t="s">
        <v>2056</v>
      </c>
      <c r="G410" s="4" t="s">
        <v>2057</v>
      </c>
      <c r="H410" s="4" t="s">
        <v>368</v>
      </c>
      <c r="I410" s="4" t="s">
        <v>976</v>
      </c>
      <c r="J410" s="4" t="s">
        <v>100</v>
      </c>
      <c r="K410" s="4" t="s">
        <v>318</v>
      </c>
      <c r="L410" s="2" t="s">
        <v>374</v>
      </c>
      <c r="M410" s="2" t="s">
        <v>391</v>
      </c>
      <c r="N410" s="4" t="s">
        <v>560</v>
      </c>
      <c r="O410" s="4" t="s">
        <v>164</v>
      </c>
      <c r="P410" s="4" t="s">
        <v>105</v>
      </c>
      <c r="Q410" s="152">
        <v>716</v>
      </c>
      <c r="R410" s="152">
        <v>3.681</v>
      </c>
      <c r="S410" s="152">
        <v>7236</v>
      </c>
      <c r="U410" s="152">
        <v>190.71199999999999</v>
      </c>
      <c r="V410" s="152">
        <v>0</v>
      </c>
      <c r="W410" s="166">
        <v>1.59832038241241E-2</v>
      </c>
      <c r="X410" s="166">
        <v>1.33035430381636E-3</v>
      </c>
    </row>
    <row r="411" spans="1:24">
      <c r="A411" s="4" t="s">
        <v>128</v>
      </c>
      <c r="B411" s="4">
        <v>7229</v>
      </c>
      <c r="C411" s="4" t="s">
        <v>2058</v>
      </c>
      <c r="D411" s="4" t="s">
        <v>2059</v>
      </c>
      <c r="E411" s="4" t="s">
        <v>362</v>
      </c>
      <c r="F411" s="4" t="s">
        <v>2060</v>
      </c>
      <c r="G411" s="4" t="s">
        <v>2061</v>
      </c>
      <c r="H411" s="4" t="s">
        <v>368</v>
      </c>
      <c r="I411" s="4" t="s">
        <v>976</v>
      </c>
      <c r="J411" s="4" t="s">
        <v>100</v>
      </c>
      <c r="K411" s="4" t="s">
        <v>101</v>
      </c>
      <c r="L411" s="2" t="s">
        <v>374</v>
      </c>
      <c r="M411" s="2" t="s">
        <v>393</v>
      </c>
      <c r="N411" s="4" t="s">
        <v>579</v>
      </c>
      <c r="O411" s="4" t="s">
        <v>164</v>
      </c>
      <c r="P411" s="4" t="s">
        <v>105</v>
      </c>
      <c r="Q411" s="152">
        <v>235</v>
      </c>
      <c r="R411" s="152">
        <v>3.681</v>
      </c>
      <c r="S411" s="152">
        <v>21563</v>
      </c>
      <c r="U411" s="152">
        <v>186.52699999999999</v>
      </c>
      <c r="V411" s="152">
        <v>1.9999999999999999E-6</v>
      </c>
      <c r="W411" s="166">
        <v>1.56325311396932E-2</v>
      </c>
      <c r="X411" s="166">
        <v>1.3011662311310001E-3</v>
      </c>
    </row>
    <row r="412" spans="1:24">
      <c r="A412" s="4" t="s">
        <v>128</v>
      </c>
      <c r="B412" s="4">
        <v>7229</v>
      </c>
      <c r="D412" s="4" t="s">
        <v>1598</v>
      </c>
      <c r="E412" s="4" t="s">
        <v>362</v>
      </c>
      <c r="F412" s="4" t="s">
        <v>2067</v>
      </c>
      <c r="G412" s="4" t="s">
        <v>2068</v>
      </c>
      <c r="H412" s="4" t="s">
        <v>368</v>
      </c>
      <c r="I412" s="4" t="s">
        <v>976</v>
      </c>
      <c r="J412" s="4" t="s">
        <v>100</v>
      </c>
      <c r="L412" s="2" t="s">
        <v>374</v>
      </c>
      <c r="M412" s="2" t="s">
        <v>204</v>
      </c>
      <c r="N412" s="4" t="s">
        <v>1392</v>
      </c>
      <c r="O412" s="4" t="s">
        <v>164</v>
      </c>
      <c r="P412" s="4" t="s">
        <v>105</v>
      </c>
      <c r="Q412" s="152">
        <v>73.55</v>
      </c>
      <c r="R412" s="152">
        <v>3.681</v>
      </c>
      <c r="S412" s="152">
        <v>129156</v>
      </c>
      <c r="U412" s="152">
        <v>349.67399999999998</v>
      </c>
      <c r="V412" s="152">
        <v>0</v>
      </c>
      <c r="W412" s="166">
        <v>2.9305525987214701E-2</v>
      </c>
      <c r="X412" s="166">
        <v>2.4392313988919499E-3</v>
      </c>
    </row>
    <row r="413" spans="1:24">
      <c r="A413" s="4" t="s">
        <v>128</v>
      </c>
      <c r="B413" s="4">
        <v>7229</v>
      </c>
      <c r="C413" s="4" t="s">
        <v>2069</v>
      </c>
      <c r="D413" s="4" t="s">
        <v>2070</v>
      </c>
      <c r="E413" s="4" t="s">
        <v>362</v>
      </c>
      <c r="F413" s="4" t="s">
        <v>2071</v>
      </c>
      <c r="G413" s="4" t="s">
        <v>2072</v>
      </c>
      <c r="H413" s="4" t="s">
        <v>368</v>
      </c>
      <c r="I413" s="4" t="s">
        <v>976</v>
      </c>
      <c r="J413" s="4" t="s">
        <v>100</v>
      </c>
      <c r="K413" s="4" t="s">
        <v>101</v>
      </c>
      <c r="L413" s="2" t="s">
        <v>374</v>
      </c>
      <c r="M413" s="2" t="s">
        <v>391</v>
      </c>
      <c r="N413" s="4" t="s">
        <v>2066</v>
      </c>
      <c r="O413" s="4" t="s">
        <v>164</v>
      </c>
      <c r="P413" s="4" t="s">
        <v>105</v>
      </c>
      <c r="Q413" s="152">
        <v>164</v>
      </c>
      <c r="R413" s="152">
        <v>3.681</v>
      </c>
      <c r="S413" s="152">
        <v>41074</v>
      </c>
      <c r="U413" s="152">
        <v>247.95699999999999</v>
      </c>
      <c r="V413" s="152">
        <v>9.9999999999999995E-7</v>
      </c>
      <c r="W413" s="166">
        <v>2.0780840265428799E-2</v>
      </c>
      <c r="X413" s="166">
        <v>1.7296832717797501E-3</v>
      </c>
    </row>
    <row r="414" spans="1:24">
      <c r="A414" s="4" t="s">
        <v>128</v>
      </c>
      <c r="B414" s="4">
        <v>7229</v>
      </c>
      <c r="C414" s="4" t="s">
        <v>2073</v>
      </c>
      <c r="D414" s="4" t="s">
        <v>2074</v>
      </c>
      <c r="E414" s="4" t="s">
        <v>362</v>
      </c>
      <c r="F414" s="4" t="s">
        <v>2073</v>
      </c>
      <c r="G414" s="4" t="s">
        <v>2075</v>
      </c>
      <c r="H414" s="4" t="s">
        <v>368</v>
      </c>
      <c r="I414" s="4" t="s">
        <v>976</v>
      </c>
      <c r="J414" s="4" t="s">
        <v>100</v>
      </c>
      <c r="K414" s="4" t="s">
        <v>101</v>
      </c>
      <c r="L414" s="2" t="s">
        <v>374</v>
      </c>
      <c r="M414" s="2" t="s">
        <v>393</v>
      </c>
      <c r="N414" s="4" t="s">
        <v>591</v>
      </c>
      <c r="O414" s="4" t="s">
        <v>164</v>
      </c>
      <c r="P414" s="4" t="s">
        <v>105</v>
      </c>
      <c r="Q414" s="152">
        <v>2345</v>
      </c>
      <c r="R414" s="152">
        <v>3.681</v>
      </c>
      <c r="S414" s="152">
        <v>2861</v>
      </c>
      <c r="U414" s="152">
        <v>246.96</v>
      </c>
      <c r="V414" s="152">
        <v>6.0000000000000002E-6</v>
      </c>
      <c r="W414" s="166">
        <v>2.0697265090635599E-2</v>
      </c>
      <c r="X414" s="166">
        <v>1.7227269321934001E-3</v>
      </c>
    </row>
    <row r="415" spans="1:24">
      <c r="A415" s="4" t="s">
        <v>128</v>
      </c>
      <c r="B415" s="4">
        <v>7229</v>
      </c>
      <c r="C415" s="4" t="s">
        <v>2084</v>
      </c>
      <c r="D415" s="4" t="s">
        <v>2085</v>
      </c>
      <c r="E415" s="4" t="s">
        <v>362</v>
      </c>
      <c r="F415" s="4" t="s">
        <v>2086</v>
      </c>
      <c r="G415" s="4" t="s">
        <v>2087</v>
      </c>
      <c r="H415" s="4" t="s">
        <v>368</v>
      </c>
      <c r="I415" s="4" t="s">
        <v>976</v>
      </c>
      <c r="J415" s="4" t="s">
        <v>100</v>
      </c>
      <c r="L415" s="2" t="s">
        <v>374</v>
      </c>
      <c r="M415" s="2" t="s">
        <v>204</v>
      </c>
      <c r="N415" s="4" t="s">
        <v>2088</v>
      </c>
      <c r="O415" s="4" t="s">
        <v>164</v>
      </c>
      <c r="P415" s="4" t="s">
        <v>1224</v>
      </c>
      <c r="Q415" s="152">
        <v>41</v>
      </c>
      <c r="R415" s="152">
        <v>3.9790000000000001</v>
      </c>
      <c r="S415" s="152">
        <v>83370</v>
      </c>
      <c r="U415" s="152">
        <v>136.012</v>
      </c>
      <c r="V415" s="152">
        <v>0</v>
      </c>
      <c r="W415" s="166">
        <v>1.13989527046879E-2</v>
      </c>
      <c r="X415" s="166">
        <v>9.4878636076655104E-4</v>
      </c>
    </row>
    <row r="416" spans="1:24">
      <c r="A416" s="4" t="s">
        <v>128</v>
      </c>
      <c r="B416" s="4">
        <v>7229</v>
      </c>
      <c r="C416" s="4" t="s">
        <v>2089</v>
      </c>
      <c r="D416" s="4" t="s">
        <v>2090</v>
      </c>
      <c r="E416" s="4" t="s">
        <v>362</v>
      </c>
      <c r="F416" s="4" t="s">
        <v>2091</v>
      </c>
      <c r="G416" s="4" t="s">
        <v>2092</v>
      </c>
      <c r="H416" s="4" t="s">
        <v>368</v>
      </c>
      <c r="I416" s="4" t="s">
        <v>976</v>
      </c>
      <c r="J416" s="4" t="s">
        <v>100</v>
      </c>
      <c r="K416" s="4" t="s">
        <v>101</v>
      </c>
      <c r="L416" s="2" t="s">
        <v>374</v>
      </c>
      <c r="M416" s="2" t="s">
        <v>391</v>
      </c>
      <c r="N416" s="4" t="s">
        <v>2053</v>
      </c>
      <c r="O416" s="4" t="s">
        <v>164</v>
      </c>
      <c r="P416" s="4" t="s">
        <v>105</v>
      </c>
      <c r="Q416" s="152">
        <v>158</v>
      </c>
      <c r="R416" s="152">
        <v>3.681</v>
      </c>
      <c r="S416" s="152">
        <v>481.57</v>
      </c>
      <c r="U416" s="152">
        <v>280.08</v>
      </c>
      <c r="V416" s="152">
        <v>0</v>
      </c>
      <c r="W416" s="166">
        <v>2.3473009169743E-2</v>
      </c>
      <c r="X416" s="166">
        <v>1.9537646592078001E-3</v>
      </c>
    </row>
    <row r="417" spans="1:24">
      <c r="A417" s="4" t="s">
        <v>128</v>
      </c>
      <c r="B417" s="4">
        <v>7229</v>
      </c>
      <c r="C417" s="4" t="s">
        <v>2097</v>
      </c>
      <c r="D417" s="4" t="s">
        <v>2098</v>
      </c>
      <c r="E417" s="4" t="s">
        <v>362</v>
      </c>
      <c r="F417" s="4" t="s">
        <v>2099</v>
      </c>
      <c r="G417" s="4" t="s">
        <v>2100</v>
      </c>
      <c r="H417" s="4" t="s">
        <v>368</v>
      </c>
      <c r="I417" s="4" t="s">
        <v>976</v>
      </c>
      <c r="J417" s="4" t="s">
        <v>100</v>
      </c>
      <c r="K417" s="4" t="s">
        <v>101</v>
      </c>
      <c r="L417" s="2" t="s">
        <v>374</v>
      </c>
      <c r="M417" s="2" t="s">
        <v>393</v>
      </c>
      <c r="N417" s="4" t="s">
        <v>589</v>
      </c>
      <c r="O417" s="4" t="s">
        <v>164</v>
      </c>
      <c r="P417" s="4" t="s">
        <v>105</v>
      </c>
      <c r="Q417" s="152">
        <v>124</v>
      </c>
      <c r="R417" s="152">
        <v>3.681</v>
      </c>
      <c r="S417" s="152">
        <v>420.72</v>
      </c>
      <c r="U417" s="152">
        <v>192.035</v>
      </c>
      <c r="V417" s="152">
        <v>0</v>
      </c>
      <c r="W417" s="166">
        <v>1.60941150006833E-2</v>
      </c>
      <c r="X417" s="166">
        <v>1.33958594239774E-3</v>
      </c>
    </row>
    <row r="418" spans="1:24">
      <c r="A418" s="4" t="s">
        <v>128</v>
      </c>
      <c r="B418" s="4">
        <v>7229</v>
      </c>
      <c r="C418" s="4" t="s">
        <v>2101</v>
      </c>
      <c r="D418" s="4" t="s">
        <v>2102</v>
      </c>
      <c r="E418" s="4" t="s">
        <v>362</v>
      </c>
      <c r="F418" s="4" t="s">
        <v>2101</v>
      </c>
      <c r="G418" s="4" t="s">
        <v>2103</v>
      </c>
      <c r="H418" s="4" t="s">
        <v>368</v>
      </c>
      <c r="I418" s="4" t="s">
        <v>976</v>
      </c>
      <c r="J418" s="4" t="s">
        <v>100</v>
      </c>
      <c r="K418" s="4" t="s">
        <v>101</v>
      </c>
      <c r="L418" s="2" t="s">
        <v>374</v>
      </c>
      <c r="M418" s="2" t="s">
        <v>393</v>
      </c>
      <c r="N418" s="4" t="s">
        <v>579</v>
      </c>
      <c r="O418" s="4" t="s">
        <v>164</v>
      </c>
      <c r="P418" s="4" t="s">
        <v>105</v>
      </c>
      <c r="Q418" s="152">
        <v>658</v>
      </c>
      <c r="R418" s="152">
        <v>3.681</v>
      </c>
      <c r="S418" s="152">
        <v>10656</v>
      </c>
      <c r="U418" s="152">
        <v>258.09899999999999</v>
      </c>
      <c r="V418" s="152">
        <v>1.9999999999999999E-6</v>
      </c>
      <c r="W418" s="166">
        <v>2.1630789088197301E-2</v>
      </c>
      <c r="X418" s="166">
        <v>1.8004283543574401E-3</v>
      </c>
    </row>
    <row r="419" spans="1:24">
      <c r="A419" s="4" t="s">
        <v>128</v>
      </c>
      <c r="B419" s="4">
        <v>7229</v>
      </c>
      <c r="C419" s="4" t="s">
        <v>2104</v>
      </c>
      <c r="D419" s="4" t="s">
        <v>2105</v>
      </c>
      <c r="E419" s="4" t="s">
        <v>34</v>
      </c>
      <c r="F419" s="4" t="s">
        <v>2104</v>
      </c>
      <c r="G419" s="4" t="s">
        <v>2106</v>
      </c>
      <c r="H419" s="4" t="s">
        <v>368</v>
      </c>
      <c r="I419" s="4" t="s">
        <v>976</v>
      </c>
      <c r="J419" s="4" t="s">
        <v>100</v>
      </c>
      <c r="K419" s="4" t="s">
        <v>101</v>
      </c>
      <c r="L419" s="2" t="s">
        <v>374</v>
      </c>
      <c r="M419" s="2" t="s">
        <v>393</v>
      </c>
      <c r="N419" s="4" t="s">
        <v>2053</v>
      </c>
      <c r="O419" s="4" t="s">
        <v>164</v>
      </c>
      <c r="P419" s="4" t="s">
        <v>105</v>
      </c>
      <c r="Q419" s="152">
        <v>770</v>
      </c>
      <c r="R419" s="152">
        <v>3.681</v>
      </c>
      <c r="S419" s="152">
        <v>6310</v>
      </c>
      <c r="U419" s="152">
        <v>178.84899999999999</v>
      </c>
      <c r="V419" s="152">
        <v>0</v>
      </c>
      <c r="W419" s="166">
        <v>1.49889890283745E-2</v>
      </c>
      <c r="X419" s="166">
        <v>1.2476013121760401E-3</v>
      </c>
    </row>
    <row r="420" spans="1:24">
      <c r="A420" s="4" t="s">
        <v>128</v>
      </c>
      <c r="B420" s="4">
        <v>7229</v>
      </c>
      <c r="C420" s="4" t="s">
        <v>2107</v>
      </c>
      <c r="D420" s="4" t="s">
        <v>2108</v>
      </c>
      <c r="E420" s="4" t="s">
        <v>362</v>
      </c>
      <c r="F420" s="4" t="s">
        <v>2109</v>
      </c>
      <c r="G420" s="4" t="s">
        <v>2110</v>
      </c>
      <c r="H420" s="4" t="s">
        <v>368</v>
      </c>
      <c r="I420" s="4" t="s">
        <v>976</v>
      </c>
      <c r="J420" s="4" t="s">
        <v>100</v>
      </c>
      <c r="K420" s="4" t="s">
        <v>101</v>
      </c>
      <c r="L420" s="2" t="s">
        <v>374</v>
      </c>
      <c r="M420" s="2" t="s">
        <v>393</v>
      </c>
      <c r="N420" s="4" t="s">
        <v>594</v>
      </c>
      <c r="O420" s="4" t="s">
        <v>164</v>
      </c>
      <c r="P420" s="4" t="s">
        <v>105</v>
      </c>
      <c r="Q420" s="152">
        <v>166</v>
      </c>
      <c r="R420" s="152">
        <v>3.681</v>
      </c>
      <c r="S420" s="152">
        <v>60733</v>
      </c>
      <c r="U420" s="152">
        <v>371.10700000000003</v>
      </c>
      <c r="V420" s="152">
        <v>0</v>
      </c>
      <c r="W420" s="166">
        <v>3.11017681539516E-2</v>
      </c>
      <c r="X420" s="166">
        <v>2.5887407540569102E-3</v>
      </c>
    </row>
    <row r="421" spans="1:24">
      <c r="A421" s="4" t="s">
        <v>128</v>
      </c>
      <c r="B421" s="4">
        <v>7229</v>
      </c>
      <c r="C421" s="4" t="s">
        <v>2115</v>
      </c>
      <c r="D421" s="4" t="s">
        <v>2116</v>
      </c>
      <c r="E421" s="4" t="s">
        <v>362</v>
      </c>
      <c r="F421" s="4" t="s">
        <v>2117</v>
      </c>
      <c r="G421" s="4" t="s">
        <v>2118</v>
      </c>
      <c r="H421" s="4" t="s">
        <v>368</v>
      </c>
      <c r="I421" s="4" t="s">
        <v>976</v>
      </c>
      <c r="J421" s="4" t="s">
        <v>100</v>
      </c>
      <c r="L421" s="2" t="s">
        <v>374</v>
      </c>
      <c r="M421" s="2" t="s">
        <v>204</v>
      </c>
      <c r="N421" s="4" t="s">
        <v>579</v>
      </c>
      <c r="O421" s="4" t="s">
        <v>164</v>
      </c>
      <c r="P421" s="4" t="s">
        <v>105</v>
      </c>
      <c r="Q421" s="152">
        <v>291</v>
      </c>
      <c r="R421" s="152">
        <v>3.681</v>
      </c>
      <c r="S421" s="152">
        <v>12840</v>
      </c>
      <c r="T421" s="150">
        <v>0.27</v>
      </c>
      <c r="U421" s="152">
        <v>138.53399999999999</v>
      </c>
      <c r="V421" s="152">
        <v>0</v>
      </c>
      <c r="W421" s="166">
        <v>1.1610270316023401E-2</v>
      </c>
      <c r="X421" s="166">
        <v>9.6637528078571001E-4</v>
      </c>
    </row>
    <row r="422" spans="1:24">
      <c r="A422" s="4" t="s">
        <v>128</v>
      </c>
      <c r="B422" s="4">
        <v>7229</v>
      </c>
      <c r="C422" s="4" t="s">
        <v>2119</v>
      </c>
      <c r="D422" s="4" t="s">
        <v>2120</v>
      </c>
      <c r="E422" s="4" t="s">
        <v>362</v>
      </c>
      <c r="F422" s="4" t="s">
        <v>2121</v>
      </c>
      <c r="G422" s="4" t="s">
        <v>2122</v>
      </c>
      <c r="H422" s="4" t="s">
        <v>368</v>
      </c>
      <c r="I422" s="4" t="s">
        <v>976</v>
      </c>
      <c r="J422" s="4" t="s">
        <v>100</v>
      </c>
      <c r="K422" s="4" t="s">
        <v>101</v>
      </c>
      <c r="L422" s="2" t="s">
        <v>374</v>
      </c>
      <c r="M422" s="2" t="s">
        <v>393</v>
      </c>
      <c r="N422" s="4" t="s">
        <v>593</v>
      </c>
      <c r="O422" s="4" t="s">
        <v>164</v>
      </c>
      <c r="P422" s="4" t="s">
        <v>105</v>
      </c>
      <c r="Q422" s="152">
        <v>134</v>
      </c>
      <c r="R422" s="152">
        <v>3.681</v>
      </c>
      <c r="S422" s="152">
        <v>90356</v>
      </c>
      <c r="U422" s="152">
        <v>445.685</v>
      </c>
      <c r="V422" s="152">
        <v>0</v>
      </c>
      <c r="W422" s="166">
        <v>3.7352016468357001E-2</v>
      </c>
      <c r="X422" s="166">
        <v>3.10897717451974E-3</v>
      </c>
    </row>
    <row r="423" spans="1:24">
      <c r="A423" s="4" t="s">
        <v>128</v>
      </c>
      <c r="B423" s="4">
        <v>7229</v>
      </c>
      <c r="C423" s="4" t="s">
        <v>2126</v>
      </c>
      <c r="D423" s="4" t="s">
        <v>2127</v>
      </c>
      <c r="E423" s="4" t="s">
        <v>362</v>
      </c>
      <c r="F423" s="4" t="s">
        <v>2128</v>
      </c>
      <c r="G423" s="4" t="s">
        <v>2129</v>
      </c>
      <c r="H423" s="4" t="s">
        <v>368</v>
      </c>
      <c r="I423" s="4" t="s">
        <v>976</v>
      </c>
      <c r="J423" s="4" t="s">
        <v>100</v>
      </c>
      <c r="K423" s="4" t="s">
        <v>101</v>
      </c>
      <c r="L423" s="2" t="s">
        <v>374</v>
      </c>
      <c r="M423" s="2" t="s">
        <v>391</v>
      </c>
      <c r="N423" s="4" t="s">
        <v>613</v>
      </c>
      <c r="O423" s="4" t="s">
        <v>164</v>
      </c>
      <c r="P423" s="4" t="s">
        <v>105</v>
      </c>
      <c r="Q423" s="152">
        <v>480</v>
      </c>
      <c r="R423" s="152">
        <v>3.681</v>
      </c>
      <c r="S423" s="152">
        <v>13022</v>
      </c>
      <c r="U423" s="152">
        <v>230.083</v>
      </c>
      <c r="V423" s="152">
        <v>9.9999999999999995E-7</v>
      </c>
      <c r="W423" s="166">
        <v>1.92828483465118E-2</v>
      </c>
      <c r="X423" s="166">
        <v>1.60499863293372E-3</v>
      </c>
    </row>
    <row r="424" spans="1:24">
      <c r="A424" s="4" t="s">
        <v>128</v>
      </c>
      <c r="B424" s="4">
        <v>7229</v>
      </c>
      <c r="C424" s="4" t="s">
        <v>2130</v>
      </c>
      <c r="D424" s="4" t="s">
        <v>2131</v>
      </c>
      <c r="E424" s="4" t="s">
        <v>362</v>
      </c>
      <c r="F424" s="4" t="s">
        <v>2132</v>
      </c>
      <c r="G424" s="4" t="s">
        <v>2133</v>
      </c>
      <c r="H424" s="4" t="s">
        <v>368</v>
      </c>
      <c r="I424" s="4" t="s">
        <v>976</v>
      </c>
      <c r="J424" s="4" t="s">
        <v>100</v>
      </c>
      <c r="K424" s="4" t="s">
        <v>101</v>
      </c>
      <c r="L424" s="2" t="s">
        <v>374</v>
      </c>
      <c r="M424" s="2" t="s">
        <v>391</v>
      </c>
      <c r="N424" s="4" t="s">
        <v>531</v>
      </c>
      <c r="O424" s="4" t="s">
        <v>164</v>
      </c>
      <c r="P424" s="4" t="s">
        <v>105</v>
      </c>
      <c r="Q424" s="152">
        <v>710</v>
      </c>
      <c r="R424" s="152">
        <v>3.681</v>
      </c>
      <c r="S424" s="152">
        <v>54.81</v>
      </c>
      <c r="T424" s="150">
        <v>0.19800000000000001</v>
      </c>
      <c r="U424" s="152">
        <v>143.97499999999999</v>
      </c>
      <c r="V424" s="152">
        <v>0</v>
      </c>
      <c r="W424" s="166">
        <v>1.20662963893979E-2</v>
      </c>
      <c r="X424" s="166">
        <v>1.0043323922661099E-3</v>
      </c>
    </row>
    <row r="425" spans="1:24">
      <c r="A425" s="4" t="s">
        <v>128</v>
      </c>
      <c r="B425" s="4">
        <v>7229</v>
      </c>
      <c r="C425" s="4" t="s">
        <v>2134</v>
      </c>
      <c r="D425" s="4" t="s">
        <v>2135</v>
      </c>
      <c r="E425" s="4" t="s">
        <v>362</v>
      </c>
      <c r="F425" s="4" t="s">
        <v>2134</v>
      </c>
      <c r="G425" s="4" t="s">
        <v>2136</v>
      </c>
      <c r="H425" s="4" t="s">
        <v>368</v>
      </c>
      <c r="I425" s="4" t="s">
        <v>976</v>
      </c>
      <c r="J425" s="4" t="s">
        <v>100</v>
      </c>
      <c r="K425" s="4" t="s">
        <v>101</v>
      </c>
      <c r="L425" s="2" t="s">
        <v>374</v>
      </c>
      <c r="M425" s="2" t="s">
        <v>393</v>
      </c>
      <c r="N425" s="4" t="s">
        <v>560</v>
      </c>
      <c r="O425" s="4" t="s">
        <v>164</v>
      </c>
      <c r="P425" s="4" t="s">
        <v>105</v>
      </c>
      <c r="Q425" s="152">
        <v>2693</v>
      </c>
      <c r="R425" s="152">
        <v>3.681</v>
      </c>
      <c r="S425" s="152">
        <v>1906</v>
      </c>
      <c r="U425" s="152">
        <v>188.941</v>
      </c>
      <c r="V425" s="152">
        <v>2.1999999999999999E-5</v>
      </c>
      <c r="W425" s="166">
        <v>1.5834760789142002E-2</v>
      </c>
      <c r="X425" s="166">
        <v>1.31799871900164E-3</v>
      </c>
    </row>
    <row r="426" spans="1:24">
      <c r="A426" s="4" t="s">
        <v>128</v>
      </c>
      <c r="B426" s="4">
        <v>7229</v>
      </c>
      <c r="C426" s="4" t="s">
        <v>2137</v>
      </c>
      <c r="D426" s="4" t="s">
        <v>2138</v>
      </c>
      <c r="E426" s="4" t="s">
        <v>362</v>
      </c>
      <c r="F426" s="4" t="s">
        <v>2139</v>
      </c>
      <c r="G426" s="4" t="s">
        <v>2140</v>
      </c>
      <c r="H426" s="4" t="s">
        <v>368</v>
      </c>
      <c r="I426" s="4" t="s">
        <v>976</v>
      </c>
      <c r="J426" s="4" t="s">
        <v>100</v>
      </c>
      <c r="K426" s="4" t="s">
        <v>318</v>
      </c>
      <c r="L426" s="2" t="s">
        <v>374</v>
      </c>
      <c r="M426" s="2" t="s">
        <v>391</v>
      </c>
      <c r="N426" s="4" t="s">
        <v>593</v>
      </c>
      <c r="O426" s="4" t="s">
        <v>164</v>
      </c>
      <c r="P426" s="4" t="s">
        <v>105</v>
      </c>
      <c r="Q426" s="152">
        <v>842</v>
      </c>
      <c r="R426" s="152">
        <v>3.681</v>
      </c>
      <c r="S426" s="152">
        <v>13605</v>
      </c>
      <c r="T426" s="150">
        <v>0.373</v>
      </c>
      <c r="U426" s="152">
        <v>423.048</v>
      </c>
      <c r="V426" s="152">
        <v>0</v>
      </c>
      <c r="W426" s="166">
        <v>3.5454868823625897E-2</v>
      </c>
      <c r="X426" s="166">
        <v>2.9510690002941399E-3</v>
      </c>
    </row>
    <row r="427" spans="1:24">
      <c r="A427" s="4" t="s">
        <v>128</v>
      </c>
      <c r="B427" s="4">
        <v>7229</v>
      </c>
      <c r="C427" s="4" t="s">
        <v>2141</v>
      </c>
      <c r="D427" s="4" t="s">
        <v>2142</v>
      </c>
      <c r="E427" s="4" t="s">
        <v>362</v>
      </c>
      <c r="F427" s="4" t="s">
        <v>2141</v>
      </c>
      <c r="G427" s="4" t="s">
        <v>2143</v>
      </c>
      <c r="H427" s="4" t="s">
        <v>368</v>
      </c>
      <c r="I427" s="4" t="s">
        <v>976</v>
      </c>
      <c r="J427" s="4" t="s">
        <v>100</v>
      </c>
      <c r="K427" s="4" t="s">
        <v>101</v>
      </c>
      <c r="L427" s="2" t="s">
        <v>374</v>
      </c>
      <c r="M427" s="2" t="s">
        <v>393</v>
      </c>
      <c r="N427" s="4" t="s">
        <v>557</v>
      </c>
      <c r="O427" s="4" t="s">
        <v>164</v>
      </c>
      <c r="P427" s="4" t="s">
        <v>105</v>
      </c>
      <c r="Q427" s="152">
        <v>395</v>
      </c>
      <c r="R427" s="152">
        <v>3.681</v>
      </c>
      <c r="S427" s="152">
        <v>17579</v>
      </c>
      <c r="U427" s="152">
        <v>255.59800000000001</v>
      </c>
      <c r="V427" s="152">
        <v>0</v>
      </c>
      <c r="W427" s="166">
        <v>2.1421186338170601E-2</v>
      </c>
      <c r="X427" s="166">
        <v>1.7829821699967699E-3</v>
      </c>
    </row>
    <row r="428" spans="1:24">
      <c r="A428" s="4" t="s">
        <v>128</v>
      </c>
      <c r="B428" s="4">
        <v>7229</v>
      </c>
      <c r="C428" s="4" t="s">
        <v>2148</v>
      </c>
      <c r="D428" s="4" t="s">
        <v>2149</v>
      </c>
      <c r="E428" s="4" t="s">
        <v>362</v>
      </c>
      <c r="F428" s="4" t="s">
        <v>2150</v>
      </c>
      <c r="G428" s="4" t="s">
        <v>2151</v>
      </c>
      <c r="H428" s="4" t="s">
        <v>368</v>
      </c>
      <c r="I428" s="4" t="s">
        <v>976</v>
      </c>
      <c r="J428" s="4" t="s">
        <v>100</v>
      </c>
      <c r="K428" s="4" t="s">
        <v>101</v>
      </c>
      <c r="L428" s="2" t="s">
        <v>374</v>
      </c>
      <c r="M428" s="2" t="s">
        <v>391</v>
      </c>
      <c r="N428" s="4" t="s">
        <v>2053</v>
      </c>
      <c r="O428" s="4" t="s">
        <v>164</v>
      </c>
      <c r="P428" s="4" t="s">
        <v>105</v>
      </c>
      <c r="Q428" s="152">
        <v>258</v>
      </c>
      <c r="R428" s="152">
        <v>3.681</v>
      </c>
      <c r="S428" s="152">
        <v>27908</v>
      </c>
      <c r="U428" s="152">
        <v>265.04199999999997</v>
      </c>
      <c r="V428" s="152">
        <v>0</v>
      </c>
      <c r="W428" s="166">
        <v>2.2212665547862599E-2</v>
      </c>
      <c r="X428" s="166">
        <v>1.84886056237551E-3</v>
      </c>
    </row>
    <row r="429" spans="1:24">
      <c r="A429" s="4" t="s">
        <v>128</v>
      </c>
      <c r="B429" s="4">
        <v>7229</v>
      </c>
      <c r="C429" s="4" t="s">
        <v>2152</v>
      </c>
      <c r="D429" s="4" t="s">
        <v>2153</v>
      </c>
      <c r="E429" s="4" t="s">
        <v>362</v>
      </c>
      <c r="F429" s="4" t="s">
        <v>2154</v>
      </c>
      <c r="G429" s="4" t="s">
        <v>2155</v>
      </c>
      <c r="H429" s="4" t="s">
        <v>368</v>
      </c>
      <c r="I429" s="4" t="s">
        <v>976</v>
      </c>
      <c r="J429" s="4" t="s">
        <v>100</v>
      </c>
      <c r="K429" s="4" t="s">
        <v>101</v>
      </c>
      <c r="L429" s="2" t="s">
        <v>374</v>
      </c>
      <c r="M429" s="2" t="s">
        <v>391</v>
      </c>
      <c r="N429" s="4" t="s">
        <v>594</v>
      </c>
      <c r="O429" s="4" t="s">
        <v>164</v>
      </c>
      <c r="P429" s="4" t="s">
        <v>105</v>
      </c>
      <c r="Q429" s="152">
        <v>465</v>
      </c>
      <c r="R429" s="152">
        <v>3.681</v>
      </c>
      <c r="S429" s="152">
        <v>12236</v>
      </c>
      <c r="U429" s="152">
        <v>209.43899999999999</v>
      </c>
      <c r="V429" s="152">
        <v>0</v>
      </c>
      <c r="W429" s="166">
        <v>1.7552730243543299E-2</v>
      </c>
      <c r="X429" s="166">
        <v>1.46099308249954E-3</v>
      </c>
    </row>
    <row r="430" spans="1:24">
      <c r="A430" s="4" t="s">
        <v>128</v>
      </c>
      <c r="B430" s="4">
        <v>9817</v>
      </c>
      <c r="C430" s="4" t="s">
        <v>1915</v>
      </c>
      <c r="D430" s="4" t="s">
        <v>1916</v>
      </c>
      <c r="E430" s="4" t="s">
        <v>1380</v>
      </c>
      <c r="F430" s="4" t="s">
        <v>1917</v>
      </c>
      <c r="G430" s="4" t="s">
        <v>1918</v>
      </c>
      <c r="H430" s="4" t="s">
        <v>368</v>
      </c>
      <c r="I430" s="4" t="s">
        <v>976</v>
      </c>
      <c r="J430" s="4" t="s">
        <v>31</v>
      </c>
      <c r="K430" s="4" t="s">
        <v>31</v>
      </c>
      <c r="L430" s="2" t="s">
        <v>374</v>
      </c>
      <c r="M430" s="2" t="s">
        <v>32</v>
      </c>
      <c r="N430" s="4" t="s">
        <v>481</v>
      </c>
      <c r="O430" s="4" t="s">
        <v>164</v>
      </c>
      <c r="P430" s="4" t="s">
        <v>35</v>
      </c>
      <c r="Q430" s="152">
        <v>13</v>
      </c>
      <c r="R430" s="152">
        <v>1</v>
      </c>
      <c r="S430" s="152">
        <v>16390</v>
      </c>
      <c r="U430" s="152">
        <v>2.1309999999999998</v>
      </c>
      <c r="V430" s="152">
        <v>9.9999999999999995E-7</v>
      </c>
      <c r="W430" s="166">
        <v>6.6802719410745198E-2</v>
      </c>
      <c r="X430" s="166">
        <v>1.4688310059801999E-3</v>
      </c>
    </row>
    <row r="431" spans="1:24">
      <c r="A431" s="4" t="s">
        <v>128</v>
      </c>
      <c r="B431" s="4">
        <v>9817</v>
      </c>
      <c r="C431" s="4" t="s">
        <v>1219</v>
      </c>
      <c r="D431" s="4" t="s">
        <v>1959</v>
      </c>
      <c r="E431" s="4" t="s">
        <v>1380</v>
      </c>
      <c r="F431" s="4" t="s">
        <v>1960</v>
      </c>
      <c r="G431" s="4" t="s">
        <v>1961</v>
      </c>
      <c r="H431" s="4" t="s">
        <v>368</v>
      </c>
      <c r="I431" s="4" t="s">
        <v>976</v>
      </c>
      <c r="J431" s="4" t="s">
        <v>31</v>
      </c>
      <c r="K431" s="4" t="s">
        <v>31</v>
      </c>
      <c r="L431" s="2" t="s">
        <v>374</v>
      </c>
      <c r="M431" s="2" t="s">
        <v>32</v>
      </c>
      <c r="N431" s="4" t="s">
        <v>492</v>
      </c>
      <c r="O431" s="4" t="s">
        <v>164</v>
      </c>
      <c r="P431" s="4" t="s">
        <v>35</v>
      </c>
      <c r="Q431" s="152">
        <v>464</v>
      </c>
      <c r="R431" s="152">
        <v>1</v>
      </c>
      <c r="S431" s="152">
        <v>3100</v>
      </c>
      <c r="T431" s="150">
        <v>0.111</v>
      </c>
      <c r="U431" s="152">
        <v>14.494999999999999</v>
      </c>
      <c r="V431" s="152">
        <v>0</v>
      </c>
      <c r="W431" s="166">
        <v>0.45446102898438201</v>
      </c>
      <c r="X431" s="166">
        <v>9.9925041415986505E-3</v>
      </c>
    </row>
    <row r="432" spans="1:24">
      <c r="A432" s="4" t="s">
        <v>128</v>
      </c>
      <c r="B432" s="4">
        <v>9817</v>
      </c>
      <c r="C432" s="4" t="s">
        <v>2009</v>
      </c>
      <c r="D432" s="4" t="s">
        <v>2010</v>
      </c>
      <c r="E432" s="4" t="s">
        <v>1380</v>
      </c>
      <c r="F432" s="4" t="s">
        <v>2011</v>
      </c>
      <c r="G432" s="4" t="s">
        <v>2012</v>
      </c>
      <c r="H432" s="4" t="s">
        <v>368</v>
      </c>
      <c r="I432" s="4" t="s">
        <v>976</v>
      </c>
      <c r="J432" s="4" t="s">
        <v>31</v>
      </c>
      <c r="K432" s="4" t="s">
        <v>31</v>
      </c>
      <c r="L432" s="2" t="s">
        <v>374</v>
      </c>
      <c r="M432" s="2" t="s">
        <v>32</v>
      </c>
      <c r="N432" s="4" t="s">
        <v>492</v>
      </c>
      <c r="O432" s="4" t="s">
        <v>164</v>
      </c>
      <c r="P432" s="4" t="s">
        <v>35</v>
      </c>
      <c r="Q432" s="152">
        <v>409</v>
      </c>
      <c r="R432" s="152">
        <v>1</v>
      </c>
      <c r="S432" s="152">
        <v>3500</v>
      </c>
      <c r="U432" s="152">
        <v>14.315</v>
      </c>
      <c r="V432" s="152">
        <v>0</v>
      </c>
      <c r="W432" s="166">
        <v>0.44881068586136802</v>
      </c>
      <c r="X432" s="166">
        <v>9.8682666966755008E-3</v>
      </c>
    </row>
    <row r="433" spans="1:24">
      <c r="A433" s="4" t="s">
        <v>128</v>
      </c>
      <c r="B433" s="4">
        <v>9817</v>
      </c>
      <c r="C433" s="4" t="s">
        <v>2033</v>
      </c>
      <c r="D433" s="4" t="s">
        <v>2034</v>
      </c>
      <c r="E433" s="4" t="s">
        <v>1380</v>
      </c>
      <c r="F433" s="4" t="s">
        <v>2035</v>
      </c>
      <c r="G433" s="4" t="s">
        <v>2036</v>
      </c>
      <c r="H433" s="4" t="s">
        <v>368</v>
      </c>
      <c r="I433" s="4" t="s">
        <v>976</v>
      </c>
      <c r="J433" s="4" t="s">
        <v>31</v>
      </c>
      <c r="K433" s="4" t="s">
        <v>31</v>
      </c>
      <c r="L433" s="2" t="s">
        <v>374</v>
      </c>
      <c r="M433" s="2" t="s">
        <v>32</v>
      </c>
      <c r="N433" s="4" t="s">
        <v>508</v>
      </c>
      <c r="O433" s="4" t="s">
        <v>164</v>
      </c>
      <c r="P433" s="4" t="s">
        <v>35</v>
      </c>
      <c r="Q433" s="152">
        <v>215.6</v>
      </c>
      <c r="R433" s="152">
        <v>1</v>
      </c>
      <c r="S433" s="152">
        <v>434.7</v>
      </c>
      <c r="U433" s="152">
        <v>0.93700000000000006</v>
      </c>
      <c r="V433" s="152">
        <v>3.0000000000000001E-6</v>
      </c>
      <c r="W433" s="166">
        <v>2.9383953830969499E-2</v>
      </c>
      <c r="X433" s="166">
        <v>6.4608241769086104E-4</v>
      </c>
    </row>
    <row r="434" spans="1:24">
      <c r="A434" s="4" t="s">
        <v>128</v>
      </c>
      <c r="B434" s="4">
        <v>9817</v>
      </c>
      <c r="C434" s="4" t="s">
        <v>2076</v>
      </c>
      <c r="D434" s="4" t="s">
        <v>2077</v>
      </c>
      <c r="E434" s="4" t="s">
        <v>1380</v>
      </c>
      <c r="F434" s="4" t="s">
        <v>2078</v>
      </c>
      <c r="G434" s="4" t="s">
        <v>2079</v>
      </c>
      <c r="H434" s="4" t="s">
        <v>368</v>
      </c>
      <c r="I434" s="4" t="s">
        <v>976</v>
      </c>
      <c r="J434" s="4" t="s">
        <v>31</v>
      </c>
      <c r="K434" s="4" t="s">
        <v>31</v>
      </c>
      <c r="L434" s="2" t="s">
        <v>374</v>
      </c>
      <c r="M434" s="2" t="s">
        <v>393</v>
      </c>
      <c r="N434" s="4" t="s">
        <v>579</v>
      </c>
      <c r="O434" s="4" t="s">
        <v>164</v>
      </c>
      <c r="P434" s="4" t="s">
        <v>105</v>
      </c>
      <c r="Q434" s="152">
        <v>130</v>
      </c>
      <c r="R434" s="152">
        <v>3.681</v>
      </c>
      <c r="S434" s="152">
        <v>3.61</v>
      </c>
      <c r="U434" s="152">
        <v>1.7000000000000001E-2</v>
      </c>
      <c r="V434" s="152">
        <v>1.9999999999999999E-6</v>
      </c>
      <c r="W434" s="166">
        <v>5.4161191253504601E-4</v>
      </c>
      <c r="X434" s="166">
        <v>1.1908742299070899E-5</v>
      </c>
    </row>
    <row r="435" spans="1:24">
      <c r="A435" s="4" t="s">
        <v>144</v>
      </c>
      <c r="B435" s="4">
        <v>969</v>
      </c>
      <c r="C435" s="4" t="s">
        <v>1843</v>
      </c>
      <c r="D435" s="4" t="s">
        <v>1844</v>
      </c>
      <c r="E435" s="4" t="s">
        <v>362</v>
      </c>
      <c r="F435" s="4" t="s">
        <v>1845</v>
      </c>
      <c r="G435" s="4" t="s">
        <v>1846</v>
      </c>
      <c r="H435" s="4" t="s">
        <v>368</v>
      </c>
      <c r="I435" s="4" t="s">
        <v>976</v>
      </c>
      <c r="J435" s="4" t="s">
        <v>100</v>
      </c>
      <c r="K435" s="4" t="s">
        <v>101</v>
      </c>
      <c r="L435" s="2" t="s">
        <v>374</v>
      </c>
      <c r="M435" s="2" t="s">
        <v>32</v>
      </c>
      <c r="N435" s="4" t="s">
        <v>485</v>
      </c>
      <c r="O435" s="4" t="s">
        <v>164</v>
      </c>
      <c r="P435" s="4" t="s">
        <v>35</v>
      </c>
      <c r="Q435" s="152">
        <v>626</v>
      </c>
      <c r="R435" s="152">
        <v>1</v>
      </c>
      <c r="S435" s="152">
        <v>24060</v>
      </c>
      <c r="U435" s="152">
        <v>150.61600000000001</v>
      </c>
      <c r="V435" s="152">
        <v>1.1E-5</v>
      </c>
      <c r="W435" s="166">
        <v>1.45165249727302E-2</v>
      </c>
      <c r="X435" s="166">
        <v>2.0506618263491901E-3</v>
      </c>
    </row>
    <row r="436" spans="1:24">
      <c r="A436" s="4" t="s">
        <v>144</v>
      </c>
      <c r="B436" s="4">
        <v>969</v>
      </c>
      <c r="C436" s="4" t="s">
        <v>1847</v>
      </c>
      <c r="D436" s="4" t="s">
        <v>1848</v>
      </c>
      <c r="E436" s="4" t="s">
        <v>1380</v>
      </c>
      <c r="F436" s="4" t="s">
        <v>1849</v>
      </c>
      <c r="G436" s="4" t="s">
        <v>1850</v>
      </c>
      <c r="H436" s="4" t="s">
        <v>368</v>
      </c>
      <c r="I436" s="4" t="s">
        <v>976</v>
      </c>
      <c r="J436" s="4" t="s">
        <v>31</v>
      </c>
      <c r="K436" s="4" t="s">
        <v>31</v>
      </c>
      <c r="L436" s="2" t="s">
        <v>374</v>
      </c>
      <c r="M436" s="2" t="s">
        <v>32</v>
      </c>
      <c r="N436" s="4" t="s">
        <v>500</v>
      </c>
      <c r="O436" s="4" t="s">
        <v>164</v>
      </c>
      <c r="P436" s="4" t="s">
        <v>35</v>
      </c>
      <c r="Q436" s="152">
        <v>9304</v>
      </c>
      <c r="R436" s="152">
        <v>1</v>
      </c>
      <c r="S436" s="152">
        <v>1951</v>
      </c>
      <c r="U436" s="152">
        <v>181.52099999999999</v>
      </c>
      <c r="V436" s="152">
        <v>6.9999999999999999E-6</v>
      </c>
      <c r="W436" s="166">
        <v>1.74952309736571E-2</v>
      </c>
      <c r="X436" s="166">
        <v>2.4714456364892199E-3</v>
      </c>
    </row>
    <row r="437" spans="1:24">
      <c r="A437" s="4" t="s">
        <v>144</v>
      </c>
      <c r="B437" s="4">
        <v>969</v>
      </c>
      <c r="C437" s="4" t="s">
        <v>1851</v>
      </c>
      <c r="D437" s="4" t="s">
        <v>1852</v>
      </c>
      <c r="E437" s="4" t="s">
        <v>1380</v>
      </c>
      <c r="F437" s="4" t="s">
        <v>1853</v>
      </c>
      <c r="G437" s="4" t="s">
        <v>1854</v>
      </c>
      <c r="H437" s="4" t="s">
        <v>368</v>
      </c>
      <c r="I437" s="4" t="s">
        <v>976</v>
      </c>
      <c r="J437" s="4" t="s">
        <v>31</v>
      </c>
      <c r="K437" s="4" t="s">
        <v>31</v>
      </c>
      <c r="L437" s="2" t="s">
        <v>374</v>
      </c>
      <c r="M437" s="2" t="s">
        <v>32</v>
      </c>
      <c r="N437" s="4" t="s">
        <v>489</v>
      </c>
      <c r="O437" s="4" t="s">
        <v>164</v>
      </c>
      <c r="P437" s="4" t="s">
        <v>35</v>
      </c>
      <c r="Q437" s="152">
        <v>983</v>
      </c>
      <c r="R437" s="152">
        <v>1</v>
      </c>
      <c r="S437" s="152">
        <v>10700</v>
      </c>
      <c r="U437" s="152">
        <v>105.181</v>
      </c>
      <c r="V437" s="152">
        <v>6.7000000000000002E-5</v>
      </c>
      <c r="W437" s="166">
        <v>1.01374798703237E-2</v>
      </c>
      <c r="X437" s="166">
        <v>1.43206056714732E-3</v>
      </c>
    </row>
    <row r="438" spans="1:24">
      <c r="A438" s="4" t="s">
        <v>144</v>
      </c>
      <c r="B438" s="4">
        <v>969</v>
      </c>
      <c r="C438" s="4" t="s">
        <v>1855</v>
      </c>
      <c r="D438" s="4" t="s">
        <v>1856</v>
      </c>
      <c r="E438" s="4" t="s">
        <v>1380</v>
      </c>
      <c r="F438" s="4" t="s">
        <v>1857</v>
      </c>
      <c r="G438" s="4" t="s">
        <v>1858</v>
      </c>
      <c r="H438" s="4" t="s">
        <v>368</v>
      </c>
      <c r="I438" s="4" t="s">
        <v>976</v>
      </c>
      <c r="J438" s="4" t="s">
        <v>31</v>
      </c>
      <c r="K438" s="4" t="s">
        <v>31</v>
      </c>
      <c r="L438" s="2" t="s">
        <v>374</v>
      </c>
      <c r="M438" s="2" t="s">
        <v>32</v>
      </c>
      <c r="N438" s="4" t="s">
        <v>507</v>
      </c>
      <c r="O438" s="4" t="s">
        <v>164</v>
      </c>
      <c r="P438" s="4" t="s">
        <v>35</v>
      </c>
      <c r="Q438" s="152">
        <v>4347</v>
      </c>
      <c r="R438" s="152">
        <v>1</v>
      </c>
      <c r="S438" s="152">
        <v>1180</v>
      </c>
      <c r="U438" s="152">
        <v>51.295000000000002</v>
      </c>
      <c r="V438" s="152">
        <v>3.4999999999999997E-5</v>
      </c>
      <c r="W438" s="166">
        <v>4.9438394287590597E-3</v>
      </c>
      <c r="X438" s="166">
        <v>6.9838634323304697E-4</v>
      </c>
    </row>
    <row r="439" spans="1:24">
      <c r="A439" s="4" t="s">
        <v>144</v>
      </c>
      <c r="B439" s="4">
        <v>969</v>
      </c>
      <c r="C439" s="4" t="s">
        <v>1859</v>
      </c>
      <c r="D439" s="4" t="s">
        <v>1860</v>
      </c>
      <c r="E439" s="4" t="s">
        <v>34</v>
      </c>
      <c r="F439" s="4" t="s">
        <v>1861</v>
      </c>
      <c r="G439" s="4" t="s">
        <v>1862</v>
      </c>
      <c r="H439" s="4" t="s">
        <v>368</v>
      </c>
      <c r="I439" s="4" t="s">
        <v>976</v>
      </c>
      <c r="J439" s="4" t="s">
        <v>31</v>
      </c>
      <c r="K439" s="4" t="s">
        <v>31</v>
      </c>
      <c r="L439" s="2" t="s">
        <v>374</v>
      </c>
      <c r="M439" s="2" t="s">
        <v>32</v>
      </c>
      <c r="N439" s="4" t="s">
        <v>522</v>
      </c>
      <c r="O439" s="4" t="s">
        <v>164</v>
      </c>
      <c r="P439" s="4" t="s">
        <v>35</v>
      </c>
      <c r="Q439" s="152">
        <v>0</v>
      </c>
      <c r="R439" s="152">
        <v>1</v>
      </c>
      <c r="S439" s="152">
        <v>499.9</v>
      </c>
      <c r="T439" s="150">
        <v>1E-3</v>
      </c>
      <c r="U439" s="152">
        <v>1E-3</v>
      </c>
      <c r="W439" s="166">
        <v>6.5539273365152806E-8</v>
      </c>
      <c r="X439" s="166">
        <v>9.2583373961093801E-9</v>
      </c>
    </row>
    <row r="440" spans="1:24">
      <c r="A440" s="4" t="s">
        <v>144</v>
      </c>
      <c r="B440" s="4">
        <v>969</v>
      </c>
      <c r="C440" s="4" t="s">
        <v>1863</v>
      </c>
      <c r="D440" s="4" t="s">
        <v>1864</v>
      </c>
      <c r="E440" s="4" t="s">
        <v>1380</v>
      </c>
      <c r="F440" s="4" t="s">
        <v>1865</v>
      </c>
      <c r="G440" s="4" t="s">
        <v>1866</v>
      </c>
      <c r="H440" s="4" t="s">
        <v>368</v>
      </c>
      <c r="I440" s="4" t="s">
        <v>976</v>
      </c>
      <c r="J440" s="4" t="s">
        <v>31</v>
      </c>
      <c r="K440" s="4" t="s">
        <v>31</v>
      </c>
      <c r="L440" s="2" t="s">
        <v>374</v>
      </c>
      <c r="M440" s="2" t="s">
        <v>32</v>
      </c>
      <c r="N440" s="4" t="s">
        <v>490</v>
      </c>
      <c r="O440" s="4" t="s">
        <v>164</v>
      </c>
      <c r="P440" s="4" t="s">
        <v>35</v>
      </c>
      <c r="Q440" s="152">
        <v>394</v>
      </c>
      <c r="R440" s="152">
        <v>1</v>
      </c>
      <c r="S440" s="152">
        <v>77500</v>
      </c>
      <c r="U440" s="152">
        <v>305.35000000000002</v>
      </c>
      <c r="V440" s="152">
        <v>9.0000000000000002E-6</v>
      </c>
      <c r="W440" s="166">
        <v>2.9430025179484402E-2</v>
      </c>
      <c r="X440" s="166">
        <v>4.1574019469147001E-3</v>
      </c>
    </row>
    <row r="441" spans="1:24">
      <c r="A441" s="4" t="s">
        <v>144</v>
      </c>
      <c r="B441" s="4">
        <v>969</v>
      </c>
      <c r="C441" s="4" t="s">
        <v>1867</v>
      </c>
      <c r="D441" s="4" t="s">
        <v>1868</v>
      </c>
      <c r="E441" s="4" t="s">
        <v>1380</v>
      </c>
      <c r="F441" s="4" t="s">
        <v>1869</v>
      </c>
      <c r="G441" s="4" t="s">
        <v>1870</v>
      </c>
      <c r="H441" s="4" t="s">
        <v>368</v>
      </c>
      <c r="I441" s="4" t="s">
        <v>976</v>
      </c>
      <c r="J441" s="4" t="s">
        <v>31</v>
      </c>
      <c r="K441" s="4" t="s">
        <v>31</v>
      </c>
      <c r="L441" s="2" t="s">
        <v>374</v>
      </c>
      <c r="M441" s="2" t="s">
        <v>32</v>
      </c>
      <c r="N441" s="4" t="s">
        <v>495</v>
      </c>
      <c r="O441" s="4" t="s">
        <v>164</v>
      </c>
      <c r="P441" s="4" t="s">
        <v>35</v>
      </c>
      <c r="Q441" s="152">
        <v>43</v>
      </c>
      <c r="R441" s="152">
        <v>1</v>
      </c>
      <c r="S441" s="152">
        <v>158340</v>
      </c>
      <c r="U441" s="152">
        <v>68.085999999999999</v>
      </c>
      <c r="V441" s="152">
        <v>1.1E-5</v>
      </c>
      <c r="W441" s="166">
        <v>6.5622354032271501E-3</v>
      </c>
      <c r="X441" s="166">
        <v>9.2700737002791498E-4</v>
      </c>
    </row>
    <row r="442" spans="1:24">
      <c r="A442" s="4" t="s">
        <v>144</v>
      </c>
      <c r="B442" s="4">
        <v>969</v>
      </c>
      <c r="C442" s="4" t="s">
        <v>1871</v>
      </c>
      <c r="D442" s="4" t="s">
        <v>1872</v>
      </c>
      <c r="E442" s="4" t="s">
        <v>1380</v>
      </c>
      <c r="F442" s="4" t="s">
        <v>1873</v>
      </c>
      <c r="G442" s="4" t="s">
        <v>1874</v>
      </c>
      <c r="H442" s="4" t="s">
        <v>368</v>
      </c>
      <c r="I442" s="4" t="s">
        <v>976</v>
      </c>
      <c r="J442" s="4" t="s">
        <v>31</v>
      </c>
      <c r="K442" s="4" t="s">
        <v>101</v>
      </c>
      <c r="L442" s="2" t="s">
        <v>374</v>
      </c>
      <c r="M442" s="2" t="s">
        <v>32</v>
      </c>
      <c r="N442" s="4" t="s">
        <v>485</v>
      </c>
      <c r="O442" s="4" t="s">
        <v>164</v>
      </c>
      <c r="P442" s="4" t="s">
        <v>35</v>
      </c>
      <c r="Q442" s="152">
        <v>1699.5</v>
      </c>
      <c r="R442" s="152">
        <v>1</v>
      </c>
      <c r="S442" s="152">
        <v>6299</v>
      </c>
      <c r="U442" s="152">
        <v>107.05200000000001</v>
      </c>
      <c r="V442" s="152">
        <v>1.4E-5</v>
      </c>
      <c r="W442" s="166">
        <v>1.03177615446265E-2</v>
      </c>
      <c r="X442" s="166">
        <v>1.45752787066366E-3</v>
      </c>
    </row>
    <row r="443" spans="1:24">
      <c r="A443" s="4" t="s">
        <v>144</v>
      </c>
      <c r="B443" s="4">
        <v>969</v>
      </c>
      <c r="C443" s="4" t="s">
        <v>1875</v>
      </c>
      <c r="D443" s="4" t="s">
        <v>1876</v>
      </c>
      <c r="E443" s="4" t="s">
        <v>362</v>
      </c>
      <c r="F443" s="4" t="s">
        <v>1877</v>
      </c>
      <c r="G443" s="4" t="s">
        <v>1878</v>
      </c>
      <c r="H443" s="4" t="s">
        <v>368</v>
      </c>
      <c r="I443" s="4" t="s">
        <v>976</v>
      </c>
      <c r="J443" s="4" t="s">
        <v>100</v>
      </c>
      <c r="K443" s="4" t="s">
        <v>283</v>
      </c>
      <c r="L443" s="2" t="s">
        <v>374</v>
      </c>
      <c r="M443" s="2" t="s">
        <v>32</v>
      </c>
      <c r="N443" s="4" t="s">
        <v>498</v>
      </c>
      <c r="O443" s="4" t="s">
        <v>164</v>
      </c>
      <c r="P443" s="4" t="s">
        <v>35</v>
      </c>
      <c r="Q443" s="152">
        <v>2306</v>
      </c>
      <c r="R443" s="152">
        <v>1</v>
      </c>
      <c r="S443" s="152">
        <v>5008</v>
      </c>
      <c r="T443" s="150">
        <v>2.532</v>
      </c>
      <c r="U443" s="152">
        <v>118.01600000000001</v>
      </c>
      <c r="V443" s="152">
        <v>1.2999999999999999E-5</v>
      </c>
      <c r="W443" s="166">
        <v>1.13745789542946E-2</v>
      </c>
      <c r="X443" s="166">
        <v>1.60681808464385E-3</v>
      </c>
    </row>
    <row r="444" spans="1:24">
      <c r="A444" s="4" t="s">
        <v>144</v>
      </c>
      <c r="B444" s="4">
        <v>969</v>
      </c>
      <c r="C444" s="4" t="s">
        <v>1883</v>
      </c>
      <c r="D444" s="4" t="s">
        <v>1884</v>
      </c>
      <c r="E444" s="4" t="s">
        <v>1380</v>
      </c>
      <c r="F444" s="4" t="s">
        <v>1885</v>
      </c>
      <c r="G444" s="4" t="s">
        <v>1886</v>
      </c>
      <c r="H444" s="4" t="s">
        <v>368</v>
      </c>
      <c r="I444" s="4" t="s">
        <v>976</v>
      </c>
      <c r="J444" s="4" t="s">
        <v>31</v>
      </c>
      <c r="K444" s="4" t="s">
        <v>31</v>
      </c>
      <c r="L444" s="2" t="s">
        <v>374</v>
      </c>
      <c r="M444" s="2" t="s">
        <v>32</v>
      </c>
      <c r="N444" s="4" t="s">
        <v>491</v>
      </c>
      <c r="O444" s="4" t="s">
        <v>164</v>
      </c>
      <c r="P444" s="4" t="s">
        <v>35</v>
      </c>
      <c r="Q444" s="152">
        <v>2552</v>
      </c>
      <c r="R444" s="152">
        <v>1</v>
      </c>
      <c r="S444" s="152">
        <v>5478</v>
      </c>
      <c r="U444" s="152">
        <v>139.79900000000001</v>
      </c>
      <c r="V444" s="152">
        <v>2.5000000000000001E-5</v>
      </c>
      <c r="W444" s="166">
        <v>1.3473964764551E-2</v>
      </c>
      <c r="X444" s="166">
        <v>1.9033856411327099E-3</v>
      </c>
    </row>
    <row r="445" spans="1:24">
      <c r="A445" s="4" t="s">
        <v>144</v>
      </c>
      <c r="B445" s="4">
        <v>969</v>
      </c>
      <c r="C445" s="4" t="s">
        <v>1887</v>
      </c>
      <c r="D445" s="4" t="s">
        <v>1888</v>
      </c>
      <c r="E445" s="4" t="s">
        <v>1380</v>
      </c>
      <c r="F445" s="4" t="s">
        <v>1889</v>
      </c>
      <c r="G445" s="4" t="s">
        <v>1890</v>
      </c>
      <c r="H445" s="4" t="s">
        <v>368</v>
      </c>
      <c r="I445" s="4" t="s">
        <v>976</v>
      </c>
      <c r="J445" s="4" t="s">
        <v>31</v>
      </c>
      <c r="K445" s="4" t="s">
        <v>101</v>
      </c>
      <c r="L445" s="2" t="s">
        <v>374</v>
      </c>
      <c r="M445" s="2" t="s">
        <v>32</v>
      </c>
      <c r="N445" s="4" t="s">
        <v>509</v>
      </c>
      <c r="O445" s="4" t="s">
        <v>164</v>
      </c>
      <c r="P445" s="4" t="s">
        <v>35</v>
      </c>
      <c r="Q445" s="152">
        <v>3800</v>
      </c>
      <c r="R445" s="152">
        <v>1</v>
      </c>
      <c r="S445" s="152">
        <v>755</v>
      </c>
      <c r="U445" s="152">
        <v>28.69</v>
      </c>
      <c r="V445" s="152">
        <v>6.8999999999999997E-5</v>
      </c>
      <c r="W445" s="166">
        <v>2.7651790483032802E-3</v>
      </c>
      <c r="X445" s="166">
        <v>3.9062014690349701E-4</v>
      </c>
    </row>
    <row r="446" spans="1:24">
      <c r="A446" s="4" t="s">
        <v>144</v>
      </c>
      <c r="B446" s="4">
        <v>969</v>
      </c>
      <c r="C446" s="4" t="s">
        <v>1891</v>
      </c>
      <c r="D446" s="4" t="s">
        <v>1892</v>
      </c>
      <c r="E446" s="4" t="s">
        <v>1380</v>
      </c>
      <c r="F446" s="4" t="s">
        <v>1893</v>
      </c>
      <c r="G446" s="4" t="s">
        <v>1894</v>
      </c>
      <c r="H446" s="4" t="s">
        <v>368</v>
      </c>
      <c r="I446" s="4" t="s">
        <v>976</v>
      </c>
      <c r="J446" s="4" t="s">
        <v>31</v>
      </c>
      <c r="K446" s="4" t="s">
        <v>31</v>
      </c>
      <c r="L446" s="2" t="s">
        <v>374</v>
      </c>
      <c r="M446" s="2" t="s">
        <v>32</v>
      </c>
      <c r="N446" s="4" t="s">
        <v>484</v>
      </c>
      <c r="O446" s="4" t="s">
        <v>164</v>
      </c>
      <c r="P446" s="4" t="s">
        <v>35</v>
      </c>
      <c r="Q446" s="152">
        <v>45645</v>
      </c>
      <c r="R446" s="152">
        <v>1</v>
      </c>
      <c r="S446" s="152">
        <v>122</v>
      </c>
      <c r="T446" s="150">
        <v>7.5979999999999999</v>
      </c>
      <c r="U446" s="152">
        <v>63.284999999999997</v>
      </c>
      <c r="V446" s="152">
        <v>1.4E-5</v>
      </c>
      <c r="W446" s="166">
        <v>6.0994866893168999E-3</v>
      </c>
      <c r="X446" s="166">
        <v>8.6163765347450005E-4</v>
      </c>
    </row>
    <row r="447" spans="1:24">
      <c r="A447" s="4" t="s">
        <v>144</v>
      </c>
      <c r="B447" s="4">
        <v>969</v>
      </c>
      <c r="C447" s="4" t="s">
        <v>1895</v>
      </c>
      <c r="D447" s="4" t="s">
        <v>1896</v>
      </c>
      <c r="E447" s="4" t="s">
        <v>1380</v>
      </c>
      <c r="F447" s="4" t="s">
        <v>1897</v>
      </c>
      <c r="G447" s="4" t="s">
        <v>1898</v>
      </c>
      <c r="H447" s="4" t="s">
        <v>368</v>
      </c>
      <c r="I447" s="4" t="s">
        <v>976</v>
      </c>
      <c r="J447" s="4" t="s">
        <v>31</v>
      </c>
      <c r="K447" s="4" t="s">
        <v>31</v>
      </c>
      <c r="L447" s="2" t="s">
        <v>374</v>
      </c>
      <c r="M447" s="2" t="s">
        <v>32</v>
      </c>
      <c r="N447" s="4" t="s">
        <v>529</v>
      </c>
      <c r="O447" s="4" t="s">
        <v>164</v>
      </c>
      <c r="P447" s="4" t="s">
        <v>35</v>
      </c>
      <c r="Q447" s="152">
        <v>28110</v>
      </c>
      <c r="R447" s="152">
        <v>1</v>
      </c>
      <c r="S447" s="152">
        <v>473</v>
      </c>
      <c r="U447" s="152">
        <v>132.96</v>
      </c>
      <c r="V447" s="152">
        <v>1.0000000000000001E-5</v>
      </c>
      <c r="W447" s="166">
        <v>1.28148844829599E-2</v>
      </c>
      <c r="X447" s="166">
        <v>1.8102813495410599E-3</v>
      </c>
    </row>
    <row r="448" spans="1:24">
      <c r="A448" s="4" t="s">
        <v>144</v>
      </c>
      <c r="B448" s="4">
        <v>969</v>
      </c>
      <c r="C448" s="4" t="s">
        <v>1899</v>
      </c>
      <c r="D448" s="4" t="s">
        <v>1900</v>
      </c>
      <c r="E448" s="4" t="s">
        <v>1380</v>
      </c>
      <c r="F448" s="4" t="s">
        <v>1901</v>
      </c>
      <c r="G448" s="4" t="s">
        <v>1902</v>
      </c>
      <c r="H448" s="4" t="s">
        <v>368</v>
      </c>
      <c r="I448" s="4" t="s">
        <v>976</v>
      </c>
      <c r="J448" s="4" t="s">
        <v>31</v>
      </c>
      <c r="K448" s="4" t="s">
        <v>31</v>
      </c>
      <c r="L448" s="2" t="s">
        <v>374</v>
      </c>
      <c r="M448" s="2" t="s">
        <v>32</v>
      </c>
      <c r="N448" s="4" t="s">
        <v>508</v>
      </c>
      <c r="O448" s="4" t="s">
        <v>164</v>
      </c>
      <c r="P448" s="4" t="s">
        <v>35</v>
      </c>
      <c r="Q448" s="152">
        <v>257.44</v>
      </c>
      <c r="R448" s="152">
        <v>1</v>
      </c>
      <c r="S448" s="152">
        <v>41030</v>
      </c>
      <c r="U448" s="152">
        <v>105.628</v>
      </c>
      <c r="V448" s="152">
        <v>1.0000000000000001E-5</v>
      </c>
      <c r="W448" s="166">
        <v>1.01805268361202E-2</v>
      </c>
      <c r="X448" s="166">
        <v>1.4381415520706999E-3</v>
      </c>
    </row>
    <row r="449" spans="1:24">
      <c r="A449" s="4" t="s">
        <v>144</v>
      </c>
      <c r="B449" s="4">
        <v>969</v>
      </c>
      <c r="C449" s="4" t="s">
        <v>1903</v>
      </c>
      <c r="D449" s="4" t="s">
        <v>1904</v>
      </c>
      <c r="E449" s="4" t="s">
        <v>1380</v>
      </c>
      <c r="F449" s="4" t="s">
        <v>1905</v>
      </c>
      <c r="G449" s="4" t="s">
        <v>1906</v>
      </c>
      <c r="H449" s="4" t="s">
        <v>368</v>
      </c>
      <c r="I449" s="4" t="s">
        <v>976</v>
      </c>
      <c r="J449" s="4" t="s">
        <v>31</v>
      </c>
      <c r="K449" s="4" t="s">
        <v>31</v>
      </c>
      <c r="L449" s="2" t="s">
        <v>374</v>
      </c>
      <c r="M449" s="2" t="s">
        <v>32</v>
      </c>
      <c r="N449" s="4" t="s">
        <v>492</v>
      </c>
      <c r="O449" s="4" t="s">
        <v>164</v>
      </c>
      <c r="P449" s="4" t="s">
        <v>35</v>
      </c>
      <c r="Q449" s="152">
        <v>694</v>
      </c>
      <c r="R449" s="152">
        <v>1</v>
      </c>
      <c r="S449" s="152">
        <v>15440</v>
      </c>
      <c r="U449" s="152">
        <v>107.154</v>
      </c>
      <c r="V449" s="152">
        <v>6.9999999999999999E-6</v>
      </c>
      <c r="W449" s="166">
        <v>1.0327601591853299E-2</v>
      </c>
      <c r="X449" s="166">
        <v>1.4589179147172699E-3</v>
      </c>
    </row>
    <row r="450" spans="1:24">
      <c r="A450" s="4" t="s">
        <v>144</v>
      </c>
      <c r="B450" s="4">
        <v>969</v>
      </c>
      <c r="C450" s="4" t="s">
        <v>1911</v>
      </c>
      <c r="D450" s="4" t="s">
        <v>1912</v>
      </c>
      <c r="E450" s="4" t="s">
        <v>1380</v>
      </c>
      <c r="F450" s="4" t="s">
        <v>1913</v>
      </c>
      <c r="G450" s="4" t="s">
        <v>1914</v>
      </c>
      <c r="H450" s="4" t="s">
        <v>368</v>
      </c>
      <c r="I450" s="4" t="s">
        <v>976</v>
      </c>
      <c r="J450" s="4" t="s">
        <v>31</v>
      </c>
      <c r="K450" s="4" t="s">
        <v>31</v>
      </c>
      <c r="L450" s="2" t="s">
        <v>374</v>
      </c>
      <c r="M450" s="2" t="s">
        <v>32</v>
      </c>
      <c r="N450" s="4" t="s">
        <v>492</v>
      </c>
      <c r="O450" s="4" t="s">
        <v>164</v>
      </c>
      <c r="P450" s="4" t="s">
        <v>35</v>
      </c>
      <c r="Q450" s="152">
        <v>7648</v>
      </c>
      <c r="R450" s="152">
        <v>1</v>
      </c>
      <c r="S450" s="152">
        <v>1946</v>
      </c>
      <c r="T450" s="150">
        <v>1.1359999999999999</v>
      </c>
      <c r="U450" s="152">
        <v>149.96600000000001</v>
      </c>
      <c r="V450" s="152">
        <v>6.0000000000000002E-6</v>
      </c>
      <c r="W450" s="166">
        <v>1.4453959061987501E-2</v>
      </c>
      <c r="X450" s="166">
        <v>2.0418235179364202E-3</v>
      </c>
    </row>
    <row r="451" spans="1:24">
      <c r="A451" s="4" t="s">
        <v>144</v>
      </c>
      <c r="B451" s="4">
        <v>969</v>
      </c>
      <c r="C451" s="4" t="s">
        <v>1915</v>
      </c>
      <c r="D451" s="4" t="s">
        <v>1916</v>
      </c>
      <c r="E451" s="4" t="s">
        <v>1380</v>
      </c>
      <c r="F451" s="4" t="s">
        <v>1917</v>
      </c>
      <c r="G451" s="4" t="s">
        <v>1918</v>
      </c>
      <c r="H451" s="4" t="s">
        <v>368</v>
      </c>
      <c r="I451" s="4" t="s">
        <v>976</v>
      </c>
      <c r="J451" s="4" t="s">
        <v>31</v>
      </c>
      <c r="K451" s="4" t="s">
        <v>31</v>
      </c>
      <c r="L451" s="2" t="s">
        <v>374</v>
      </c>
      <c r="M451" s="2" t="s">
        <v>32</v>
      </c>
      <c r="N451" s="4" t="s">
        <v>481</v>
      </c>
      <c r="O451" s="4" t="s">
        <v>164</v>
      </c>
      <c r="P451" s="4" t="s">
        <v>35</v>
      </c>
      <c r="Q451" s="152">
        <v>1213</v>
      </c>
      <c r="R451" s="152">
        <v>1</v>
      </c>
      <c r="S451" s="152">
        <v>16390</v>
      </c>
      <c r="U451" s="152">
        <v>198.81100000000001</v>
      </c>
      <c r="V451" s="152">
        <v>4.6999999999999997E-5</v>
      </c>
      <c r="W451" s="166">
        <v>1.9161630610613802E-2</v>
      </c>
      <c r="X451" s="166">
        <v>2.70684785081865E-3</v>
      </c>
    </row>
    <row r="452" spans="1:24">
      <c r="A452" s="4" t="s">
        <v>144</v>
      </c>
      <c r="B452" s="4">
        <v>969</v>
      </c>
      <c r="C452" s="4" t="s">
        <v>2214</v>
      </c>
      <c r="D452" s="4" t="s">
        <v>2215</v>
      </c>
      <c r="E452" s="4" t="s">
        <v>1380</v>
      </c>
      <c r="F452" s="4" t="s">
        <v>2216</v>
      </c>
      <c r="G452" s="4" t="s">
        <v>2217</v>
      </c>
      <c r="H452" s="4" t="s">
        <v>368</v>
      </c>
      <c r="I452" s="4" t="s">
        <v>976</v>
      </c>
      <c r="J452" s="4" t="s">
        <v>31</v>
      </c>
      <c r="K452" s="4" t="s">
        <v>31</v>
      </c>
      <c r="L452" s="2" t="s">
        <v>374</v>
      </c>
      <c r="M452" s="2" t="s">
        <v>32</v>
      </c>
      <c r="N452" s="4" t="s">
        <v>522</v>
      </c>
      <c r="O452" s="4" t="s">
        <v>164</v>
      </c>
      <c r="P452" s="4" t="s">
        <v>35</v>
      </c>
      <c r="Q452" s="152">
        <v>123</v>
      </c>
      <c r="R452" s="152">
        <v>1</v>
      </c>
      <c r="S452" s="152">
        <v>33190</v>
      </c>
      <c r="U452" s="152">
        <v>40.823999999999998</v>
      </c>
      <c r="V452" s="152">
        <v>2.0999999999999999E-5</v>
      </c>
      <c r="W452" s="166">
        <v>3.93464063834851E-3</v>
      </c>
      <c r="X452" s="166">
        <v>5.5582292405522099E-4</v>
      </c>
    </row>
    <row r="453" spans="1:24">
      <c r="A453" s="4" t="s">
        <v>144</v>
      </c>
      <c r="B453" s="4">
        <v>969</v>
      </c>
      <c r="C453" s="4" t="s">
        <v>1919</v>
      </c>
      <c r="D453" s="4" t="s">
        <v>1920</v>
      </c>
      <c r="E453" s="4" t="s">
        <v>1380</v>
      </c>
      <c r="F453" s="4" t="s">
        <v>1921</v>
      </c>
      <c r="G453" s="4" t="s">
        <v>1922</v>
      </c>
      <c r="H453" s="4" t="s">
        <v>368</v>
      </c>
      <c r="I453" s="4" t="s">
        <v>976</v>
      </c>
      <c r="J453" s="4" t="s">
        <v>31</v>
      </c>
      <c r="K453" s="4" t="s">
        <v>31</v>
      </c>
      <c r="L453" s="2" t="s">
        <v>374</v>
      </c>
      <c r="M453" s="2" t="s">
        <v>32</v>
      </c>
      <c r="N453" s="4" t="s">
        <v>489</v>
      </c>
      <c r="O453" s="4" t="s">
        <v>164</v>
      </c>
      <c r="P453" s="4" t="s">
        <v>35</v>
      </c>
      <c r="Q453" s="152">
        <v>2577</v>
      </c>
      <c r="R453" s="152">
        <v>1</v>
      </c>
      <c r="S453" s="152">
        <v>3810</v>
      </c>
      <c r="U453" s="152">
        <v>98.183999999999997</v>
      </c>
      <c r="V453" s="152">
        <v>1.0000000000000001E-5</v>
      </c>
      <c r="W453" s="166">
        <v>9.4630711092678604E-3</v>
      </c>
      <c r="X453" s="166">
        <v>1.3367909138211501E-3</v>
      </c>
    </row>
    <row r="454" spans="1:24">
      <c r="A454" s="4" t="s">
        <v>144</v>
      </c>
      <c r="B454" s="4">
        <v>969</v>
      </c>
      <c r="C454" s="4" t="s">
        <v>1923</v>
      </c>
      <c r="D454" s="4" t="s">
        <v>1924</v>
      </c>
      <c r="E454" s="4" t="s">
        <v>1380</v>
      </c>
      <c r="F454" s="4" t="s">
        <v>1925</v>
      </c>
      <c r="G454" s="4" t="s">
        <v>1926</v>
      </c>
      <c r="H454" s="4" t="s">
        <v>368</v>
      </c>
      <c r="I454" s="4" t="s">
        <v>976</v>
      </c>
      <c r="J454" s="4" t="s">
        <v>31</v>
      </c>
      <c r="K454" s="4" t="s">
        <v>31</v>
      </c>
      <c r="L454" s="2" t="s">
        <v>374</v>
      </c>
      <c r="M454" s="2" t="s">
        <v>32</v>
      </c>
      <c r="N454" s="4" t="s">
        <v>489</v>
      </c>
      <c r="O454" s="4" t="s">
        <v>164</v>
      </c>
      <c r="P454" s="4" t="s">
        <v>35</v>
      </c>
      <c r="Q454" s="152">
        <v>5016</v>
      </c>
      <c r="R454" s="152">
        <v>1</v>
      </c>
      <c r="S454" s="152">
        <v>3510</v>
      </c>
      <c r="U454" s="152">
        <v>176.06200000000001</v>
      </c>
      <c r="V454" s="152">
        <v>2.4000000000000001E-5</v>
      </c>
      <c r="W454" s="166">
        <v>1.6969043134567902E-2</v>
      </c>
      <c r="X454" s="166">
        <v>2.3971142577924299E-3</v>
      </c>
    </row>
    <row r="455" spans="1:24">
      <c r="A455" s="4" t="s">
        <v>144</v>
      </c>
      <c r="B455" s="4">
        <v>969</v>
      </c>
      <c r="C455" s="4" t="s">
        <v>1927</v>
      </c>
      <c r="D455" s="4" t="s">
        <v>1928</v>
      </c>
      <c r="E455" s="4" t="s">
        <v>1380</v>
      </c>
      <c r="F455" s="4" t="s">
        <v>1929</v>
      </c>
      <c r="G455" s="4" t="s">
        <v>1930</v>
      </c>
      <c r="H455" s="4" t="s">
        <v>368</v>
      </c>
      <c r="I455" s="4" t="s">
        <v>976</v>
      </c>
      <c r="J455" s="4" t="s">
        <v>31</v>
      </c>
      <c r="K455" s="4" t="s">
        <v>31</v>
      </c>
      <c r="L455" s="2" t="s">
        <v>374</v>
      </c>
      <c r="M455" s="2" t="s">
        <v>32</v>
      </c>
      <c r="N455" s="4" t="s">
        <v>495</v>
      </c>
      <c r="O455" s="4" t="s">
        <v>164</v>
      </c>
      <c r="P455" s="4" t="s">
        <v>35</v>
      </c>
      <c r="Q455" s="152">
        <v>69</v>
      </c>
      <c r="R455" s="152">
        <v>1</v>
      </c>
      <c r="S455" s="152">
        <v>100120</v>
      </c>
      <c r="U455" s="152">
        <v>69.082999999999998</v>
      </c>
      <c r="V455" s="152">
        <v>9.0000000000000002E-6</v>
      </c>
      <c r="W455" s="166">
        <v>6.6582889912208502E-3</v>
      </c>
      <c r="X455" s="166">
        <v>9.4057628039403702E-4</v>
      </c>
    </row>
    <row r="456" spans="1:24">
      <c r="A456" s="4" t="s">
        <v>144</v>
      </c>
      <c r="B456" s="4">
        <v>969</v>
      </c>
      <c r="C456" s="4" t="s">
        <v>1931</v>
      </c>
      <c r="D456" s="4" t="s">
        <v>1932</v>
      </c>
      <c r="E456" s="4" t="s">
        <v>1380</v>
      </c>
      <c r="F456" s="4" t="s">
        <v>1933</v>
      </c>
      <c r="G456" s="4" t="s">
        <v>1934</v>
      </c>
      <c r="H456" s="4" t="s">
        <v>368</v>
      </c>
      <c r="I456" s="4" t="s">
        <v>976</v>
      </c>
      <c r="J456" s="4" t="s">
        <v>31</v>
      </c>
      <c r="K456" s="4" t="s">
        <v>31</v>
      </c>
      <c r="L456" s="2" t="s">
        <v>374</v>
      </c>
      <c r="M456" s="2" t="s">
        <v>32</v>
      </c>
      <c r="N456" s="4" t="s">
        <v>521</v>
      </c>
      <c r="O456" s="4" t="s">
        <v>164</v>
      </c>
      <c r="P456" s="4" t="s">
        <v>35</v>
      </c>
      <c r="Q456" s="152">
        <v>658</v>
      </c>
      <c r="R456" s="152">
        <v>1</v>
      </c>
      <c r="S456" s="152">
        <v>23460</v>
      </c>
      <c r="U456" s="152">
        <v>154.36699999999999</v>
      </c>
      <c r="V456" s="152">
        <v>2.8E-5</v>
      </c>
      <c r="W456" s="166">
        <v>1.4878070446623299E-2</v>
      </c>
      <c r="X456" s="166">
        <v>2.1017351722907901E-3</v>
      </c>
    </row>
    <row r="457" spans="1:24">
      <c r="A457" s="4" t="s">
        <v>144</v>
      </c>
      <c r="B457" s="4">
        <v>969</v>
      </c>
      <c r="C457" s="4" t="s">
        <v>1935</v>
      </c>
      <c r="D457" s="4" t="s">
        <v>1936</v>
      </c>
      <c r="E457" s="4" t="s">
        <v>1380</v>
      </c>
      <c r="F457" s="4" t="s">
        <v>1937</v>
      </c>
      <c r="G457" s="4" t="s">
        <v>1938</v>
      </c>
      <c r="H457" s="4" t="s">
        <v>368</v>
      </c>
      <c r="I457" s="4" t="s">
        <v>976</v>
      </c>
      <c r="J457" s="4" t="s">
        <v>31</v>
      </c>
      <c r="K457" s="4" t="s">
        <v>31</v>
      </c>
      <c r="L457" s="2" t="s">
        <v>374</v>
      </c>
      <c r="M457" s="2" t="s">
        <v>32</v>
      </c>
      <c r="N457" s="4" t="s">
        <v>529</v>
      </c>
      <c r="O457" s="4" t="s">
        <v>164</v>
      </c>
      <c r="P457" s="4" t="s">
        <v>35</v>
      </c>
      <c r="Q457" s="152">
        <v>1570</v>
      </c>
      <c r="R457" s="152">
        <v>1</v>
      </c>
      <c r="S457" s="152">
        <v>58.7</v>
      </c>
      <c r="U457" s="152">
        <v>0.92200000000000004</v>
      </c>
      <c r="V457" s="152">
        <v>4.8999999999999998E-5</v>
      </c>
      <c r="W457" s="166">
        <v>8.8824027853810501E-5</v>
      </c>
      <c r="X457" s="166">
        <v>1.25476340601183E-5</v>
      </c>
    </row>
    <row r="458" spans="1:24">
      <c r="A458" s="4" t="s">
        <v>144</v>
      </c>
      <c r="B458" s="4">
        <v>969</v>
      </c>
      <c r="C458" s="4" t="s">
        <v>1939</v>
      </c>
      <c r="D458" s="4" t="s">
        <v>1940</v>
      </c>
      <c r="E458" s="4" t="s">
        <v>1380</v>
      </c>
      <c r="F458" s="4" t="s">
        <v>1941</v>
      </c>
      <c r="G458" s="4" t="s">
        <v>1942</v>
      </c>
      <c r="H458" s="4" t="s">
        <v>368</v>
      </c>
      <c r="I458" s="4" t="s">
        <v>976</v>
      </c>
      <c r="J458" s="4" t="s">
        <v>31</v>
      </c>
      <c r="K458" s="4" t="s">
        <v>346</v>
      </c>
      <c r="L458" s="2" t="s">
        <v>374</v>
      </c>
      <c r="M458" s="2" t="s">
        <v>32</v>
      </c>
      <c r="N458" s="4" t="s">
        <v>502</v>
      </c>
      <c r="O458" s="4" t="s">
        <v>164</v>
      </c>
      <c r="P458" s="4" t="s">
        <v>35</v>
      </c>
      <c r="Q458" s="152">
        <v>551</v>
      </c>
      <c r="R458" s="152">
        <v>1</v>
      </c>
      <c r="S458" s="152">
        <v>12310</v>
      </c>
      <c r="U458" s="152">
        <v>67.828000000000003</v>
      </c>
      <c r="V458" s="152">
        <v>5.0000000000000004E-6</v>
      </c>
      <c r="W458" s="166">
        <v>6.5373593937336997E-3</v>
      </c>
      <c r="X458" s="166">
        <v>9.2349328637801001E-4</v>
      </c>
    </row>
    <row r="459" spans="1:24">
      <c r="A459" s="4" t="s">
        <v>144</v>
      </c>
      <c r="B459" s="4">
        <v>969</v>
      </c>
      <c r="C459" s="4" t="s">
        <v>1943</v>
      </c>
      <c r="D459" s="4" t="s">
        <v>1944</v>
      </c>
      <c r="E459" s="4" t="s">
        <v>1380</v>
      </c>
      <c r="F459" s="4" t="s">
        <v>1945</v>
      </c>
      <c r="G459" s="4" t="s">
        <v>1946</v>
      </c>
      <c r="H459" s="4" t="s">
        <v>368</v>
      </c>
      <c r="I459" s="4" t="s">
        <v>976</v>
      </c>
      <c r="J459" s="4" t="s">
        <v>31</v>
      </c>
      <c r="K459" s="4" t="s">
        <v>101</v>
      </c>
      <c r="L459" s="2" t="s">
        <v>374</v>
      </c>
      <c r="M459" s="2" t="s">
        <v>32</v>
      </c>
      <c r="N459" s="4" t="s">
        <v>511</v>
      </c>
      <c r="O459" s="4" t="s">
        <v>164</v>
      </c>
      <c r="P459" s="4" t="s">
        <v>35</v>
      </c>
      <c r="Q459" s="152">
        <v>15248</v>
      </c>
      <c r="R459" s="152">
        <v>1</v>
      </c>
      <c r="S459" s="152">
        <v>5173</v>
      </c>
      <c r="U459" s="152">
        <v>788.779</v>
      </c>
      <c r="V459" s="152">
        <v>1.4E-5</v>
      </c>
      <c r="W459" s="166">
        <v>7.6023536951856999E-2</v>
      </c>
      <c r="X459" s="166">
        <v>1.07393860048518E-2</v>
      </c>
    </row>
    <row r="460" spans="1:24">
      <c r="A460" s="4" t="s">
        <v>144</v>
      </c>
      <c r="B460" s="4">
        <v>969</v>
      </c>
      <c r="C460" s="4" t="s">
        <v>1951</v>
      </c>
      <c r="D460" s="4" t="s">
        <v>1952</v>
      </c>
      <c r="E460" s="4" t="s">
        <v>1380</v>
      </c>
      <c r="F460" s="4" t="s">
        <v>1953</v>
      </c>
      <c r="G460" s="4" t="s">
        <v>1954</v>
      </c>
      <c r="H460" s="4" t="s">
        <v>368</v>
      </c>
      <c r="I460" s="4" t="s">
        <v>976</v>
      </c>
      <c r="J460" s="4" t="s">
        <v>31</v>
      </c>
      <c r="K460" s="4" t="s">
        <v>31</v>
      </c>
      <c r="L460" s="2" t="s">
        <v>374</v>
      </c>
      <c r="M460" s="2" t="s">
        <v>32</v>
      </c>
      <c r="N460" s="4" t="s">
        <v>523</v>
      </c>
      <c r="O460" s="4" t="s">
        <v>164</v>
      </c>
      <c r="P460" s="4" t="s">
        <v>35</v>
      </c>
      <c r="Q460" s="152">
        <v>5935</v>
      </c>
      <c r="R460" s="152">
        <v>1</v>
      </c>
      <c r="S460" s="152">
        <v>1476</v>
      </c>
      <c r="T460" s="150">
        <v>1.36</v>
      </c>
      <c r="U460" s="152">
        <v>88.96</v>
      </c>
      <c r="V460" s="152">
        <v>3.0000000000000001E-5</v>
      </c>
      <c r="W460" s="166">
        <v>8.5741147177869608E-3</v>
      </c>
      <c r="X460" s="166">
        <v>1.2112134122687201E-3</v>
      </c>
    </row>
    <row r="461" spans="1:24">
      <c r="A461" s="4" t="s">
        <v>144</v>
      </c>
      <c r="B461" s="4">
        <v>969</v>
      </c>
      <c r="C461" s="4" t="s">
        <v>1955</v>
      </c>
      <c r="D461" s="4" t="s">
        <v>1956</v>
      </c>
      <c r="E461" s="4" t="s">
        <v>1380</v>
      </c>
      <c r="F461" s="4" t="s">
        <v>1957</v>
      </c>
      <c r="G461" s="4" t="s">
        <v>1958</v>
      </c>
      <c r="H461" s="4" t="s">
        <v>368</v>
      </c>
      <c r="I461" s="4" t="s">
        <v>976</v>
      </c>
      <c r="J461" s="4" t="s">
        <v>31</v>
      </c>
      <c r="K461" s="4" t="s">
        <v>31</v>
      </c>
      <c r="L461" s="2" t="s">
        <v>374</v>
      </c>
      <c r="M461" s="2" t="s">
        <v>32</v>
      </c>
      <c r="N461" s="4" t="s">
        <v>489</v>
      </c>
      <c r="O461" s="4" t="s">
        <v>164</v>
      </c>
      <c r="P461" s="4" t="s">
        <v>35</v>
      </c>
      <c r="Q461" s="152">
        <v>2529</v>
      </c>
      <c r="R461" s="152">
        <v>1</v>
      </c>
      <c r="S461" s="152">
        <v>6569</v>
      </c>
      <c r="U461" s="152">
        <v>166.13</v>
      </c>
      <c r="V461" s="152">
        <v>3.1999999999999999E-5</v>
      </c>
      <c r="W461" s="166">
        <v>1.6011823734625799E-2</v>
      </c>
      <c r="X461" s="166">
        <v>2.2618936532338599E-3</v>
      </c>
    </row>
    <row r="462" spans="1:24">
      <c r="A462" s="4" t="s">
        <v>144</v>
      </c>
      <c r="B462" s="4">
        <v>969</v>
      </c>
      <c r="C462" s="4" t="s">
        <v>1219</v>
      </c>
      <c r="D462" s="4" t="s">
        <v>1959</v>
      </c>
      <c r="E462" s="4" t="s">
        <v>1380</v>
      </c>
      <c r="F462" s="4" t="s">
        <v>1960</v>
      </c>
      <c r="G462" s="4" t="s">
        <v>1961</v>
      </c>
      <c r="H462" s="4" t="s">
        <v>368</v>
      </c>
      <c r="I462" s="4" t="s">
        <v>976</v>
      </c>
      <c r="J462" s="4" t="s">
        <v>31</v>
      </c>
      <c r="K462" s="4" t="s">
        <v>31</v>
      </c>
      <c r="L462" s="2" t="s">
        <v>374</v>
      </c>
      <c r="M462" s="2" t="s">
        <v>32</v>
      </c>
      <c r="N462" s="4" t="s">
        <v>492</v>
      </c>
      <c r="O462" s="4" t="s">
        <v>164</v>
      </c>
      <c r="P462" s="4" t="s">
        <v>35</v>
      </c>
      <c r="Q462" s="152">
        <v>10218</v>
      </c>
      <c r="R462" s="152">
        <v>1</v>
      </c>
      <c r="S462" s="152">
        <v>3100</v>
      </c>
      <c r="T462" s="150">
        <v>2.4489999999999998</v>
      </c>
      <c r="U462" s="152">
        <v>319.20699999999999</v>
      </c>
      <c r="V462" s="152">
        <v>6.0000000000000002E-6</v>
      </c>
      <c r="W462" s="166">
        <v>3.0765612442691999E-2</v>
      </c>
      <c r="X462" s="166">
        <v>4.3460722947812197E-3</v>
      </c>
    </row>
    <row r="463" spans="1:24">
      <c r="A463" s="4" t="s">
        <v>144</v>
      </c>
      <c r="B463" s="4">
        <v>969</v>
      </c>
      <c r="C463" s="4" t="s">
        <v>1962</v>
      </c>
      <c r="D463" s="4" t="s">
        <v>1963</v>
      </c>
      <c r="E463" s="4" t="s">
        <v>1380</v>
      </c>
      <c r="F463" s="4" t="s">
        <v>1964</v>
      </c>
      <c r="G463" s="4" t="s">
        <v>1965</v>
      </c>
      <c r="H463" s="4" t="s">
        <v>368</v>
      </c>
      <c r="I463" s="4" t="s">
        <v>976</v>
      </c>
      <c r="J463" s="4" t="s">
        <v>31</v>
      </c>
      <c r="K463" s="4" t="s">
        <v>31</v>
      </c>
      <c r="L463" s="2" t="s">
        <v>374</v>
      </c>
      <c r="M463" s="2" t="s">
        <v>32</v>
      </c>
      <c r="N463" s="4" t="s">
        <v>508</v>
      </c>
      <c r="O463" s="4" t="s">
        <v>164</v>
      </c>
      <c r="P463" s="4" t="s">
        <v>35</v>
      </c>
      <c r="Q463" s="152">
        <v>4662</v>
      </c>
      <c r="R463" s="152">
        <v>1</v>
      </c>
      <c r="S463" s="152">
        <v>962.6</v>
      </c>
      <c r="U463" s="152">
        <v>44.875999999999998</v>
      </c>
      <c r="V463" s="152">
        <v>3.1000000000000001E-5</v>
      </c>
      <c r="W463" s="166">
        <v>4.3252462260518001E-3</v>
      </c>
      <c r="X463" s="166">
        <v>6.1100141679825196E-4</v>
      </c>
    </row>
    <row r="464" spans="1:24">
      <c r="A464" s="4" t="s">
        <v>144</v>
      </c>
      <c r="B464" s="4">
        <v>969</v>
      </c>
      <c r="C464" s="4" t="s">
        <v>1966</v>
      </c>
      <c r="D464" s="4" t="s">
        <v>1967</v>
      </c>
      <c r="E464" s="4" t="s">
        <v>1380</v>
      </c>
      <c r="F464" s="4" t="s">
        <v>1968</v>
      </c>
      <c r="G464" s="4" t="s">
        <v>1969</v>
      </c>
      <c r="H464" s="4" t="s">
        <v>368</v>
      </c>
      <c r="I464" s="4" t="s">
        <v>976</v>
      </c>
      <c r="J464" s="4" t="s">
        <v>31</v>
      </c>
      <c r="K464" s="4" t="s">
        <v>31</v>
      </c>
      <c r="L464" s="2" t="s">
        <v>374</v>
      </c>
      <c r="M464" s="2" t="s">
        <v>32</v>
      </c>
      <c r="N464" s="4" t="s">
        <v>503</v>
      </c>
      <c r="O464" s="4" t="s">
        <v>164</v>
      </c>
      <c r="P464" s="4" t="s">
        <v>35</v>
      </c>
      <c r="Q464" s="152">
        <v>378</v>
      </c>
      <c r="R464" s="152">
        <v>1</v>
      </c>
      <c r="S464" s="152">
        <v>15760</v>
      </c>
      <c r="U464" s="152">
        <v>59.573</v>
      </c>
      <c r="V464" s="152">
        <v>1.1400000000000001E-4</v>
      </c>
      <c r="W464" s="166">
        <v>5.7417029769523103E-3</v>
      </c>
      <c r="X464" s="166">
        <v>8.1109570886903602E-4</v>
      </c>
    </row>
    <row r="465" spans="1:24">
      <c r="A465" s="4" t="s">
        <v>144</v>
      </c>
      <c r="B465" s="4">
        <v>969</v>
      </c>
      <c r="C465" s="4" t="s">
        <v>2196</v>
      </c>
      <c r="D465" s="4" t="s">
        <v>2197</v>
      </c>
      <c r="E465" s="4" t="s">
        <v>1380</v>
      </c>
      <c r="F465" s="4" t="s">
        <v>2198</v>
      </c>
      <c r="G465" s="4" t="s">
        <v>2199</v>
      </c>
      <c r="H465" s="4" t="s">
        <v>368</v>
      </c>
      <c r="I465" s="4" t="s">
        <v>976</v>
      </c>
      <c r="J465" s="4" t="s">
        <v>31</v>
      </c>
      <c r="K465" s="4" t="s">
        <v>31</v>
      </c>
      <c r="L465" s="2" t="s">
        <v>374</v>
      </c>
      <c r="M465" s="2" t="s">
        <v>32</v>
      </c>
      <c r="N465" s="4" t="s">
        <v>520</v>
      </c>
      <c r="O465" s="4" t="s">
        <v>164</v>
      </c>
      <c r="P465" s="4" t="s">
        <v>35</v>
      </c>
      <c r="Q465" s="152">
        <v>1800</v>
      </c>
      <c r="R465" s="152">
        <v>1</v>
      </c>
      <c r="S465" s="152">
        <v>232</v>
      </c>
      <c r="U465" s="152">
        <v>4.1760000000000002</v>
      </c>
      <c r="V465" s="152">
        <v>7.7000000000000001E-5</v>
      </c>
      <c r="W465" s="166">
        <v>4.0248824348952601E-4</v>
      </c>
      <c r="X465" s="166">
        <v>5.6857083773754103E-5</v>
      </c>
    </row>
    <row r="466" spans="1:24">
      <c r="A466" s="4" t="s">
        <v>144</v>
      </c>
      <c r="B466" s="4">
        <v>969</v>
      </c>
      <c r="C466" s="4" t="s">
        <v>1970</v>
      </c>
      <c r="D466" s="4" t="s">
        <v>1971</v>
      </c>
      <c r="E466" s="4" t="s">
        <v>1380</v>
      </c>
      <c r="F466" s="4" t="s">
        <v>1972</v>
      </c>
      <c r="G466" s="4" t="s">
        <v>1973</v>
      </c>
      <c r="H466" s="4" t="s">
        <v>368</v>
      </c>
      <c r="I466" s="4" t="s">
        <v>976</v>
      </c>
      <c r="J466" s="4" t="s">
        <v>31</v>
      </c>
      <c r="K466" s="4" t="s">
        <v>31</v>
      </c>
      <c r="L466" s="2" t="s">
        <v>374</v>
      </c>
      <c r="M466" s="2" t="s">
        <v>32</v>
      </c>
      <c r="N466" s="4" t="s">
        <v>521</v>
      </c>
      <c r="O466" s="4" t="s">
        <v>164</v>
      </c>
      <c r="P466" s="4" t="s">
        <v>35</v>
      </c>
      <c r="Q466" s="152">
        <v>645</v>
      </c>
      <c r="R466" s="152">
        <v>1</v>
      </c>
      <c r="S466" s="152">
        <v>8160</v>
      </c>
      <c r="T466" s="150">
        <v>0.81899999999999995</v>
      </c>
      <c r="U466" s="152">
        <v>53.451000000000001</v>
      </c>
      <c r="V466" s="152">
        <v>1.0000000000000001E-5</v>
      </c>
      <c r="W466" s="166">
        <v>5.1516904875467404E-3</v>
      </c>
      <c r="X466" s="166">
        <v>7.2774820722066398E-4</v>
      </c>
    </row>
    <row r="467" spans="1:24">
      <c r="A467" s="4" t="s">
        <v>144</v>
      </c>
      <c r="B467" s="4">
        <v>969</v>
      </c>
      <c r="C467" s="4" t="s">
        <v>1974</v>
      </c>
      <c r="D467" s="4" t="s">
        <v>1975</v>
      </c>
      <c r="E467" s="4" t="s">
        <v>1380</v>
      </c>
      <c r="F467" s="4" t="s">
        <v>1976</v>
      </c>
      <c r="G467" s="4" t="s">
        <v>1977</v>
      </c>
      <c r="H467" s="4" t="s">
        <v>368</v>
      </c>
      <c r="I467" s="4" t="s">
        <v>976</v>
      </c>
      <c r="J467" s="4" t="s">
        <v>31</v>
      </c>
      <c r="K467" s="4" t="s">
        <v>31</v>
      </c>
      <c r="L467" s="2" t="s">
        <v>374</v>
      </c>
      <c r="M467" s="2" t="s">
        <v>32</v>
      </c>
      <c r="N467" s="4" t="s">
        <v>508</v>
      </c>
      <c r="O467" s="4" t="s">
        <v>164</v>
      </c>
      <c r="P467" s="4" t="s">
        <v>35</v>
      </c>
      <c r="Q467" s="152">
        <v>332.25</v>
      </c>
      <c r="R467" s="152">
        <v>1</v>
      </c>
      <c r="S467" s="152">
        <v>26900</v>
      </c>
      <c r="T467" s="150">
        <v>0.83899999999999997</v>
      </c>
      <c r="U467" s="152">
        <v>90.213999999999999</v>
      </c>
      <c r="V467" s="152">
        <v>6.9999999999999999E-6</v>
      </c>
      <c r="W467" s="166">
        <v>8.6949643188080905E-3</v>
      </c>
      <c r="X467" s="166">
        <v>1.22828510566704E-3</v>
      </c>
    </row>
    <row r="468" spans="1:24">
      <c r="A468" s="4" t="s">
        <v>144</v>
      </c>
      <c r="B468" s="4">
        <v>969</v>
      </c>
      <c r="C468" s="4" t="s">
        <v>1978</v>
      </c>
      <c r="D468" s="4" t="s">
        <v>1979</v>
      </c>
      <c r="E468" s="4" t="s">
        <v>1380</v>
      </c>
      <c r="F468" s="4" t="s">
        <v>1980</v>
      </c>
      <c r="G468" s="4" t="s">
        <v>1981</v>
      </c>
      <c r="H468" s="4" t="s">
        <v>368</v>
      </c>
      <c r="I468" s="4" t="s">
        <v>976</v>
      </c>
      <c r="J468" s="4" t="s">
        <v>31</v>
      </c>
      <c r="K468" s="4" t="s">
        <v>31</v>
      </c>
      <c r="L468" s="2" t="s">
        <v>374</v>
      </c>
      <c r="M468" s="2" t="s">
        <v>32</v>
      </c>
      <c r="N468" s="4" t="s">
        <v>489</v>
      </c>
      <c r="O468" s="4" t="s">
        <v>164</v>
      </c>
      <c r="P468" s="4" t="s">
        <v>35</v>
      </c>
      <c r="Q468" s="152">
        <v>1582</v>
      </c>
      <c r="R468" s="152">
        <v>1</v>
      </c>
      <c r="S468" s="152">
        <v>9800</v>
      </c>
      <c r="U468" s="152">
        <v>155.036</v>
      </c>
      <c r="V468" s="152">
        <v>2.5999999999999998E-5</v>
      </c>
      <c r="W468" s="166">
        <v>1.49425688021174E-2</v>
      </c>
      <c r="X468" s="166">
        <v>2.1108464655047298E-3</v>
      </c>
    </row>
    <row r="469" spans="1:24">
      <c r="A469" s="4" t="s">
        <v>144</v>
      </c>
      <c r="B469" s="4">
        <v>969</v>
      </c>
      <c r="C469" s="4" t="s">
        <v>1982</v>
      </c>
      <c r="D469" s="4" t="s">
        <v>1522</v>
      </c>
      <c r="E469" s="4" t="s">
        <v>1380</v>
      </c>
      <c r="F469" s="4" t="s">
        <v>1983</v>
      </c>
      <c r="G469" s="4" t="s">
        <v>1984</v>
      </c>
      <c r="H469" s="4" t="s">
        <v>368</v>
      </c>
      <c r="I469" s="4" t="s">
        <v>976</v>
      </c>
      <c r="J469" s="4" t="s">
        <v>31</v>
      </c>
      <c r="K469" s="4" t="s">
        <v>31</v>
      </c>
      <c r="L469" s="2" t="s">
        <v>374</v>
      </c>
      <c r="M469" s="2" t="s">
        <v>32</v>
      </c>
      <c r="N469" s="4" t="s">
        <v>487</v>
      </c>
      <c r="O469" s="4" t="s">
        <v>164</v>
      </c>
      <c r="P469" s="4" t="s">
        <v>35</v>
      </c>
      <c r="Q469" s="152">
        <v>12467</v>
      </c>
      <c r="R469" s="152">
        <v>1</v>
      </c>
      <c r="S469" s="152">
        <v>1207</v>
      </c>
      <c r="U469" s="152">
        <v>150.477</v>
      </c>
      <c r="V469" s="152">
        <v>2.0599999999999999E-4</v>
      </c>
      <c r="W469" s="166">
        <v>1.4503136648519601E-2</v>
      </c>
      <c r="X469" s="166">
        <v>2.0487705386319998E-3</v>
      </c>
    </row>
    <row r="470" spans="1:24">
      <c r="A470" s="4" t="s">
        <v>144</v>
      </c>
      <c r="B470" s="4">
        <v>969</v>
      </c>
      <c r="C470" s="4" t="s">
        <v>1985</v>
      </c>
      <c r="D470" s="4" t="s">
        <v>1986</v>
      </c>
      <c r="E470" s="4" t="s">
        <v>1380</v>
      </c>
      <c r="F470" s="4" t="s">
        <v>1987</v>
      </c>
      <c r="G470" s="4" t="s">
        <v>1988</v>
      </c>
      <c r="H470" s="4" t="s">
        <v>368</v>
      </c>
      <c r="I470" s="4" t="s">
        <v>976</v>
      </c>
      <c r="J470" s="4" t="s">
        <v>31</v>
      </c>
      <c r="K470" s="4" t="s">
        <v>31</v>
      </c>
      <c r="L470" s="2" t="s">
        <v>374</v>
      </c>
      <c r="M470" s="2" t="s">
        <v>32</v>
      </c>
      <c r="N470" s="4" t="s">
        <v>520</v>
      </c>
      <c r="O470" s="4" t="s">
        <v>164</v>
      </c>
      <c r="P470" s="4" t="s">
        <v>35</v>
      </c>
      <c r="Q470" s="152">
        <v>9857</v>
      </c>
      <c r="R470" s="152">
        <v>1</v>
      </c>
      <c r="S470" s="152">
        <v>841.6</v>
      </c>
      <c r="U470" s="152">
        <v>82.956999999999994</v>
      </c>
      <c r="V470" s="152">
        <v>7.1000000000000005E-5</v>
      </c>
      <c r="W470" s="166">
        <v>7.99545517262879E-3</v>
      </c>
      <c r="X470" s="166">
        <v>1.1294696725005801E-3</v>
      </c>
    </row>
    <row r="471" spans="1:24">
      <c r="A471" s="4" t="s">
        <v>144</v>
      </c>
      <c r="B471" s="4">
        <v>969</v>
      </c>
      <c r="C471" s="4" t="s">
        <v>1989</v>
      </c>
      <c r="D471" s="4" t="s">
        <v>1990</v>
      </c>
      <c r="E471" s="4" t="s">
        <v>1380</v>
      </c>
      <c r="F471" s="4" t="s">
        <v>1991</v>
      </c>
      <c r="G471" s="4" t="s">
        <v>1992</v>
      </c>
      <c r="H471" s="4" t="s">
        <v>368</v>
      </c>
      <c r="I471" s="4" t="s">
        <v>976</v>
      </c>
      <c r="J471" s="4" t="s">
        <v>31</v>
      </c>
      <c r="K471" s="4" t="s">
        <v>31</v>
      </c>
      <c r="L471" s="2" t="s">
        <v>374</v>
      </c>
      <c r="M471" s="2" t="s">
        <v>32</v>
      </c>
      <c r="N471" s="4" t="s">
        <v>498</v>
      </c>
      <c r="O471" s="4" t="s">
        <v>164</v>
      </c>
      <c r="P471" s="4" t="s">
        <v>35</v>
      </c>
      <c r="Q471" s="152">
        <v>10420.06</v>
      </c>
      <c r="R471" s="152">
        <v>1</v>
      </c>
      <c r="S471" s="152">
        <v>935.3</v>
      </c>
      <c r="T471" s="150">
        <v>1.988</v>
      </c>
      <c r="U471" s="152">
        <v>99.447000000000003</v>
      </c>
      <c r="V471" s="152">
        <v>9.0000000000000002E-6</v>
      </c>
      <c r="W471" s="166">
        <v>9.5848046403964899E-3</v>
      </c>
      <c r="X471" s="166">
        <v>1.35398747468824E-3</v>
      </c>
    </row>
    <row r="472" spans="1:24">
      <c r="A472" s="4" t="s">
        <v>144</v>
      </c>
      <c r="B472" s="4">
        <v>969</v>
      </c>
      <c r="C472" s="4" t="s">
        <v>1993</v>
      </c>
      <c r="D472" s="4" t="s">
        <v>1994</v>
      </c>
      <c r="E472" s="4" t="s">
        <v>1380</v>
      </c>
      <c r="F472" s="4" t="s">
        <v>1995</v>
      </c>
      <c r="G472" s="4" t="s">
        <v>1996</v>
      </c>
      <c r="H472" s="4" t="s">
        <v>368</v>
      </c>
      <c r="I472" s="4" t="s">
        <v>976</v>
      </c>
      <c r="J472" s="4" t="s">
        <v>31</v>
      </c>
      <c r="K472" s="4" t="s">
        <v>101</v>
      </c>
      <c r="L472" s="2" t="s">
        <v>374</v>
      </c>
      <c r="M472" s="2" t="s">
        <v>32</v>
      </c>
      <c r="N472" s="4" t="s">
        <v>525</v>
      </c>
      <c r="O472" s="4" t="s">
        <v>164</v>
      </c>
      <c r="P472" s="4" t="s">
        <v>35</v>
      </c>
      <c r="Q472" s="152">
        <v>400</v>
      </c>
      <c r="R472" s="152">
        <v>1</v>
      </c>
      <c r="S472" s="152">
        <v>95150</v>
      </c>
      <c r="U472" s="152">
        <v>380.6</v>
      </c>
      <c r="V472" s="152">
        <v>6.0000000000000002E-6</v>
      </c>
      <c r="W472" s="166">
        <v>3.6682716827613399E-2</v>
      </c>
      <c r="X472" s="166">
        <v>5.1819459014106296E-3</v>
      </c>
    </row>
    <row r="473" spans="1:24">
      <c r="A473" s="4" t="s">
        <v>144</v>
      </c>
      <c r="B473" s="4">
        <v>969</v>
      </c>
      <c r="C473" s="4" t="s">
        <v>2218</v>
      </c>
      <c r="D473" s="4" t="s">
        <v>2219</v>
      </c>
      <c r="E473" s="4" t="s">
        <v>1380</v>
      </c>
      <c r="F473" s="4" t="s">
        <v>2220</v>
      </c>
      <c r="G473" s="4" t="s">
        <v>2221</v>
      </c>
      <c r="H473" s="4" t="s">
        <v>368</v>
      </c>
      <c r="I473" s="4" t="s">
        <v>976</v>
      </c>
      <c r="J473" s="4" t="s">
        <v>31</v>
      </c>
      <c r="K473" s="4" t="s">
        <v>346</v>
      </c>
      <c r="L473" s="2" t="s">
        <v>374</v>
      </c>
      <c r="M473" s="2" t="s">
        <v>32</v>
      </c>
      <c r="N473" s="4" t="s">
        <v>509</v>
      </c>
      <c r="O473" s="4" t="s">
        <v>164</v>
      </c>
      <c r="P473" s="4" t="s">
        <v>35</v>
      </c>
      <c r="Q473" s="152">
        <v>1819</v>
      </c>
      <c r="R473" s="152">
        <v>1</v>
      </c>
      <c r="S473" s="152">
        <v>4710</v>
      </c>
      <c r="U473" s="152">
        <v>85.674999999999997</v>
      </c>
      <c r="V473" s="152">
        <v>2.5000000000000001E-5</v>
      </c>
      <c r="W473" s="166">
        <v>8.2574568994590106E-3</v>
      </c>
      <c r="X473" s="166">
        <v>1.16648107437931E-3</v>
      </c>
    </row>
    <row r="474" spans="1:24">
      <c r="A474" s="4" t="s">
        <v>144</v>
      </c>
      <c r="B474" s="4">
        <v>969</v>
      </c>
      <c r="C474" s="4" t="s">
        <v>1997</v>
      </c>
      <c r="D474" s="4" t="s">
        <v>1998</v>
      </c>
      <c r="E474" s="4" t="s">
        <v>1380</v>
      </c>
      <c r="F474" s="4" t="s">
        <v>1999</v>
      </c>
      <c r="G474" s="4" t="s">
        <v>2000</v>
      </c>
      <c r="H474" s="4" t="s">
        <v>368</v>
      </c>
      <c r="I474" s="4" t="s">
        <v>976</v>
      </c>
      <c r="J474" s="4" t="s">
        <v>31</v>
      </c>
      <c r="K474" s="4" t="s">
        <v>31</v>
      </c>
      <c r="L474" s="2" t="s">
        <v>374</v>
      </c>
      <c r="M474" s="2" t="s">
        <v>32</v>
      </c>
      <c r="N474" s="4" t="s">
        <v>525</v>
      </c>
      <c r="O474" s="4" t="s">
        <v>164</v>
      </c>
      <c r="P474" s="4" t="s">
        <v>35</v>
      </c>
      <c r="Q474" s="152">
        <v>9600</v>
      </c>
      <c r="R474" s="152">
        <v>1</v>
      </c>
      <c r="S474" s="152">
        <v>53.4</v>
      </c>
      <c r="U474" s="152">
        <v>5.1260000000000003</v>
      </c>
      <c r="V474" s="152">
        <v>6.9999999999999994E-5</v>
      </c>
      <c r="W474" s="166">
        <v>4.9408901614576297E-4</v>
      </c>
      <c r="X474" s="166">
        <v>6.9796971805022204E-5</v>
      </c>
    </row>
    <row r="475" spans="1:24">
      <c r="A475" s="4" t="s">
        <v>144</v>
      </c>
      <c r="B475" s="4">
        <v>969</v>
      </c>
      <c r="C475" s="4" t="s">
        <v>2001</v>
      </c>
      <c r="D475" s="4" t="s">
        <v>2002</v>
      </c>
      <c r="E475" s="4" t="s">
        <v>1380</v>
      </c>
      <c r="F475" s="4" t="s">
        <v>2003</v>
      </c>
      <c r="G475" s="4" t="s">
        <v>2004</v>
      </c>
      <c r="H475" s="4" t="s">
        <v>368</v>
      </c>
      <c r="I475" s="4" t="s">
        <v>976</v>
      </c>
      <c r="J475" s="4" t="s">
        <v>31</v>
      </c>
      <c r="K475" s="4" t="s">
        <v>31</v>
      </c>
      <c r="L475" s="2" t="s">
        <v>374</v>
      </c>
      <c r="M475" s="2" t="s">
        <v>32</v>
      </c>
      <c r="N475" s="4" t="s">
        <v>529</v>
      </c>
      <c r="O475" s="4" t="s">
        <v>164</v>
      </c>
      <c r="P475" s="4" t="s">
        <v>35</v>
      </c>
      <c r="Q475" s="152">
        <v>5980</v>
      </c>
      <c r="R475" s="152">
        <v>1</v>
      </c>
      <c r="S475" s="152">
        <v>1560</v>
      </c>
      <c r="U475" s="152">
        <v>93.287999999999997</v>
      </c>
      <c r="V475" s="152">
        <v>3.6000000000000001E-5</v>
      </c>
      <c r="W475" s="166">
        <v>8.99121725542407E-3</v>
      </c>
      <c r="X475" s="166">
        <v>1.2701349691297799E-3</v>
      </c>
    </row>
    <row r="476" spans="1:24">
      <c r="A476" s="4" t="s">
        <v>144</v>
      </c>
      <c r="B476" s="4">
        <v>969</v>
      </c>
      <c r="C476" s="4" t="s">
        <v>2005</v>
      </c>
      <c r="D476" s="4" t="s">
        <v>2006</v>
      </c>
      <c r="E476" s="4" t="s">
        <v>1380</v>
      </c>
      <c r="F476" s="4" t="s">
        <v>2007</v>
      </c>
      <c r="G476" s="4" t="s">
        <v>2008</v>
      </c>
      <c r="H476" s="4" t="s">
        <v>368</v>
      </c>
      <c r="I476" s="4" t="s">
        <v>976</v>
      </c>
      <c r="J476" s="4" t="s">
        <v>31</v>
      </c>
      <c r="K476" s="4" t="s">
        <v>31</v>
      </c>
      <c r="L476" s="2" t="s">
        <v>374</v>
      </c>
      <c r="M476" s="2" t="s">
        <v>32</v>
      </c>
      <c r="N476" s="4" t="s">
        <v>508</v>
      </c>
      <c r="O476" s="4" t="s">
        <v>164</v>
      </c>
      <c r="P476" s="4" t="s">
        <v>35</v>
      </c>
      <c r="Q476" s="152">
        <v>573</v>
      </c>
      <c r="R476" s="152">
        <v>1</v>
      </c>
      <c r="S476" s="152">
        <v>26610</v>
      </c>
      <c r="U476" s="152">
        <v>152.47499999999999</v>
      </c>
      <c r="V476" s="152">
        <v>5.0000000000000004E-6</v>
      </c>
      <c r="W476" s="166">
        <v>1.46957652472554E-2</v>
      </c>
      <c r="X476" s="166">
        <v>2.0759820176073501E-3</v>
      </c>
    </row>
    <row r="477" spans="1:24">
      <c r="A477" s="4" t="s">
        <v>144</v>
      </c>
      <c r="B477" s="4">
        <v>969</v>
      </c>
      <c r="C477" s="4" t="s">
        <v>2009</v>
      </c>
      <c r="D477" s="4" t="s">
        <v>2010</v>
      </c>
      <c r="E477" s="4" t="s">
        <v>1380</v>
      </c>
      <c r="F477" s="4" t="s">
        <v>2011</v>
      </c>
      <c r="G477" s="4" t="s">
        <v>2012</v>
      </c>
      <c r="H477" s="4" t="s">
        <v>368</v>
      </c>
      <c r="I477" s="4" t="s">
        <v>976</v>
      </c>
      <c r="J477" s="4" t="s">
        <v>31</v>
      </c>
      <c r="K477" s="4" t="s">
        <v>31</v>
      </c>
      <c r="L477" s="2" t="s">
        <v>374</v>
      </c>
      <c r="M477" s="2" t="s">
        <v>32</v>
      </c>
      <c r="N477" s="4" t="s">
        <v>492</v>
      </c>
      <c r="O477" s="4" t="s">
        <v>164</v>
      </c>
      <c r="P477" s="4" t="s">
        <v>35</v>
      </c>
      <c r="Q477" s="152">
        <v>1755</v>
      </c>
      <c r="R477" s="152">
        <v>1</v>
      </c>
      <c r="S477" s="152">
        <v>3500</v>
      </c>
      <c r="U477" s="152">
        <v>61.424999999999997</v>
      </c>
      <c r="V477" s="152">
        <v>9.9999999999999995E-7</v>
      </c>
      <c r="W477" s="166">
        <v>5.9202203918448599E-3</v>
      </c>
      <c r="X477" s="166">
        <v>8.3631378611179197E-4</v>
      </c>
    </row>
    <row r="478" spans="1:24">
      <c r="A478" s="4" t="s">
        <v>144</v>
      </c>
      <c r="B478" s="4">
        <v>969</v>
      </c>
      <c r="C478" s="4" t="s">
        <v>2222</v>
      </c>
      <c r="D478" s="4" t="s">
        <v>2223</v>
      </c>
      <c r="E478" s="4" t="s">
        <v>1380</v>
      </c>
      <c r="F478" s="4" t="s">
        <v>2224</v>
      </c>
      <c r="G478" s="4" t="s">
        <v>2225</v>
      </c>
      <c r="H478" s="4" t="s">
        <v>368</v>
      </c>
      <c r="I478" s="4" t="s">
        <v>976</v>
      </c>
      <c r="J478" s="4" t="s">
        <v>31</v>
      </c>
      <c r="K478" s="4" t="s">
        <v>31</v>
      </c>
      <c r="L478" s="2" t="s">
        <v>374</v>
      </c>
      <c r="M478" s="2" t="s">
        <v>32</v>
      </c>
      <c r="N478" s="4" t="s">
        <v>484</v>
      </c>
      <c r="O478" s="4" t="s">
        <v>164</v>
      </c>
      <c r="P478" s="4" t="s">
        <v>35</v>
      </c>
      <c r="Q478" s="152">
        <v>111</v>
      </c>
      <c r="R478" s="152">
        <v>1</v>
      </c>
      <c r="S478" s="152">
        <v>8896</v>
      </c>
      <c r="U478" s="152">
        <v>9.875</v>
      </c>
      <c r="V478" s="152">
        <v>9.0000000000000002E-6</v>
      </c>
      <c r="W478" s="166">
        <v>9.5172277529500398E-4</v>
      </c>
      <c r="X478" s="166">
        <v>1.3444412958547899E-4</v>
      </c>
    </row>
    <row r="479" spans="1:24">
      <c r="A479" s="4" t="s">
        <v>144</v>
      </c>
      <c r="B479" s="4">
        <v>969</v>
      </c>
      <c r="C479" s="4" t="s">
        <v>2013</v>
      </c>
      <c r="D479" s="4" t="s">
        <v>2014</v>
      </c>
      <c r="E479" s="4" t="s">
        <v>1380</v>
      </c>
      <c r="F479" s="4" t="s">
        <v>2015</v>
      </c>
      <c r="G479" s="4" t="s">
        <v>2016</v>
      </c>
      <c r="H479" s="4" t="s">
        <v>368</v>
      </c>
      <c r="I479" s="4" t="s">
        <v>976</v>
      </c>
      <c r="J479" s="4" t="s">
        <v>31</v>
      </c>
      <c r="K479" s="4" t="s">
        <v>31</v>
      </c>
      <c r="L479" s="2" t="s">
        <v>374</v>
      </c>
      <c r="M479" s="2" t="s">
        <v>32</v>
      </c>
      <c r="N479" s="4" t="s">
        <v>504</v>
      </c>
      <c r="O479" s="4" t="s">
        <v>164</v>
      </c>
      <c r="P479" s="4" t="s">
        <v>35</v>
      </c>
      <c r="Q479" s="152">
        <v>2200</v>
      </c>
      <c r="R479" s="152">
        <v>1</v>
      </c>
      <c r="S479" s="152">
        <v>451</v>
      </c>
      <c r="U479" s="152">
        <v>9.9220000000000006</v>
      </c>
      <c r="V479" s="152">
        <v>4.3999999999999999E-5</v>
      </c>
      <c r="W479" s="166">
        <v>9.5629510342506703E-4</v>
      </c>
      <c r="X479" s="166">
        <v>1.35090034770878E-4</v>
      </c>
    </row>
    <row r="480" spans="1:24">
      <c r="A480" s="4" t="s">
        <v>144</v>
      </c>
      <c r="B480" s="4">
        <v>969</v>
      </c>
      <c r="C480" s="4" t="s">
        <v>2017</v>
      </c>
      <c r="D480" s="4" t="s">
        <v>2018</v>
      </c>
      <c r="E480" s="4" t="s">
        <v>1380</v>
      </c>
      <c r="F480" s="4" t="s">
        <v>2019</v>
      </c>
      <c r="G480" s="4" t="s">
        <v>2020</v>
      </c>
      <c r="H480" s="4" t="s">
        <v>368</v>
      </c>
      <c r="I480" s="4" t="s">
        <v>976</v>
      </c>
      <c r="J480" s="4" t="s">
        <v>31</v>
      </c>
      <c r="K480" s="4" t="s">
        <v>31</v>
      </c>
      <c r="L480" s="2" t="s">
        <v>374</v>
      </c>
      <c r="M480" s="2" t="s">
        <v>32</v>
      </c>
      <c r="N480" s="4" t="s">
        <v>529</v>
      </c>
      <c r="O480" s="4" t="s">
        <v>164</v>
      </c>
      <c r="P480" s="4" t="s">
        <v>35</v>
      </c>
      <c r="Q480" s="152">
        <v>6331</v>
      </c>
      <c r="R480" s="152">
        <v>1</v>
      </c>
      <c r="S480" s="152">
        <v>1597</v>
      </c>
      <c r="U480" s="152">
        <v>101.10599999999999</v>
      </c>
      <c r="V480" s="152">
        <v>3.4E-5</v>
      </c>
      <c r="W480" s="166">
        <v>9.7447328832445095E-3</v>
      </c>
      <c r="X480" s="166">
        <v>1.3765795718450799E-3</v>
      </c>
    </row>
    <row r="481" spans="1:24">
      <c r="A481" s="4" t="s">
        <v>144</v>
      </c>
      <c r="B481" s="4">
        <v>969</v>
      </c>
      <c r="C481" s="4" t="s">
        <v>2021</v>
      </c>
      <c r="D481" s="4" t="s">
        <v>2022</v>
      </c>
      <c r="E481" s="4" t="s">
        <v>1380</v>
      </c>
      <c r="F481" s="4" t="s">
        <v>2023</v>
      </c>
      <c r="G481" s="4" t="s">
        <v>2024</v>
      </c>
      <c r="H481" s="4" t="s">
        <v>368</v>
      </c>
      <c r="I481" s="4" t="s">
        <v>976</v>
      </c>
      <c r="J481" s="4" t="s">
        <v>31</v>
      </c>
      <c r="K481" s="4" t="s">
        <v>31</v>
      </c>
      <c r="L481" s="2" t="s">
        <v>374</v>
      </c>
      <c r="M481" s="2" t="s">
        <v>32</v>
      </c>
      <c r="N481" s="4" t="s">
        <v>522</v>
      </c>
      <c r="O481" s="4" t="s">
        <v>164</v>
      </c>
      <c r="P481" s="4" t="s">
        <v>35</v>
      </c>
      <c r="Q481" s="152">
        <v>628</v>
      </c>
      <c r="R481" s="152">
        <v>1</v>
      </c>
      <c r="S481" s="152">
        <v>5830</v>
      </c>
      <c r="T481" s="150">
        <v>0.77</v>
      </c>
      <c r="U481" s="152">
        <v>37.381999999999998</v>
      </c>
      <c r="V481" s="152">
        <v>3.8499999999999998E-4</v>
      </c>
      <c r="W481" s="166">
        <v>3.60293481009335E-3</v>
      </c>
      <c r="X481" s="166">
        <v>5.0896484466926497E-4</v>
      </c>
    </row>
    <row r="482" spans="1:24">
      <c r="A482" s="4" t="s">
        <v>144</v>
      </c>
      <c r="B482" s="4">
        <v>969</v>
      </c>
      <c r="C482" s="4" t="s">
        <v>2025</v>
      </c>
      <c r="D482" s="4" t="s">
        <v>2026</v>
      </c>
      <c r="E482" s="4" t="s">
        <v>1380</v>
      </c>
      <c r="F482" s="4" t="s">
        <v>2027</v>
      </c>
      <c r="G482" s="4" t="s">
        <v>2028</v>
      </c>
      <c r="H482" s="4" t="s">
        <v>368</v>
      </c>
      <c r="I482" s="4" t="s">
        <v>976</v>
      </c>
      <c r="J482" s="4" t="s">
        <v>31</v>
      </c>
      <c r="K482" s="4" t="s">
        <v>346</v>
      </c>
      <c r="L482" s="2" t="s">
        <v>374</v>
      </c>
      <c r="M482" s="2" t="s">
        <v>32</v>
      </c>
      <c r="N482" s="4" t="s">
        <v>525</v>
      </c>
      <c r="O482" s="4" t="s">
        <v>164</v>
      </c>
      <c r="P482" s="4" t="s">
        <v>35</v>
      </c>
      <c r="Q482" s="152">
        <v>795</v>
      </c>
      <c r="R482" s="152">
        <v>1</v>
      </c>
      <c r="S482" s="152">
        <v>8289</v>
      </c>
      <c r="U482" s="152">
        <v>65.897999999999996</v>
      </c>
      <c r="V482" s="152">
        <v>1.7E-5</v>
      </c>
      <c r="W482" s="166">
        <v>6.3512905052115001E-3</v>
      </c>
      <c r="X482" s="166">
        <v>8.9720845805439404E-4</v>
      </c>
    </row>
    <row r="483" spans="1:24">
      <c r="A483" s="4" t="s">
        <v>144</v>
      </c>
      <c r="B483" s="4">
        <v>969</v>
      </c>
      <c r="C483" s="4" t="s">
        <v>2029</v>
      </c>
      <c r="D483" s="4" t="s">
        <v>2030</v>
      </c>
      <c r="E483" s="4" t="s">
        <v>1380</v>
      </c>
      <c r="F483" s="4" t="s">
        <v>2031</v>
      </c>
      <c r="G483" s="4" t="s">
        <v>2032</v>
      </c>
      <c r="H483" s="4" t="s">
        <v>368</v>
      </c>
      <c r="I483" s="4" t="s">
        <v>976</v>
      </c>
      <c r="J483" s="4" t="s">
        <v>31</v>
      </c>
      <c r="K483" s="4" t="s">
        <v>31</v>
      </c>
      <c r="L483" s="2" t="s">
        <v>374</v>
      </c>
      <c r="M483" s="2" t="s">
        <v>32</v>
      </c>
      <c r="N483" s="4" t="s">
        <v>507</v>
      </c>
      <c r="O483" s="4" t="s">
        <v>164</v>
      </c>
      <c r="P483" s="4" t="s">
        <v>35</v>
      </c>
      <c r="Q483" s="152">
        <v>23684</v>
      </c>
      <c r="R483" s="152">
        <v>1</v>
      </c>
      <c r="S483" s="152">
        <v>510</v>
      </c>
      <c r="T483" s="150">
        <v>4.1189999999999998</v>
      </c>
      <c r="U483" s="152">
        <v>124.907</v>
      </c>
      <c r="V483" s="152">
        <v>8.2000000000000001E-5</v>
      </c>
      <c r="W483" s="166">
        <v>1.2038717325688999E-2</v>
      </c>
      <c r="X483" s="166">
        <v>1.7006369020392501E-3</v>
      </c>
    </row>
    <row r="484" spans="1:24">
      <c r="A484" s="4" t="s">
        <v>144</v>
      </c>
      <c r="B484" s="4">
        <v>969</v>
      </c>
      <c r="C484" s="4" t="s">
        <v>2226</v>
      </c>
      <c r="D484" s="4" t="s">
        <v>2227</v>
      </c>
      <c r="E484" s="4" t="s">
        <v>1380</v>
      </c>
      <c r="F484" s="4" t="s">
        <v>2228</v>
      </c>
      <c r="G484" s="4" t="s">
        <v>2229</v>
      </c>
      <c r="H484" s="4" t="s">
        <v>368</v>
      </c>
      <c r="I484" s="4" t="s">
        <v>976</v>
      </c>
      <c r="J484" s="4" t="s">
        <v>31</v>
      </c>
      <c r="K484" s="4" t="s">
        <v>31</v>
      </c>
      <c r="L484" s="2" t="s">
        <v>374</v>
      </c>
      <c r="M484" s="2" t="s">
        <v>32</v>
      </c>
      <c r="N484" s="4" t="s">
        <v>500</v>
      </c>
      <c r="O484" s="4" t="s">
        <v>164</v>
      </c>
      <c r="P484" s="4" t="s">
        <v>35</v>
      </c>
      <c r="Q484" s="152">
        <v>6600</v>
      </c>
      <c r="R484" s="152">
        <v>1</v>
      </c>
      <c r="S484" s="152">
        <v>285</v>
      </c>
      <c r="U484" s="152">
        <v>18.809999999999999</v>
      </c>
      <c r="V484" s="152">
        <v>7.7000000000000001E-5</v>
      </c>
      <c r="W484" s="166">
        <v>1.81293195882136E-3</v>
      </c>
      <c r="X484" s="166">
        <v>2.56101950618849E-4</v>
      </c>
    </row>
    <row r="485" spans="1:24">
      <c r="A485" s="4" t="s">
        <v>144</v>
      </c>
      <c r="B485" s="4">
        <v>969</v>
      </c>
      <c r="C485" s="4" t="s">
        <v>2033</v>
      </c>
      <c r="D485" s="4" t="s">
        <v>2034</v>
      </c>
      <c r="E485" s="4" t="s">
        <v>1380</v>
      </c>
      <c r="F485" s="4" t="s">
        <v>2035</v>
      </c>
      <c r="G485" s="4" t="s">
        <v>2036</v>
      </c>
      <c r="H485" s="4" t="s">
        <v>368</v>
      </c>
      <c r="I485" s="4" t="s">
        <v>976</v>
      </c>
      <c r="J485" s="4" t="s">
        <v>31</v>
      </c>
      <c r="K485" s="4" t="s">
        <v>31</v>
      </c>
      <c r="L485" s="2" t="s">
        <v>374</v>
      </c>
      <c r="M485" s="2" t="s">
        <v>32</v>
      </c>
      <c r="N485" s="4" t="s">
        <v>508</v>
      </c>
      <c r="O485" s="4" t="s">
        <v>164</v>
      </c>
      <c r="P485" s="4" t="s">
        <v>35</v>
      </c>
      <c r="Q485" s="152">
        <v>12682.2</v>
      </c>
      <c r="R485" s="152">
        <v>1</v>
      </c>
      <c r="S485" s="152">
        <v>434.7</v>
      </c>
      <c r="U485" s="152">
        <v>55.13</v>
      </c>
      <c r="V485" s="152">
        <v>1.7799999999999999E-4</v>
      </c>
      <c r="W485" s="166">
        <v>5.3134542714752698E-3</v>
      </c>
      <c r="X485" s="166">
        <v>7.5059960018221601E-4</v>
      </c>
    </row>
    <row r="486" spans="1:24">
      <c r="A486" s="4" t="s">
        <v>144</v>
      </c>
      <c r="B486" s="4">
        <v>969</v>
      </c>
      <c r="C486" s="4" t="s">
        <v>2178</v>
      </c>
      <c r="D486" s="4" t="s">
        <v>2179</v>
      </c>
      <c r="E486" s="4" t="s">
        <v>1380</v>
      </c>
      <c r="F486" s="4" t="s">
        <v>2180</v>
      </c>
      <c r="G486" s="4" t="s">
        <v>2181</v>
      </c>
      <c r="H486" s="4" t="s">
        <v>368</v>
      </c>
      <c r="I486" s="4" t="s">
        <v>976</v>
      </c>
      <c r="J486" s="4" t="s">
        <v>31</v>
      </c>
      <c r="K486" s="4" t="s">
        <v>31</v>
      </c>
      <c r="L486" s="2" t="s">
        <v>374</v>
      </c>
      <c r="M486" s="2" t="s">
        <v>32</v>
      </c>
      <c r="N486" s="4" t="s">
        <v>520</v>
      </c>
      <c r="O486" s="4" t="s">
        <v>164</v>
      </c>
      <c r="P486" s="4" t="s">
        <v>35</v>
      </c>
      <c r="Q486" s="152">
        <v>184</v>
      </c>
      <c r="R486" s="152">
        <v>1</v>
      </c>
      <c r="S486" s="152">
        <v>22050</v>
      </c>
      <c r="U486" s="152">
        <v>40.572000000000003</v>
      </c>
      <c r="V486" s="152">
        <v>1.2999999999999999E-5</v>
      </c>
      <c r="W486" s="166">
        <v>3.9103814690749699E-3</v>
      </c>
      <c r="X486" s="166">
        <v>5.5239597769845498E-4</v>
      </c>
    </row>
    <row r="487" spans="1:24">
      <c r="A487" s="4" t="s">
        <v>144</v>
      </c>
      <c r="B487" s="4">
        <v>969</v>
      </c>
      <c r="C487" s="4" t="s">
        <v>2037</v>
      </c>
      <c r="D487" s="4" t="s">
        <v>2038</v>
      </c>
      <c r="E487" s="4" t="s">
        <v>1380</v>
      </c>
      <c r="F487" s="4" t="s">
        <v>2039</v>
      </c>
      <c r="G487" s="4" t="s">
        <v>2040</v>
      </c>
      <c r="H487" s="4" t="s">
        <v>368</v>
      </c>
      <c r="I487" s="4" t="s">
        <v>976</v>
      </c>
      <c r="J487" s="4" t="s">
        <v>31</v>
      </c>
      <c r="K487" s="4" t="s">
        <v>31</v>
      </c>
      <c r="L487" s="2" t="s">
        <v>374</v>
      </c>
      <c r="M487" s="2" t="s">
        <v>32</v>
      </c>
      <c r="N487" s="4" t="s">
        <v>503</v>
      </c>
      <c r="O487" s="4" t="s">
        <v>164</v>
      </c>
      <c r="P487" s="4" t="s">
        <v>35</v>
      </c>
      <c r="Q487" s="152">
        <v>2911</v>
      </c>
      <c r="R487" s="152">
        <v>1</v>
      </c>
      <c r="S487" s="152">
        <v>6910</v>
      </c>
      <c r="U487" s="152">
        <v>201.15</v>
      </c>
      <c r="V487" s="152">
        <v>2.5000000000000001E-5</v>
      </c>
      <c r="W487" s="166">
        <v>1.93871049872468E-2</v>
      </c>
      <c r="X487" s="166">
        <v>2.73869925450168E-3</v>
      </c>
    </row>
    <row r="488" spans="1:24">
      <c r="A488" s="4" t="s">
        <v>144</v>
      </c>
      <c r="B488" s="4">
        <v>969</v>
      </c>
      <c r="C488" s="4" t="s">
        <v>2041</v>
      </c>
      <c r="D488" s="4" t="s">
        <v>2042</v>
      </c>
      <c r="E488" s="4" t="s">
        <v>1380</v>
      </c>
      <c r="F488" s="4" t="s">
        <v>2043</v>
      </c>
      <c r="G488" s="4" t="s">
        <v>2044</v>
      </c>
      <c r="H488" s="4" t="s">
        <v>368</v>
      </c>
      <c r="I488" s="4" t="s">
        <v>976</v>
      </c>
      <c r="J488" s="4" t="s">
        <v>31</v>
      </c>
      <c r="K488" s="4" t="s">
        <v>31</v>
      </c>
      <c r="L488" s="2" t="s">
        <v>374</v>
      </c>
      <c r="M488" s="2" t="s">
        <v>32</v>
      </c>
      <c r="N488" s="4" t="s">
        <v>507</v>
      </c>
      <c r="O488" s="4" t="s">
        <v>164</v>
      </c>
      <c r="P488" s="4" t="s">
        <v>35</v>
      </c>
      <c r="Q488" s="152">
        <v>5295</v>
      </c>
      <c r="R488" s="152">
        <v>1</v>
      </c>
      <c r="S488" s="152">
        <v>2100</v>
      </c>
      <c r="U488" s="152">
        <v>111.19499999999999</v>
      </c>
      <c r="V488" s="152">
        <v>1.5E-5</v>
      </c>
      <c r="W488" s="166">
        <v>1.0717116914467899E-2</v>
      </c>
      <c r="X488" s="166">
        <v>1.5139423922946799E-3</v>
      </c>
    </row>
    <row r="489" spans="1:24">
      <c r="A489" s="4" t="s">
        <v>144</v>
      </c>
      <c r="B489" s="4">
        <v>969</v>
      </c>
      <c r="C489" s="4" t="s">
        <v>2230</v>
      </c>
      <c r="D489" s="4" t="s">
        <v>2231</v>
      </c>
      <c r="E489" s="4" t="s">
        <v>1380</v>
      </c>
      <c r="F489" s="4" t="s">
        <v>2232</v>
      </c>
      <c r="G489" s="4" t="s">
        <v>2233</v>
      </c>
      <c r="H489" s="4" t="s">
        <v>368</v>
      </c>
      <c r="I489" s="4" t="s">
        <v>976</v>
      </c>
      <c r="J489" s="4" t="s">
        <v>31</v>
      </c>
      <c r="K489" s="4" t="s">
        <v>31</v>
      </c>
      <c r="L489" s="2" t="s">
        <v>374</v>
      </c>
      <c r="M489" s="2" t="s">
        <v>32</v>
      </c>
      <c r="N489" s="4" t="s">
        <v>506</v>
      </c>
      <c r="O489" s="4" t="s">
        <v>164</v>
      </c>
      <c r="P489" s="4" t="s">
        <v>35</v>
      </c>
      <c r="Q489" s="152">
        <v>109</v>
      </c>
      <c r="R489" s="152">
        <v>1</v>
      </c>
      <c r="S489" s="152">
        <v>30040</v>
      </c>
      <c r="T489" s="150">
        <v>0.28799999999999998</v>
      </c>
      <c r="U489" s="152">
        <v>33.031999999999996</v>
      </c>
      <c r="V489" s="152">
        <v>1.2999999999999999E-5</v>
      </c>
      <c r="W489" s="166">
        <v>3.1836453811141001E-3</v>
      </c>
      <c r="X489" s="166">
        <v>4.4973435887361401E-4</v>
      </c>
    </row>
    <row r="490" spans="1:24">
      <c r="A490" s="4" t="s">
        <v>144</v>
      </c>
      <c r="B490" s="4">
        <v>969</v>
      </c>
      <c r="C490" s="4" t="s">
        <v>2045</v>
      </c>
      <c r="D490" s="4" t="s">
        <v>2046</v>
      </c>
      <c r="E490" s="4" t="s">
        <v>362</v>
      </c>
      <c r="F490" s="4" t="s">
        <v>2047</v>
      </c>
      <c r="G490" s="4" t="s">
        <v>2048</v>
      </c>
      <c r="H490" s="4" t="s">
        <v>368</v>
      </c>
      <c r="I490" s="4" t="s">
        <v>976</v>
      </c>
      <c r="J490" s="4" t="s">
        <v>100</v>
      </c>
      <c r="K490" s="4" t="s">
        <v>101</v>
      </c>
      <c r="L490" s="2" t="s">
        <v>374</v>
      </c>
      <c r="M490" s="2" t="s">
        <v>393</v>
      </c>
      <c r="N490" s="4" t="s">
        <v>560</v>
      </c>
      <c r="O490" s="4" t="s">
        <v>164</v>
      </c>
      <c r="P490" s="4" t="s">
        <v>105</v>
      </c>
      <c r="Q490" s="152">
        <v>202</v>
      </c>
      <c r="R490" s="152">
        <v>3.681</v>
      </c>
      <c r="S490" s="152">
        <v>180.38</v>
      </c>
      <c r="U490" s="152">
        <v>134.124</v>
      </c>
      <c r="V490" s="152">
        <v>0</v>
      </c>
      <c r="W490" s="166">
        <v>1.2927015776115099E-2</v>
      </c>
      <c r="X490" s="166">
        <v>1.82612146023178E-3</v>
      </c>
    </row>
    <row r="491" spans="1:24">
      <c r="A491" s="4" t="s">
        <v>144</v>
      </c>
      <c r="B491" s="4">
        <v>969</v>
      </c>
      <c r="C491" s="4" t="s">
        <v>2049</v>
      </c>
      <c r="D491" s="4" t="s">
        <v>2050</v>
      </c>
      <c r="E491" s="4" t="s">
        <v>362</v>
      </c>
      <c r="F491" s="4" t="s">
        <v>2051</v>
      </c>
      <c r="G491" s="4" t="s">
        <v>2052</v>
      </c>
      <c r="H491" s="4" t="s">
        <v>368</v>
      </c>
      <c r="I491" s="4" t="s">
        <v>976</v>
      </c>
      <c r="J491" s="4" t="s">
        <v>100</v>
      </c>
      <c r="K491" s="4" t="s">
        <v>101</v>
      </c>
      <c r="L491" s="2" t="s">
        <v>374</v>
      </c>
      <c r="M491" s="2" t="s">
        <v>391</v>
      </c>
      <c r="N491" s="4" t="s">
        <v>2053</v>
      </c>
      <c r="O491" s="4" t="s">
        <v>164</v>
      </c>
      <c r="P491" s="4" t="s">
        <v>105</v>
      </c>
      <c r="Q491" s="152">
        <v>273</v>
      </c>
      <c r="R491" s="152">
        <v>3.681</v>
      </c>
      <c r="S491" s="152">
        <v>22769</v>
      </c>
      <c r="U491" s="152">
        <v>228.809</v>
      </c>
      <c r="V491" s="152">
        <v>9.9999999999999995E-7</v>
      </c>
      <c r="W491" s="166">
        <v>2.2052870689473401E-2</v>
      </c>
      <c r="X491" s="166">
        <v>3.1152758783022298E-3</v>
      </c>
    </row>
    <row r="492" spans="1:24">
      <c r="A492" s="4" t="s">
        <v>144</v>
      </c>
      <c r="B492" s="4">
        <v>969</v>
      </c>
      <c r="C492" s="4" t="s">
        <v>2054</v>
      </c>
      <c r="D492" s="4" t="s">
        <v>2055</v>
      </c>
      <c r="E492" s="4" t="s">
        <v>362</v>
      </c>
      <c r="F492" s="4" t="s">
        <v>2056</v>
      </c>
      <c r="G492" s="4" t="s">
        <v>2057</v>
      </c>
      <c r="H492" s="4" t="s">
        <v>368</v>
      </c>
      <c r="I492" s="4" t="s">
        <v>976</v>
      </c>
      <c r="J492" s="4" t="s">
        <v>100</v>
      </c>
      <c r="K492" s="4" t="s">
        <v>318</v>
      </c>
      <c r="L492" s="2" t="s">
        <v>374</v>
      </c>
      <c r="M492" s="2" t="s">
        <v>391</v>
      </c>
      <c r="N492" s="4" t="s">
        <v>560</v>
      </c>
      <c r="O492" s="4" t="s">
        <v>164</v>
      </c>
      <c r="P492" s="4" t="s">
        <v>105</v>
      </c>
      <c r="Q492" s="152">
        <v>438</v>
      </c>
      <c r="R492" s="152">
        <v>3.681</v>
      </c>
      <c r="S492" s="152">
        <v>7236</v>
      </c>
      <c r="U492" s="152">
        <v>116.664</v>
      </c>
      <c r="V492" s="152">
        <v>0</v>
      </c>
      <c r="W492" s="166">
        <v>1.1244268188585999E-2</v>
      </c>
      <c r="X492" s="166">
        <v>1.5884098696404101E-3</v>
      </c>
    </row>
    <row r="493" spans="1:24">
      <c r="A493" s="4" t="s">
        <v>144</v>
      </c>
      <c r="B493" s="4">
        <v>969</v>
      </c>
      <c r="C493" s="4" t="s">
        <v>2058</v>
      </c>
      <c r="D493" s="4" t="s">
        <v>2059</v>
      </c>
      <c r="E493" s="4" t="s">
        <v>362</v>
      </c>
      <c r="F493" s="4" t="s">
        <v>2060</v>
      </c>
      <c r="G493" s="4" t="s">
        <v>2061</v>
      </c>
      <c r="H493" s="4" t="s">
        <v>368</v>
      </c>
      <c r="I493" s="4" t="s">
        <v>976</v>
      </c>
      <c r="J493" s="4" t="s">
        <v>100</v>
      </c>
      <c r="K493" s="4" t="s">
        <v>101</v>
      </c>
      <c r="L493" s="2" t="s">
        <v>374</v>
      </c>
      <c r="M493" s="2" t="s">
        <v>393</v>
      </c>
      <c r="N493" s="4" t="s">
        <v>579</v>
      </c>
      <c r="O493" s="4" t="s">
        <v>164</v>
      </c>
      <c r="P493" s="4" t="s">
        <v>105</v>
      </c>
      <c r="Q493" s="152">
        <v>105</v>
      </c>
      <c r="R493" s="152">
        <v>3.681</v>
      </c>
      <c r="S493" s="152">
        <v>21563</v>
      </c>
      <c r="U493" s="152">
        <v>83.341999999999999</v>
      </c>
      <c r="V493" s="152">
        <v>9.9999999999999995E-7</v>
      </c>
      <c r="W493" s="166">
        <v>8.0326160514653001E-3</v>
      </c>
      <c r="X493" s="166">
        <v>1.13471916546166E-3</v>
      </c>
    </row>
    <row r="494" spans="1:24">
      <c r="A494" s="4" t="s">
        <v>144</v>
      </c>
      <c r="B494" s="4">
        <v>969</v>
      </c>
      <c r="C494" s="4" t="s">
        <v>2234</v>
      </c>
      <c r="D494" s="4" t="s">
        <v>2235</v>
      </c>
      <c r="E494" s="4" t="s">
        <v>1380</v>
      </c>
      <c r="F494" s="4" t="s">
        <v>2234</v>
      </c>
      <c r="G494" s="4" t="s">
        <v>2236</v>
      </c>
      <c r="H494" s="4" t="s">
        <v>368</v>
      </c>
      <c r="I494" s="4" t="s">
        <v>976</v>
      </c>
      <c r="J494" s="4" t="s">
        <v>100</v>
      </c>
      <c r="K494" s="4" t="s">
        <v>101</v>
      </c>
      <c r="L494" s="2" t="s">
        <v>374</v>
      </c>
      <c r="M494" s="2" t="s">
        <v>393</v>
      </c>
      <c r="N494" s="4" t="s">
        <v>575</v>
      </c>
      <c r="O494" s="4" t="s">
        <v>164</v>
      </c>
      <c r="P494" s="4" t="s">
        <v>105</v>
      </c>
      <c r="Q494" s="152">
        <v>8</v>
      </c>
      <c r="R494" s="152">
        <v>3.681</v>
      </c>
      <c r="S494" s="152">
        <v>311</v>
      </c>
      <c r="U494" s="152">
        <v>9.1999999999999998E-2</v>
      </c>
      <c r="V494" s="152">
        <v>1.9999999999999999E-6</v>
      </c>
      <c r="W494" s="166">
        <v>8.8269141523490096E-6</v>
      </c>
      <c r="X494" s="166">
        <v>1.24692486188582E-6</v>
      </c>
    </row>
    <row r="495" spans="1:24">
      <c r="A495" s="4" t="s">
        <v>144</v>
      </c>
      <c r="B495" s="4">
        <v>969</v>
      </c>
      <c r="D495" s="4" t="s">
        <v>1598</v>
      </c>
      <c r="E495" s="4" t="s">
        <v>362</v>
      </c>
      <c r="F495" s="4" t="s">
        <v>2067</v>
      </c>
      <c r="G495" s="4" t="s">
        <v>2068</v>
      </c>
      <c r="H495" s="4" t="s">
        <v>368</v>
      </c>
      <c r="I495" s="4" t="s">
        <v>976</v>
      </c>
      <c r="J495" s="4" t="s">
        <v>100</v>
      </c>
      <c r="L495" s="2" t="s">
        <v>374</v>
      </c>
      <c r="M495" s="2" t="s">
        <v>204</v>
      </c>
      <c r="N495" s="4" t="s">
        <v>1392</v>
      </c>
      <c r="O495" s="4" t="s">
        <v>164</v>
      </c>
      <c r="P495" s="4" t="s">
        <v>105</v>
      </c>
      <c r="Q495" s="152">
        <v>75.099999999999994</v>
      </c>
      <c r="R495" s="152">
        <v>3.681</v>
      </c>
      <c r="S495" s="152">
        <v>129156</v>
      </c>
      <c r="U495" s="152">
        <v>357.04300000000001</v>
      </c>
      <c r="V495" s="152">
        <v>0</v>
      </c>
      <c r="W495" s="166">
        <v>3.4412248477486002E-2</v>
      </c>
      <c r="X495" s="166">
        <v>4.8612105475785896E-3</v>
      </c>
    </row>
    <row r="496" spans="1:24">
      <c r="A496" s="4" t="s">
        <v>144</v>
      </c>
      <c r="B496" s="4">
        <v>969</v>
      </c>
      <c r="C496" s="4" t="s">
        <v>2069</v>
      </c>
      <c r="D496" s="4" t="s">
        <v>2070</v>
      </c>
      <c r="E496" s="4" t="s">
        <v>362</v>
      </c>
      <c r="F496" s="4" t="s">
        <v>2071</v>
      </c>
      <c r="G496" s="4" t="s">
        <v>2072</v>
      </c>
      <c r="H496" s="4" t="s">
        <v>368</v>
      </c>
      <c r="I496" s="4" t="s">
        <v>976</v>
      </c>
      <c r="J496" s="4" t="s">
        <v>100</v>
      </c>
      <c r="K496" s="4" t="s">
        <v>101</v>
      </c>
      <c r="L496" s="2" t="s">
        <v>374</v>
      </c>
      <c r="M496" s="2" t="s">
        <v>391</v>
      </c>
      <c r="N496" s="4" t="s">
        <v>2066</v>
      </c>
      <c r="O496" s="4" t="s">
        <v>164</v>
      </c>
      <c r="P496" s="4" t="s">
        <v>105</v>
      </c>
      <c r="Q496" s="152">
        <v>76</v>
      </c>
      <c r="R496" s="152">
        <v>3.681</v>
      </c>
      <c r="S496" s="152">
        <v>41074</v>
      </c>
      <c r="U496" s="152">
        <v>114.907</v>
      </c>
      <c r="V496" s="152">
        <v>0</v>
      </c>
      <c r="W496" s="166">
        <v>1.1074882260414899E-2</v>
      </c>
      <c r="X496" s="166">
        <v>1.56448174238724E-3</v>
      </c>
    </row>
    <row r="497" spans="1:24">
      <c r="A497" s="4" t="s">
        <v>144</v>
      </c>
      <c r="B497" s="4">
        <v>969</v>
      </c>
      <c r="C497" s="4" t="s">
        <v>2073</v>
      </c>
      <c r="D497" s="4" t="s">
        <v>2074</v>
      </c>
      <c r="E497" s="4" t="s">
        <v>362</v>
      </c>
      <c r="F497" s="4" t="s">
        <v>2073</v>
      </c>
      <c r="G497" s="4" t="s">
        <v>2075</v>
      </c>
      <c r="H497" s="4" t="s">
        <v>368</v>
      </c>
      <c r="I497" s="4" t="s">
        <v>976</v>
      </c>
      <c r="J497" s="4" t="s">
        <v>100</v>
      </c>
      <c r="K497" s="4" t="s">
        <v>101</v>
      </c>
      <c r="L497" s="2" t="s">
        <v>374</v>
      </c>
      <c r="M497" s="2" t="s">
        <v>393</v>
      </c>
      <c r="N497" s="4" t="s">
        <v>591</v>
      </c>
      <c r="O497" s="4" t="s">
        <v>164</v>
      </c>
      <c r="P497" s="4" t="s">
        <v>105</v>
      </c>
      <c r="Q497" s="152">
        <v>1500</v>
      </c>
      <c r="R497" s="152">
        <v>3.681</v>
      </c>
      <c r="S497" s="152">
        <v>2861</v>
      </c>
      <c r="U497" s="152">
        <v>157.97</v>
      </c>
      <c r="V497" s="152">
        <v>3.9999999999999998E-6</v>
      </c>
      <c r="W497" s="166">
        <v>1.5225362574278801E-2</v>
      </c>
      <c r="X497" s="166">
        <v>2.1507950340767601E-3</v>
      </c>
    </row>
    <row r="498" spans="1:24">
      <c r="A498" s="4" t="s">
        <v>144</v>
      </c>
      <c r="B498" s="4">
        <v>969</v>
      </c>
      <c r="C498" s="4" t="s">
        <v>2076</v>
      </c>
      <c r="D498" s="4" t="s">
        <v>2077</v>
      </c>
      <c r="E498" s="4" t="s">
        <v>1380</v>
      </c>
      <c r="F498" s="4" t="s">
        <v>2078</v>
      </c>
      <c r="G498" s="4" t="s">
        <v>2079</v>
      </c>
      <c r="H498" s="4" t="s">
        <v>368</v>
      </c>
      <c r="I498" s="4" t="s">
        <v>976</v>
      </c>
      <c r="J498" s="4" t="s">
        <v>31</v>
      </c>
      <c r="K498" s="4" t="s">
        <v>31</v>
      </c>
      <c r="L498" s="2" t="s">
        <v>374</v>
      </c>
      <c r="M498" s="2" t="s">
        <v>393</v>
      </c>
      <c r="N498" s="4" t="s">
        <v>579</v>
      </c>
      <c r="O498" s="4" t="s">
        <v>164</v>
      </c>
      <c r="P498" s="4" t="s">
        <v>105</v>
      </c>
      <c r="Q498" s="152">
        <v>5928</v>
      </c>
      <c r="R498" s="152">
        <v>3.681</v>
      </c>
      <c r="S498" s="152">
        <v>3.61</v>
      </c>
      <c r="U498" s="152">
        <v>0.78800000000000003</v>
      </c>
      <c r="V498" s="152">
        <v>9.8999999999999994E-5</v>
      </c>
      <c r="W498" s="166">
        <v>7.5923098478055E-5</v>
      </c>
      <c r="X498" s="166">
        <v>1.07251976681453E-5</v>
      </c>
    </row>
    <row r="499" spans="1:24">
      <c r="A499" s="4" t="s">
        <v>144</v>
      </c>
      <c r="B499" s="4">
        <v>969</v>
      </c>
      <c r="C499" s="4" t="s">
        <v>2084</v>
      </c>
      <c r="D499" s="4" t="s">
        <v>2085</v>
      </c>
      <c r="E499" s="4" t="s">
        <v>362</v>
      </c>
      <c r="F499" s="4" t="s">
        <v>2086</v>
      </c>
      <c r="G499" s="4" t="s">
        <v>2087</v>
      </c>
      <c r="H499" s="4" t="s">
        <v>368</v>
      </c>
      <c r="I499" s="4" t="s">
        <v>976</v>
      </c>
      <c r="J499" s="4" t="s">
        <v>100</v>
      </c>
      <c r="L499" s="2" t="s">
        <v>374</v>
      </c>
      <c r="M499" s="2" t="s">
        <v>204</v>
      </c>
      <c r="N499" s="4" t="s">
        <v>2088</v>
      </c>
      <c r="O499" s="4" t="s">
        <v>164</v>
      </c>
      <c r="P499" s="4" t="s">
        <v>1224</v>
      </c>
      <c r="Q499" s="152">
        <v>32</v>
      </c>
      <c r="R499" s="152">
        <v>3.9790000000000001</v>
      </c>
      <c r="S499" s="152">
        <v>83370</v>
      </c>
      <c r="U499" s="152">
        <v>106.15600000000001</v>
      </c>
      <c r="V499" s="152">
        <v>0</v>
      </c>
      <c r="W499" s="166">
        <v>1.023145368899E-2</v>
      </c>
      <c r="X499" s="166">
        <v>1.44533568105903E-3</v>
      </c>
    </row>
    <row r="500" spans="1:24">
      <c r="A500" s="4" t="s">
        <v>144</v>
      </c>
      <c r="B500" s="4">
        <v>969</v>
      </c>
      <c r="C500" s="4" t="s">
        <v>2089</v>
      </c>
      <c r="D500" s="4" t="s">
        <v>2090</v>
      </c>
      <c r="E500" s="4" t="s">
        <v>362</v>
      </c>
      <c r="F500" s="4" t="s">
        <v>2091</v>
      </c>
      <c r="G500" s="4" t="s">
        <v>2092</v>
      </c>
      <c r="H500" s="4" t="s">
        <v>368</v>
      </c>
      <c r="I500" s="4" t="s">
        <v>976</v>
      </c>
      <c r="J500" s="4" t="s">
        <v>100</v>
      </c>
      <c r="K500" s="4" t="s">
        <v>101</v>
      </c>
      <c r="L500" s="2" t="s">
        <v>374</v>
      </c>
      <c r="M500" s="2" t="s">
        <v>391</v>
      </c>
      <c r="N500" s="4" t="s">
        <v>2053</v>
      </c>
      <c r="O500" s="4" t="s">
        <v>164</v>
      </c>
      <c r="P500" s="4" t="s">
        <v>105</v>
      </c>
      <c r="Q500" s="152">
        <v>127</v>
      </c>
      <c r="R500" s="152">
        <v>3.681</v>
      </c>
      <c r="S500" s="152">
        <v>481.57</v>
      </c>
      <c r="U500" s="152">
        <v>225.12799999999999</v>
      </c>
      <c r="V500" s="152">
        <v>0</v>
      </c>
      <c r="W500" s="166">
        <v>2.16980982773325E-2</v>
      </c>
      <c r="X500" s="166">
        <v>3.0651593218959401E-3</v>
      </c>
    </row>
    <row r="501" spans="1:24">
      <c r="A501" s="4" t="s">
        <v>144</v>
      </c>
      <c r="B501" s="4">
        <v>969</v>
      </c>
      <c r="C501" s="4" t="s">
        <v>2097</v>
      </c>
      <c r="D501" s="4" t="s">
        <v>2098</v>
      </c>
      <c r="E501" s="4" t="s">
        <v>362</v>
      </c>
      <c r="F501" s="4" t="s">
        <v>2099</v>
      </c>
      <c r="G501" s="4" t="s">
        <v>2100</v>
      </c>
      <c r="H501" s="4" t="s">
        <v>368</v>
      </c>
      <c r="I501" s="4" t="s">
        <v>976</v>
      </c>
      <c r="J501" s="4" t="s">
        <v>100</v>
      </c>
      <c r="K501" s="4" t="s">
        <v>101</v>
      </c>
      <c r="L501" s="2" t="s">
        <v>374</v>
      </c>
      <c r="M501" s="2" t="s">
        <v>393</v>
      </c>
      <c r="N501" s="4" t="s">
        <v>589</v>
      </c>
      <c r="O501" s="4" t="s">
        <v>164</v>
      </c>
      <c r="P501" s="4" t="s">
        <v>105</v>
      </c>
      <c r="Q501" s="152">
        <v>327</v>
      </c>
      <c r="R501" s="152">
        <v>3.681</v>
      </c>
      <c r="S501" s="152">
        <v>420.72</v>
      </c>
      <c r="U501" s="152">
        <v>506.41500000000002</v>
      </c>
      <c r="V501" s="152">
        <v>0</v>
      </c>
      <c r="W501" s="166">
        <v>4.8808946879085303E-2</v>
      </c>
      <c r="X501" s="166">
        <v>6.8949451977845903E-3</v>
      </c>
    </row>
    <row r="502" spans="1:24">
      <c r="A502" s="4" t="s">
        <v>144</v>
      </c>
      <c r="B502" s="4">
        <v>969</v>
      </c>
      <c r="C502" s="4" t="s">
        <v>2101</v>
      </c>
      <c r="D502" s="4" t="s">
        <v>2102</v>
      </c>
      <c r="E502" s="4" t="s">
        <v>362</v>
      </c>
      <c r="F502" s="4" t="s">
        <v>2101</v>
      </c>
      <c r="G502" s="4" t="s">
        <v>2103</v>
      </c>
      <c r="H502" s="4" t="s">
        <v>368</v>
      </c>
      <c r="I502" s="4" t="s">
        <v>976</v>
      </c>
      <c r="J502" s="4" t="s">
        <v>100</v>
      </c>
      <c r="K502" s="4" t="s">
        <v>101</v>
      </c>
      <c r="L502" s="2" t="s">
        <v>374</v>
      </c>
      <c r="M502" s="2" t="s">
        <v>393</v>
      </c>
      <c r="N502" s="4" t="s">
        <v>579</v>
      </c>
      <c r="O502" s="4" t="s">
        <v>164</v>
      </c>
      <c r="P502" s="4" t="s">
        <v>105</v>
      </c>
      <c r="Q502" s="152">
        <v>323</v>
      </c>
      <c r="R502" s="152">
        <v>3.681</v>
      </c>
      <c r="S502" s="152">
        <v>10656</v>
      </c>
      <c r="U502" s="152">
        <v>126.696</v>
      </c>
      <c r="V502" s="152">
        <v>9.9999999999999995E-7</v>
      </c>
      <c r="W502" s="166">
        <v>1.2211113303054799E-2</v>
      </c>
      <c r="X502" s="166">
        <v>1.72499024076626E-3</v>
      </c>
    </row>
    <row r="503" spans="1:24">
      <c r="A503" s="4" t="s">
        <v>144</v>
      </c>
      <c r="B503" s="4">
        <v>969</v>
      </c>
      <c r="C503" s="4" t="s">
        <v>2104</v>
      </c>
      <c r="D503" s="4" t="s">
        <v>2105</v>
      </c>
      <c r="E503" s="4" t="s">
        <v>34</v>
      </c>
      <c r="F503" s="4" t="s">
        <v>2104</v>
      </c>
      <c r="G503" s="4" t="s">
        <v>2106</v>
      </c>
      <c r="H503" s="4" t="s">
        <v>368</v>
      </c>
      <c r="I503" s="4" t="s">
        <v>976</v>
      </c>
      <c r="J503" s="4" t="s">
        <v>100</v>
      </c>
      <c r="K503" s="4" t="s">
        <v>101</v>
      </c>
      <c r="L503" s="2" t="s">
        <v>374</v>
      </c>
      <c r="M503" s="2" t="s">
        <v>393</v>
      </c>
      <c r="N503" s="4" t="s">
        <v>2053</v>
      </c>
      <c r="O503" s="4" t="s">
        <v>164</v>
      </c>
      <c r="P503" s="4" t="s">
        <v>105</v>
      </c>
      <c r="Q503" s="152">
        <v>538</v>
      </c>
      <c r="R503" s="152">
        <v>3.681</v>
      </c>
      <c r="S503" s="152">
        <v>6310</v>
      </c>
      <c r="U503" s="152">
        <v>124.962</v>
      </c>
      <c r="V503" s="152">
        <v>0</v>
      </c>
      <c r="W503" s="166">
        <v>1.2043983772552801E-2</v>
      </c>
      <c r="X503" s="166">
        <v>1.70138086118679E-3</v>
      </c>
    </row>
    <row r="504" spans="1:24">
      <c r="A504" s="4" t="s">
        <v>144</v>
      </c>
      <c r="B504" s="4">
        <v>969</v>
      </c>
      <c r="C504" s="4" t="s">
        <v>2107</v>
      </c>
      <c r="D504" s="4" t="s">
        <v>2108</v>
      </c>
      <c r="E504" s="4" t="s">
        <v>362</v>
      </c>
      <c r="F504" s="4" t="s">
        <v>2109</v>
      </c>
      <c r="G504" s="4" t="s">
        <v>2110</v>
      </c>
      <c r="H504" s="4" t="s">
        <v>368</v>
      </c>
      <c r="I504" s="4" t="s">
        <v>976</v>
      </c>
      <c r="J504" s="4" t="s">
        <v>100</v>
      </c>
      <c r="K504" s="4" t="s">
        <v>101</v>
      </c>
      <c r="L504" s="2" t="s">
        <v>374</v>
      </c>
      <c r="M504" s="2" t="s">
        <v>393</v>
      </c>
      <c r="N504" s="4" t="s">
        <v>594</v>
      </c>
      <c r="O504" s="4" t="s">
        <v>164</v>
      </c>
      <c r="P504" s="4" t="s">
        <v>105</v>
      </c>
      <c r="Q504" s="152">
        <v>70</v>
      </c>
      <c r="R504" s="152">
        <v>3.681</v>
      </c>
      <c r="S504" s="152">
        <v>60733</v>
      </c>
      <c r="U504" s="152">
        <v>156.49100000000001</v>
      </c>
      <c r="V504" s="152">
        <v>0</v>
      </c>
      <c r="W504" s="166">
        <v>1.50827766901217E-2</v>
      </c>
      <c r="X504" s="166">
        <v>2.1306527872121399E-3</v>
      </c>
    </row>
    <row r="505" spans="1:24">
      <c r="A505" s="4" t="s">
        <v>144</v>
      </c>
      <c r="B505" s="4">
        <v>969</v>
      </c>
      <c r="C505" s="4" t="s">
        <v>2115</v>
      </c>
      <c r="D505" s="4" t="s">
        <v>2116</v>
      </c>
      <c r="E505" s="4" t="s">
        <v>362</v>
      </c>
      <c r="F505" s="4" t="s">
        <v>2117</v>
      </c>
      <c r="G505" s="4" t="s">
        <v>2118</v>
      </c>
      <c r="H505" s="4" t="s">
        <v>368</v>
      </c>
      <c r="I505" s="4" t="s">
        <v>976</v>
      </c>
      <c r="J505" s="4" t="s">
        <v>100</v>
      </c>
      <c r="L505" s="2" t="s">
        <v>374</v>
      </c>
      <c r="M505" s="2" t="s">
        <v>204</v>
      </c>
      <c r="N505" s="4" t="s">
        <v>579</v>
      </c>
      <c r="O505" s="4" t="s">
        <v>164</v>
      </c>
      <c r="P505" s="4" t="s">
        <v>105</v>
      </c>
      <c r="Q505" s="152">
        <v>222</v>
      </c>
      <c r="R505" s="152">
        <v>3.681</v>
      </c>
      <c r="S505" s="152">
        <v>12840</v>
      </c>
      <c r="T505" s="150">
        <v>0.20599999999999999</v>
      </c>
      <c r="U505" s="152">
        <v>105.68600000000001</v>
      </c>
      <c r="V505" s="152">
        <v>0</v>
      </c>
      <c r="W505" s="166">
        <v>1.0186113472212601E-2</v>
      </c>
      <c r="X505" s="166">
        <v>1.4389307424171401E-3</v>
      </c>
    </row>
    <row r="506" spans="1:24">
      <c r="A506" s="4" t="s">
        <v>144</v>
      </c>
      <c r="B506" s="4">
        <v>969</v>
      </c>
      <c r="C506" s="4" t="s">
        <v>2119</v>
      </c>
      <c r="D506" s="4" t="s">
        <v>2120</v>
      </c>
      <c r="E506" s="4" t="s">
        <v>362</v>
      </c>
      <c r="F506" s="4" t="s">
        <v>2121</v>
      </c>
      <c r="G506" s="4" t="s">
        <v>2122</v>
      </c>
      <c r="H506" s="4" t="s">
        <v>368</v>
      </c>
      <c r="I506" s="4" t="s">
        <v>976</v>
      </c>
      <c r="J506" s="4" t="s">
        <v>100</v>
      </c>
      <c r="K506" s="4" t="s">
        <v>101</v>
      </c>
      <c r="L506" s="2" t="s">
        <v>374</v>
      </c>
      <c r="M506" s="2" t="s">
        <v>393</v>
      </c>
      <c r="N506" s="4" t="s">
        <v>593</v>
      </c>
      <c r="O506" s="4" t="s">
        <v>164</v>
      </c>
      <c r="P506" s="4" t="s">
        <v>105</v>
      </c>
      <c r="Q506" s="152">
        <v>99</v>
      </c>
      <c r="R506" s="152">
        <v>3.681</v>
      </c>
      <c r="S506" s="152">
        <v>90356</v>
      </c>
      <c r="U506" s="152">
        <v>329.274</v>
      </c>
      <c r="V506" s="152">
        <v>0</v>
      </c>
      <c r="W506" s="166">
        <v>3.1735892628542997E-2</v>
      </c>
      <c r="X506" s="166">
        <v>4.4831379176989298E-3</v>
      </c>
    </row>
    <row r="507" spans="1:24">
      <c r="A507" s="4" t="s">
        <v>144</v>
      </c>
      <c r="B507" s="4">
        <v>969</v>
      </c>
      <c r="C507" s="4" t="s">
        <v>2123</v>
      </c>
      <c r="D507" s="4" t="s">
        <v>1564</v>
      </c>
      <c r="E507" s="4" t="s">
        <v>362</v>
      </c>
      <c r="F507" s="4" t="s">
        <v>2124</v>
      </c>
      <c r="G507" s="4" t="s">
        <v>2125</v>
      </c>
      <c r="H507" s="4" t="s">
        <v>368</v>
      </c>
      <c r="I507" s="4" t="s">
        <v>976</v>
      </c>
      <c r="J507" s="4" t="s">
        <v>100</v>
      </c>
      <c r="K507" s="4" t="s">
        <v>101</v>
      </c>
      <c r="L507" s="2" t="s">
        <v>374</v>
      </c>
      <c r="M507" s="2" t="s">
        <v>393</v>
      </c>
      <c r="N507" s="4" t="s">
        <v>579</v>
      </c>
      <c r="O507" s="4" t="s">
        <v>164</v>
      </c>
      <c r="P507" s="4" t="s">
        <v>105</v>
      </c>
      <c r="Q507" s="152">
        <v>2632</v>
      </c>
      <c r="R507" s="152">
        <v>3.681</v>
      </c>
      <c r="S507" s="152">
        <v>80.599999999999994</v>
      </c>
      <c r="U507" s="152">
        <v>7.8090000000000002</v>
      </c>
      <c r="V507" s="152">
        <v>8.2999999999999998E-5</v>
      </c>
      <c r="W507" s="166">
        <v>7.5262640946462903E-4</v>
      </c>
      <c r="X507" s="166">
        <v>1.06318988207624E-4</v>
      </c>
    </row>
    <row r="508" spans="1:24">
      <c r="A508" s="4" t="s">
        <v>144</v>
      </c>
      <c r="B508" s="4">
        <v>969</v>
      </c>
      <c r="C508" s="4" t="s">
        <v>2237</v>
      </c>
      <c r="D508" s="4" t="s">
        <v>2238</v>
      </c>
      <c r="E508" s="4" t="s">
        <v>362</v>
      </c>
      <c r="F508" s="4" t="s">
        <v>2237</v>
      </c>
      <c r="G508" s="4" t="s">
        <v>2239</v>
      </c>
      <c r="H508" s="4" t="s">
        <v>368</v>
      </c>
      <c r="I508" s="4" t="s">
        <v>976</v>
      </c>
      <c r="J508" s="4" t="s">
        <v>100</v>
      </c>
      <c r="K508" s="4" t="s">
        <v>331</v>
      </c>
      <c r="L508" s="2" t="s">
        <v>374</v>
      </c>
      <c r="M508" s="2" t="s">
        <v>204</v>
      </c>
      <c r="N508" s="4" t="s">
        <v>2066</v>
      </c>
      <c r="O508" s="4" t="s">
        <v>164</v>
      </c>
      <c r="P508" s="4" t="s">
        <v>1224</v>
      </c>
      <c r="Q508" s="152">
        <v>175</v>
      </c>
      <c r="R508" s="152">
        <v>3.9790000000000001</v>
      </c>
      <c r="S508" s="152">
        <v>21005</v>
      </c>
      <c r="U508" s="152">
        <v>146.267</v>
      </c>
      <c r="V508" s="152">
        <v>0</v>
      </c>
      <c r="W508" s="166">
        <v>1.4097376465236299E-2</v>
      </c>
      <c r="X508" s="166">
        <v>1.9914512476808398E-3</v>
      </c>
    </row>
    <row r="509" spans="1:24">
      <c r="A509" s="4" t="s">
        <v>144</v>
      </c>
      <c r="B509" s="4">
        <v>969</v>
      </c>
      <c r="C509" s="4" t="s">
        <v>2130</v>
      </c>
      <c r="D509" s="4" t="s">
        <v>2131</v>
      </c>
      <c r="E509" s="4" t="s">
        <v>362</v>
      </c>
      <c r="F509" s="4" t="s">
        <v>2132</v>
      </c>
      <c r="G509" s="4" t="s">
        <v>2133</v>
      </c>
      <c r="H509" s="4" t="s">
        <v>368</v>
      </c>
      <c r="I509" s="4" t="s">
        <v>976</v>
      </c>
      <c r="J509" s="4" t="s">
        <v>100</v>
      </c>
      <c r="K509" s="4" t="s">
        <v>101</v>
      </c>
      <c r="L509" s="2" t="s">
        <v>374</v>
      </c>
      <c r="M509" s="2" t="s">
        <v>391</v>
      </c>
      <c r="N509" s="4" t="s">
        <v>531</v>
      </c>
      <c r="O509" s="4" t="s">
        <v>164</v>
      </c>
      <c r="P509" s="4" t="s">
        <v>105</v>
      </c>
      <c r="Q509" s="152">
        <v>523</v>
      </c>
      <c r="R509" s="152">
        <v>3.681</v>
      </c>
      <c r="S509" s="152">
        <v>54.81</v>
      </c>
      <c r="T509" s="150">
        <v>0.14599999999999999</v>
      </c>
      <c r="U509" s="152">
        <v>106.05500000000001</v>
      </c>
      <c r="V509" s="152">
        <v>0</v>
      </c>
      <c r="W509" s="166">
        <v>1.02217126822072E-2</v>
      </c>
      <c r="X509" s="166">
        <v>1.4439596278509E-3</v>
      </c>
    </row>
    <row r="510" spans="1:24">
      <c r="A510" s="4" t="s">
        <v>144</v>
      </c>
      <c r="B510" s="4">
        <v>969</v>
      </c>
      <c r="C510" s="4" t="s">
        <v>2134</v>
      </c>
      <c r="D510" s="4" t="s">
        <v>2135</v>
      </c>
      <c r="E510" s="4" t="s">
        <v>362</v>
      </c>
      <c r="F510" s="4" t="s">
        <v>2134</v>
      </c>
      <c r="G510" s="4" t="s">
        <v>2136</v>
      </c>
      <c r="H510" s="4" t="s">
        <v>368</v>
      </c>
      <c r="I510" s="4" t="s">
        <v>976</v>
      </c>
      <c r="J510" s="4" t="s">
        <v>100</v>
      </c>
      <c r="K510" s="4" t="s">
        <v>101</v>
      </c>
      <c r="L510" s="2" t="s">
        <v>374</v>
      </c>
      <c r="M510" s="2" t="s">
        <v>393</v>
      </c>
      <c r="N510" s="4" t="s">
        <v>560</v>
      </c>
      <c r="O510" s="4" t="s">
        <v>164</v>
      </c>
      <c r="P510" s="4" t="s">
        <v>105</v>
      </c>
      <c r="Q510" s="152">
        <v>1810</v>
      </c>
      <c r="R510" s="152">
        <v>3.681</v>
      </c>
      <c r="S510" s="152">
        <v>1906</v>
      </c>
      <c r="U510" s="152">
        <v>126.989</v>
      </c>
      <c r="V510" s="152">
        <v>1.5E-5</v>
      </c>
      <c r="W510" s="166">
        <v>1.22393963254111E-2</v>
      </c>
      <c r="X510" s="166">
        <v>1.7289856125504001E-3</v>
      </c>
    </row>
    <row r="511" spans="1:24">
      <c r="A511" s="4" t="s">
        <v>144</v>
      </c>
      <c r="B511" s="4">
        <v>969</v>
      </c>
      <c r="C511" s="4" t="s">
        <v>2137</v>
      </c>
      <c r="D511" s="4" t="s">
        <v>2138</v>
      </c>
      <c r="E511" s="4" t="s">
        <v>362</v>
      </c>
      <c r="F511" s="4" t="s">
        <v>2139</v>
      </c>
      <c r="G511" s="4" t="s">
        <v>2140</v>
      </c>
      <c r="H511" s="4" t="s">
        <v>368</v>
      </c>
      <c r="I511" s="4" t="s">
        <v>976</v>
      </c>
      <c r="J511" s="4" t="s">
        <v>100</v>
      </c>
      <c r="K511" s="4" t="s">
        <v>318</v>
      </c>
      <c r="L511" s="2" t="s">
        <v>374</v>
      </c>
      <c r="M511" s="2" t="s">
        <v>391</v>
      </c>
      <c r="N511" s="4" t="s">
        <v>593</v>
      </c>
      <c r="O511" s="4" t="s">
        <v>164</v>
      </c>
      <c r="P511" s="4" t="s">
        <v>105</v>
      </c>
      <c r="Q511" s="152">
        <v>500</v>
      </c>
      <c r="R511" s="152">
        <v>3.681</v>
      </c>
      <c r="S511" s="152">
        <v>13605</v>
      </c>
      <c r="T511" s="150">
        <v>0.222</v>
      </c>
      <c r="U511" s="152">
        <v>251.21600000000001</v>
      </c>
      <c r="V511" s="152">
        <v>0</v>
      </c>
      <c r="W511" s="166">
        <v>2.4212526996695599E-2</v>
      </c>
      <c r="X511" s="166">
        <v>3.4203574839602102E-3</v>
      </c>
    </row>
    <row r="512" spans="1:24">
      <c r="A512" s="4" t="s">
        <v>144</v>
      </c>
      <c r="B512" s="4">
        <v>969</v>
      </c>
      <c r="C512" s="4" t="s">
        <v>2141</v>
      </c>
      <c r="D512" s="4" t="s">
        <v>2142</v>
      </c>
      <c r="E512" s="4" t="s">
        <v>362</v>
      </c>
      <c r="F512" s="4" t="s">
        <v>2141</v>
      </c>
      <c r="G512" s="4" t="s">
        <v>2143</v>
      </c>
      <c r="H512" s="4" t="s">
        <v>368</v>
      </c>
      <c r="I512" s="4" t="s">
        <v>976</v>
      </c>
      <c r="J512" s="4" t="s">
        <v>100</v>
      </c>
      <c r="K512" s="4" t="s">
        <v>101</v>
      </c>
      <c r="L512" s="2" t="s">
        <v>374</v>
      </c>
      <c r="M512" s="2" t="s">
        <v>393</v>
      </c>
      <c r="N512" s="4" t="s">
        <v>557</v>
      </c>
      <c r="O512" s="4" t="s">
        <v>164</v>
      </c>
      <c r="P512" s="4" t="s">
        <v>105</v>
      </c>
      <c r="Q512" s="152">
        <v>229</v>
      </c>
      <c r="R512" s="152">
        <v>3.681</v>
      </c>
      <c r="S512" s="152">
        <v>17579</v>
      </c>
      <c r="U512" s="152">
        <v>148.18199999999999</v>
      </c>
      <c r="V512" s="152">
        <v>0</v>
      </c>
      <c r="W512" s="166">
        <v>1.42819719330662E-2</v>
      </c>
      <c r="X512" s="166">
        <v>2.0175279347603701E-3</v>
      </c>
    </row>
    <row r="513" spans="1:24">
      <c r="A513" s="4" t="s">
        <v>144</v>
      </c>
      <c r="B513" s="4">
        <v>969</v>
      </c>
      <c r="C513" s="4" t="s">
        <v>2144</v>
      </c>
      <c r="D513" s="4" t="s">
        <v>2145</v>
      </c>
      <c r="E513" s="4" t="s">
        <v>362</v>
      </c>
      <c r="F513" s="4" t="s">
        <v>2146</v>
      </c>
      <c r="G513" s="4" t="s">
        <v>2147</v>
      </c>
      <c r="H513" s="4" t="s">
        <v>368</v>
      </c>
      <c r="I513" s="4" t="s">
        <v>976</v>
      </c>
      <c r="J513" s="4" t="s">
        <v>100</v>
      </c>
      <c r="K513" s="4" t="s">
        <v>322</v>
      </c>
      <c r="L513" s="2" t="s">
        <v>374</v>
      </c>
      <c r="M513" s="2" t="s">
        <v>440</v>
      </c>
      <c r="N513" s="4" t="s">
        <v>613</v>
      </c>
      <c r="O513" s="4" t="s">
        <v>164</v>
      </c>
      <c r="P513" s="4" t="s">
        <v>1224</v>
      </c>
      <c r="Q513" s="152">
        <v>1226</v>
      </c>
      <c r="R513" s="152">
        <v>3.9790000000000001</v>
      </c>
      <c r="S513" s="152">
        <v>600</v>
      </c>
      <c r="U513" s="152">
        <v>29.27</v>
      </c>
      <c r="V513" s="152">
        <v>6.9399999999999996E-4</v>
      </c>
      <c r="W513" s="166">
        <v>2.8211052138138E-3</v>
      </c>
      <c r="X513" s="166">
        <v>3.9852049860074899E-4</v>
      </c>
    </row>
    <row r="514" spans="1:24">
      <c r="A514" s="4" t="s">
        <v>144</v>
      </c>
      <c r="B514" s="4">
        <v>969</v>
      </c>
      <c r="C514" s="4" t="s">
        <v>2148</v>
      </c>
      <c r="D514" s="4" t="s">
        <v>2149</v>
      </c>
      <c r="E514" s="4" t="s">
        <v>362</v>
      </c>
      <c r="F514" s="4" t="s">
        <v>2150</v>
      </c>
      <c r="G514" s="4" t="s">
        <v>2151</v>
      </c>
      <c r="H514" s="4" t="s">
        <v>368</v>
      </c>
      <c r="I514" s="4" t="s">
        <v>976</v>
      </c>
      <c r="J514" s="4" t="s">
        <v>100</v>
      </c>
      <c r="K514" s="4" t="s">
        <v>101</v>
      </c>
      <c r="L514" s="2" t="s">
        <v>374</v>
      </c>
      <c r="M514" s="2" t="s">
        <v>391</v>
      </c>
      <c r="N514" s="4" t="s">
        <v>2053</v>
      </c>
      <c r="O514" s="4" t="s">
        <v>164</v>
      </c>
      <c r="P514" s="4" t="s">
        <v>105</v>
      </c>
      <c r="Q514" s="152">
        <v>226</v>
      </c>
      <c r="R514" s="152">
        <v>3.681</v>
      </c>
      <c r="S514" s="152">
        <v>27908</v>
      </c>
      <c r="U514" s="152">
        <v>232.16800000000001</v>
      </c>
      <c r="V514" s="152">
        <v>0</v>
      </c>
      <c r="W514" s="166">
        <v>2.23766814939746E-2</v>
      </c>
      <c r="X514" s="166">
        <v>3.1610186753557598E-3</v>
      </c>
    </row>
    <row r="515" spans="1:24">
      <c r="A515" s="4" t="s">
        <v>144</v>
      </c>
      <c r="B515" s="4">
        <v>969</v>
      </c>
      <c r="C515" s="4" t="s">
        <v>2152</v>
      </c>
      <c r="D515" s="4" t="s">
        <v>2153</v>
      </c>
      <c r="E515" s="4" t="s">
        <v>362</v>
      </c>
      <c r="F515" s="4" t="s">
        <v>2154</v>
      </c>
      <c r="G515" s="4" t="s">
        <v>2155</v>
      </c>
      <c r="H515" s="4" t="s">
        <v>368</v>
      </c>
      <c r="I515" s="4" t="s">
        <v>976</v>
      </c>
      <c r="J515" s="4" t="s">
        <v>100</v>
      </c>
      <c r="K515" s="4" t="s">
        <v>101</v>
      </c>
      <c r="L515" s="2" t="s">
        <v>374</v>
      </c>
      <c r="M515" s="2" t="s">
        <v>391</v>
      </c>
      <c r="N515" s="4" t="s">
        <v>594</v>
      </c>
      <c r="O515" s="4" t="s">
        <v>164</v>
      </c>
      <c r="P515" s="4" t="s">
        <v>105</v>
      </c>
      <c r="Q515" s="152">
        <v>314</v>
      </c>
      <c r="R515" s="152">
        <v>3.681</v>
      </c>
      <c r="S515" s="152">
        <v>12236</v>
      </c>
      <c r="U515" s="152">
        <v>141.428</v>
      </c>
      <c r="V515" s="152">
        <v>0</v>
      </c>
      <c r="W515" s="166">
        <v>1.36309976577157E-2</v>
      </c>
      <c r="X515" s="166">
        <v>1.9255687297230499E-3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383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3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615</v>
      </c>
      <c r="N1" s="19" t="s">
        <v>150</v>
      </c>
      <c r="O1" s="19" t="s">
        <v>11</v>
      </c>
      <c r="P1" s="19" t="s">
        <v>17</v>
      </c>
      <c r="Q1" s="19" t="s">
        <v>18</v>
      </c>
      <c r="R1" s="19" t="s">
        <v>19</v>
      </c>
      <c r="S1" s="19" t="s">
        <v>16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20" t="s">
        <v>26</v>
      </c>
      <c r="B2" s="20">
        <v>1182</v>
      </c>
      <c r="C2" s="20" t="s">
        <v>1607</v>
      </c>
      <c r="D2" s="20" t="s">
        <v>1608</v>
      </c>
      <c r="E2" s="18" t="s">
        <v>1380</v>
      </c>
      <c r="F2" s="20" t="s">
        <v>1612</v>
      </c>
      <c r="G2" s="20" t="s">
        <v>1613</v>
      </c>
      <c r="H2" s="18" t="s">
        <v>368</v>
      </c>
      <c r="I2" s="20" t="s">
        <v>1026</v>
      </c>
      <c r="J2" s="18" t="s">
        <v>31</v>
      </c>
      <c r="K2" s="18" t="s">
        <v>101</v>
      </c>
      <c r="L2" s="18" t="s">
        <v>32</v>
      </c>
      <c r="M2" s="20" t="s">
        <v>1614</v>
      </c>
      <c r="N2" s="20" t="s">
        <v>164</v>
      </c>
      <c r="O2" s="18" t="s">
        <v>35</v>
      </c>
      <c r="P2" s="154">
        <v>5380</v>
      </c>
      <c r="Q2" s="153">
        <v>1</v>
      </c>
      <c r="R2" s="153">
        <v>9356</v>
      </c>
      <c r="S2" s="132"/>
      <c r="T2" s="153">
        <v>503.35300000000001</v>
      </c>
      <c r="U2" s="168">
        <v>8.4900000000000004E-4</v>
      </c>
      <c r="V2" s="168">
        <v>5.4690331279913197E-3</v>
      </c>
      <c r="W2" s="168">
        <v>1.32516290001764E-3</v>
      </c>
    </row>
    <row r="3" spans="1:23">
      <c r="A3" s="20" t="s">
        <v>26</v>
      </c>
      <c r="B3" s="20">
        <v>1182</v>
      </c>
      <c r="C3" s="20" t="s">
        <v>1607</v>
      </c>
      <c r="D3" s="20" t="s">
        <v>1608</v>
      </c>
      <c r="E3" s="18" t="s">
        <v>1380</v>
      </c>
      <c r="F3" s="20" t="s">
        <v>1615</v>
      </c>
      <c r="G3" s="20" t="s">
        <v>1616</v>
      </c>
      <c r="H3" s="18" t="s">
        <v>368</v>
      </c>
      <c r="I3" s="20" t="s">
        <v>1025</v>
      </c>
      <c r="J3" s="18" t="s">
        <v>31</v>
      </c>
      <c r="K3" s="18" t="s">
        <v>31</v>
      </c>
      <c r="L3" s="18" t="s">
        <v>32</v>
      </c>
      <c r="M3" s="20" t="s">
        <v>1611</v>
      </c>
      <c r="N3" s="20" t="s">
        <v>164</v>
      </c>
      <c r="O3" s="18" t="s">
        <v>35</v>
      </c>
      <c r="P3" s="154">
        <v>15305</v>
      </c>
      <c r="Q3" s="153">
        <v>1</v>
      </c>
      <c r="R3" s="153">
        <v>3157</v>
      </c>
      <c r="S3" s="132"/>
      <c r="T3" s="153">
        <v>483.17899999999997</v>
      </c>
      <c r="U3" s="168">
        <v>3.8200000000000002E-4</v>
      </c>
      <c r="V3" s="168">
        <v>5.2498389546948897E-3</v>
      </c>
      <c r="W3" s="168">
        <v>1.27205150362368E-3</v>
      </c>
    </row>
    <row r="4" spans="1:23">
      <c r="A4" s="20" t="s">
        <v>26</v>
      </c>
      <c r="B4" s="20">
        <v>1182</v>
      </c>
      <c r="C4" s="20" t="s">
        <v>1607</v>
      </c>
      <c r="D4" s="20" t="s">
        <v>1608</v>
      </c>
      <c r="E4" s="18" t="s">
        <v>1380</v>
      </c>
      <c r="F4" s="20" t="s">
        <v>1617</v>
      </c>
      <c r="G4" s="20" t="s">
        <v>1618</v>
      </c>
      <c r="H4" s="18" t="s">
        <v>368</v>
      </c>
      <c r="I4" s="20" t="s">
        <v>1025</v>
      </c>
      <c r="J4" s="18" t="s">
        <v>31</v>
      </c>
      <c r="K4" s="18" t="s">
        <v>31</v>
      </c>
      <c r="L4" s="18" t="s">
        <v>32</v>
      </c>
      <c r="M4" s="20" t="s">
        <v>1611</v>
      </c>
      <c r="N4" s="20" t="s">
        <v>164</v>
      </c>
      <c r="O4" s="18" t="s">
        <v>35</v>
      </c>
      <c r="P4" s="154">
        <v>18700</v>
      </c>
      <c r="Q4" s="153">
        <v>1</v>
      </c>
      <c r="R4" s="153">
        <v>2713</v>
      </c>
      <c r="S4" s="132"/>
      <c r="T4" s="153">
        <v>507.33100000000002</v>
      </c>
      <c r="U4" s="168">
        <v>3.6900000000000002E-4</v>
      </c>
      <c r="V4" s="168">
        <v>5.5122571005008104E-3</v>
      </c>
      <c r="W4" s="168">
        <v>1.3356361963792599E-3</v>
      </c>
    </row>
    <row r="5" spans="1:23">
      <c r="A5" s="20" t="s">
        <v>26</v>
      </c>
      <c r="B5" s="20">
        <v>1182</v>
      </c>
      <c r="C5" s="20" t="s">
        <v>1607</v>
      </c>
      <c r="D5" s="20" t="s">
        <v>1608</v>
      </c>
      <c r="E5" s="18" t="s">
        <v>1380</v>
      </c>
      <c r="F5" s="20" t="s">
        <v>1619</v>
      </c>
      <c r="G5" s="20" t="s">
        <v>1620</v>
      </c>
      <c r="H5" s="18" t="s">
        <v>368</v>
      </c>
      <c r="I5" s="20" t="s">
        <v>1025</v>
      </c>
      <c r="J5" s="18" t="s">
        <v>31</v>
      </c>
      <c r="K5" s="18" t="s">
        <v>31</v>
      </c>
      <c r="L5" s="18" t="s">
        <v>32</v>
      </c>
      <c r="M5" s="20" t="s">
        <v>1611</v>
      </c>
      <c r="N5" s="20" t="s">
        <v>164</v>
      </c>
      <c r="O5" s="18" t="s">
        <v>35</v>
      </c>
      <c r="P5" s="154">
        <v>21395</v>
      </c>
      <c r="Q5" s="153">
        <v>1</v>
      </c>
      <c r="R5" s="153">
        <v>3091</v>
      </c>
      <c r="S5" s="132"/>
      <c r="T5" s="153">
        <v>661.31899999999996</v>
      </c>
      <c r="U5" s="168">
        <v>5.9400000000000002E-4</v>
      </c>
      <c r="V5" s="168">
        <v>7.1853737184634598E-3</v>
      </c>
      <c r="W5" s="168">
        <v>1.74103730067672E-3</v>
      </c>
    </row>
    <row r="6" spans="1:23">
      <c r="A6" s="20" t="s">
        <v>26</v>
      </c>
      <c r="B6" s="20">
        <v>1182</v>
      </c>
      <c r="C6" s="20" t="s">
        <v>1607</v>
      </c>
      <c r="D6" s="20" t="s">
        <v>1608</v>
      </c>
      <c r="E6" s="18" t="s">
        <v>1380</v>
      </c>
      <c r="F6" s="20" t="s">
        <v>1621</v>
      </c>
      <c r="G6" s="20" t="s">
        <v>1622</v>
      </c>
      <c r="H6" s="18" t="s">
        <v>368</v>
      </c>
      <c r="I6" s="20" t="s">
        <v>1026</v>
      </c>
      <c r="J6" s="18" t="s">
        <v>31</v>
      </c>
      <c r="K6" s="18" t="s">
        <v>101</v>
      </c>
      <c r="L6" s="18" t="s">
        <v>32</v>
      </c>
      <c r="M6" s="20" t="s">
        <v>1614</v>
      </c>
      <c r="N6" s="20" t="s">
        <v>164</v>
      </c>
      <c r="O6" s="18" t="s">
        <v>35</v>
      </c>
      <c r="P6" s="154">
        <v>7580</v>
      </c>
      <c r="Q6" s="153">
        <v>1</v>
      </c>
      <c r="R6" s="153">
        <v>8701</v>
      </c>
      <c r="S6" s="132"/>
      <c r="T6" s="153">
        <v>659.53599999999994</v>
      </c>
      <c r="U6" s="168">
        <v>2.013E-3</v>
      </c>
      <c r="V6" s="168">
        <v>7.16599398929787E-3</v>
      </c>
      <c r="W6" s="168">
        <v>1.7363415349898801E-3</v>
      </c>
    </row>
    <row r="7" spans="1:23">
      <c r="A7" s="20" t="s">
        <v>26</v>
      </c>
      <c r="B7" s="20">
        <v>1182</v>
      </c>
      <c r="C7" s="20" t="s">
        <v>1623</v>
      </c>
      <c r="D7" s="20" t="s">
        <v>1624</v>
      </c>
      <c r="E7" s="18" t="s">
        <v>1380</v>
      </c>
      <c r="F7" s="20" t="s">
        <v>1625</v>
      </c>
      <c r="G7" s="20" t="s">
        <v>1626</v>
      </c>
      <c r="H7" s="18" t="s">
        <v>368</v>
      </c>
      <c r="I7" s="20" t="s">
        <v>1025</v>
      </c>
      <c r="J7" s="18" t="s">
        <v>31</v>
      </c>
      <c r="K7" s="18" t="s">
        <v>31</v>
      </c>
      <c r="L7" s="18" t="s">
        <v>32</v>
      </c>
      <c r="M7" s="20" t="s">
        <v>1611</v>
      </c>
      <c r="N7" s="20" t="s">
        <v>164</v>
      </c>
      <c r="O7" s="18" t="s">
        <v>35</v>
      </c>
      <c r="P7" s="154">
        <v>20973</v>
      </c>
      <c r="Q7" s="153">
        <v>1</v>
      </c>
      <c r="R7" s="153">
        <v>2053</v>
      </c>
      <c r="S7" s="132"/>
      <c r="T7" s="153">
        <v>430.57600000000002</v>
      </c>
      <c r="U7" s="168">
        <v>4.2999999999999999E-4</v>
      </c>
      <c r="V7" s="168">
        <v>4.6782946528115396E-3</v>
      </c>
      <c r="W7" s="168">
        <v>1.1335646290981101E-3</v>
      </c>
    </row>
    <row r="8" spans="1:23">
      <c r="A8" s="20" t="s">
        <v>26</v>
      </c>
      <c r="B8" s="20">
        <v>1182</v>
      </c>
      <c r="C8" s="20" t="s">
        <v>1623</v>
      </c>
      <c r="D8" s="20" t="s">
        <v>1624</v>
      </c>
      <c r="E8" s="18" t="s">
        <v>1380</v>
      </c>
      <c r="F8" s="20" t="s">
        <v>1627</v>
      </c>
      <c r="G8" s="20" t="s">
        <v>1628</v>
      </c>
      <c r="H8" s="18" t="s">
        <v>368</v>
      </c>
      <c r="I8" s="20" t="s">
        <v>1025</v>
      </c>
      <c r="J8" s="18" t="s">
        <v>31</v>
      </c>
      <c r="K8" s="18" t="s">
        <v>31</v>
      </c>
      <c r="L8" s="18" t="s">
        <v>32</v>
      </c>
      <c r="M8" s="20" t="s">
        <v>1611</v>
      </c>
      <c r="N8" s="20" t="s">
        <v>164</v>
      </c>
      <c r="O8" s="18" t="s">
        <v>35</v>
      </c>
      <c r="P8" s="154">
        <v>12121</v>
      </c>
      <c r="Q8" s="153">
        <v>1</v>
      </c>
      <c r="R8" s="153">
        <v>2014</v>
      </c>
      <c r="S8" s="132"/>
      <c r="T8" s="153">
        <v>244.11699999999999</v>
      </c>
      <c r="U8" s="168">
        <v>2.13E-4</v>
      </c>
      <c r="V8" s="168">
        <v>2.6523814548441299E-3</v>
      </c>
      <c r="W8" s="168">
        <v>6.4267987017025102E-4</v>
      </c>
    </row>
    <row r="9" spans="1:23">
      <c r="A9" s="20" t="s">
        <v>26</v>
      </c>
      <c r="B9" s="20">
        <v>1182</v>
      </c>
      <c r="C9" s="20" t="s">
        <v>1629</v>
      </c>
      <c r="D9" s="20" t="s">
        <v>1630</v>
      </c>
      <c r="E9" s="18" t="s">
        <v>1380</v>
      </c>
      <c r="F9" s="20" t="s">
        <v>1631</v>
      </c>
      <c r="G9" s="20" t="s">
        <v>1632</v>
      </c>
      <c r="H9" s="18" t="s">
        <v>368</v>
      </c>
      <c r="I9" s="20" t="s">
        <v>1026</v>
      </c>
      <c r="J9" s="18" t="s">
        <v>31</v>
      </c>
      <c r="K9" s="18" t="s">
        <v>101</v>
      </c>
      <c r="L9" s="18" t="s">
        <v>32</v>
      </c>
      <c r="M9" s="20" t="s">
        <v>1614</v>
      </c>
      <c r="N9" s="20" t="s">
        <v>164</v>
      </c>
      <c r="O9" s="18" t="s">
        <v>35</v>
      </c>
      <c r="P9" s="154">
        <v>9311</v>
      </c>
      <c r="Q9" s="153">
        <v>1</v>
      </c>
      <c r="R9" s="153">
        <v>10160</v>
      </c>
      <c r="S9" s="132"/>
      <c r="T9" s="153">
        <v>945.99800000000005</v>
      </c>
      <c r="U9" s="168">
        <v>9.7999999999999997E-4</v>
      </c>
      <c r="V9" s="168">
        <v>1.02784611775285E-2</v>
      </c>
      <c r="W9" s="168">
        <v>2.4905015389319902E-3</v>
      </c>
    </row>
    <row r="10" spans="1:23">
      <c r="A10" s="20" t="s">
        <v>26</v>
      </c>
      <c r="B10" s="20">
        <v>1182</v>
      </c>
      <c r="C10" s="20" t="s">
        <v>1607</v>
      </c>
      <c r="D10" s="20" t="s">
        <v>1608</v>
      </c>
      <c r="E10" s="18" t="s">
        <v>1380</v>
      </c>
      <c r="F10" s="20" t="s">
        <v>1633</v>
      </c>
      <c r="G10" s="20" t="s">
        <v>1634</v>
      </c>
      <c r="H10" s="18" t="s">
        <v>368</v>
      </c>
      <c r="I10" s="20" t="s">
        <v>1026</v>
      </c>
      <c r="J10" s="18" t="s">
        <v>31</v>
      </c>
      <c r="K10" s="18" t="s">
        <v>101</v>
      </c>
      <c r="L10" s="18" t="s">
        <v>32</v>
      </c>
      <c r="M10" s="20" t="s">
        <v>1614</v>
      </c>
      <c r="N10" s="20" t="s">
        <v>164</v>
      </c>
      <c r="O10" s="18" t="s">
        <v>35</v>
      </c>
      <c r="P10" s="154">
        <v>4108</v>
      </c>
      <c r="Q10" s="153">
        <v>1</v>
      </c>
      <c r="R10" s="153">
        <v>3141</v>
      </c>
      <c r="S10" s="132"/>
      <c r="T10" s="153">
        <v>129.03200000000001</v>
      </c>
      <c r="U10" s="168">
        <v>2.05E-4</v>
      </c>
      <c r="V10" s="168">
        <v>1.4019626272075E-3</v>
      </c>
      <c r="W10" s="168">
        <v>3.3969969047691398E-4</v>
      </c>
    </row>
    <row r="11" spans="1:23">
      <c r="A11" s="20" t="s">
        <v>26</v>
      </c>
      <c r="B11" s="20">
        <v>1182</v>
      </c>
      <c r="C11" s="20" t="s">
        <v>1635</v>
      </c>
      <c r="D11" s="20" t="s">
        <v>1636</v>
      </c>
      <c r="E11" s="18" t="s">
        <v>362</v>
      </c>
      <c r="F11" s="20" t="s">
        <v>1637</v>
      </c>
      <c r="G11" s="20" t="s">
        <v>1638</v>
      </c>
      <c r="H11" s="18" t="s">
        <v>368</v>
      </c>
      <c r="I11" s="20" t="s">
        <v>1026</v>
      </c>
      <c r="J11" s="18" t="s">
        <v>100</v>
      </c>
      <c r="K11" s="18" t="s">
        <v>101</v>
      </c>
      <c r="L11" s="18" t="s">
        <v>391</v>
      </c>
      <c r="M11" s="20" t="s">
        <v>781</v>
      </c>
      <c r="N11" s="20" t="s">
        <v>164</v>
      </c>
      <c r="O11" s="18" t="s">
        <v>105</v>
      </c>
      <c r="P11" s="154">
        <v>3240</v>
      </c>
      <c r="Q11" s="153">
        <v>3.681</v>
      </c>
      <c r="R11" s="153">
        <v>65.650000000000006</v>
      </c>
      <c r="S11" s="132"/>
      <c r="T11" s="153">
        <v>782.971</v>
      </c>
      <c r="U11" s="168">
        <v>1.4E-5</v>
      </c>
      <c r="V11" s="168">
        <v>8.5071408500824799E-3</v>
      </c>
      <c r="W11" s="168">
        <v>2.06130538541725E-3</v>
      </c>
    </row>
    <row r="12" spans="1:23">
      <c r="A12" s="20" t="s">
        <v>26</v>
      </c>
      <c r="B12" s="20">
        <v>1182</v>
      </c>
      <c r="C12" s="20" t="s">
        <v>1579</v>
      </c>
      <c r="D12" s="20" t="s">
        <v>1580</v>
      </c>
      <c r="E12" s="18" t="s">
        <v>362</v>
      </c>
      <c r="F12" s="20" t="s">
        <v>1639</v>
      </c>
      <c r="G12" s="20" t="s">
        <v>1640</v>
      </c>
      <c r="H12" s="18" t="s">
        <v>368</v>
      </c>
      <c r="I12" s="20" t="s">
        <v>1026</v>
      </c>
      <c r="J12" s="18" t="s">
        <v>100</v>
      </c>
      <c r="K12" s="18" t="s">
        <v>101</v>
      </c>
      <c r="L12" s="18" t="s">
        <v>391</v>
      </c>
      <c r="M12" s="20" t="s">
        <v>781</v>
      </c>
      <c r="N12" s="20" t="s">
        <v>164</v>
      </c>
      <c r="O12" s="18" t="s">
        <v>105</v>
      </c>
      <c r="P12" s="154">
        <v>1706</v>
      </c>
      <c r="Q12" s="153">
        <v>3.681</v>
      </c>
      <c r="R12" s="153">
        <v>10157</v>
      </c>
      <c r="S12" s="132"/>
      <c r="T12" s="153">
        <v>637.83799999999997</v>
      </c>
      <c r="U12" s="168">
        <v>8.7999999999999998E-5</v>
      </c>
      <c r="V12" s="168">
        <v>6.9302413905566801E-3</v>
      </c>
      <c r="W12" s="168">
        <v>1.67921798314383E-3</v>
      </c>
    </row>
    <row r="13" spans="1:23">
      <c r="A13" s="20" t="s">
        <v>26</v>
      </c>
      <c r="B13" s="20">
        <v>1182</v>
      </c>
      <c r="C13" s="20" t="s">
        <v>1641</v>
      </c>
      <c r="D13" s="20" t="s">
        <v>1642</v>
      </c>
      <c r="E13" s="18" t="s">
        <v>362</v>
      </c>
      <c r="F13" s="20" t="s">
        <v>1643</v>
      </c>
      <c r="G13" s="20" t="s">
        <v>1644</v>
      </c>
      <c r="H13" s="18" t="s">
        <v>34</v>
      </c>
      <c r="I13" s="20" t="s">
        <v>1026</v>
      </c>
      <c r="J13" s="18" t="s">
        <v>100</v>
      </c>
      <c r="K13" s="18" t="s">
        <v>331</v>
      </c>
      <c r="L13" s="18" t="s">
        <v>393</v>
      </c>
      <c r="M13" s="20" t="s">
        <v>781</v>
      </c>
      <c r="N13" s="20" t="s">
        <v>164</v>
      </c>
      <c r="O13" s="18" t="s">
        <v>105</v>
      </c>
      <c r="P13" s="154">
        <v>3184</v>
      </c>
      <c r="Q13" s="153">
        <v>3.681</v>
      </c>
      <c r="R13" s="153">
        <v>12389</v>
      </c>
      <c r="S13" s="132"/>
      <c r="T13" s="153">
        <v>1452.028</v>
      </c>
      <c r="U13" s="168">
        <v>0</v>
      </c>
      <c r="V13" s="168">
        <v>1.57765920136472E-2</v>
      </c>
      <c r="W13" s="168">
        <v>3.8227148996770599E-3</v>
      </c>
    </row>
    <row r="14" spans="1:23">
      <c r="A14" s="20" t="s">
        <v>26</v>
      </c>
      <c r="B14" s="20">
        <v>1182</v>
      </c>
      <c r="C14" s="20" t="s">
        <v>1645</v>
      </c>
      <c r="D14" s="20" t="s">
        <v>1646</v>
      </c>
      <c r="E14" s="18" t="s">
        <v>362</v>
      </c>
      <c r="F14" s="20" t="s">
        <v>1647</v>
      </c>
      <c r="G14" s="20" t="s">
        <v>1648</v>
      </c>
      <c r="H14" s="18" t="s">
        <v>368</v>
      </c>
      <c r="I14" s="20" t="s">
        <v>1026</v>
      </c>
      <c r="J14" s="18" t="s">
        <v>100</v>
      </c>
      <c r="K14" s="18" t="s">
        <v>1649</v>
      </c>
      <c r="L14" s="18" t="s">
        <v>204</v>
      </c>
      <c r="M14" s="20" t="s">
        <v>781</v>
      </c>
      <c r="N14" s="20" t="s">
        <v>164</v>
      </c>
      <c r="O14" s="18" t="s">
        <v>105</v>
      </c>
      <c r="P14" s="154">
        <v>5610</v>
      </c>
      <c r="Q14" s="153">
        <v>3.681</v>
      </c>
      <c r="R14" s="153">
        <v>6742.6</v>
      </c>
      <c r="S14" s="132"/>
      <c r="T14" s="153">
        <v>1392.375</v>
      </c>
      <c r="U14" s="168">
        <v>0</v>
      </c>
      <c r="V14" s="168">
        <v>1.5128439757000201E-2</v>
      </c>
      <c r="W14" s="168">
        <v>3.6656656911660899E-3</v>
      </c>
    </row>
    <row r="15" spans="1:23">
      <c r="A15" s="20" t="s">
        <v>26</v>
      </c>
      <c r="B15" s="20">
        <v>1182</v>
      </c>
      <c r="C15" s="20" t="s">
        <v>1645</v>
      </c>
      <c r="D15" s="20" t="s">
        <v>1646</v>
      </c>
      <c r="E15" s="18" t="s">
        <v>362</v>
      </c>
      <c r="F15" s="20" t="s">
        <v>1650</v>
      </c>
      <c r="G15" s="20" t="s">
        <v>1651</v>
      </c>
      <c r="H15" s="18" t="s">
        <v>368</v>
      </c>
      <c r="I15" s="20" t="s">
        <v>1026</v>
      </c>
      <c r="J15" s="18" t="s">
        <v>100</v>
      </c>
      <c r="K15" s="18" t="s">
        <v>331</v>
      </c>
      <c r="L15" s="18" t="s">
        <v>411</v>
      </c>
      <c r="M15" s="20" t="s">
        <v>781</v>
      </c>
      <c r="N15" s="20" t="s">
        <v>164</v>
      </c>
      <c r="O15" s="18" t="s">
        <v>1224</v>
      </c>
      <c r="P15" s="154">
        <v>3711</v>
      </c>
      <c r="Q15" s="153">
        <v>3.9790000000000001</v>
      </c>
      <c r="R15" s="153">
        <v>11016</v>
      </c>
      <c r="S15" s="132"/>
      <c r="T15" s="153">
        <v>1626.671</v>
      </c>
      <c r="U15" s="168">
        <v>7.3899999999999997E-4</v>
      </c>
      <c r="V15" s="168">
        <v>1.7674120048300601E-2</v>
      </c>
      <c r="W15" s="168">
        <v>4.2824915538714403E-3</v>
      </c>
    </row>
    <row r="16" spans="1:23">
      <c r="A16" s="20" t="s">
        <v>26</v>
      </c>
      <c r="B16" s="20">
        <v>1182</v>
      </c>
      <c r="C16" s="20" t="s">
        <v>1645</v>
      </c>
      <c r="D16" s="20" t="s">
        <v>1646</v>
      </c>
      <c r="E16" s="18" t="s">
        <v>362</v>
      </c>
      <c r="F16" s="20" t="s">
        <v>1652</v>
      </c>
      <c r="G16" s="20" t="s">
        <v>1653</v>
      </c>
      <c r="H16" s="18" t="s">
        <v>368</v>
      </c>
      <c r="I16" s="20" t="s">
        <v>1026</v>
      </c>
      <c r="J16" s="18" t="s">
        <v>100</v>
      </c>
      <c r="K16" s="18" t="s">
        <v>101</v>
      </c>
      <c r="L16" s="18" t="s">
        <v>426</v>
      </c>
      <c r="M16" s="20" t="s">
        <v>781</v>
      </c>
      <c r="N16" s="20" t="s">
        <v>164</v>
      </c>
      <c r="O16" s="18" t="s">
        <v>105</v>
      </c>
      <c r="P16" s="154">
        <v>8724</v>
      </c>
      <c r="Q16" s="153">
        <v>3.681</v>
      </c>
      <c r="R16" s="153">
        <v>9308</v>
      </c>
      <c r="S16" s="132"/>
      <c r="T16" s="153">
        <v>2989.0819999999999</v>
      </c>
      <c r="U16" s="168">
        <v>0</v>
      </c>
      <c r="V16" s="168">
        <v>3.2477000667217697E-2</v>
      </c>
      <c r="W16" s="168">
        <v>7.8692733031317293E-3</v>
      </c>
    </row>
    <row r="17" spans="1:23">
      <c r="A17" s="20" t="s">
        <v>26</v>
      </c>
      <c r="B17" s="20">
        <v>1182</v>
      </c>
      <c r="C17" s="20" t="s">
        <v>1635</v>
      </c>
      <c r="D17" s="20" t="s">
        <v>1636</v>
      </c>
      <c r="E17" s="18" t="s">
        <v>362</v>
      </c>
      <c r="F17" s="20" t="s">
        <v>1654</v>
      </c>
      <c r="G17" s="20" t="s">
        <v>1655</v>
      </c>
      <c r="H17" s="18" t="s">
        <v>368</v>
      </c>
      <c r="I17" s="20" t="s">
        <v>1026</v>
      </c>
      <c r="J17" s="18" t="s">
        <v>100</v>
      </c>
      <c r="K17" s="18" t="s">
        <v>101</v>
      </c>
      <c r="L17" s="18" t="s">
        <v>391</v>
      </c>
      <c r="M17" s="20" t="s">
        <v>781</v>
      </c>
      <c r="N17" s="20" t="s">
        <v>164</v>
      </c>
      <c r="O17" s="18" t="s">
        <v>105</v>
      </c>
      <c r="P17" s="154">
        <v>666</v>
      </c>
      <c r="Q17" s="153">
        <v>3.681</v>
      </c>
      <c r="R17" s="153">
        <v>81.66</v>
      </c>
      <c r="S17" s="132"/>
      <c r="T17" s="153">
        <v>200.19300000000001</v>
      </c>
      <c r="U17" s="168">
        <v>3.9999999999999998E-6</v>
      </c>
      <c r="V17" s="168">
        <v>2.1751413647504601E-3</v>
      </c>
      <c r="W17" s="168">
        <v>5.2704318503912903E-4</v>
      </c>
    </row>
    <row r="18" spans="1:23">
      <c r="A18" s="20" t="s">
        <v>26</v>
      </c>
      <c r="B18" s="20">
        <v>1182</v>
      </c>
      <c r="C18" s="20" t="s">
        <v>1635</v>
      </c>
      <c r="D18" s="20" t="s">
        <v>1636</v>
      </c>
      <c r="E18" s="18" t="s">
        <v>362</v>
      </c>
      <c r="F18" s="20" t="s">
        <v>1656</v>
      </c>
      <c r="G18" s="20" t="s">
        <v>1657</v>
      </c>
      <c r="H18" s="18" t="s">
        <v>368</v>
      </c>
      <c r="I18" s="20" t="s">
        <v>1026</v>
      </c>
      <c r="J18" s="18" t="s">
        <v>100</v>
      </c>
      <c r="K18" s="18" t="s">
        <v>101</v>
      </c>
      <c r="L18" s="18" t="s">
        <v>391</v>
      </c>
      <c r="M18" s="20" t="s">
        <v>781</v>
      </c>
      <c r="N18" s="20" t="s">
        <v>164</v>
      </c>
      <c r="O18" s="18" t="s">
        <v>105</v>
      </c>
      <c r="P18" s="154">
        <v>1068</v>
      </c>
      <c r="Q18" s="153">
        <v>3.681</v>
      </c>
      <c r="R18" s="153">
        <v>183.89</v>
      </c>
      <c r="S18" s="132"/>
      <c r="T18" s="153">
        <v>722.928</v>
      </c>
      <c r="U18" s="168">
        <v>1.1E-5</v>
      </c>
      <c r="V18" s="168">
        <v>7.8547659390160209E-3</v>
      </c>
      <c r="W18" s="168">
        <v>1.9032330152531499E-3</v>
      </c>
    </row>
    <row r="19" spans="1:23">
      <c r="A19" s="20" t="s">
        <v>26</v>
      </c>
      <c r="B19" s="20">
        <v>1182</v>
      </c>
      <c r="C19" s="20" t="s">
        <v>1658</v>
      </c>
      <c r="D19" s="20" t="s">
        <v>1659</v>
      </c>
      <c r="E19" s="18" t="s">
        <v>362</v>
      </c>
      <c r="F19" s="20" t="s">
        <v>1660</v>
      </c>
      <c r="G19" s="20" t="s">
        <v>1661</v>
      </c>
      <c r="H19" s="18" t="s">
        <v>368</v>
      </c>
      <c r="I19" s="20" t="s">
        <v>1026</v>
      </c>
      <c r="J19" s="18" t="s">
        <v>100</v>
      </c>
      <c r="K19" s="18" t="s">
        <v>101</v>
      </c>
      <c r="L19" s="18" t="s">
        <v>391</v>
      </c>
      <c r="M19" s="20" t="s">
        <v>781</v>
      </c>
      <c r="N19" s="20" t="s">
        <v>164</v>
      </c>
      <c r="O19" s="18" t="s">
        <v>105</v>
      </c>
      <c r="P19" s="154">
        <v>2975</v>
      </c>
      <c r="Q19" s="153">
        <v>3.681</v>
      </c>
      <c r="R19" s="153">
        <v>5454</v>
      </c>
      <c r="S19" s="132"/>
      <c r="T19" s="153">
        <v>597.26599999999996</v>
      </c>
      <c r="U19" s="168">
        <v>5.22E-4</v>
      </c>
      <c r="V19" s="168">
        <v>6.48942154589626E-3</v>
      </c>
      <c r="W19" s="168">
        <v>1.5724060311836699E-3</v>
      </c>
    </row>
    <row r="20" spans="1:23">
      <c r="A20" s="2" t="s">
        <v>26</v>
      </c>
      <c r="B20" s="2">
        <v>1182</v>
      </c>
      <c r="C20" s="2" t="s">
        <v>1635</v>
      </c>
      <c r="D20" s="2" t="s">
        <v>1636</v>
      </c>
      <c r="E20" s="18" t="s">
        <v>362</v>
      </c>
      <c r="F20" s="2" t="s">
        <v>1662</v>
      </c>
      <c r="G20" s="2" t="s">
        <v>1663</v>
      </c>
      <c r="H20" s="18" t="s">
        <v>368</v>
      </c>
      <c r="I20" s="20" t="s">
        <v>1026</v>
      </c>
      <c r="J20" s="18" t="s">
        <v>100</v>
      </c>
      <c r="K20" s="18" t="s">
        <v>101</v>
      </c>
      <c r="L20" s="18" t="s">
        <v>391</v>
      </c>
      <c r="M20" s="20" t="s">
        <v>781</v>
      </c>
      <c r="N20" s="20" t="s">
        <v>164</v>
      </c>
      <c r="O20" s="2" t="s">
        <v>105</v>
      </c>
      <c r="P20" s="154">
        <v>32624</v>
      </c>
      <c r="Q20" s="150">
        <v>3.681</v>
      </c>
      <c r="R20" s="150">
        <v>42.12</v>
      </c>
      <c r="T20" s="150">
        <v>5058.1459999999997</v>
      </c>
      <c r="U20" s="164">
        <v>3.6000000000000001E-5</v>
      </c>
      <c r="V20" s="164">
        <v>5.4957814473879402E-2</v>
      </c>
      <c r="W20" s="164">
        <v>1.3316440969079701E-2</v>
      </c>
    </row>
    <row r="21" spans="1:23">
      <c r="A21" s="2" t="s">
        <v>26</v>
      </c>
      <c r="B21" s="2">
        <v>1182</v>
      </c>
      <c r="C21" s="2" t="s">
        <v>1664</v>
      </c>
      <c r="D21" s="2" t="s">
        <v>1665</v>
      </c>
      <c r="E21" s="4" t="s">
        <v>362</v>
      </c>
      <c r="F21" s="2" t="s">
        <v>1666</v>
      </c>
      <c r="G21" s="2" t="s">
        <v>1667</v>
      </c>
      <c r="H21" s="4" t="s">
        <v>368</v>
      </c>
      <c r="I21" s="2" t="s">
        <v>1026</v>
      </c>
      <c r="J21" s="2" t="s">
        <v>100</v>
      </c>
      <c r="K21" s="2" t="s">
        <v>101</v>
      </c>
      <c r="L21" s="4" t="s">
        <v>393</v>
      </c>
      <c r="M21" s="2" t="s">
        <v>781</v>
      </c>
      <c r="N21" s="2" t="s">
        <v>164</v>
      </c>
      <c r="O21" s="2" t="s">
        <v>105</v>
      </c>
      <c r="P21" s="152">
        <v>1019</v>
      </c>
      <c r="Q21" s="150">
        <v>3.681</v>
      </c>
      <c r="R21" s="150">
        <v>19068</v>
      </c>
      <c r="T21" s="150">
        <v>715.22900000000004</v>
      </c>
      <c r="U21" s="164">
        <v>7.3999999999999996E-5</v>
      </c>
      <c r="V21" s="164">
        <v>7.7711127472770399E-3</v>
      </c>
      <c r="W21" s="164">
        <v>1.8829635995143399E-3</v>
      </c>
    </row>
    <row r="22" spans="1:23">
      <c r="A22" s="2" t="s">
        <v>26</v>
      </c>
      <c r="B22" s="2">
        <v>1182</v>
      </c>
      <c r="C22" s="2" t="s">
        <v>1664</v>
      </c>
      <c r="D22" s="2" t="s">
        <v>1665</v>
      </c>
      <c r="E22" s="4" t="s">
        <v>362</v>
      </c>
      <c r="F22" s="2" t="s">
        <v>1668</v>
      </c>
      <c r="G22" s="2" t="s">
        <v>1669</v>
      </c>
      <c r="H22" s="2" t="s">
        <v>368</v>
      </c>
      <c r="I22" s="2" t="s">
        <v>1026</v>
      </c>
      <c r="J22" s="2" t="s">
        <v>100</v>
      </c>
      <c r="K22" s="2" t="s">
        <v>346</v>
      </c>
      <c r="L22" s="4" t="s">
        <v>393</v>
      </c>
      <c r="M22" s="2" t="s">
        <v>781</v>
      </c>
      <c r="N22" s="2" t="s">
        <v>164</v>
      </c>
      <c r="O22" s="2" t="s">
        <v>105</v>
      </c>
      <c r="P22" s="152">
        <v>1866</v>
      </c>
      <c r="Q22" s="150">
        <v>3.681</v>
      </c>
      <c r="R22" s="150">
        <v>11461</v>
      </c>
      <c r="T22" s="150">
        <v>787.22699999999998</v>
      </c>
      <c r="U22" s="164">
        <v>2.61E-4</v>
      </c>
      <c r="V22" s="164">
        <v>8.5533852751542606E-3</v>
      </c>
      <c r="W22" s="164">
        <v>2.0725105463668399E-3</v>
      </c>
    </row>
    <row r="23" spans="1:23">
      <c r="A23" s="2" t="s">
        <v>26</v>
      </c>
      <c r="B23" s="2">
        <v>1182</v>
      </c>
      <c r="C23" s="2" t="s">
        <v>1670</v>
      </c>
      <c r="D23" s="2" t="s">
        <v>1671</v>
      </c>
      <c r="E23" s="4" t="s">
        <v>362</v>
      </c>
      <c r="F23" s="2" t="s">
        <v>1672</v>
      </c>
      <c r="G23" s="2" t="s">
        <v>1673</v>
      </c>
      <c r="H23" s="2" t="s">
        <v>368</v>
      </c>
      <c r="I23" s="2" t="s">
        <v>1026</v>
      </c>
      <c r="J23" s="2" t="s">
        <v>100</v>
      </c>
      <c r="K23" s="2" t="s">
        <v>101</v>
      </c>
      <c r="L23" s="2" t="s">
        <v>391</v>
      </c>
      <c r="M23" s="2" t="s">
        <v>781</v>
      </c>
      <c r="N23" s="2" t="s">
        <v>164</v>
      </c>
      <c r="O23" s="2" t="s">
        <v>105</v>
      </c>
      <c r="P23" s="152">
        <v>8535</v>
      </c>
      <c r="Q23" s="150">
        <v>3.681</v>
      </c>
      <c r="R23" s="150">
        <v>3162</v>
      </c>
      <c r="T23" s="150">
        <v>993.41600000000005</v>
      </c>
      <c r="U23" s="164">
        <v>2.0000000000000002E-5</v>
      </c>
      <c r="V23" s="164">
        <v>1.0793673422731199E-2</v>
      </c>
      <c r="W23" s="164">
        <v>2.6153389895378402E-3</v>
      </c>
    </row>
    <row r="24" spans="1:23">
      <c r="A24" s="2" t="s">
        <v>26</v>
      </c>
      <c r="B24" s="2">
        <v>1182</v>
      </c>
      <c r="C24" s="2" t="s">
        <v>1674</v>
      </c>
      <c r="D24" s="2" t="s">
        <v>1675</v>
      </c>
      <c r="E24" s="4" t="s">
        <v>362</v>
      </c>
      <c r="F24" s="2" t="s">
        <v>1676</v>
      </c>
      <c r="G24" s="2" t="s">
        <v>1677</v>
      </c>
      <c r="H24" s="2" t="s">
        <v>368</v>
      </c>
      <c r="I24" s="2" t="s">
        <v>1026</v>
      </c>
      <c r="J24" s="2" t="s">
        <v>100</v>
      </c>
      <c r="K24" s="2" t="s">
        <v>339</v>
      </c>
      <c r="L24" s="2" t="s">
        <v>391</v>
      </c>
      <c r="M24" s="2" t="s">
        <v>781</v>
      </c>
      <c r="N24" s="2" t="s">
        <v>164</v>
      </c>
      <c r="O24" s="2" t="s">
        <v>105</v>
      </c>
      <c r="P24" s="152">
        <v>4334</v>
      </c>
      <c r="Q24" s="150">
        <v>3.681</v>
      </c>
      <c r="R24" s="150">
        <v>3981</v>
      </c>
      <c r="T24" s="150">
        <v>635.10699999999997</v>
      </c>
      <c r="U24" s="164">
        <v>2.9E-5</v>
      </c>
      <c r="V24" s="164">
        <v>6.9005700241925004E-3</v>
      </c>
      <c r="W24" s="164">
        <v>1.67202852332919E-3</v>
      </c>
    </row>
    <row r="25" spans="1:23">
      <c r="A25" s="2" t="s">
        <v>26</v>
      </c>
      <c r="B25" s="2">
        <v>1182</v>
      </c>
      <c r="C25" s="2" t="s">
        <v>1635</v>
      </c>
      <c r="D25" s="2" t="s">
        <v>1636</v>
      </c>
      <c r="E25" s="4" t="s">
        <v>362</v>
      </c>
      <c r="F25" s="2" t="s">
        <v>1678</v>
      </c>
      <c r="G25" s="2" t="s">
        <v>1679</v>
      </c>
      <c r="H25" s="2" t="s">
        <v>368</v>
      </c>
      <c r="I25" s="2" t="s">
        <v>1026</v>
      </c>
      <c r="J25" s="2" t="s">
        <v>100</v>
      </c>
      <c r="K25" s="2" t="s">
        <v>101</v>
      </c>
      <c r="L25" s="2" t="s">
        <v>391</v>
      </c>
      <c r="M25" s="2" t="s">
        <v>781</v>
      </c>
      <c r="N25" s="2" t="s">
        <v>164</v>
      </c>
      <c r="O25" s="2" t="s">
        <v>105</v>
      </c>
      <c r="P25" s="152">
        <v>7792</v>
      </c>
      <c r="Q25" s="150">
        <v>3.681</v>
      </c>
      <c r="R25" s="150">
        <v>147.72999999999999</v>
      </c>
      <c r="T25" s="150">
        <v>4237.2439999999997</v>
      </c>
      <c r="U25" s="164">
        <v>2.5999999999999998E-5</v>
      </c>
      <c r="V25" s="164">
        <v>4.6038538073033597E-2</v>
      </c>
      <c r="W25" s="164">
        <v>1.11552739209391E-2</v>
      </c>
    </row>
    <row r="26" spans="1:23">
      <c r="A26" s="2" t="s">
        <v>26</v>
      </c>
      <c r="B26" s="2">
        <v>1182</v>
      </c>
      <c r="C26" s="2" t="s">
        <v>1680</v>
      </c>
      <c r="D26" s="2" t="s">
        <v>1681</v>
      </c>
      <c r="E26" s="4" t="s">
        <v>362</v>
      </c>
      <c r="F26" s="2" t="s">
        <v>1682</v>
      </c>
      <c r="G26" s="11" t="s">
        <v>1683</v>
      </c>
      <c r="H26" s="2" t="s">
        <v>368</v>
      </c>
      <c r="I26" s="2" t="s">
        <v>1026</v>
      </c>
      <c r="J26" s="2" t="s">
        <v>100</v>
      </c>
      <c r="K26" s="2" t="s">
        <v>332</v>
      </c>
      <c r="L26" s="2" t="s">
        <v>1684</v>
      </c>
      <c r="M26" s="2" t="s">
        <v>781</v>
      </c>
      <c r="N26" s="2" t="s">
        <v>164</v>
      </c>
      <c r="O26" s="2" t="s">
        <v>1221</v>
      </c>
      <c r="P26" s="152">
        <v>5000</v>
      </c>
      <c r="Q26" s="150">
        <v>2.7120000000000002</v>
      </c>
      <c r="R26" s="150">
        <v>5675</v>
      </c>
      <c r="T26" s="150">
        <v>769.58699999999999</v>
      </c>
      <c r="U26" s="164">
        <v>6.7000000000000002E-5</v>
      </c>
      <c r="V26" s="164">
        <v>8.3617205081866399E-3</v>
      </c>
      <c r="W26" s="164">
        <v>2.0260696065367099E-3</v>
      </c>
    </row>
    <row r="27" spans="1:23">
      <c r="A27" s="2" t="s">
        <v>26</v>
      </c>
      <c r="B27" s="2">
        <v>1182</v>
      </c>
      <c r="C27" s="2" t="s">
        <v>1658</v>
      </c>
      <c r="D27" s="2" t="s">
        <v>1659</v>
      </c>
      <c r="E27" s="4" t="s">
        <v>362</v>
      </c>
      <c r="F27" s="2" t="s">
        <v>1685</v>
      </c>
      <c r="G27" s="2" t="s">
        <v>1686</v>
      </c>
      <c r="H27" s="2" t="s">
        <v>368</v>
      </c>
      <c r="I27" s="2" t="s">
        <v>1028</v>
      </c>
      <c r="J27" s="2" t="s">
        <v>100</v>
      </c>
      <c r="K27" s="2" t="s">
        <v>1649</v>
      </c>
      <c r="L27" s="2" t="s">
        <v>426</v>
      </c>
      <c r="M27" s="2" t="s">
        <v>778</v>
      </c>
      <c r="N27" s="2" t="s">
        <v>164</v>
      </c>
      <c r="O27" s="2" t="s">
        <v>105</v>
      </c>
      <c r="P27" s="152">
        <v>10452</v>
      </c>
      <c r="Q27" s="150">
        <v>3.681</v>
      </c>
      <c r="R27" s="150">
        <v>44.09</v>
      </c>
      <c r="T27" s="150">
        <v>1696.31</v>
      </c>
      <c r="U27" s="164">
        <v>0</v>
      </c>
      <c r="V27" s="164">
        <v>1.8430765885859301E-2</v>
      </c>
      <c r="W27" s="164">
        <v>4.4658290778761397E-3</v>
      </c>
    </row>
    <row r="28" spans="1:23">
      <c r="A28" s="2" t="s">
        <v>26</v>
      </c>
      <c r="B28" s="2">
        <v>1182</v>
      </c>
      <c r="C28" s="2" t="s">
        <v>1658</v>
      </c>
      <c r="D28" s="2" t="s">
        <v>1659</v>
      </c>
      <c r="E28" s="4" t="s">
        <v>362</v>
      </c>
      <c r="F28" s="2" t="s">
        <v>1687</v>
      </c>
      <c r="G28" s="2" t="s">
        <v>1688</v>
      </c>
      <c r="H28" s="2" t="s">
        <v>368</v>
      </c>
      <c r="I28" s="2" t="s">
        <v>1026</v>
      </c>
      <c r="J28" s="2" t="s">
        <v>100</v>
      </c>
      <c r="K28" s="2" t="s">
        <v>101</v>
      </c>
      <c r="L28" s="2" t="s">
        <v>391</v>
      </c>
      <c r="M28" s="2" t="s">
        <v>781</v>
      </c>
      <c r="N28" s="2" t="s">
        <v>164</v>
      </c>
      <c r="O28" s="2" t="s">
        <v>105</v>
      </c>
      <c r="P28" s="152">
        <v>3412</v>
      </c>
      <c r="Q28" s="150">
        <v>3.681</v>
      </c>
      <c r="R28" s="150">
        <v>5859</v>
      </c>
      <c r="T28" s="150">
        <v>735.86500000000001</v>
      </c>
      <c r="U28" s="164">
        <v>2.6999999999999999E-5</v>
      </c>
      <c r="V28" s="164">
        <v>7.9953301776649801E-3</v>
      </c>
      <c r="W28" s="164">
        <v>1.9372921459564301E-3</v>
      </c>
    </row>
    <row r="29" spans="1:23">
      <c r="A29" s="2" t="s">
        <v>26</v>
      </c>
      <c r="B29" s="2">
        <v>1182</v>
      </c>
      <c r="C29" s="2" t="s">
        <v>1635</v>
      </c>
      <c r="D29" s="2" t="s">
        <v>1636</v>
      </c>
      <c r="E29" s="4" t="s">
        <v>362</v>
      </c>
      <c r="F29" s="2" t="s">
        <v>1689</v>
      </c>
      <c r="G29" s="2" t="s">
        <v>1690</v>
      </c>
      <c r="H29" s="2" t="s">
        <v>368</v>
      </c>
      <c r="I29" s="2" t="s">
        <v>1026</v>
      </c>
      <c r="J29" s="2" t="s">
        <v>100</v>
      </c>
      <c r="K29" s="2" t="s">
        <v>101</v>
      </c>
      <c r="L29" s="2" t="s">
        <v>391</v>
      </c>
      <c r="M29" s="2" t="s">
        <v>781</v>
      </c>
      <c r="N29" s="2" t="s">
        <v>164</v>
      </c>
      <c r="O29" s="2" t="s">
        <v>105</v>
      </c>
      <c r="P29" s="152">
        <v>6823</v>
      </c>
      <c r="Q29" s="150">
        <v>3.681</v>
      </c>
      <c r="R29" s="150">
        <v>125.96</v>
      </c>
      <c r="T29" s="150">
        <v>3163.5439999999999</v>
      </c>
      <c r="U29" s="164">
        <v>4.8999999999999998E-5</v>
      </c>
      <c r="V29" s="164">
        <v>3.43725621545862E-2</v>
      </c>
      <c r="W29" s="164">
        <v>8.3285734571034702E-3</v>
      </c>
    </row>
    <row r="30" spans="1:23">
      <c r="A30" s="2" t="s">
        <v>26</v>
      </c>
      <c r="B30" s="2">
        <v>1182</v>
      </c>
      <c r="C30" s="2" t="s">
        <v>1575</v>
      </c>
      <c r="D30" s="2" t="s">
        <v>1576</v>
      </c>
      <c r="E30" s="4" t="s">
        <v>362</v>
      </c>
      <c r="F30" s="2" t="s">
        <v>1691</v>
      </c>
      <c r="G30" s="2" t="s">
        <v>1692</v>
      </c>
      <c r="H30" s="2" t="s">
        <v>368</v>
      </c>
      <c r="I30" s="2" t="s">
        <v>1028</v>
      </c>
      <c r="J30" s="2" t="s">
        <v>100</v>
      </c>
      <c r="K30" s="2" t="s">
        <v>101</v>
      </c>
      <c r="L30" s="2" t="s">
        <v>426</v>
      </c>
      <c r="M30" s="2" t="s">
        <v>778</v>
      </c>
      <c r="N30" s="2" t="s">
        <v>164</v>
      </c>
      <c r="O30" s="2" t="s">
        <v>105</v>
      </c>
      <c r="P30" s="152">
        <v>69735</v>
      </c>
      <c r="Q30" s="150">
        <v>3.681</v>
      </c>
      <c r="R30" s="150">
        <v>2769.5</v>
      </c>
      <c r="T30" s="150">
        <v>7109.1549999999997</v>
      </c>
      <c r="U30" s="164">
        <v>0</v>
      </c>
      <c r="V30" s="164">
        <v>7.7242453027013797E-2</v>
      </c>
      <c r="W30" s="164">
        <v>1.8716074790965601E-2</v>
      </c>
    </row>
    <row r="31" spans="1:23">
      <c r="A31" s="2" t="s">
        <v>26</v>
      </c>
      <c r="B31" s="2">
        <v>1182</v>
      </c>
      <c r="C31" s="2" t="s">
        <v>1658</v>
      </c>
      <c r="D31" s="2" t="s">
        <v>1659</v>
      </c>
      <c r="E31" s="4" t="s">
        <v>362</v>
      </c>
      <c r="F31" s="2" t="s">
        <v>1693</v>
      </c>
      <c r="G31" s="2" t="s">
        <v>1694</v>
      </c>
      <c r="H31" s="2" t="s">
        <v>368</v>
      </c>
      <c r="I31" s="2" t="s">
        <v>1026</v>
      </c>
      <c r="J31" s="2" t="s">
        <v>100</v>
      </c>
      <c r="K31" s="2" t="s">
        <v>283</v>
      </c>
      <c r="L31" s="2" t="s">
        <v>426</v>
      </c>
      <c r="M31" s="2" t="s">
        <v>781</v>
      </c>
      <c r="N31" s="2" t="s">
        <v>164</v>
      </c>
      <c r="O31" s="2" t="s">
        <v>1223</v>
      </c>
      <c r="P31" s="152">
        <v>117642</v>
      </c>
      <c r="Q31" s="150">
        <v>4.6539999999999999</v>
      </c>
      <c r="R31" s="150">
        <v>777.2</v>
      </c>
      <c r="T31" s="150">
        <v>4254.7579999999998</v>
      </c>
      <c r="U31" s="164">
        <v>1.9000000000000001E-4</v>
      </c>
      <c r="V31" s="164">
        <v>4.6228837727206797E-2</v>
      </c>
      <c r="W31" s="164">
        <v>1.12013840899022E-2</v>
      </c>
    </row>
    <row r="32" spans="1:23">
      <c r="A32" s="2" t="s">
        <v>26</v>
      </c>
      <c r="B32" s="2">
        <v>1182</v>
      </c>
      <c r="C32" s="2" t="s">
        <v>1658</v>
      </c>
      <c r="D32" s="2" t="s">
        <v>1659</v>
      </c>
      <c r="E32" s="4" t="s">
        <v>362</v>
      </c>
      <c r="F32" s="2" t="s">
        <v>1695</v>
      </c>
      <c r="G32" s="2" t="s">
        <v>1696</v>
      </c>
      <c r="H32" s="2" t="s">
        <v>368</v>
      </c>
      <c r="I32" s="2" t="s">
        <v>1028</v>
      </c>
      <c r="J32" s="2" t="s">
        <v>100</v>
      </c>
      <c r="K32" s="2" t="s">
        <v>101</v>
      </c>
      <c r="L32" s="2" t="s">
        <v>426</v>
      </c>
      <c r="M32" s="2" t="s">
        <v>778</v>
      </c>
      <c r="N32" s="2" t="s">
        <v>164</v>
      </c>
      <c r="O32" s="2" t="s">
        <v>105</v>
      </c>
      <c r="P32" s="152">
        <v>15556</v>
      </c>
      <c r="Q32" s="150">
        <v>3.681</v>
      </c>
      <c r="R32" s="150">
        <v>9423</v>
      </c>
      <c r="T32" s="150">
        <v>5395.7640000000001</v>
      </c>
      <c r="U32" s="164">
        <v>5.0199999999999995E-4</v>
      </c>
      <c r="V32" s="164">
        <v>5.8626100519542E-2</v>
      </c>
      <c r="W32" s="164">
        <v>1.4205277525853301E-2</v>
      </c>
    </row>
    <row r="33" spans="1:23">
      <c r="A33" s="2" t="s">
        <v>26</v>
      </c>
      <c r="B33" s="2">
        <v>1182</v>
      </c>
      <c r="C33" s="2" t="s">
        <v>1658</v>
      </c>
      <c r="D33" s="2" t="s">
        <v>1659</v>
      </c>
      <c r="E33" s="4" t="s">
        <v>362</v>
      </c>
      <c r="F33" s="2" t="s">
        <v>1697</v>
      </c>
      <c r="G33" s="2" t="s">
        <v>1698</v>
      </c>
      <c r="H33" s="2" t="s">
        <v>368</v>
      </c>
      <c r="I33" s="2" t="s">
        <v>1026</v>
      </c>
      <c r="J33" s="2" t="s">
        <v>100</v>
      </c>
      <c r="K33" s="2" t="s">
        <v>318</v>
      </c>
      <c r="L33" s="2" t="s">
        <v>391</v>
      </c>
      <c r="M33" s="2" t="s">
        <v>781</v>
      </c>
      <c r="N33" s="2" t="s">
        <v>164</v>
      </c>
      <c r="O33" s="2" t="s">
        <v>105</v>
      </c>
      <c r="P33" s="152">
        <v>8638</v>
      </c>
      <c r="Q33" s="150">
        <v>3.681</v>
      </c>
      <c r="R33" s="150">
        <v>24.07</v>
      </c>
      <c r="T33" s="150">
        <v>765.34100000000001</v>
      </c>
      <c r="U33" s="164">
        <v>5.1E-5</v>
      </c>
      <c r="V33" s="164">
        <v>8.3155919988092096E-3</v>
      </c>
      <c r="W33" s="164">
        <v>2.0148925323026502E-3</v>
      </c>
    </row>
    <row r="34" spans="1:23">
      <c r="A34" s="2" t="s">
        <v>26</v>
      </c>
      <c r="B34" s="2">
        <v>1182</v>
      </c>
      <c r="C34" s="2" t="s">
        <v>1658</v>
      </c>
      <c r="D34" s="2" t="s">
        <v>1659</v>
      </c>
      <c r="E34" s="4" t="s">
        <v>362</v>
      </c>
      <c r="F34" s="2" t="s">
        <v>1699</v>
      </c>
      <c r="G34" s="2" t="s">
        <v>1700</v>
      </c>
      <c r="H34" s="2" t="s">
        <v>368</v>
      </c>
      <c r="I34" s="2" t="s">
        <v>1028</v>
      </c>
      <c r="J34" s="2" t="s">
        <v>100</v>
      </c>
      <c r="K34" s="2" t="s">
        <v>271</v>
      </c>
      <c r="L34" s="2" t="s">
        <v>426</v>
      </c>
      <c r="M34" s="2" t="s">
        <v>778</v>
      </c>
      <c r="N34" s="2" t="s">
        <v>164</v>
      </c>
      <c r="O34" s="2" t="s">
        <v>105</v>
      </c>
      <c r="P34" s="152">
        <v>83057</v>
      </c>
      <c r="Q34" s="150">
        <v>3.681</v>
      </c>
      <c r="R34" s="150">
        <v>590.6</v>
      </c>
      <c r="T34" s="150">
        <v>1805.6579999999999</v>
      </c>
      <c r="U34" s="164">
        <v>0</v>
      </c>
      <c r="V34" s="164">
        <v>1.9618850861465101E-2</v>
      </c>
      <c r="W34" s="164">
        <v>4.7537055808878096E-3</v>
      </c>
    </row>
    <row r="35" spans="1:23">
      <c r="A35" s="2" t="s">
        <v>26</v>
      </c>
      <c r="B35" s="2">
        <v>1182</v>
      </c>
      <c r="C35" s="2" t="s">
        <v>1658</v>
      </c>
      <c r="D35" s="2" t="s">
        <v>1659</v>
      </c>
      <c r="E35" s="4" t="s">
        <v>362</v>
      </c>
      <c r="F35" s="2" t="s">
        <v>1701</v>
      </c>
      <c r="G35" s="2" t="s">
        <v>1702</v>
      </c>
      <c r="H35" s="2" t="s">
        <v>368</v>
      </c>
      <c r="I35" s="2" t="s">
        <v>1026</v>
      </c>
      <c r="J35" s="2" t="s">
        <v>100</v>
      </c>
      <c r="K35" s="2" t="s">
        <v>101</v>
      </c>
      <c r="L35" s="2" t="s">
        <v>393</v>
      </c>
      <c r="M35" s="2" t="s">
        <v>781</v>
      </c>
      <c r="N35" s="2" t="s">
        <v>164</v>
      </c>
      <c r="O35" s="2" t="s">
        <v>105</v>
      </c>
      <c r="P35" s="152">
        <v>1887</v>
      </c>
      <c r="Q35" s="150">
        <v>3.681</v>
      </c>
      <c r="R35" s="150">
        <v>5757</v>
      </c>
      <c r="T35" s="150">
        <v>399.88400000000001</v>
      </c>
      <c r="U35" s="164">
        <v>0</v>
      </c>
      <c r="V35" s="164">
        <v>4.3448222350143499E-3</v>
      </c>
      <c r="W35" s="164">
        <v>1.0527632761163099E-3</v>
      </c>
    </row>
    <row r="36" spans="1:23">
      <c r="A36" s="2" t="s">
        <v>26</v>
      </c>
      <c r="B36" s="2">
        <v>1182</v>
      </c>
      <c r="C36" s="2" t="s">
        <v>1658</v>
      </c>
      <c r="D36" s="2" t="s">
        <v>1659</v>
      </c>
      <c r="E36" s="4" t="s">
        <v>362</v>
      </c>
      <c r="F36" s="2" t="s">
        <v>1703</v>
      </c>
      <c r="G36" s="2" t="s">
        <v>1704</v>
      </c>
      <c r="H36" s="2" t="s">
        <v>368</v>
      </c>
      <c r="I36" s="2" t="s">
        <v>1026</v>
      </c>
      <c r="J36" s="2" t="s">
        <v>100</v>
      </c>
      <c r="K36" s="2" t="s">
        <v>101</v>
      </c>
      <c r="L36" s="2" t="s">
        <v>391</v>
      </c>
      <c r="M36" s="2" t="s">
        <v>781</v>
      </c>
      <c r="N36" s="2" t="s">
        <v>164</v>
      </c>
      <c r="O36" s="2" t="s">
        <v>105</v>
      </c>
      <c r="P36" s="152">
        <v>3711</v>
      </c>
      <c r="Q36" s="150">
        <v>3.681</v>
      </c>
      <c r="R36" s="150">
        <v>11601</v>
      </c>
      <c r="T36" s="150">
        <v>1584.7190000000001</v>
      </c>
      <c r="U36" s="164">
        <v>8.0699999999999999E-4</v>
      </c>
      <c r="V36" s="164">
        <v>1.7218299740379001E-2</v>
      </c>
      <c r="W36" s="164">
        <v>4.1720449453035097E-3</v>
      </c>
    </row>
    <row r="37" spans="1:23">
      <c r="A37" s="2" t="s">
        <v>26</v>
      </c>
      <c r="B37" s="2">
        <v>1182</v>
      </c>
      <c r="C37" s="2" t="s">
        <v>1658</v>
      </c>
      <c r="D37" s="2" t="s">
        <v>1659</v>
      </c>
      <c r="E37" s="4" t="s">
        <v>362</v>
      </c>
      <c r="F37" s="2" t="s">
        <v>1705</v>
      </c>
      <c r="G37" s="2" t="s">
        <v>1706</v>
      </c>
      <c r="H37" s="2" t="s">
        <v>368</v>
      </c>
      <c r="I37" s="2" t="s">
        <v>1028</v>
      </c>
      <c r="J37" s="2" t="s">
        <v>100</v>
      </c>
      <c r="K37" s="2" t="s">
        <v>101</v>
      </c>
      <c r="L37" s="2" t="s">
        <v>426</v>
      </c>
      <c r="M37" s="2" t="s">
        <v>778</v>
      </c>
      <c r="N37" s="2" t="s">
        <v>164</v>
      </c>
      <c r="O37" s="2" t="s">
        <v>105</v>
      </c>
      <c r="P37" s="152">
        <v>222090</v>
      </c>
      <c r="Q37" s="150">
        <v>3.681</v>
      </c>
      <c r="R37" s="150">
        <v>571.15</v>
      </c>
      <c r="T37" s="150">
        <v>4669.2269999999999</v>
      </c>
      <c r="U37" s="164">
        <v>0</v>
      </c>
      <c r="V37" s="164">
        <v>5.0732126646317002E-2</v>
      </c>
      <c r="W37" s="164">
        <v>1.2292544312195E-2</v>
      </c>
    </row>
    <row r="38" spans="1:23">
      <c r="A38" s="2" t="s">
        <v>26</v>
      </c>
      <c r="B38" s="2">
        <v>1182</v>
      </c>
      <c r="C38" s="2" t="s">
        <v>1707</v>
      </c>
      <c r="D38" s="2" t="s">
        <v>1708</v>
      </c>
      <c r="E38" s="4" t="s">
        <v>362</v>
      </c>
      <c r="F38" s="2" t="s">
        <v>1709</v>
      </c>
      <c r="G38" s="2" t="s">
        <v>1710</v>
      </c>
      <c r="H38" s="2" t="s">
        <v>368</v>
      </c>
      <c r="I38" s="2" t="s">
        <v>1026</v>
      </c>
      <c r="J38" s="2" t="s">
        <v>100</v>
      </c>
      <c r="K38" s="2" t="s">
        <v>331</v>
      </c>
      <c r="L38" s="2" t="s">
        <v>411</v>
      </c>
      <c r="M38" s="2" t="s">
        <v>781</v>
      </c>
      <c r="N38" s="2" t="s">
        <v>164</v>
      </c>
      <c r="O38" s="2" t="s">
        <v>1224</v>
      </c>
      <c r="P38" s="152">
        <v>12880</v>
      </c>
      <c r="Q38" s="150">
        <v>3.9790000000000001</v>
      </c>
      <c r="R38" s="150">
        <v>8097</v>
      </c>
      <c r="T38" s="150">
        <v>4149.7780000000002</v>
      </c>
      <c r="U38" s="164">
        <v>1.9799999999999999E-4</v>
      </c>
      <c r="V38" s="164">
        <v>4.5088202427503103E-2</v>
      </c>
      <c r="W38" s="164">
        <v>1.0925004783680499E-2</v>
      </c>
    </row>
    <row r="39" spans="1:23">
      <c r="A39" s="2" t="s">
        <v>26</v>
      </c>
      <c r="B39" s="2">
        <v>1182</v>
      </c>
      <c r="C39" s="2" t="s">
        <v>1707</v>
      </c>
      <c r="D39" s="2" t="s">
        <v>1708</v>
      </c>
      <c r="E39" s="4" t="s">
        <v>362</v>
      </c>
      <c r="F39" s="2" t="s">
        <v>1711</v>
      </c>
      <c r="G39" s="2" t="s">
        <v>1712</v>
      </c>
      <c r="H39" s="2" t="s">
        <v>368</v>
      </c>
      <c r="I39" s="2" t="s">
        <v>1026</v>
      </c>
      <c r="J39" s="2" t="s">
        <v>100</v>
      </c>
      <c r="K39" s="2" t="s">
        <v>331</v>
      </c>
      <c r="L39" s="2" t="s">
        <v>411</v>
      </c>
      <c r="M39" s="2" t="s">
        <v>781</v>
      </c>
      <c r="N39" s="2" t="s">
        <v>164</v>
      </c>
      <c r="O39" s="2" t="s">
        <v>1224</v>
      </c>
      <c r="P39" s="152">
        <v>919</v>
      </c>
      <c r="Q39" s="150">
        <v>3.9790000000000001</v>
      </c>
      <c r="R39" s="150">
        <v>14783</v>
      </c>
      <c r="T39" s="150">
        <v>540.58399999999995</v>
      </c>
      <c r="U39" s="164">
        <v>2.8600000000000001E-4</v>
      </c>
      <c r="V39" s="164">
        <v>5.87355455887762E-3</v>
      </c>
      <c r="W39" s="164">
        <v>1.4231796389781301E-3</v>
      </c>
    </row>
    <row r="40" spans="1:23">
      <c r="A40" s="2" t="s">
        <v>26</v>
      </c>
      <c r="B40" s="2">
        <v>1182</v>
      </c>
      <c r="C40" s="2" t="s">
        <v>1713</v>
      </c>
      <c r="D40" s="2" t="s">
        <v>1714</v>
      </c>
      <c r="E40" s="4" t="s">
        <v>362</v>
      </c>
      <c r="F40" s="2" t="s">
        <v>1715</v>
      </c>
      <c r="G40" s="2" t="s">
        <v>1716</v>
      </c>
      <c r="H40" s="2" t="s">
        <v>368</v>
      </c>
      <c r="I40" s="2" t="s">
        <v>1026</v>
      </c>
      <c r="J40" s="2" t="s">
        <v>100</v>
      </c>
      <c r="K40" s="2" t="s">
        <v>1717</v>
      </c>
      <c r="L40" s="2" t="s">
        <v>391</v>
      </c>
      <c r="M40" s="2" t="s">
        <v>781</v>
      </c>
      <c r="N40" s="2" t="s">
        <v>164</v>
      </c>
      <c r="O40" s="2" t="s">
        <v>105</v>
      </c>
      <c r="P40" s="152">
        <v>2853</v>
      </c>
      <c r="Q40" s="150">
        <v>3.681</v>
      </c>
      <c r="R40" s="150">
        <v>9289</v>
      </c>
      <c r="T40" s="150">
        <v>975.52099999999996</v>
      </c>
      <c r="U40" s="164">
        <v>3.6999999999999998E-5</v>
      </c>
      <c r="V40" s="164">
        <v>1.0599237344496901E-2</v>
      </c>
      <c r="W40" s="164">
        <v>2.5682265527924401E-3</v>
      </c>
    </row>
    <row r="41" spans="1:23">
      <c r="A41" s="2" t="s">
        <v>26</v>
      </c>
      <c r="B41" s="2">
        <v>1182</v>
      </c>
      <c r="C41" s="2" t="s">
        <v>1658</v>
      </c>
      <c r="D41" s="2" t="s">
        <v>1659</v>
      </c>
      <c r="E41" s="4" t="s">
        <v>362</v>
      </c>
      <c r="F41" s="2" t="s">
        <v>1718</v>
      </c>
      <c r="G41" s="2" t="s">
        <v>1719</v>
      </c>
      <c r="H41" s="2" t="s">
        <v>368</v>
      </c>
      <c r="I41" s="2" t="s">
        <v>1026</v>
      </c>
      <c r="J41" s="2" t="s">
        <v>100</v>
      </c>
      <c r="K41" s="2" t="s">
        <v>318</v>
      </c>
      <c r="L41" s="2" t="s">
        <v>393</v>
      </c>
      <c r="M41" s="2" t="s">
        <v>781</v>
      </c>
      <c r="N41" s="2" t="s">
        <v>164</v>
      </c>
      <c r="O41" s="2" t="s">
        <v>105</v>
      </c>
      <c r="P41" s="152">
        <v>2712</v>
      </c>
      <c r="Q41" s="150">
        <v>3.681</v>
      </c>
      <c r="R41" s="150">
        <v>3973</v>
      </c>
      <c r="T41" s="150">
        <v>396.62</v>
      </c>
      <c r="U41" s="164">
        <v>1.7E-5</v>
      </c>
      <c r="V41" s="164">
        <v>4.3093536176736103E-3</v>
      </c>
      <c r="W41" s="164">
        <v>1.04416912524633E-3</v>
      </c>
    </row>
    <row r="42" spans="1:23">
      <c r="A42" s="2" t="s">
        <v>26</v>
      </c>
      <c r="B42" s="2">
        <v>1182</v>
      </c>
      <c r="C42" s="2" t="s">
        <v>1635</v>
      </c>
      <c r="D42" s="2" t="s">
        <v>1636</v>
      </c>
      <c r="E42" s="4" t="s">
        <v>362</v>
      </c>
      <c r="F42" s="2" t="s">
        <v>1720</v>
      </c>
      <c r="G42" s="2" t="s">
        <v>1721</v>
      </c>
      <c r="H42" s="2" t="s">
        <v>368</v>
      </c>
      <c r="I42" s="2" t="s">
        <v>1026</v>
      </c>
      <c r="J42" s="2" t="s">
        <v>100</v>
      </c>
      <c r="K42" s="2" t="s">
        <v>101</v>
      </c>
      <c r="L42" s="2" t="s">
        <v>391</v>
      </c>
      <c r="M42" s="2" t="s">
        <v>781</v>
      </c>
      <c r="N42" s="2" t="s">
        <v>164</v>
      </c>
      <c r="O42" s="2" t="s">
        <v>105</v>
      </c>
      <c r="P42" s="152">
        <v>3507</v>
      </c>
      <c r="Q42" s="150">
        <v>3.681</v>
      </c>
      <c r="R42" s="150">
        <v>94.41</v>
      </c>
      <c r="T42" s="150">
        <v>1218.7639999999999</v>
      </c>
      <c r="U42" s="164">
        <v>7.9999999999999996E-6</v>
      </c>
      <c r="V42" s="164">
        <v>1.3242123875069799E-2</v>
      </c>
      <c r="W42" s="164">
        <v>3.20860577473324E-3</v>
      </c>
    </row>
    <row r="43" spans="1:23">
      <c r="A43" s="2" t="s">
        <v>26</v>
      </c>
      <c r="B43" s="2">
        <v>1182</v>
      </c>
      <c r="C43" s="2" t="s">
        <v>1579</v>
      </c>
      <c r="D43" s="2" t="s">
        <v>1580</v>
      </c>
      <c r="E43" s="4" t="s">
        <v>362</v>
      </c>
      <c r="F43" s="2" t="s">
        <v>1722</v>
      </c>
      <c r="G43" s="2" t="s">
        <v>1723</v>
      </c>
      <c r="H43" s="2" t="s">
        <v>368</v>
      </c>
      <c r="I43" s="2" t="s">
        <v>1026</v>
      </c>
      <c r="J43" s="2" t="s">
        <v>100</v>
      </c>
      <c r="K43" s="2" t="s">
        <v>101</v>
      </c>
      <c r="L43" s="2" t="s">
        <v>393</v>
      </c>
      <c r="M43" s="2" t="s">
        <v>781</v>
      </c>
      <c r="N43" s="2" t="s">
        <v>164</v>
      </c>
      <c r="O43" s="2" t="s">
        <v>105</v>
      </c>
      <c r="P43" s="152">
        <v>1115</v>
      </c>
      <c r="Q43" s="150">
        <v>3.681</v>
      </c>
      <c r="R43" s="150">
        <v>444.01</v>
      </c>
      <c r="S43" s="155">
        <v>0.45400000000000001</v>
      </c>
      <c r="T43" s="150">
        <v>1824.027</v>
      </c>
      <c r="U43" s="164">
        <v>1.9999999999999999E-6</v>
      </c>
      <c r="V43" s="164">
        <v>1.98184366575829E-2</v>
      </c>
      <c r="W43" s="164">
        <v>4.8020658095052297E-3</v>
      </c>
    </row>
    <row r="44" spans="1:23">
      <c r="A44" s="2" t="s">
        <v>26</v>
      </c>
      <c r="B44" s="2">
        <v>1182</v>
      </c>
      <c r="C44" s="2" t="s">
        <v>1635</v>
      </c>
      <c r="D44" s="2" t="s">
        <v>1636</v>
      </c>
      <c r="E44" s="4" t="s">
        <v>362</v>
      </c>
      <c r="F44" s="2" t="s">
        <v>1724</v>
      </c>
      <c r="G44" s="2" t="s">
        <v>1725</v>
      </c>
      <c r="H44" s="2" t="s">
        <v>368</v>
      </c>
      <c r="I44" s="2" t="s">
        <v>1026</v>
      </c>
      <c r="J44" s="2" t="s">
        <v>100</v>
      </c>
      <c r="K44" s="2" t="s">
        <v>101</v>
      </c>
      <c r="L44" s="2" t="s">
        <v>391</v>
      </c>
      <c r="M44" s="2" t="s">
        <v>781</v>
      </c>
      <c r="N44" s="2" t="s">
        <v>164</v>
      </c>
      <c r="O44" s="2" t="s">
        <v>105</v>
      </c>
      <c r="P44" s="152">
        <v>4858</v>
      </c>
      <c r="Q44" s="150">
        <v>3.681</v>
      </c>
      <c r="R44" s="150">
        <v>39.53</v>
      </c>
      <c r="T44" s="150">
        <v>706.88699999999994</v>
      </c>
      <c r="U44" s="164">
        <v>7.8999999999999996E-5</v>
      </c>
      <c r="V44" s="164">
        <v>7.6804772576733599E-3</v>
      </c>
      <c r="W44" s="164">
        <v>1.86100235235476E-3</v>
      </c>
    </row>
    <row r="45" spans="1:23">
      <c r="A45" s="2" t="s">
        <v>26</v>
      </c>
      <c r="B45" s="2">
        <v>1182</v>
      </c>
      <c r="C45" s="2" t="s">
        <v>1635</v>
      </c>
      <c r="D45" s="2" t="s">
        <v>1636</v>
      </c>
      <c r="E45" s="4" t="s">
        <v>362</v>
      </c>
      <c r="F45" s="2" t="s">
        <v>1726</v>
      </c>
      <c r="G45" s="2" t="s">
        <v>1727</v>
      </c>
      <c r="H45" s="2" t="s">
        <v>368</v>
      </c>
      <c r="I45" s="2" t="s">
        <v>1026</v>
      </c>
      <c r="J45" s="2" t="s">
        <v>100</v>
      </c>
      <c r="K45" s="2" t="s">
        <v>101</v>
      </c>
      <c r="L45" s="2" t="s">
        <v>391</v>
      </c>
      <c r="M45" s="2" t="s">
        <v>781</v>
      </c>
      <c r="N45" s="2" t="s">
        <v>164</v>
      </c>
      <c r="O45" s="2" t="s">
        <v>105</v>
      </c>
      <c r="P45" s="152">
        <v>4896</v>
      </c>
      <c r="Q45" s="150">
        <v>3.681</v>
      </c>
      <c r="R45" s="150">
        <v>208.27</v>
      </c>
      <c r="T45" s="150">
        <v>3753.4789999999998</v>
      </c>
      <c r="U45" s="164">
        <v>1.5999999999999999E-5</v>
      </c>
      <c r="V45" s="164">
        <v>4.0782327592307398E-2</v>
      </c>
      <c r="W45" s="164">
        <v>9.8816785777161194E-3</v>
      </c>
    </row>
    <row r="46" spans="1:23">
      <c r="A46" s="2" t="s">
        <v>26</v>
      </c>
      <c r="B46" s="2">
        <v>1182</v>
      </c>
      <c r="C46" s="2" t="s">
        <v>1635</v>
      </c>
      <c r="D46" s="2" t="s">
        <v>1636</v>
      </c>
      <c r="E46" s="4" t="s">
        <v>362</v>
      </c>
      <c r="F46" s="2" t="s">
        <v>1728</v>
      </c>
      <c r="G46" s="2" t="s">
        <v>1729</v>
      </c>
      <c r="H46" s="2" t="s">
        <v>368</v>
      </c>
      <c r="I46" s="2" t="s">
        <v>1028</v>
      </c>
      <c r="J46" s="2" t="s">
        <v>100</v>
      </c>
      <c r="K46" s="2" t="s">
        <v>101</v>
      </c>
      <c r="L46" s="2" t="s">
        <v>393</v>
      </c>
      <c r="M46" s="2" t="s">
        <v>778</v>
      </c>
      <c r="N46" s="2" t="s">
        <v>164</v>
      </c>
      <c r="O46" s="2" t="s">
        <v>105</v>
      </c>
      <c r="P46" s="152">
        <v>18000</v>
      </c>
      <c r="Q46" s="150">
        <v>3.681</v>
      </c>
      <c r="R46" s="150">
        <v>4007.5</v>
      </c>
      <c r="T46" s="150">
        <v>2655.2890000000002</v>
      </c>
      <c r="U46" s="164">
        <v>0</v>
      </c>
      <c r="V46" s="164">
        <v>2.8850272452149901E-2</v>
      </c>
      <c r="W46" s="164">
        <v>6.9905063316066897E-3</v>
      </c>
    </row>
    <row r="47" spans="1:23">
      <c r="A47" s="2" t="s">
        <v>26</v>
      </c>
      <c r="B47" s="2">
        <v>1182</v>
      </c>
      <c r="C47" s="2" t="s">
        <v>1730</v>
      </c>
      <c r="D47" s="2" t="s">
        <v>1731</v>
      </c>
      <c r="E47" s="4" t="s">
        <v>362</v>
      </c>
      <c r="F47" s="2" t="s">
        <v>1732</v>
      </c>
      <c r="G47" s="2" t="s">
        <v>1733</v>
      </c>
      <c r="H47" s="2" t="s">
        <v>368</v>
      </c>
      <c r="I47" s="2" t="s">
        <v>1028</v>
      </c>
      <c r="J47" s="2" t="s">
        <v>100</v>
      </c>
      <c r="K47" s="2" t="s">
        <v>101</v>
      </c>
      <c r="L47" s="2" t="s">
        <v>204</v>
      </c>
      <c r="M47" s="2" t="s">
        <v>778</v>
      </c>
      <c r="N47" s="2" t="s">
        <v>164</v>
      </c>
      <c r="O47" s="2" t="s">
        <v>105</v>
      </c>
      <c r="P47" s="152">
        <v>16000</v>
      </c>
      <c r="Q47" s="150">
        <v>3.681</v>
      </c>
      <c r="R47" s="150">
        <v>2522</v>
      </c>
      <c r="T47" s="150">
        <v>1485.357</v>
      </c>
      <c r="U47" s="164">
        <v>1.01E-4</v>
      </c>
      <c r="V47" s="164">
        <v>1.6138714826216899E-2</v>
      </c>
      <c r="W47" s="164">
        <v>3.9104583280376104E-3</v>
      </c>
    </row>
    <row r="48" spans="1:23">
      <c r="A48" s="2" t="s">
        <v>26</v>
      </c>
      <c r="B48" s="2">
        <v>1182</v>
      </c>
      <c r="C48" s="2" t="s">
        <v>1730</v>
      </c>
      <c r="D48" s="2" t="s">
        <v>1731</v>
      </c>
      <c r="E48" s="4" t="s">
        <v>362</v>
      </c>
      <c r="F48" s="2" t="s">
        <v>1734</v>
      </c>
      <c r="G48" s="2" t="s">
        <v>1735</v>
      </c>
      <c r="H48" s="2" t="s">
        <v>368</v>
      </c>
      <c r="I48" s="2" t="s">
        <v>1026</v>
      </c>
      <c r="J48" s="2" t="s">
        <v>100</v>
      </c>
      <c r="K48" s="2" t="s">
        <v>343</v>
      </c>
      <c r="L48" s="2" t="s">
        <v>411</v>
      </c>
      <c r="M48" s="2" t="s">
        <v>781</v>
      </c>
      <c r="N48" s="2" t="s">
        <v>164</v>
      </c>
      <c r="O48" s="2" t="s">
        <v>1224</v>
      </c>
      <c r="P48" s="152">
        <v>900</v>
      </c>
      <c r="Q48" s="150">
        <v>3.9790000000000001</v>
      </c>
      <c r="R48" s="150">
        <v>18642</v>
      </c>
      <c r="T48" s="150">
        <v>667.60500000000002</v>
      </c>
      <c r="U48" s="164">
        <v>1.029E-3</v>
      </c>
      <c r="V48" s="164">
        <v>7.2536723083559103E-3</v>
      </c>
      <c r="W48" s="164">
        <v>1.7575862509812601E-3</v>
      </c>
    </row>
    <row r="49" spans="1:23">
      <c r="A49" s="2" t="s">
        <v>26</v>
      </c>
      <c r="B49" s="2">
        <v>1182</v>
      </c>
      <c r="C49" s="2" t="s">
        <v>1670</v>
      </c>
      <c r="D49" s="2" t="s">
        <v>1671</v>
      </c>
      <c r="E49" s="4" t="s">
        <v>362</v>
      </c>
      <c r="F49" s="2" t="s">
        <v>1736</v>
      </c>
      <c r="G49" s="2" t="s">
        <v>1737</v>
      </c>
      <c r="H49" s="2" t="s">
        <v>368</v>
      </c>
      <c r="I49" s="2" t="s">
        <v>1026</v>
      </c>
      <c r="J49" s="2" t="s">
        <v>100</v>
      </c>
      <c r="K49" s="2" t="s">
        <v>101</v>
      </c>
      <c r="L49" s="2" t="s">
        <v>393</v>
      </c>
      <c r="M49" s="2" t="s">
        <v>781</v>
      </c>
      <c r="N49" s="2" t="s">
        <v>164</v>
      </c>
      <c r="O49" s="2" t="s">
        <v>105</v>
      </c>
      <c r="P49" s="152">
        <v>1043</v>
      </c>
      <c r="Q49" s="150">
        <v>3.681</v>
      </c>
      <c r="R49" s="150">
        <v>22499</v>
      </c>
      <c r="T49" s="150">
        <v>863.8</v>
      </c>
      <c r="U49" s="164">
        <v>4.6E-5</v>
      </c>
      <c r="V49" s="164">
        <v>9.3853701800327202E-3</v>
      </c>
      <c r="W49" s="164">
        <v>2.2741029491769099E-3</v>
      </c>
    </row>
    <row r="50" spans="1:23">
      <c r="A50" s="2" t="s">
        <v>26</v>
      </c>
      <c r="B50" s="2">
        <v>1182</v>
      </c>
      <c r="C50" s="2" t="s">
        <v>1738</v>
      </c>
      <c r="D50" s="2" t="s">
        <v>1739</v>
      </c>
      <c r="E50" s="4" t="s">
        <v>362</v>
      </c>
      <c r="F50" s="2" t="s">
        <v>1740</v>
      </c>
      <c r="G50" s="2" t="s">
        <v>1741</v>
      </c>
      <c r="H50" s="2" t="s">
        <v>368</v>
      </c>
      <c r="I50" s="2" t="s">
        <v>1026</v>
      </c>
      <c r="J50" s="2" t="s">
        <v>100</v>
      </c>
      <c r="K50" s="2" t="s">
        <v>101</v>
      </c>
      <c r="L50" s="2" t="s">
        <v>391</v>
      </c>
      <c r="M50" s="2" t="s">
        <v>781</v>
      </c>
      <c r="N50" s="2" t="s">
        <v>164</v>
      </c>
      <c r="O50" s="2" t="s">
        <v>105</v>
      </c>
      <c r="P50" s="152">
        <v>8340</v>
      </c>
      <c r="Q50" s="150">
        <v>3.681</v>
      </c>
      <c r="R50" s="150">
        <v>10301</v>
      </c>
      <c r="T50" s="150">
        <v>3162.36</v>
      </c>
      <c r="U50" s="164">
        <v>1.0460000000000001E-3</v>
      </c>
      <c r="V50" s="164">
        <v>3.4359696616855E-2</v>
      </c>
      <c r="W50" s="164">
        <v>8.3254560992650408E-3</v>
      </c>
    </row>
    <row r="51" spans="1:23">
      <c r="A51" s="2" t="s">
        <v>26</v>
      </c>
      <c r="B51" s="2">
        <v>1182</v>
      </c>
      <c r="C51" s="2" t="s">
        <v>1742</v>
      </c>
      <c r="D51" s="2" t="s">
        <v>1743</v>
      </c>
      <c r="E51" s="4" t="s">
        <v>362</v>
      </c>
      <c r="F51" s="2" t="s">
        <v>1744</v>
      </c>
      <c r="G51" s="2" t="s">
        <v>1745</v>
      </c>
      <c r="H51" s="2" t="s">
        <v>368</v>
      </c>
      <c r="I51" s="2" t="s">
        <v>1026</v>
      </c>
      <c r="J51" s="2" t="s">
        <v>100</v>
      </c>
      <c r="K51" s="2" t="s">
        <v>346</v>
      </c>
      <c r="L51" s="2" t="s">
        <v>391</v>
      </c>
      <c r="M51" s="2" t="s">
        <v>781</v>
      </c>
      <c r="N51" s="2" t="s">
        <v>164</v>
      </c>
      <c r="O51" s="2" t="s">
        <v>105</v>
      </c>
      <c r="P51" s="152">
        <v>12340</v>
      </c>
      <c r="Q51" s="150">
        <v>3.681</v>
      </c>
      <c r="R51" s="150">
        <v>2946</v>
      </c>
      <c r="T51" s="150">
        <v>1338.1769999999999</v>
      </c>
      <c r="U51" s="164">
        <v>1.4100000000000001E-4</v>
      </c>
      <c r="V51" s="164">
        <v>1.45395774399026E-2</v>
      </c>
      <c r="W51" s="164">
        <v>3.5229826103410299E-3</v>
      </c>
    </row>
    <row r="52" spans="1:23">
      <c r="A52" s="2" t="s">
        <v>26</v>
      </c>
      <c r="B52" s="2">
        <v>1182</v>
      </c>
      <c r="C52" s="2" t="s">
        <v>1742</v>
      </c>
      <c r="D52" s="2" t="s">
        <v>1743</v>
      </c>
      <c r="E52" s="4" t="s">
        <v>362</v>
      </c>
      <c r="F52" s="2" t="s">
        <v>1746</v>
      </c>
      <c r="G52" s="2" t="s">
        <v>1747</v>
      </c>
      <c r="H52" s="2" t="s">
        <v>368</v>
      </c>
      <c r="I52" s="2" t="s">
        <v>1026</v>
      </c>
      <c r="J52" s="2" t="s">
        <v>100</v>
      </c>
      <c r="K52" s="2" t="s">
        <v>294</v>
      </c>
      <c r="L52" s="2" t="s">
        <v>391</v>
      </c>
      <c r="M52" s="2" t="s">
        <v>781</v>
      </c>
      <c r="N52" s="2" t="s">
        <v>164</v>
      </c>
      <c r="O52" s="2" t="s">
        <v>105</v>
      </c>
      <c r="P52" s="152">
        <v>17508</v>
      </c>
      <c r="Q52" s="150">
        <v>3.681</v>
      </c>
      <c r="R52" s="150">
        <v>43.56</v>
      </c>
      <c r="T52" s="150">
        <v>2807.3090000000002</v>
      </c>
      <c r="U52" s="164">
        <v>7.9600000000000005E-4</v>
      </c>
      <c r="V52" s="164">
        <v>3.0501998243873299E-2</v>
      </c>
      <c r="W52" s="164">
        <v>7.3907243754491097E-3</v>
      </c>
    </row>
    <row r="53" spans="1:23">
      <c r="A53" s="2" t="s">
        <v>26</v>
      </c>
      <c r="B53" s="2">
        <v>1182</v>
      </c>
      <c r="C53" s="2" t="s">
        <v>1748</v>
      </c>
      <c r="D53" s="2" t="s">
        <v>1749</v>
      </c>
      <c r="E53" s="4" t="s">
        <v>362</v>
      </c>
      <c r="F53" s="2" t="s">
        <v>1750</v>
      </c>
      <c r="G53" s="2" t="s">
        <v>1751</v>
      </c>
      <c r="H53" s="2" t="s">
        <v>368</v>
      </c>
      <c r="I53" s="2" t="s">
        <v>1026</v>
      </c>
      <c r="J53" s="2" t="s">
        <v>100</v>
      </c>
      <c r="K53" s="2" t="s">
        <v>301</v>
      </c>
      <c r="L53" s="2" t="s">
        <v>110</v>
      </c>
      <c r="M53" s="2" t="s">
        <v>781</v>
      </c>
      <c r="N53" s="2" t="s">
        <v>164</v>
      </c>
      <c r="O53" s="2" t="s">
        <v>1224</v>
      </c>
      <c r="P53" s="152">
        <v>56629</v>
      </c>
      <c r="Q53" s="150">
        <v>3.9790000000000001</v>
      </c>
      <c r="R53" s="150">
        <v>2551.5</v>
      </c>
      <c r="T53" s="150">
        <v>5749.3580000000002</v>
      </c>
      <c r="U53" s="164">
        <v>9.5E-4</v>
      </c>
      <c r="V53" s="164">
        <v>6.2467968723309203E-2</v>
      </c>
      <c r="W53" s="164">
        <v>1.5136173552855301E-2</v>
      </c>
    </row>
    <row r="54" spans="1:23">
      <c r="A54" s="2" t="s">
        <v>26</v>
      </c>
      <c r="B54" s="2">
        <v>14769</v>
      </c>
      <c r="C54" s="2" t="s">
        <v>1752</v>
      </c>
      <c r="D54" s="2" t="s">
        <v>1753</v>
      </c>
      <c r="E54" s="4" t="s">
        <v>1380</v>
      </c>
      <c r="F54" s="2" t="s">
        <v>1754</v>
      </c>
      <c r="G54" s="2" t="s">
        <v>1755</v>
      </c>
      <c r="H54" s="2" t="s">
        <v>368</v>
      </c>
      <c r="I54" s="2" t="s">
        <v>1026</v>
      </c>
      <c r="J54" s="2" t="s">
        <v>31</v>
      </c>
      <c r="K54" s="2" t="s">
        <v>283</v>
      </c>
      <c r="L54" s="2" t="s">
        <v>32</v>
      </c>
      <c r="M54" s="2" t="s">
        <v>1614</v>
      </c>
      <c r="N54" s="2" t="s">
        <v>164</v>
      </c>
      <c r="O54" s="2" t="s">
        <v>35</v>
      </c>
      <c r="P54" s="152">
        <v>1098</v>
      </c>
      <c r="Q54" s="150">
        <v>1</v>
      </c>
      <c r="R54" s="150">
        <v>4148</v>
      </c>
      <c r="T54" s="150">
        <v>45.545000000000002</v>
      </c>
      <c r="U54" s="164">
        <v>6.9999999999999994E-5</v>
      </c>
      <c r="V54" s="164">
        <v>8.8512995589792604E-3</v>
      </c>
      <c r="W54" s="164">
        <v>5.8382090780889602E-3</v>
      </c>
    </row>
    <row r="55" spans="1:23">
      <c r="A55" s="2" t="s">
        <v>26</v>
      </c>
      <c r="B55" s="2">
        <v>14769</v>
      </c>
      <c r="C55" s="2" t="s">
        <v>1607</v>
      </c>
      <c r="D55" s="2" t="s">
        <v>1608</v>
      </c>
      <c r="E55" s="4" t="s">
        <v>1380</v>
      </c>
      <c r="F55" s="2" t="s">
        <v>1619</v>
      </c>
      <c r="G55" s="2" t="s">
        <v>1620</v>
      </c>
      <c r="H55" s="2" t="s">
        <v>368</v>
      </c>
      <c r="I55" s="2" t="s">
        <v>1025</v>
      </c>
      <c r="J55" s="2" t="s">
        <v>31</v>
      </c>
      <c r="K55" s="2" t="s">
        <v>31</v>
      </c>
      <c r="L55" s="2" t="s">
        <v>32</v>
      </c>
      <c r="M55" s="2" t="s">
        <v>1611</v>
      </c>
      <c r="N55" s="2" t="s">
        <v>164</v>
      </c>
      <c r="O55" s="2" t="s">
        <v>35</v>
      </c>
      <c r="P55" s="152">
        <v>6930</v>
      </c>
      <c r="Q55" s="150">
        <v>1</v>
      </c>
      <c r="R55" s="150">
        <v>3091</v>
      </c>
      <c r="T55" s="150">
        <v>214.20599999999999</v>
      </c>
      <c r="U55" s="164">
        <v>1.92E-4</v>
      </c>
      <c r="V55" s="164">
        <v>4.1629212066134499E-2</v>
      </c>
      <c r="W55" s="164">
        <v>2.7458119813789698E-2</v>
      </c>
    </row>
    <row r="56" spans="1:23">
      <c r="A56" s="2" t="s">
        <v>26</v>
      </c>
      <c r="B56" s="2">
        <v>14769</v>
      </c>
      <c r="C56" s="2" t="s">
        <v>1623</v>
      </c>
      <c r="D56" s="2" t="s">
        <v>1624</v>
      </c>
      <c r="E56" s="4" t="s">
        <v>1380</v>
      </c>
      <c r="F56" s="2" t="s">
        <v>1756</v>
      </c>
      <c r="G56" s="2" t="s">
        <v>1757</v>
      </c>
      <c r="H56" s="2" t="s">
        <v>368</v>
      </c>
      <c r="I56" s="2" t="s">
        <v>1026</v>
      </c>
      <c r="J56" s="2" t="s">
        <v>31</v>
      </c>
      <c r="K56" s="2" t="s">
        <v>1649</v>
      </c>
      <c r="L56" s="2" t="s">
        <v>32</v>
      </c>
      <c r="M56" s="2" t="s">
        <v>1614</v>
      </c>
      <c r="N56" s="2" t="s">
        <v>164</v>
      </c>
      <c r="O56" s="2" t="s">
        <v>35</v>
      </c>
      <c r="P56" s="152">
        <v>6207</v>
      </c>
      <c r="Q56" s="150">
        <v>1</v>
      </c>
      <c r="R56" s="150">
        <v>3249</v>
      </c>
      <c r="T56" s="150">
        <v>201.66499999999999</v>
      </c>
      <c r="U56" s="164">
        <v>2.9500000000000001E-4</v>
      </c>
      <c r="V56" s="164">
        <v>3.9191998330012703E-2</v>
      </c>
      <c r="W56" s="164">
        <v>2.5850563401914099E-2</v>
      </c>
    </row>
    <row r="57" spans="1:23">
      <c r="A57" s="2" t="s">
        <v>26</v>
      </c>
      <c r="B57" s="2">
        <v>14769</v>
      </c>
      <c r="C57" s="2" t="s">
        <v>1623</v>
      </c>
      <c r="D57" s="2" t="s">
        <v>1624</v>
      </c>
      <c r="E57" s="4" t="s">
        <v>1380</v>
      </c>
      <c r="F57" s="2" t="s">
        <v>1758</v>
      </c>
      <c r="G57" s="2" t="s">
        <v>1759</v>
      </c>
      <c r="H57" s="2" t="s">
        <v>368</v>
      </c>
      <c r="I57" s="2" t="s">
        <v>1026</v>
      </c>
      <c r="J57" s="2" t="s">
        <v>100</v>
      </c>
      <c r="K57" s="2" t="s">
        <v>101</v>
      </c>
      <c r="L57" s="2" t="s">
        <v>32</v>
      </c>
      <c r="M57" s="2" t="s">
        <v>1614</v>
      </c>
      <c r="N57" s="2" t="s">
        <v>164</v>
      </c>
      <c r="O57" s="2" t="s">
        <v>35</v>
      </c>
      <c r="P57" s="152">
        <v>1416</v>
      </c>
      <c r="Q57" s="150">
        <v>1</v>
      </c>
      <c r="R57" s="150">
        <v>7145</v>
      </c>
      <c r="T57" s="150">
        <v>101.173</v>
      </c>
      <c r="U57" s="164">
        <v>1.4E-5</v>
      </c>
      <c r="V57" s="164">
        <v>1.96621695916947E-2</v>
      </c>
      <c r="W57" s="164">
        <v>1.29689269061858E-2</v>
      </c>
    </row>
    <row r="58" spans="1:23">
      <c r="A58" s="2" t="s">
        <v>26</v>
      </c>
      <c r="B58" s="2">
        <v>14769</v>
      </c>
      <c r="C58" s="2" t="s">
        <v>1623</v>
      </c>
      <c r="D58" s="2" t="s">
        <v>1624</v>
      </c>
      <c r="E58" s="4" t="s">
        <v>1380</v>
      </c>
      <c r="F58" s="2" t="s">
        <v>1625</v>
      </c>
      <c r="G58" s="2" t="s">
        <v>1626</v>
      </c>
      <c r="H58" s="2" t="s">
        <v>368</v>
      </c>
      <c r="I58" s="2" t="s">
        <v>1025</v>
      </c>
      <c r="J58" s="2" t="s">
        <v>31</v>
      </c>
      <c r="K58" s="2" t="s">
        <v>31</v>
      </c>
      <c r="L58" s="2" t="s">
        <v>32</v>
      </c>
      <c r="M58" s="2" t="s">
        <v>1611</v>
      </c>
      <c r="N58" s="2" t="s">
        <v>164</v>
      </c>
      <c r="O58" s="2" t="s">
        <v>35</v>
      </c>
      <c r="P58" s="152">
        <v>2524</v>
      </c>
      <c r="Q58" s="150">
        <v>1</v>
      </c>
      <c r="R58" s="150">
        <v>2053</v>
      </c>
      <c r="T58" s="150">
        <v>51.817999999999998</v>
      </c>
      <c r="U58" s="164">
        <v>5.1999999999999997E-5</v>
      </c>
      <c r="V58" s="164">
        <v>1.0070342724110301E-2</v>
      </c>
      <c r="W58" s="164">
        <v>6.6422750602452398E-3</v>
      </c>
    </row>
    <row r="59" spans="1:23">
      <c r="A59" s="2" t="s">
        <v>26</v>
      </c>
      <c r="B59" s="2">
        <v>14769</v>
      </c>
      <c r="C59" s="2" t="s">
        <v>1623</v>
      </c>
      <c r="D59" s="2" t="s">
        <v>1624</v>
      </c>
      <c r="E59" s="4" t="s">
        <v>1380</v>
      </c>
      <c r="F59" s="2" t="s">
        <v>1627</v>
      </c>
      <c r="G59" s="2" t="s">
        <v>1628</v>
      </c>
      <c r="H59" s="2" t="s">
        <v>368</v>
      </c>
      <c r="I59" s="2" t="s">
        <v>1025</v>
      </c>
      <c r="J59" s="2" t="s">
        <v>31</v>
      </c>
      <c r="K59" s="2" t="s">
        <v>31</v>
      </c>
      <c r="L59" s="2" t="s">
        <v>32</v>
      </c>
      <c r="M59" s="2" t="s">
        <v>1611</v>
      </c>
      <c r="N59" s="2" t="s">
        <v>164</v>
      </c>
      <c r="O59" s="2" t="s">
        <v>35</v>
      </c>
      <c r="P59" s="152">
        <v>3648</v>
      </c>
      <c r="Q59" s="150">
        <v>1</v>
      </c>
      <c r="R59" s="150">
        <v>2014</v>
      </c>
      <c r="T59" s="150">
        <v>73.471000000000004</v>
      </c>
      <c r="U59" s="164">
        <v>6.3999999999999997E-5</v>
      </c>
      <c r="V59" s="164">
        <v>1.4278423106750799E-2</v>
      </c>
      <c r="W59" s="164">
        <v>9.4178734825511607E-3</v>
      </c>
    </row>
    <row r="60" spans="1:23">
      <c r="A60" s="2" t="s">
        <v>26</v>
      </c>
      <c r="B60" s="2">
        <v>14769</v>
      </c>
      <c r="C60" s="2" t="s">
        <v>1629</v>
      </c>
      <c r="D60" s="2" t="s">
        <v>1630</v>
      </c>
      <c r="E60" s="4" t="s">
        <v>1380</v>
      </c>
      <c r="F60" s="2" t="s">
        <v>1631</v>
      </c>
      <c r="G60" s="2" t="s">
        <v>1632</v>
      </c>
      <c r="H60" s="2" t="s">
        <v>368</v>
      </c>
      <c r="I60" s="2" t="s">
        <v>1026</v>
      </c>
      <c r="J60" s="2" t="s">
        <v>31</v>
      </c>
      <c r="K60" s="2" t="s">
        <v>101</v>
      </c>
      <c r="L60" s="2" t="s">
        <v>32</v>
      </c>
      <c r="M60" s="2" t="s">
        <v>1614</v>
      </c>
      <c r="N60" s="2" t="s">
        <v>164</v>
      </c>
      <c r="O60" s="2" t="s">
        <v>35</v>
      </c>
      <c r="P60" s="152">
        <v>1242</v>
      </c>
      <c r="Q60" s="150">
        <v>1</v>
      </c>
      <c r="R60" s="150">
        <v>10160</v>
      </c>
      <c r="T60" s="150">
        <v>126.187</v>
      </c>
      <c r="U60" s="164">
        <v>1.3100000000000001E-4</v>
      </c>
      <c r="V60" s="164">
        <v>2.4523432358580101E-2</v>
      </c>
      <c r="W60" s="164">
        <v>1.6175356451078499E-2</v>
      </c>
    </row>
    <row r="61" spans="1:23">
      <c r="A61" s="2" t="s">
        <v>26</v>
      </c>
      <c r="B61" s="2">
        <v>14769</v>
      </c>
      <c r="C61" s="2" t="s">
        <v>1629</v>
      </c>
      <c r="D61" s="2" t="s">
        <v>1630</v>
      </c>
      <c r="E61" s="4" t="s">
        <v>1380</v>
      </c>
      <c r="F61" s="2" t="s">
        <v>1760</v>
      </c>
      <c r="G61" s="2" t="s">
        <v>1761</v>
      </c>
      <c r="H61" s="2" t="s">
        <v>368</v>
      </c>
      <c r="I61" s="2" t="s">
        <v>1026</v>
      </c>
      <c r="J61" s="2" t="s">
        <v>31</v>
      </c>
      <c r="K61" s="2" t="s">
        <v>101</v>
      </c>
      <c r="L61" s="2" t="s">
        <v>32</v>
      </c>
      <c r="M61" s="2" t="s">
        <v>1614</v>
      </c>
      <c r="N61" s="2" t="s">
        <v>164</v>
      </c>
      <c r="O61" s="2" t="s">
        <v>35</v>
      </c>
      <c r="P61" s="152">
        <v>1509</v>
      </c>
      <c r="Q61" s="150">
        <v>1</v>
      </c>
      <c r="R61" s="150">
        <v>9551</v>
      </c>
      <c r="T61" s="150">
        <v>144.125</v>
      </c>
      <c r="U61" s="164">
        <v>2.5999999999999998E-5</v>
      </c>
      <c r="V61" s="164">
        <v>2.80094148540668E-2</v>
      </c>
      <c r="W61" s="164">
        <v>1.8474667926822501E-2</v>
      </c>
    </row>
    <row r="62" spans="1:23">
      <c r="A62" s="2" t="s">
        <v>26</v>
      </c>
      <c r="B62" s="2">
        <v>14769</v>
      </c>
      <c r="C62" s="2" t="s">
        <v>1752</v>
      </c>
      <c r="D62" s="2" t="s">
        <v>1753</v>
      </c>
      <c r="E62" s="4" t="s">
        <v>1380</v>
      </c>
      <c r="F62" s="2" t="s">
        <v>1762</v>
      </c>
      <c r="G62" s="2" t="s">
        <v>1763</v>
      </c>
      <c r="H62" s="2" t="s">
        <v>368</v>
      </c>
      <c r="I62" s="2" t="s">
        <v>1026</v>
      </c>
      <c r="J62" s="2" t="s">
        <v>31</v>
      </c>
      <c r="K62" s="2" t="s">
        <v>346</v>
      </c>
      <c r="L62" s="2" t="s">
        <v>32</v>
      </c>
      <c r="M62" s="2" t="s">
        <v>1614</v>
      </c>
      <c r="N62" s="2" t="s">
        <v>164</v>
      </c>
      <c r="O62" s="2" t="s">
        <v>35</v>
      </c>
      <c r="P62" s="152">
        <v>9340</v>
      </c>
      <c r="Q62" s="150">
        <v>1</v>
      </c>
      <c r="R62" s="150">
        <v>1361</v>
      </c>
      <c r="T62" s="150">
        <v>127.117</v>
      </c>
      <c r="U62" s="164">
        <v>1.3799999999999999E-4</v>
      </c>
      <c r="V62" s="164">
        <v>2.4704208988697601E-2</v>
      </c>
      <c r="W62" s="164">
        <v>1.6294594508272801E-2</v>
      </c>
    </row>
    <row r="63" spans="1:23">
      <c r="A63" s="2" t="s">
        <v>26</v>
      </c>
      <c r="B63" s="2">
        <v>14769</v>
      </c>
      <c r="C63" s="2" t="s">
        <v>1752</v>
      </c>
      <c r="D63" s="2" t="s">
        <v>1753</v>
      </c>
      <c r="E63" s="4" t="s">
        <v>1380</v>
      </c>
      <c r="F63" s="2" t="s">
        <v>1764</v>
      </c>
      <c r="G63" s="2" t="s">
        <v>1765</v>
      </c>
      <c r="H63" s="2" t="s">
        <v>368</v>
      </c>
      <c r="I63" s="2" t="s">
        <v>1026</v>
      </c>
      <c r="J63" s="2" t="s">
        <v>31</v>
      </c>
      <c r="K63" s="2" t="s">
        <v>101</v>
      </c>
      <c r="L63" s="2" t="s">
        <v>32</v>
      </c>
      <c r="M63" s="2" t="s">
        <v>1614</v>
      </c>
      <c r="N63" s="2" t="s">
        <v>164</v>
      </c>
      <c r="O63" s="2" t="s">
        <v>35</v>
      </c>
      <c r="P63" s="152">
        <v>157</v>
      </c>
      <c r="Q63" s="150">
        <v>1</v>
      </c>
      <c r="R63" s="150">
        <v>21080</v>
      </c>
      <c r="T63" s="150">
        <v>33.095999999999997</v>
      </c>
      <c r="U63" s="164">
        <v>1.0000000000000001E-5</v>
      </c>
      <c r="V63" s="164">
        <v>6.43185448259907E-3</v>
      </c>
      <c r="W63" s="164">
        <v>4.2423726571499502E-3</v>
      </c>
    </row>
    <row r="64" spans="1:23">
      <c r="A64" s="2" t="s">
        <v>26</v>
      </c>
      <c r="B64" s="2">
        <v>14769</v>
      </c>
      <c r="C64" s="2" t="s">
        <v>1752</v>
      </c>
      <c r="D64" s="2" t="s">
        <v>1753</v>
      </c>
      <c r="E64" s="4" t="s">
        <v>1380</v>
      </c>
      <c r="F64" s="2" t="s">
        <v>1766</v>
      </c>
      <c r="G64" s="2" t="s">
        <v>1767</v>
      </c>
      <c r="H64" s="2" t="s">
        <v>368</v>
      </c>
      <c r="I64" s="2" t="s">
        <v>1026</v>
      </c>
      <c r="J64" s="2" t="s">
        <v>31</v>
      </c>
      <c r="L64" s="2" t="s">
        <v>204</v>
      </c>
      <c r="M64" s="2" t="s">
        <v>1614</v>
      </c>
      <c r="N64" s="2" t="s">
        <v>164</v>
      </c>
      <c r="O64" s="2" t="s">
        <v>35</v>
      </c>
      <c r="P64" s="152">
        <v>68</v>
      </c>
      <c r="Q64" s="150">
        <v>1</v>
      </c>
      <c r="R64" s="150">
        <v>46860</v>
      </c>
      <c r="T64" s="150">
        <v>31.864999999999998</v>
      </c>
      <c r="U64" s="164">
        <v>3.4999999999999997E-5</v>
      </c>
      <c r="V64" s="164">
        <v>6.1926587436735604E-3</v>
      </c>
      <c r="W64" s="164">
        <v>4.0846020693249803E-3</v>
      </c>
    </row>
    <row r="65" spans="1:23">
      <c r="A65" s="2" t="s">
        <v>26</v>
      </c>
      <c r="B65" s="2">
        <v>14769</v>
      </c>
      <c r="C65" s="2" t="s">
        <v>1635</v>
      </c>
      <c r="D65" s="2" t="s">
        <v>1636</v>
      </c>
      <c r="E65" s="4" t="s">
        <v>362</v>
      </c>
      <c r="F65" s="2" t="s">
        <v>1637</v>
      </c>
      <c r="G65" s="2" t="s">
        <v>1638</v>
      </c>
      <c r="H65" s="2" t="s">
        <v>368</v>
      </c>
      <c r="I65" s="2" t="s">
        <v>1026</v>
      </c>
      <c r="J65" s="2" t="s">
        <v>100</v>
      </c>
      <c r="K65" s="2" t="s">
        <v>101</v>
      </c>
      <c r="L65" s="2" t="s">
        <v>391</v>
      </c>
      <c r="M65" s="2" t="s">
        <v>781</v>
      </c>
      <c r="N65" s="2" t="s">
        <v>164</v>
      </c>
      <c r="O65" s="2" t="s">
        <v>105</v>
      </c>
      <c r="P65" s="152">
        <v>141</v>
      </c>
      <c r="Q65" s="150">
        <v>3.681</v>
      </c>
      <c r="R65" s="150">
        <v>65.650000000000006</v>
      </c>
      <c r="T65" s="150">
        <v>34.073999999999998</v>
      </c>
      <c r="U65" s="164">
        <v>9.9999999999999995E-7</v>
      </c>
      <c r="V65" s="164">
        <v>6.6219456470457396E-3</v>
      </c>
      <c r="W65" s="164">
        <v>4.3677544674188403E-3</v>
      </c>
    </row>
    <row r="66" spans="1:23">
      <c r="A66" s="2" t="s">
        <v>26</v>
      </c>
      <c r="B66" s="2">
        <v>14769</v>
      </c>
      <c r="C66" s="2" t="s">
        <v>1579</v>
      </c>
      <c r="D66" s="2" t="s">
        <v>1580</v>
      </c>
      <c r="E66" s="4" t="s">
        <v>362</v>
      </c>
      <c r="F66" s="2" t="s">
        <v>1639</v>
      </c>
      <c r="G66" s="2" t="s">
        <v>1640</v>
      </c>
      <c r="H66" s="2" t="s">
        <v>368</v>
      </c>
      <c r="I66" s="2" t="s">
        <v>1026</v>
      </c>
      <c r="J66" s="2" t="s">
        <v>100</v>
      </c>
      <c r="K66" s="2" t="s">
        <v>101</v>
      </c>
      <c r="L66" s="2" t="s">
        <v>391</v>
      </c>
      <c r="M66" s="2" t="s">
        <v>781</v>
      </c>
      <c r="N66" s="2" t="s">
        <v>164</v>
      </c>
      <c r="O66" s="2" t="s">
        <v>105</v>
      </c>
      <c r="P66" s="152">
        <v>66</v>
      </c>
      <c r="Q66" s="150">
        <v>3.681</v>
      </c>
      <c r="R66" s="150">
        <v>10157</v>
      </c>
      <c r="T66" s="150">
        <v>24.675999999999998</v>
      </c>
      <c r="U66" s="164">
        <v>3.0000000000000001E-6</v>
      </c>
      <c r="V66" s="164">
        <v>4.7955801805673499E-3</v>
      </c>
      <c r="W66" s="164">
        <v>3.1631061132135598E-3</v>
      </c>
    </row>
    <row r="67" spans="1:23">
      <c r="A67" s="2" t="s">
        <v>26</v>
      </c>
      <c r="B67" s="2">
        <v>14769</v>
      </c>
      <c r="C67" s="2" t="s">
        <v>1641</v>
      </c>
      <c r="D67" s="2" t="s">
        <v>1642</v>
      </c>
      <c r="E67" s="4" t="s">
        <v>362</v>
      </c>
      <c r="F67" s="2" t="s">
        <v>1643</v>
      </c>
      <c r="G67" s="2" t="s">
        <v>1644</v>
      </c>
      <c r="H67" s="2" t="s">
        <v>34</v>
      </c>
      <c r="I67" s="2" t="s">
        <v>1026</v>
      </c>
      <c r="J67" s="2" t="s">
        <v>100</v>
      </c>
      <c r="K67" s="2" t="s">
        <v>331</v>
      </c>
      <c r="L67" s="2" t="s">
        <v>393</v>
      </c>
      <c r="M67" s="2" t="s">
        <v>781</v>
      </c>
      <c r="N67" s="2" t="s">
        <v>164</v>
      </c>
      <c r="O67" s="2" t="s">
        <v>105</v>
      </c>
      <c r="P67" s="152">
        <v>602</v>
      </c>
      <c r="Q67" s="150">
        <v>3.681</v>
      </c>
      <c r="R67" s="150">
        <v>12389</v>
      </c>
      <c r="T67" s="150">
        <v>274.536</v>
      </c>
      <c r="U67" s="164">
        <v>0</v>
      </c>
      <c r="V67" s="164">
        <v>5.3353696360986198E-2</v>
      </c>
      <c r="W67" s="164">
        <v>3.5191446450178999E-2</v>
      </c>
    </row>
    <row r="68" spans="1:23">
      <c r="A68" s="2" t="s">
        <v>26</v>
      </c>
      <c r="B68" s="2">
        <v>14769</v>
      </c>
      <c r="C68" s="2" t="s">
        <v>1645</v>
      </c>
      <c r="D68" s="2" t="s">
        <v>1646</v>
      </c>
      <c r="E68" s="4" t="s">
        <v>362</v>
      </c>
      <c r="F68" s="2" t="s">
        <v>1768</v>
      </c>
      <c r="G68" s="2" t="s">
        <v>1769</v>
      </c>
      <c r="H68" s="2" t="s">
        <v>368</v>
      </c>
      <c r="I68" s="2" t="s">
        <v>1026</v>
      </c>
      <c r="J68" s="2" t="s">
        <v>100</v>
      </c>
      <c r="K68" s="2" t="s">
        <v>1649</v>
      </c>
      <c r="L68" s="2" t="s">
        <v>393</v>
      </c>
      <c r="M68" s="2" t="s">
        <v>781</v>
      </c>
      <c r="N68" s="2" t="s">
        <v>164</v>
      </c>
      <c r="O68" s="2" t="s">
        <v>105</v>
      </c>
      <c r="P68" s="152">
        <v>403</v>
      </c>
      <c r="Q68" s="150">
        <v>3.681</v>
      </c>
      <c r="R68" s="150">
        <v>4968.5</v>
      </c>
      <c r="T68" s="150">
        <v>73.704999999999998</v>
      </c>
      <c r="U68" s="164">
        <v>0</v>
      </c>
      <c r="V68" s="164">
        <v>1.4323927327684101E-2</v>
      </c>
      <c r="W68" s="164">
        <v>9.4478875108838598E-3</v>
      </c>
    </row>
    <row r="69" spans="1:23">
      <c r="A69" s="2" t="s">
        <v>26</v>
      </c>
      <c r="B69" s="2">
        <v>14769</v>
      </c>
      <c r="C69" s="2" t="s">
        <v>1645</v>
      </c>
      <c r="D69" s="2" t="s">
        <v>1646</v>
      </c>
      <c r="E69" s="4" t="s">
        <v>362</v>
      </c>
      <c r="F69" s="2" t="s">
        <v>1650</v>
      </c>
      <c r="G69" s="2" t="s">
        <v>1651</v>
      </c>
      <c r="H69" s="2" t="s">
        <v>368</v>
      </c>
      <c r="I69" s="2" t="s">
        <v>1026</v>
      </c>
      <c r="J69" s="2" t="s">
        <v>100</v>
      </c>
      <c r="K69" s="2" t="s">
        <v>331</v>
      </c>
      <c r="L69" s="2" t="s">
        <v>411</v>
      </c>
      <c r="M69" s="2" t="s">
        <v>781</v>
      </c>
      <c r="N69" s="2" t="s">
        <v>164</v>
      </c>
      <c r="O69" s="2" t="s">
        <v>1224</v>
      </c>
      <c r="P69" s="152">
        <v>132</v>
      </c>
      <c r="Q69" s="150">
        <v>3.9790000000000001</v>
      </c>
      <c r="R69" s="150">
        <v>11016</v>
      </c>
      <c r="T69" s="150">
        <v>57.860999999999997</v>
      </c>
      <c r="U69" s="164">
        <v>2.5999999999999998E-5</v>
      </c>
      <c r="V69" s="164">
        <v>1.124472045613E-2</v>
      </c>
      <c r="W69" s="164">
        <v>7.4168802682711699E-3</v>
      </c>
    </row>
    <row r="70" spans="1:23">
      <c r="A70" s="2" t="s">
        <v>26</v>
      </c>
      <c r="B70" s="2">
        <v>14769</v>
      </c>
      <c r="C70" s="2" t="s">
        <v>1645</v>
      </c>
      <c r="D70" s="2" t="s">
        <v>1646</v>
      </c>
      <c r="E70" s="4" t="s">
        <v>362</v>
      </c>
      <c r="F70" s="2" t="s">
        <v>1652</v>
      </c>
      <c r="G70" s="2" t="s">
        <v>1653</v>
      </c>
      <c r="H70" s="2" t="s">
        <v>368</v>
      </c>
      <c r="I70" s="2" t="s">
        <v>1026</v>
      </c>
      <c r="J70" s="2" t="s">
        <v>100</v>
      </c>
      <c r="K70" s="2" t="s">
        <v>101</v>
      </c>
      <c r="L70" s="2" t="s">
        <v>426</v>
      </c>
      <c r="M70" s="2" t="s">
        <v>781</v>
      </c>
      <c r="N70" s="2" t="s">
        <v>164</v>
      </c>
      <c r="O70" s="2" t="s">
        <v>105</v>
      </c>
      <c r="P70" s="152">
        <v>101</v>
      </c>
      <c r="Q70" s="150">
        <v>3.681</v>
      </c>
      <c r="R70" s="150">
        <v>9308</v>
      </c>
      <c r="T70" s="150">
        <v>34.604999999999997</v>
      </c>
      <c r="U70" s="164">
        <v>0</v>
      </c>
      <c r="V70" s="164">
        <v>6.7252667848010598E-3</v>
      </c>
      <c r="W70" s="164">
        <v>4.4359038279033897E-3</v>
      </c>
    </row>
    <row r="71" spans="1:23">
      <c r="A71" s="2" t="s">
        <v>26</v>
      </c>
      <c r="B71" s="2">
        <v>14769</v>
      </c>
      <c r="C71" s="2" t="s">
        <v>1635</v>
      </c>
      <c r="D71" s="2" t="s">
        <v>1636</v>
      </c>
      <c r="E71" s="4" t="s">
        <v>362</v>
      </c>
      <c r="F71" s="2" t="s">
        <v>1654</v>
      </c>
      <c r="G71" s="2" t="s">
        <v>1655</v>
      </c>
      <c r="H71" s="2" t="s">
        <v>368</v>
      </c>
      <c r="I71" s="2" t="s">
        <v>1026</v>
      </c>
      <c r="J71" s="2" t="s">
        <v>100</v>
      </c>
      <c r="K71" s="2" t="s">
        <v>101</v>
      </c>
      <c r="L71" s="2" t="s">
        <v>391</v>
      </c>
      <c r="M71" s="2" t="s">
        <v>781</v>
      </c>
      <c r="N71" s="2" t="s">
        <v>164</v>
      </c>
      <c r="O71" s="2" t="s">
        <v>105</v>
      </c>
      <c r="P71" s="152">
        <v>33</v>
      </c>
      <c r="Q71" s="150">
        <v>3.681</v>
      </c>
      <c r="R71" s="150">
        <v>81.66</v>
      </c>
      <c r="T71" s="150">
        <v>9.9190000000000005</v>
      </c>
      <c r="U71" s="164">
        <v>0</v>
      </c>
      <c r="V71" s="164">
        <v>1.9277694080197399E-3</v>
      </c>
      <c r="W71" s="164">
        <v>1.2715331554840001E-3</v>
      </c>
    </row>
    <row r="72" spans="1:23">
      <c r="A72" s="2" t="s">
        <v>26</v>
      </c>
      <c r="B72" s="2">
        <v>14769</v>
      </c>
      <c r="C72" s="2" t="s">
        <v>1635</v>
      </c>
      <c r="D72" s="2" t="s">
        <v>1636</v>
      </c>
      <c r="E72" s="4" t="s">
        <v>362</v>
      </c>
      <c r="F72" s="2" t="s">
        <v>1656</v>
      </c>
      <c r="G72" s="2" t="s">
        <v>1657</v>
      </c>
      <c r="H72" s="2" t="s">
        <v>368</v>
      </c>
      <c r="I72" s="2" t="s">
        <v>1026</v>
      </c>
      <c r="J72" s="2" t="s">
        <v>100</v>
      </c>
      <c r="K72" s="2" t="s">
        <v>101</v>
      </c>
      <c r="L72" s="2" t="s">
        <v>391</v>
      </c>
      <c r="M72" s="2" t="s">
        <v>781</v>
      </c>
      <c r="N72" s="2" t="s">
        <v>164</v>
      </c>
      <c r="O72" s="2" t="s">
        <v>105</v>
      </c>
      <c r="P72" s="152">
        <v>46</v>
      </c>
      <c r="Q72" s="150">
        <v>3.681</v>
      </c>
      <c r="R72" s="150">
        <v>183.89</v>
      </c>
      <c r="T72" s="150">
        <v>31.137</v>
      </c>
      <c r="U72" s="164">
        <v>0</v>
      </c>
      <c r="V72" s="164">
        <v>6.0512864709825996E-3</v>
      </c>
      <c r="W72" s="164">
        <v>3.99135464499878E-3</v>
      </c>
    </row>
    <row r="73" spans="1:23">
      <c r="A73" s="2" t="s">
        <v>26</v>
      </c>
      <c r="B73" s="2">
        <v>14769</v>
      </c>
      <c r="C73" s="2" t="s">
        <v>1658</v>
      </c>
      <c r="D73" s="2" t="s">
        <v>1659</v>
      </c>
      <c r="E73" s="4" t="s">
        <v>362</v>
      </c>
      <c r="F73" s="2" t="s">
        <v>1660</v>
      </c>
      <c r="G73" s="2" t="s">
        <v>1661</v>
      </c>
      <c r="H73" s="2" t="s">
        <v>368</v>
      </c>
      <c r="I73" s="2" t="s">
        <v>1026</v>
      </c>
      <c r="J73" s="2" t="s">
        <v>100</v>
      </c>
      <c r="K73" s="2" t="s">
        <v>101</v>
      </c>
      <c r="L73" s="2" t="s">
        <v>391</v>
      </c>
      <c r="M73" s="2" t="s">
        <v>781</v>
      </c>
      <c r="N73" s="2" t="s">
        <v>164</v>
      </c>
      <c r="O73" s="2" t="s">
        <v>105</v>
      </c>
      <c r="P73" s="152">
        <v>25</v>
      </c>
      <c r="Q73" s="150">
        <v>3.681</v>
      </c>
      <c r="R73" s="150">
        <v>5454</v>
      </c>
      <c r="T73" s="150">
        <v>5.0190000000000001</v>
      </c>
      <c r="U73" s="164">
        <v>3.9999999999999998E-6</v>
      </c>
      <c r="V73" s="164">
        <v>9.75409342445362E-4</v>
      </c>
      <c r="W73" s="164">
        <v>6.4336808849050004E-4</v>
      </c>
    </row>
    <row r="74" spans="1:23">
      <c r="A74" s="2" t="s">
        <v>26</v>
      </c>
      <c r="B74" s="2">
        <v>14769</v>
      </c>
      <c r="C74" s="2" t="s">
        <v>1635</v>
      </c>
      <c r="D74" s="2" t="s">
        <v>1636</v>
      </c>
      <c r="E74" s="4" t="s">
        <v>362</v>
      </c>
      <c r="F74" s="2" t="s">
        <v>1662</v>
      </c>
      <c r="G74" s="2" t="s">
        <v>1663</v>
      </c>
      <c r="H74" s="2" t="s">
        <v>368</v>
      </c>
      <c r="I74" s="2" t="s">
        <v>1026</v>
      </c>
      <c r="J74" s="2" t="s">
        <v>100</v>
      </c>
      <c r="K74" s="2" t="s">
        <v>101</v>
      </c>
      <c r="L74" s="2" t="s">
        <v>391</v>
      </c>
      <c r="M74" s="2" t="s">
        <v>781</v>
      </c>
      <c r="N74" s="2" t="s">
        <v>164</v>
      </c>
      <c r="O74" s="2" t="s">
        <v>105</v>
      </c>
      <c r="P74" s="152">
        <v>590</v>
      </c>
      <c r="Q74" s="150">
        <v>3.681</v>
      </c>
      <c r="R74" s="150">
        <v>42.12</v>
      </c>
      <c r="T74" s="150">
        <v>91.475999999999999</v>
      </c>
      <c r="U74" s="164">
        <v>9.9999999999999995E-7</v>
      </c>
      <c r="V74" s="164">
        <v>1.7777559579934901E-2</v>
      </c>
      <c r="W74" s="164">
        <v>1.1725861161319901E-2</v>
      </c>
    </row>
    <row r="75" spans="1:23">
      <c r="A75" s="2" t="s">
        <v>26</v>
      </c>
      <c r="B75" s="2">
        <v>14769</v>
      </c>
      <c r="C75" s="2" t="s">
        <v>1664</v>
      </c>
      <c r="D75" s="2" t="s">
        <v>1665</v>
      </c>
      <c r="E75" s="4" t="s">
        <v>362</v>
      </c>
      <c r="F75" s="2" t="s">
        <v>1666</v>
      </c>
      <c r="G75" s="2" t="s">
        <v>1667</v>
      </c>
      <c r="H75" s="2" t="s">
        <v>368</v>
      </c>
      <c r="I75" s="2" t="s">
        <v>1026</v>
      </c>
      <c r="J75" s="2" t="s">
        <v>100</v>
      </c>
      <c r="K75" s="2" t="s">
        <v>101</v>
      </c>
      <c r="L75" s="2" t="s">
        <v>393</v>
      </c>
      <c r="M75" s="2" t="s">
        <v>781</v>
      </c>
      <c r="N75" s="2" t="s">
        <v>164</v>
      </c>
      <c r="O75" s="2" t="s">
        <v>105</v>
      </c>
      <c r="P75" s="152">
        <v>40</v>
      </c>
      <c r="Q75" s="150">
        <v>3.681</v>
      </c>
      <c r="R75" s="150">
        <v>19068</v>
      </c>
      <c r="T75" s="150">
        <v>28.076000000000001</v>
      </c>
      <c r="U75" s="164">
        <v>3.0000000000000001E-6</v>
      </c>
      <c r="V75" s="164">
        <v>5.45628319523232E-3</v>
      </c>
      <c r="W75" s="164">
        <v>3.59889775176732E-3</v>
      </c>
    </row>
    <row r="76" spans="1:23">
      <c r="A76" s="2" t="s">
        <v>26</v>
      </c>
      <c r="B76" s="2">
        <v>14769</v>
      </c>
      <c r="C76" s="2" t="s">
        <v>1664</v>
      </c>
      <c r="D76" s="2" t="s">
        <v>1665</v>
      </c>
      <c r="E76" s="4" t="s">
        <v>362</v>
      </c>
      <c r="F76" s="2" t="s">
        <v>1668</v>
      </c>
      <c r="G76" s="2" t="s">
        <v>1669</v>
      </c>
      <c r="H76" s="2" t="s">
        <v>368</v>
      </c>
      <c r="I76" s="2" t="s">
        <v>1026</v>
      </c>
      <c r="J76" s="2" t="s">
        <v>100</v>
      </c>
      <c r="K76" s="2" t="s">
        <v>346</v>
      </c>
      <c r="L76" s="2" t="s">
        <v>393</v>
      </c>
      <c r="M76" s="2" t="s">
        <v>781</v>
      </c>
      <c r="N76" s="2" t="s">
        <v>164</v>
      </c>
      <c r="O76" s="2" t="s">
        <v>105</v>
      </c>
      <c r="P76" s="152">
        <v>19</v>
      </c>
      <c r="Q76" s="150">
        <v>3.681</v>
      </c>
      <c r="R76" s="150">
        <v>11461</v>
      </c>
      <c r="T76" s="150">
        <v>8.016</v>
      </c>
      <c r="U76" s="164">
        <v>3.0000000000000001E-6</v>
      </c>
      <c r="V76" s="164">
        <v>1.5577863073088301E-3</v>
      </c>
      <c r="W76" s="164">
        <v>1.02749682128055E-3</v>
      </c>
    </row>
    <row r="77" spans="1:23">
      <c r="A77" s="2" t="s">
        <v>26</v>
      </c>
      <c r="B77" s="2">
        <v>14769</v>
      </c>
      <c r="C77" s="2" t="s">
        <v>1770</v>
      </c>
      <c r="D77" s="2" t="s">
        <v>1771</v>
      </c>
      <c r="E77" s="4" t="s">
        <v>362</v>
      </c>
      <c r="F77" s="2" t="s">
        <v>1772</v>
      </c>
      <c r="G77" s="2" t="s">
        <v>1773</v>
      </c>
      <c r="H77" s="2" t="s">
        <v>368</v>
      </c>
      <c r="I77" s="2" t="s">
        <v>1026</v>
      </c>
      <c r="J77" s="2" t="s">
        <v>100</v>
      </c>
      <c r="K77" s="2" t="s">
        <v>101</v>
      </c>
      <c r="L77" s="2" t="s">
        <v>393</v>
      </c>
      <c r="M77" s="2" t="s">
        <v>781</v>
      </c>
      <c r="N77" s="2" t="s">
        <v>164</v>
      </c>
      <c r="O77" s="2" t="s">
        <v>105</v>
      </c>
      <c r="P77" s="152">
        <v>359</v>
      </c>
      <c r="Q77" s="150">
        <v>3.681</v>
      </c>
      <c r="R77" s="150">
        <v>2337.64</v>
      </c>
      <c r="T77" s="150">
        <v>30.890999999999998</v>
      </c>
      <c r="U77" s="164">
        <v>0</v>
      </c>
      <c r="V77" s="164">
        <v>6.0034907693682204E-3</v>
      </c>
      <c r="W77" s="164">
        <v>3.9598291839973397E-3</v>
      </c>
    </row>
    <row r="78" spans="1:23">
      <c r="A78" s="2" t="s">
        <v>26</v>
      </c>
      <c r="B78" s="2">
        <v>14769</v>
      </c>
      <c r="C78" s="2" t="s">
        <v>1670</v>
      </c>
      <c r="D78" s="2" t="s">
        <v>1671</v>
      </c>
      <c r="E78" s="4" t="s">
        <v>362</v>
      </c>
      <c r="F78" s="2" t="s">
        <v>1672</v>
      </c>
      <c r="G78" s="2" t="s">
        <v>1673</v>
      </c>
      <c r="H78" s="2" t="s">
        <v>368</v>
      </c>
      <c r="I78" s="2" t="s">
        <v>1026</v>
      </c>
      <c r="J78" s="2" t="s">
        <v>100</v>
      </c>
      <c r="K78" s="2" t="s">
        <v>101</v>
      </c>
      <c r="L78" s="2" t="s">
        <v>391</v>
      </c>
      <c r="M78" s="2" t="s">
        <v>781</v>
      </c>
      <c r="N78" s="2" t="s">
        <v>164</v>
      </c>
      <c r="O78" s="2" t="s">
        <v>105</v>
      </c>
      <c r="P78" s="152">
        <v>241</v>
      </c>
      <c r="Q78" s="150">
        <v>3.681</v>
      </c>
      <c r="R78" s="150">
        <v>3162</v>
      </c>
      <c r="T78" s="150">
        <v>28.050999999999998</v>
      </c>
      <c r="U78" s="164">
        <v>9.9999999999999995E-7</v>
      </c>
      <c r="V78" s="164">
        <v>5.4514329749596503E-3</v>
      </c>
      <c r="W78" s="164">
        <v>3.5956986057167398E-3</v>
      </c>
    </row>
    <row r="79" spans="1:23">
      <c r="A79" s="2" t="s">
        <v>26</v>
      </c>
      <c r="B79" s="2">
        <v>14769</v>
      </c>
      <c r="C79" s="2" t="s">
        <v>1674</v>
      </c>
      <c r="D79" s="2" t="s">
        <v>1675</v>
      </c>
      <c r="E79" s="4" t="s">
        <v>362</v>
      </c>
      <c r="F79" s="2" t="s">
        <v>1676</v>
      </c>
      <c r="G79" s="2" t="s">
        <v>1677</v>
      </c>
      <c r="H79" s="2" t="s">
        <v>368</v>
      </c>
      <c r="I79" s="2" t="s">
        <v>1026</v>
      </c>
      <c r="J79" s="2" t="s">
        <v>100</v>
      </c>
      <c r="K79" s="2" t="s">
        <v>339</v>
      </c>
      <c r="L79" s="2" t="s">
        <v>391</v>
      </c>
      <c r="M79" s="2" t="s">
        <v>781</v>
      </c>
      <c r="N79" s="2" t="s">
        <v>164</v>
      </c>
      <c r="O79" s="2" t="s">
        <v>105</v>
      </c>
      <c r="P79" s="152">
        <v>105</v>
      </c>
      <c r="Q79" s="150">
        <v>3.681</v>
      </c>
      <c r="R79" s="150">
        <v>3981</v>
      </c>
      <c r="T79" s="150">
        <v>15.387</v>
      </c>
      <c r="U79" s="164">
        <v>9.9999999999999995E-7</v>
      </c>
      <c r="V79" s="164">
        <v>2.99028956500824E-3</v>
      </c>
      <c r="W79" s="164">
        <v>1.9723584732634501E-3</v>
      </c>
    </row>
    <row r="80" spans="1:23">
      <c r="A80" s="2" t="s">
        <v>26</v>
      </c>
      <c r="B80" s="2">
        <v>14769</v>
      </c>
      <c r="C80" s="2" t="s">
        <v>1635</v>
      </c>
      <c r="D80" s="2" t="s">
        <v>1636</v>
      </c>
      <c r="E80" s="4" t="s">
        <v>362</v>
      </c>
      <c r="F80" s="2" t="s">
        <v>1678</v>
      </c>
      <c r="G80" s="2" t="s">
        <v>1679</v>
      </c>
      <c r="H80" s="2" t="s">
        <v>368</v>
      </c>
      <c r="I80" s="2" t="s">
        <v>1026</v>
      </c>
      <c r="J80" s="2" t="s">
        <v>100</v>
      </c>
      <c r="K80" s="2" t="s">
        <v>101</v>
      </c>
      <c r="L80" s="2" t="s">
        <v>391</v>
      </c>
      <c r="M80" s="2" t="s">
        <v>781</v>
      </c>
      <c r="N80" s="2" t="s">
        <v>164</v>
      </c>
      <c r="O80" s="2" t="s">
        <v>105</v>
      </c>
      <c r="P80" s="152">
        <v>344</v>
      </c>
      <c r="Q80" s="150">
        <v>3.681</v>
      </c>
      <c r="R80" s="150">
        <v>147.72999999999999</v>
      </c>
      <c r="T80" s="150">
        <v>187.065</v>
      </c>
      <c r="U80" s="164">
        <v>9.9999999999999995E-7</v>
      </c>
      <c r="V80" s="164">
        <v>3.6354561366228E-2</v>
      </c>
      <c r="W80" s="164">
        <v>2.3979024637454601E-2</v>
      </c>
    </row>
    <row r="81" spans="1:23">
      <c r="A81" s="2" t="s">
        <v>26</v>
      </c>
      <c r="B81" s="2">
        <v>14769</v>
      </c>
      <c r="C81" s="2" t="s">
        <v>1680</v>
      </c>
      <c r="D81" s="2" t="s">
        <v>1681</v>
      </c>
      <c r="E81" s="4" t="s">
        <v>362</v>
      </c>
      <c r="F81" s="2" t="s">
        <v>1682</v>
      </c>
      <c r="G81" s="2" t="s">
        <v>1683</v>
      </c>
      <c r="H81" s="2" t="s">
        <v>368</v>
      </c>
      <c r="I81" s="2" t="s">
        <v>1026</v>
      </c>
      <c r="J81" s="2" t="s">
        <v>100</v>
      </c>
      <c r="K81" s="2" t="s">
        <v>332</v>
      </c>
      <c r="L81" s="2" t="s">
        <v>1684</v>
      </c>
      <c r="M81" s="2" t="s">
        <v>781</v>
      </c>
      <c r="N81" s="2" t="s">
        <v>164</v>
      </c>
      <c r="O81" s="2" t="s">
        <v>1221</v>
      </c>
      <c r="P81" s="152">
        <v>95</v>
      </c>
      <c r="Q81" s="150">
        <v>2.7120000000000002</v>
      </c>
      <c r="R81" s="150">
        <v>5675</v>
      </c>
      <c r="T81" s="150">
        <v>14.622</v>
      </c>
      <c r="U81" s="164">
        <v>9.9999999999999995E-7</v>
      </c>
      <c r="V81" s="164">
        <v>2.84169284639017E-3</v>
      </c>
      <c r="W81" s="164">
        <v>1.87434589264413E-3</v>
      </c>
    </row>
    <row r="82" spans="1:23">
      <c r="A82" s="2" t="s">
        <v>26</v>
      </c>
      <c r="B82" s="2">
        <v>14769</v>
      </c>
      <c r="C82" s="2" t="s">
        <v>1658</v>
      </c>
      <c r="D82" s="2" t="s">
        <v>1659</v>
      </c>
      <c r="E82" s="4" t="s">
        <v>362</v>
      </c>
      <c r="F82" s="2" t="s">
        <v>1685</v>
      </c>
      <c r="G82" s="2" t="s">
        <v>1686</v>
      </c>
      <c r="H82" s="2" t="s">
        <v>368</v>
      </c>
      <c r="I82" s="2" t="s">
        <v>1028</v>
      </c>
      <c r="J82" s="2" t="s">
        <v>100</v>
      </c>
      <c r="K82" s="2" t="s">
        <v>1649</v>
      </c>
      <c r="L82" s="2" t="s">
        <v>426</v>
      </c>
      <c r="M82" s="2" t="s">
        <v>778</v>
      </c>
      <c r="N82" s="2" t="s">
        <v>164</v>
      </c>
      <c r="O82" s="2" t="s">
        <v>105</v>
      </c>
      <c r="P82" s="152">
        <v>123</v>
      </c>
      <c r="Q82" s="150">
        <v>3.681</v>
      </c>
      <c r="R82" s="150">
        <v>44.09</v>
      </c>
      <c r="T82" s="150">
        <v>19.962</v>
      </c>
      <c r="U82" s="164">
        <v>0</v>
      </c>
      <c r="V82" s="164">
        <v>3.8795109224313701E-3</v>
      </c>
      <c r="W82" s="164">
        <v>2.5588780195454201E-3</v>
      </c>
    </row>
    <row r="83" spans="1:23">
      <c r="A83" s="2" t="s">
        <v>26</v>
      </c>
      <c r="B83" s="2">
        <v>14769</v>
      </c>
      <c r="C83" s="2" t="s">
        <v>1658</v>
      </c>
      <c r="D83" s="2" t="s">
        <v>1659</v>
      </c>
      <c r="E83" s="4" t="s">
        <v>362</v>
      </c>
      <c r="F83" s="2" t="s">
        <v>1687</v>
      </c>
      <c r="G83" s="2" t="s">
        <v>1688</v>
      </c>
      <c r="H83" s="2" t="s">
        <v>368</v>
      </c>
      <c r="I83" s="2" t="s">
        <v>1026</v>
      </c>
      <c r="J83" s="2" t="s">
        <v>100</v>
      </c>
      <c r="K83" s="2" t="s">
        <v>101</v>
      </c>
      <c r="L83" s="2" t="s">
        <v>391</v>
      </c>
      <c r="M83" s="2" t="s">
        <v>781</v>
      </c>
      <c r="N83" s="2" t="s">
        <v>164</v>
      </c>
      <c r="O83" s="2" t="s">
        <v>105</v>
      </c>
      <c r="P83" s="152">
        <v>36</v>
      </c>
      <c r="Q83" s="150">
        <v>3.681</v>
      </c>
      <c r="R83" s="150">
        <v>5859</v>
      </c>
      <c r="T83" s="150">
        <v>7.7640000000000002</v>
      </c>
      <c r="U83" s="164">
        <v>0</v>
      </c>
      <c r="V83" s="164">
        <v>1.50889065013528E-3</v>
      </c>
      <c r="W83" s="164">
        <v>9.952458430272839E-4</v>
      </c>
    </row>
    <row r="84" spans="1:23">
      <c r="A84" s="2" t="s">
        <v>26</v>
      </c>
      <c r="B84" s="2">
        <v>14769</v>
      </c>
      <c r="C84" s="2" t="s">
        <v>1635</v>
      </c>
      <c r="D84" s="2" t="s">
        <v>1636</v>
      </c>
      <c r="E84" s="4" t="s">
        <v>362</v>
      </c>
      <c r="F84" s="2" t="s">
        <v>1689</v>
      </c>
      <c r="G84" s="2" t="s">
        <v>1690</v>
      </c>
      <c r="H84" s="2" t="s">
        <v>368</v>
      </c>
      <c r="I84" s="2" t="s">
        <v>1026</v>
      </c>
      <c r="J84" s="2" t="s">
        <v>100</v>
      </c>
      <c r="K84" s="2" t="s">
        <v>101</v>
      </c>
      <c r="L84" s="2" t="s">
        <v>391</v>
      </c>
      <c r="M84" s="2" t="s">
        <v>781</v>
      </c>
      <c r="N84" s="2" t="s">
        <v>164</v>
      </c>
      <c r="O84" s="2" t="s">
        <v>105</v>
      </c>
      <c r="P84" s="152">
        <v>148</v>
      </c>
      <c r="Q84" s="150">
        <v>3.681</v>
      </c>
      <c r="R84" s="150">
        <v>125.96</v>
      </c>
      <c r="T84" s="150">
        <v>68.620999999999995</v>
      </c>
      <c r="U84" s="164">
        <v>9.9999999999999995E-7</v>
      </c>
      <c r="V84" s="164">
        <v>1.3336016864403199E-2</v>
      </c>
      <c r="W84" s="164">
        <v>8.7962738357807001E-3</v>
      </c>
    </row>
    <row r="85" spans="1:23">
      <c r="A85" s="2" t="s">
        <v>26</v>
      </c>
      <c r="B85" s="2">
        <v>14769</v>
      </c>
      <c r="C85" s="2" t="s">
        <v>1774</v>
      </c>
      <c r="D85" s="2" t="s">
        <v>1775</v>
      </c>
      <c r="E85" s="4" t="s">
        <v>362</v>
      </c>
      <c r="F85" s="2" t="s">
        <v>1776</v>
      </c>
      <c r="G85" s="2" t="s">
        <v>1777</v>
      </c>
      <c r="H85" s="2" t="s">
        <v>368</v>
      </c>
      <c r="I85" s="2" t="s">
        <v>1026</v>
      </c>
      <c r="J85" s="2" t="s">
        <v>100</v>
      </c>
      <c r="K85" s="2" t="s">
        <v>101</v>
      </c>
      <c r="L85" s="2" t="s">
        <v>393</v>
      </c>
      <c r="M85" s="2" t="s">
        <v>781</v>
      </c>
      <c r="N85" s="2" t="s">
        <v>164</v>
      </c>
      <c r="O85" s="2" t="s">
        <v>105</v>
      </c>
      <c r="P85" s="152">
        <v>274</v>
      </c>
      <c r="Q85" s="150">
        <v>3.681</v>
      </c>
      <c r="R85" s="150">
        <v>4771</v>
      </c>
      <c r="T85" s="150">
        <v>48.12</v>
      </c>
      <c r="U85" s="164">
        <v>0</v>
      </c>
      <c r="V85" s="164">
        <v>9.3517254459044297E-3</v>
      </c>
      <c r="W85" s="164">
        <v>6.1682838808328599E-3</v>
      </c>
    </row>
    <row r="86" spans="1:23">
      <c r="A86" s="2" t="s">
        <v>26</v>
      </c>
      <c r="B86" s="2">
        <v>14769</v>
      </c>
      <c r="C86" s="2" t="s">
        <v>1575</v>
      </c>
      <c r="D86" s="2" t="s">
        <v>1576</v>
      </c>
      <c r="E86" s="4" t="s">
        <v>362</v>
      </c>
      <c r="F86" s="2" t="s">
        <v>1691</v>
      </c>
      <c r="G86" s="2" t="s">
        <v>1692</v>
      </c>
      <c r="H86" s="2" t="s">
        <v>368</v>
      </c>
      <c r="I86" s="2" t="s">
        <v>1028</v>
      </c>
      <c r="J86" s="2" t="s">
        <v>100</v>
      </c>
      <c r="K86" s="2" t="s">
        <v>101</v>
      </c>
      <c r="L86" s="2" t="s">
        <v>426</v>
      </c>
      <c r="M86" s="2" t="s">
        <v>778</v>
      </c>
      <c r="N86" s="2" t="s">
        <v>164</v>
      </c>
      <c r="O86" s="2" t="s">
        <v>105</v>
      </c>
      <c r="P86" s="152">
        <v>845</v>
      </c>
      <c r="Q86" s="150">
        <v>3.681</v>
      </c>
      <c r="R86" s="150">
        <v>2769.5</v>
      </c>
      <c r="T86" s="150">
        <v>86.144000000000005</v>
      </c>
      <c r="U86" s="164">
        <v>0</v>
      </c>
      <c r="V86" s="164">
        <v>1.6741325756857699E-2</v>
      </c>
      <c r="W86" s="164">
        <v>1.10423739883234E-2</v>
      </c>
    </row>
    <row r="87" spans="1:23">
      <c r="A87" s="2" t="s">
        <v>26</v>
      </c>
      <c r="B87" s="2">
        <v>14769</v>
      </c>
      <c r="C87" s="2" t="s">
        <v>1658</v>
      </c>
      <c r="D87" s="2" t="s">
        <v>1659</v>
      </c>
      <c r="E87" s="4" t="s">
        <v>362</v>
      </c>
      <c r="F87" s="2" t="s">
        <v>1693</v>
      </c>
      <c r="G87" s="2" t="s">
        <v>1694</v>
      </c>
      <c r="H87" s="2" t="s">
        <v>368</v>
      </c>
      <c r="I87" s="2" t="s">
        <v>1026</v>
      </c>
      <c r="J87" s="2" t="s">
        <v>100</v>
      </c>
      <c r="K87" s="2" t="s">
        <v>283</v>
      </c>
      <c r="L87" s="2" t="s">
        <v>426</v>
      </c>
      <c r="M87" s="2" t="s">
        <v>781</v>
      </c>
      <c r="N87" s="2" t="s">
        <v>164</v>
      </c>
      <c r="O87" s="2" t="s">
        <v>1223</v>
      </c>
      <c r="P87" s="152">
        <v>4030</v>
      </c>
      <c r="Q87" s="150">
        <v>4.6539999999999999</v>
      </c>
      <c r="R87" s="150">
        <v>777.2</v>
      </c>
      <c r="T87" s="150">
        <v>145.75299999999999</v>
      </c>
      <c r="U87" s="164">
        <v>6.9999999999999999E-6</v>
      </c>
      <c r="V87" s="164">
        <v>2.8325886297923399E-2</v>
      </c>
      <c r="W87" s="164">
        <v>1.86834086257638E-2</v>
      </c>
    </row>
    <row r="88" spans="1:23">
      <c r="A88" s="2" t="s">
        <v>26</v>
      </c>
      <c r="B88" s="2">
        <v>14769</v>
      </c>
      <c r="C88" s="2" t="s">
        <v>1658</v>
      </c>
      <c r="D88" s="2" t="s">
        <v>1659</v>
      </c>
      <c r="E88" s="4" t="s">
        <v>362</v>
      </c>
      <c r="F88" s="2" t="s">
        <v>1695</v>
      </c>
      <c r="G88" s="2" t="s">
        <v>1696</v>
      </c>
      <c r="H88" s="2" t="s">
        <v>368</v>
      </c>
      <c r="I88" s="2" t="s">
        <v>1028</v>
      </c>
      <c r="J88" s="2" t="s">
        <v>100</v>
      </c>
      <c r="K88" s="2" t="s">
        <v>101</v>
      </c>
      <c r="L88" s="2" t="s">
        <v>426</v>
      </c>
      <c r="M88" s="2" t="s">
        <v>778</v>
      </c>
      <c r="N88" s="2" t="s">
        <v>164</v>
      </c>
      <c r="O88" s="2" t="s">
        <v>105</v>
      </c>
      <c r="P88" s="152">
        <v>65</v>
      </c>
      <c r="Q88" s="150">
        <v>3.681</v>
      </c>
      <c r="R88" s="150">
        <v>9423</v>
      </c>
      <c r="T88" s="150">
        <v>22.545999999999999</v>
      </c>
      <c r="U88" s="164">
        <v>1.9999999999999999E-6</v>
      </c>
      <c r="V88" s="164">
        <v>4.3816160264105002E-3</v>
      </c>
      <c r="W88" s="164">
        <v>2.89006041334792E-3</v>
      </c>
    </row>
    <row r="89" spans="1:23">
      <c r="A89" s="2" t="s">
        <v>26</v>
      </c>
      <c r="B89" s="2">
        <v>14769</v>
      </c>
      <c r="C89" s="2" t="s">
        <v>1658</v>
      </c>
      <c r="D89" s="2" t="s">
        <v>1659</v>
      </c>
      <c r="E89" s="4" t="s">
        <v>362</v>
      </c>
      <c r="F89" s="2" t="s">
        <v>1697</v>
      </c>
      <c r="G89" s="2" t="s">
        <v>1698</v>
      </c>
      <c r="H89" s="2" t="s">
        <v>368</v>
      </c>
      <c r="I89" s="2" t="s">
        <v>1026</v>
      </c>
      <c r="J89" s="2" t="s">
        <v>100</v>
      </c>
      <c r="K89" s="2" t="s">
        <v>318</v>
      </c>
      <c r="L89" s="2" t="s">
        <v>391</v>
      </c>
      <c r="M89" s="2" t="s">
        <v>781</v>
      </c>
      <c r="N89" s="2" t="s">
        <v>164</v>
      </c>
      <c r="O89" s="2" t="s">
        <v>105</v>
      </c>
      <c r="P89" s="152">
        <v>39</v>
      </c>
      <c r="Q89" s="150">
        <v>3.681</v>
      </c>
      <c r="R89" s="150">
        <v>24.07</v>
      </c>
      <c r="T89" s="150">
        <v>3.4550000000000001</v>
      </c>
      <c r="U89" s="164">
        <v>0</v>
      </c>
      <c r="V89" s="164">
        <v>6.7154089624769703E-4</v>
      </c>
      <c r="W89" s="164">
        <v>4.4294017287032402E-4</v>
      </c>
    </row>
    <row r="90" spans="1:23">
      <c r="A90" s="2" t="s">
        <v>26</v>
      </c>
      <c r="B90" s="2">
        <v>14769</v>
      </c>
      <c r="C90" s="2" t="s">
        <v>1658</v>
      </c>
      <c r="D90" s="2" t="s">
        <v>1659</v>
      </c>
      <c r="E90" s="4" t="s">
        <v>362</v>
      </c>
      <c r="F90" s="2" t="s">
        <v>1699</v>
      </c>
      <c r="G90" s="2" t="s">
        <v>1700</v>
      </c>
      <c r="H90" s="2" t="s">
        <v>368</v>
      </c>
      <c r="I90" s="2" t="s">
        <v>1028</v>
      </c>
      <c r="J90" s="2" t="s">
        <v>100</v>
      </c>
      <c r="K90" s="2" t="s">
        <v>271</v>
      </c>
      <c r="L90" s="2" t="s">
        <v>426</v>
      </c>
      <c r="M90" s="2" t="s">
        <v>778</v>
      </c>
      <c r="N90" s="2" t="s">
        <v>164</v>
      </c>
      <c r="O90" s="2" t="s">
        <v>105</v>
      </c>
      <c r="P90" s="152">
        <v>1047</v>
      </c>
      <c r="Q90" s="150">
        <v>3.681</v>
      </c>
      <c r="R90" s="150">
        <v>590.6</v>
      </c>
      <c r="T90" s="150">
        <v>22.762</v>
      </c>
      <c r="U90" s="164">
        <v>0</v>
      </c>
      <c r="V90" s="164">
        <v>4.4235597011932403E-3</v>
      </c>
      <c r="W90" s="164">
        <v>2.9177259489286899E-3</v>
      </c>
    </row>
    <row r="91" spans="1:23">
      <c r="A91" s="2" t="s">
        <v>26</v>
      </c>
      <c r="B91" s="2">
        <v>14769</v>
      </c>
      <c r="C91" s="2" t="s">
        <v>1658</v>
      </c>
      <c r="D91" s="2" t="s">
        <v>1659</v>
      </c>
      <c r="E91" s="4" t="s">
        <v>362</v>
      </c>
      <c r="F91" s="2" t="s">
        <v>1701</v>
      </c>
      <c r="G91" s="2" t="s">
        <v>1702</v>
      </c>
      <c r="H91" s="2" t="s">
        <v>368</v>
      </c>
      <c r="I91" s="2" t="s">
        <v>1026</v>
      </c>
      <c r="J91" s="2" t="s">
        <v>100</v>
      </c>
      <c r="K91" s="2" t="s">
        <v>101</v>
      </c>
      <c r="L91" s="2" t="s">
        <v>393</v>
      </c>
      <c r="M91" s="2" t="s">
        <v>781</v>
      </c>
      <c r="N91" s="2" t="s">
        <v>164</v>
      </c>
      <c r="O91" s="2" t="s">
        <v>105</v>
      </c>
      <c r="P91" s="152">
        <v>102</v>
      </c>
      <c r="Q91" s="150">
        <v>3.681</v>
      </c>
      <c r="R91" s="150">
        <v>5757</v>
      </c>
      <c r="T91" s="150">
        <v>21.614999999999998</v>
      </c>
      <c r="U91" s="164">
        <v>0</v>
      </c>
      <c r="V91" s="164">
        <v>4.2007629014646896E-3</v>
      </c>
      <c r="W91" s="164">
        <v>2.7707719010990899E-3</v>
      </c>
    </row>
    <row r="92" spans="1:23">
      <c r="A92" s="2" t="s">
        <v>26</v>
      </c>
      <c r="B92" s="2">
        <v>14769</v>
      </c>
      <c r="C92" s="2" t="s">
        <v>1658</v>
      </c>
      <c r="D92" s="2" t="s">
        <v>1659</v>
      </c>
      <c r="E92" s="4" t="s">
        <v>362</v>
      </c>
      <c r="F92" s="2" t="s">
        <v>1703</v>
      </c>
      <c r="G92" s="2" t="s">
        <v>1704</v>
      </c>
      <c r="H92" s="2" t="s">
        <v>368</v>
      </c>
      <c r="I92" s="2" t="s">
        <v>1026</v>
      </c>
      <c r="J92" s="2" t="s">
        <v>100</v>
      </c>
      <c r="K92" s="2" t="s">
        <v>101</v>
      </c>
      <c r="L92" s="2" t="s">
        <v>391</v>
      </c>
      <c r="M92" s="2" t="s">
        <v>781</v>
      </c>
      <c r="N92" s="2" t="s">
        <v>164</v>
      </c>
      <c r="O92" s="2" t="s">
        <v>105</v>
      </c>
      <c r="P92" s="152">
        <v>82</v>
      </c>
      <c r="Q92" s="150">
        <v>3.681</v>
      </c>
      <c r="R92" s="150">
        <v>11601</v>
      </c>
      <c r="T92" s="150">
        <v>35.017000000000003</v>
      </c>
      <c r="U92" s="164">
        <v>1.8E-5</v>
      </c>
      <c r="V92" s="164">
        <v>6.8052024209762302E-3</v>
      </c>
      <c r="W92" s="164">
        <v>4.48862839717946E-3</v>
      </c>
    </row>
    <row r="93" spans="1:23">
      <c r="A93" s="2" t="s">
        <v>26</v>
      </c>
      <c r="B93" s="2">
        <v>14769</v>
      </c>
      <c r="C93" s="2" t="s">
        <v>1658</v>
      </c>
      <c r="D93" s="2" t="s">
        <v>1659</v>
      </c>
      <c r="E93" s="4" t="s">
        <v>362</v>
      </c>
      <c r="F93" s="2" t="s">
        <v>1778</v>
      </c>
      <c r="G93" s="2" t="s">
        <v>1779</v>
      </c>
      <c r="H93" s="2" t="s">
        <v>368</v>
      </c>
      <c r="I93" s="2" t="s">
        <v>1026</v>
      </c>
      <c r="J93" s="2" t="s">
        <v>100</v>
      </c>
      <c r="K93" s="2" t="s">
        <v>101</v>
      </c>
      <c r="L93" s="2" t="s">
        <v>391</v>
      </c>
      <c r="M93" s="2" t="s">
        <v>781</v>
      </c>
      <c r="N93" s="2" t="s">
        <v>164</v>
      </c>
      <c r="O93" s="2" t="s">
        <v>105</v>
      </c>
      <c r="P93" s="152">
        <v>234</v>
      </c>
      <c r="Q93" s="150">
        <v>3.681</v>
      </c>
      <c r="R93" s="150">
        <v>52573</v>
      </c>
      <c r="T93" s="150">
        <v>452.84</v>
      </c>
      <c r="U93" s="164">
        <v>0</v>
      </c>
      <c r="V93" s="164">
        <v>8.8005615799992096E-2</v>
      </c>
      <c r="W93" s="164">
        <v>5.8047429268745003E-2</v>
      </c>
    </row>
    <row r="94" spans="1:23">
      <c r="A94" s="2" t="s">
        <v>26</v>
      </c>
      <c r="B94" s="2">
        <v>14769</v>
      </c>
      <c r="C94" s="2" t="s">
        <v>1707</v>
      </c>
      <c r="D94" s="2" t="s">
        <v>1708</v>
      </c>
      <c r="E94" s="4" t="s">
        <v>362</v>
      </c>
      <c r="F94" s="2" t="s">
        <v>1780</v>
      </c>
      <c r="G94" s="2" t="s">
        <v>1781</v>
      </c>
      <c r="H94" s="2" t="s">
        <v>368</v>
      </c>
      <c r="I94" s="2" t="s">
        <v>1026</v>
      </c>
      <c r="J94" s="2" t="s">
        <v>100</v>
      </c>
      <c r="K94" s="2" t="s">
        <v>343</v>
      </c>
      <c r="L94" s="2" t="s">
        <v>411</v>
      </c>
      <c r="M94" s="2" t="s">
        <v>781</v>
      </c>
      <c r="N94" s="2" t="s">
        <v>164</v>
      </c>
      <c r="O94" s="2" t="s">
        <v>1224</v>
      </c>
      <c r="P94" s="152">
        <v>100</v>
      </c>
      <c r="Q94" s="150">
        <v>3.9790000000000001</v>
      </c>
      <c r="R94" s="150">
        <v>23431</v>
      </c>
      <c r="T94" s="150">
        <v>93.233999999999995</v>
      </c>
      <c r="U94" s="164">
        <v>3.9999999999999998E-6</v>
      </c>
      <c r="V94" s="164">
        <v>1.8119308898322899E-2</v>
      </c>
      <c r="W94" s="164">
        <v>1.19512748375546E-2</v>
      </c>
    </row>
    <row r="95" spans="1:23">
      <c r="A95" s="2" t="s">
        <v>26</v>
      </c>
      <c r="B95" s="2">
        <v>14769</v>
      </c>
      <c r="C95" s="2" t="s">
        <v>1707</v>
      </c>
      <c r="D95" s="2" t="s">
        <v>1708</v>
      </c>
      <c r="E95" s="4" t="s">
        <v>362</v>
      </c>
      <c r="F95" s="2" t="s">
        <v>1709</v>
      </c>
      <c r="G95" s="2" t="s">
        <v>1710</v>
      </c>
      <c r="H95" s="2" t="s">
        <v>368</v>
      </c>
      <c r="I95" s="2" t="s">
        <v>1026</v>
      </c>
      <c r="J95" s="2" t="s">
        <v>100</v>
      </c>
      <c r="K95" s="2" t="s">
        <v>331</v>
      </c>
      <c r="L95" s="2" t="s">
        <v>411</v>
      </c>
      <c r="M95" s="2" t="s">
        <v>781</v>
      </c>
      <c r="N95" s="2" t="s">
        <v>164</v>
      </c>
      <c r="O95" s="2" t="s">
        <v>1224</v>
      </c>
      <c r="P95" s="152">
        <v>383</v>
      </c>
      <c r="Q95" s="150">
        <v>3.9790000000000001</v>
      </c>
      <c r="R95" s="150">
        <v>8097</v>
      </c>
      <c r="T95" s="150">
        <v>123.398</v>
      </c>
      <c r="U95" s="164">
        <v>6.0000000000000002E-6</v>
      </c>
      <c r="V95" s="164">
        <v>2.3981355003774098E-2</v>
      </c>
      <c r="W95" s="164">
        <v>1.5817808848857199E-2</v>
      </c>
    </row>
    <row r="96" spans="1:23">
      <c r="A96" s="2" t="s">
        <v>26</v>
      </c>
      <c r="B96" s="2">
        <v>14769</v>
      </c>
      <c r="C96" s="2" t="s">
        <v>1707</v>
      </c>
      <c r="D96" s="2" t="s">
        <v>1708</v>
      </c>
      <c r="E96" s="4" t="s">
        <v>362</v>
      </c>
      <c r="F96" s="2" t="s">
        <v>1782</v>
      </c>
      <c r="G96" s="2" t="s">
        <v>1783</v>
      </c>
      <c r="H96" s="2" t="s">
        <v>368</v>
      </c>
      <c r="I96" s="2" t="s">
        <v>1026</v>
      </c>
      <c r="J96" s="2" t="s">
        <v>100</v>
      </c>
      <c r="K96" s="2" t="s">
        <v>101</v>
      </c>
      <c r="L96" s="2" t="s">
        <v>426</v>
      </c>
      <c r="M96" s="2" t="s">
        <v>781</v>
      </c>
      <c r="N96" s="2" t="s">
        <v>164</v>
      </c>
      <c r="O96" s="2" t="s">
        <v>105</v>
      </c>
      <c r="P96" s="152">
        <v>150</v>
      </c>
      <c r="Q96" s="150">
        <v>3.681</v>
      </c>
      <c r="R96" s="150">
        <v>37152.5</v>
      </c>
      <c r="T96" s="150">
        <v>205.13800000000001</v>
      </c>
      <c r="U96" s="164">
        <v>1.7E-5</v>
      </c>
      <c r="V96" s="164">
        <v>3.9866771831904603E-2</v>
      </c>
      <c r="W96" s="164">
        <v>2.62956357619838E-2</v>
      </c>
    </row>
    <row r="97" spans="1:23">
      <c r="A97" s="2" t="s">
        <v>26</v>
      </c>
      <c r="B97" s="2">
        <v>14769</v>
      </c>
      <c r="C97" s="2" t="s">
        <v>1707</v>
      </c>
      <c r="D97" s="2" t="s">
        <v>1708</v>
      </c>
      <c r="E97" s="4" t="s">
        <v>362</v>
      </c>
      <c r="F97" s="2" t="s">
        <v>1711</v>
      </c>
      <c r="G97" s="2" t="s">
        <v>1712</v>
      </c>
      <c r="H97" s="2" t="s">
        <v>368</v>
      </c>
      <c r="I97" s="2" t="s">
        <v>1026</v>
      </c>
      <c r="J97" s="2" t="s">
        <v>100</v>
      </c>
      <c r="K97" s="2" t="s">
        <v>331</v>
      </c>
      <c r="L97" s="2" t="s">
        <v>411</v>
      </c>
      <c r="M97" s="2" t="s">
        <v>781</v>
      </c>
      <c r="N97" s="2" t="s">
        <v>164</v>
      </c>
      <c r="O97" s="2" t="s">
        <v>1224</v>
      </c>
      <c r="P97" s="152">
        <v>6</v>
      </c>
      <c r="Q97" s="150">
        <v>3.9790000000000001</v>
      </c>
      <c r="R97" s="150">
        <v>14783</v>
      </c>
      <c r="T97" s="150">
        <v>3.5289999999999999</v>
      </c>
      <c r="U97" s="164">
        <v>1.9999999999999999E-6</v>
      </c>
      <c r="V97" s="164">
        <v>6.8590604782700095E-4</v>
      </c>
      <c r="W97" s="164">
        <v>4.5241525139405798E-4</v>
      </c>
    </row>
    <row r="98" spans="1:23">
      <c r="A98" s="2" t="s">
        <v>26</v>
      </c>
      <c r="B98" s="2">
        <v>14769</v>
      </c>
      <c r="C98" s="2" t="s">
        <v>1658</v>
      </c>
      <c r="D98" s="2" t="s">
        <v>1659</v>
      </c>
      <c r="E98" s="4" t="s">
        <v>362</v>
      </c>
      <c r="F98" s="2" t="s">
        <v>1718</v>
      </c>
      <c r="G98" s="2" t="s">
        <v>1719</v>
      </c>
      <c r="H98" s="2" t="s">
        <v>368</v>
      </c>
      <c r="I98" s="2" t="s">
        <v>1026</v>
      </c>
      <c r="J98" s="2" t="s">
        <v>100</v>
      </c>
      <c r="K98" s="2" t="s">
        <v>318</v>
      </c>
      <c r="L98" s="2" t="s">
        <v>393</v>
      </c>
      <c r="M98" s="2" t="s">
        <v>781</v>
      </c>
      <c r="N98" s="2" t="s">
        <v>164</v>
      </c>
      <c r="O98" s="2" t="s">
        <v>105</v>
      </c>
      <c r="P98" s="152">
        <v>150</v>
      </c>
      <c r="Q98" s="150">
        <v>3.681</v>
      </c>
      <c r="R98" s="150">
        <v>3973</v>
      </c>
      <c r="T98" s="150">
        <v>21.937000000000001</v>
      </c>
      <c r="U98" s="164">
        <v>9.9999999999999995E-7</v>
      </c>
      <c r="V98" s="164">
        <v>4.2632577750664697E-3</v>
      </c>
      <c r="W98" s="164">
        <v>2.81199275640567E-3</v>
      </c>
    </row>
    <row r="99" spans="1:23">
      <c r="A99" s="2" t="s">
        <v>26</v>
      </c>
      <c r="B99" s="2">
        <v>14769</v>
      </c>
      <c r="C99" s="2" t="s">
        <v>1635</v>
      </c>
      <c r="D99" s="2" t="s">
        <v>1636</v>
      </c>
      <c r="E99" s="4" t="s">
        <v>362</v>
      </c>
      <c r="F99" s="2" t="s">
        <v>1720</v>
      </c>
      <c r="G99" s="2" t="s">
        <v>1721</v>
      </c>
      <c r="H99" s="2" t="s">
        <v>368</v>
      </c>
      <c r="I99" s="2" t="s">
        <v>1026</v>
      </c>
      <c r="J99" s="2" t="s">
        <v>100</v>
      </c>
      <c r="K99" s="2" t="s">
        <v>101</v>
      </c>
      <c r="L99" s="2" t="s">
        <v>391</v>
      </c>
      <c r="M99" s="2" t="s">
        <v>781</v>
      </c>
      <c r="N99" s="2" t="s">
        <v>164</v>
      </c>
      <c r="O99" s="2" t="s">
        <v>105</v>
      </c>
      <c r="P99" s="152">
        <v>80</v>
      </c>
      <c r="Q99" s="150">
        <v>3.681</v>
      </c>
      <c r="R99" s="150">
        <v>94.41</v>
      </c>
      <c r="T99" s="150">
        <v>27.802</v>
      </c>
      <c r="U99" s="164">
        <v>0</v>
      </c>
      <c r="V99" s="164">
        <v>5.40305953914289E-3</v>
      </c>
      <c r="W99" s="164">
        <v>3.5637920782919299E-3</v>
      </c>
    </row>
    <row r="100" spans="1:23">
      <c r="A100" s="2" t="s">
        <v>26</v>
      </c>
      <c r="B100" s="2">
        <v>14769</v>
      </c>
      <c r="C100" s="2" t="s">
        <v>1579</v>
      </c>
      <c r="D100" s="2" t="s">
        <v>1580</v>
      </c>
      <c r="E100" s="4" t="s">
        <v>362</v>
      </c>
      <c r="F100" s="2" t="s">
        <v>1722</v>
      </c>
      <c r="G100" s="2" t="s">
        <v>1723</v>
      </c>
      <c r="H100" s="2" t="s">
        <v>368</v>
      </c>
      <c r="I100" s="2" t="s">
        <v>1026</v>
      </c>
      <c r="J100" s="2" t="s">
        <v>100</v>
      </c>
      <c r="K100" s="2" t="s">
        <v>101</v>
      </c>
      <c r="L100" s="2" t="s">
        <v>393</v>
      </c>
      <c r="M100" s="2" t="s">
        <v>781</v>
      </c>
      <c r="N100" s="2" t="s">
        <v>164</v>
      </c>
      <c r="O100" s="2" t="s">
        <v>105</v>
      </c>
      <c r="P100" s="152">
        <v>100</v>
      </c>
      <c r="Q100" s="150">
        <v>3.681</v>
      </c>
      <c r="R100" s="150">
        <v>444.01</v>
      </c>
      <c r="S100" s="155">
        <v>4.3999999999999997E-2</v>
      </c>
      <c r="T100" s="150">
        <v>163.601</v>
      </c>
      <c r="U100" s="164">
        <v>0</v>
      </c>
      <c r="V100" s="164">
        <v>3.1794413595136697E-2</v>
      </c>
      <c r="W100" s="164">
        <v>2.0971206865926999E-2</v>
      </c>
    </row>
    <row r="101" spans="1:23">
      <c r="A101" s="2" t="s">
        <v>26</v>
      </c>
      <c r="B101" s="2">
        <v>14769</v>
      </c>
      <c r="C101" s="2" t="s">
        <v>1635</v>
      </c>
      <c r="D101" s="2" t="s">
        <v>1636</v>
      </c>
      <c r="E101" s="4" t="s">
        <v>362</v>
      </c>
      <c r="F101" s="2" t="s">
        <v>1724</v>
      </c>
      <c r="G101" s="2" t="s">
        <v>1725</v>
      </c>
      <c r="H101" s="2" t="s">
        <v>368</v>
      </c>
      <c r="I101" s="2" t="s">
        <v>1026</v>
      </c>
      <c r="J101" s="2" t="s">
        <v>100</v>
      </c>
      <c r="K101" s="2" t="s">
        <v>101</v>
      </c>
      <c r="L101" s="2" t="s">
        <v>391</v>
      </c>
      <c r="M101" s="2" t="s">
        <v>781</v>
      </c>
      <c r="N101" s="2" t="s">
        <v>164</v>
      </c>
      <c r="O101" s="2" t="s">
        <v>105</v>
      </c>
      <c r="P101" s="152">
        <v>78</v>
      </c>
      <c r="Q101" s="150">
        <v>3.681</v>
      </c>
      <c r="R101" s="150">
        <v>39.53</v>
      </c>
      <c r="T101" s="150">
        <v>11.35</v>
      </c>
      <c r="U101" s="164">
        <v>9.9999999999999995E-7</v>
      </c>
      <c r="V101" s="164">
        <v>2.2057342441771E-3</v>
      </c>
      <c r="W101" s="164">
        <v>1.45487536631192E-3</v>
      </c>
    </row>
    <row r="102" spans="1:23">
      <c r="A102" s="2" t="s">
        <v>26</v>
      </c>
      <c r="B102" s="2">
        <v>14769</v>
      </c>
      <c r="C102" s="2" t="s">
        <v>1784</v>
      </c>
      <c r="D102" s="2" t="s">
        <v>1785</v>
      </c>
      <c r="E102" s="4" t="s">
        <v>362</v>
      </c>
      <c r="F102" s="2" t="s">
        <v>1786</v>
      </c>
      <c r="G102" s="2" t="s">
        <v>1787</v>
      </c>
      <c r="H102" s="2" t="s">
        <v>368</v>
      </c>
      <c r="I102" s="2" t="s">
        <v>1026</v>
      </c>
      <c r="J102" s="2" t="s">
        <v>100</v>
      </c>
      <c r="K102" s="2" t="s">
        <v>101</v>
      </c>
      <c r="L102" s="2" t="s">
        <v>391</v>
      </c>
      <c r="M102" s="2" t="s">
        <v>781</v>
      </c>
      <c r="N102" s="2" t="s">
        <v>164</v>
      </c>
      <c r="O102" s="2" t="s">
        <v>105</v>
      </c>
      <c r="P102" s="152">
        <v>77</v>
      </c>
      <c r="Q102" s="150">
        <v>3.681</v>
      </c>
      <c r="R102" s="150">
        <v>16937</v>
      </c>
      <c r="T102" s="150">
        <v>48.006</v>
      </c>
      <c r="U102" s="164">
        <v>0</v>
      </c>
      <c r="V102" s="164">
        <v>9.3295131539477497E-3</v>
      </c>
      <c r="W102" s="164">
        <v>6.1536329243622803E-3</v>
      </c>
    </row>
    <row r="103" spans="1:23">
      <c r="A103" s="2" t="s">
        <v>26</v>
      </c>
      <c r="B103" s="2">
        <v>14769</v>
      </c>
      <c r="C103" s="2" t="s">
        <v>1788</v>
      </c>
      <c r="D103" s="2" t="s">
        <v>1789</v>
      </c>
      <c r="E103" s="4" t="s">
        <v>34</v>
      </c>
      <c r="F103" s="2" t="s">
        <v>1790</v>
      </c>
      <c r="G103" s="2" t="s">
        <v>1791</v>
      </c>
      <c r="H103" s="2" t="s">
        <v>368</v>
      </c>
      <c r="I103" s="2" t="s">
        <v>1026</v>
      </c>
      <c r="J103" s="2" t="s">
        <v>100</v>
      </c>
      <c r="L103" s="2" t="s">
        <v>204</v>
      </c>
      <c r="M103" s="2" t="s">
        <v>781</v>
      </c>
      <c r="N103" s="2" t="s">
        <v>164</v>
      </c>
      <c r="O103" s="2" t="s">
        <v>1224</v>
      </c>
      <c r="P103" s="152">
        <v>311</v>
      </c>
      <c r="Q103" s="150">
        <v>3.9790000000000001</v>
      </c>
      <c r="R103" s="150">
        <v>12328</v>
      </c>
      <c r="T103" s="150">
        <v>152.559</v>
      </c>
      <c r="U103" s="164">
        <v>1.22E-4</v>
      </c>
      <c r="V103" s="164">
        <v>2.9648574653510801E-2</v>
      </c>
      <c r="W103" s="164">
        <v>1.9555837709608202E-2</v>
      </c>
    </row>
    <row r="104" spans="1:23">
      <c r="A104" s="2" t="s">
        <v>26</v>
      </c>
      <c r="B104" s="2">
        <v>14769</v>
      </c>
      <c r="C104" s="2" t="s">
        <v>1579</v>
      </c>
      <c r="D104" s="2" t="s">
        <v>1580</v>
      </c>
      <c r="E104" s="4" t="s">
        <v>362</v>
      </c>
      <c r="F104" s="2" t="s">
        <v>1792</v>
      </c>
      <c r="G104" s="2" t="s">
        <v>1793</v>
      </c>
      <c r="H104" s="2" t="s">
        <v>368</v>
      </c>
      <c r="I104" s="2" t="s">
        <v>1026</v>
      </c>
      <c r="J104" s="2" t="s">
        <v>100</v>
      </c>
      <c r="K104" s="2" t="s">
        <v>101</v>
      </c>
      <c r="L104" s="2" t="s">
        <v>426</v>
      </c>
      <c r="M104" s="2" t="s">
        <v>781</v>
      </c>
      <c r="N104" s="2" t="s">
        <v>164</v>
      </c>
      <c r="O104" s="2" t="s">
        <v>105</v>
      </c>
      <c r="P104" s="152">
        <v>30</v>
      </c>
      <c r="Q104" s="150">
        <v>3.681</v>
      </c>
      <c r="R104" s="150">
        <v>102524</v>
      </c>
      <c r="T104" s="150">
        <v>113.217</v>
      </c>
      <c r="U104" s="164">
        <v>6.0000000000000002E-6</v>
      </c>
      <c r="V104" s="164">
        <v>2.2002831116582699E-2</v>
      </c>
      <c r="W104" s="164">
        <v>1.4512798658833899E-2</v>
      </c>
    </row>
    <row r="105" spans="1:23">
      <c r="A105" s="2" t="s">
        <v>26</v>
      </c>
      <c r="B105" s="2">
        <v>14769</v>
      </c>
      <c r="C105" s="2" t="s">
        <v>1635</v>
      </c>
      <c r="D105" s="2" t="s">
        <v>1636</v>
      </c>
      <c r="E105" s="4" t="s">
        <v>362</v>
      </c>
      <c r="F105" s="2" t="s">
        <v>1726</v>
      </c>
      <c r="G105" s="2" t="s">
        <v>1727</v>
      </c>
      <c r="H105" s="2" t="s">
        <v>368</v>
      </c>
      <c r="I105" s="2" t="s">
        <v>1026</v>
      </c>
      <c r="J105" s="2" t="s">
        <v>100</v>
      </c>
      <c r="K105" s="2" t="s">
        <v>101</v>
      </c>
      <c r="L105" s="2" t="s">
        <v>391</v>
      </c>
      <c r="M105" s="2" t="s">
        <v>781</v>
      </c>
      <c r="N105" s="2" t="s">
        <v>164</v>
      </c>
      <c r="O105" s="2" t="s">
        <v>105</v>
      </c>
      <c r="P105" s="152">
        <v>89</v>
      </c>
      <c r="Q105" s="150">
        <v>3.681</v>
      </c>
      <c r="R105" s="150">
        <v>208.27</v>
      </c>
      <c r="T105" s="150">
        <v>68.230999999999995</v>
      </c>
      <c r="U105" s="164">
        <v>0</v>
      </c>
      <c r="V105" s="164">
        <v>1.32601516933242E-2</v>
      </c>
      <c r="W105" s="164">
        <v>8.7462340955647699E-3</v>
      </c>
    </row>
    <row r="106" spans="1:23">
      <c r="A106" s="2" t="s">
        <v>26</v>
      </c>
      <c r="B106" s="2">
        <v>14769</v>
      </c>
      <c r="C106" s="2" t="s">
        <v>1635</v>
      </c>
      <c r="D106" s="2" t="s">
        <v>1636</v>
      </c>
      <c r="E106" s="4" t="s">
        <v>362</v>
      </c>
      <c r="F106" s="2" t="s">
        <v>1728</v>
      </c>
      <c r="G106" s="2" t="s">
        <v>1729</v>
      </c>
      <c r="H106" s="2" t="s">
        <v>368</v>
      </c>
      <c r="I106" s="2" t="s">
        <v>1028</v>
      </c>
      <c r="J106" s="2" t="s">
        <v>100</v>
      </c>
      <c r="K106" s="2" t="s">
        <v>101</v>
      </c>
      <c r="L106" s="2" t="s">
        <v>393</v>
      </c>
      <c r="M106" s="2" t="s">
        <v>778</v>
      </c>
      <c r="N106" s="2" t="s">
        <v>164</v>
      </c>
      <c r="O106" s="2" t="s">
        <v>105</v>
      </c>
      <c r="P106" s="152">
        <v>200</v>
      </c>
      <c r="Q106" s="150">
        <v>3.681</v>
      </c>
      <c r="R106" s="150">
        <v>4007.5</v>
      </c>
      <c r="T106" s="150">
        <v>29.503</v>
      </c>
      <c r="U106" s="164">
        <v>0</v>
      </c>
      <c r="V106" s="164">
        <v>5.7337043488812399E-3</v>
      </c>
      <c r="W106" s="164">
        <v>3.7818813562532898E-3</v>
      </c>
    </row>
    <row r="107" spans="1:23">
      <c r="A107" s="2" t="s">
        <v>26</v>
      </c>
      <c r="B107" s="2">
        <v>14769</v>
      </c>
      <c r="C107" s="2" t="s">
        <v>1730</v>
      </c>
      <c r="D107" s="2" t="s">
        <v>1731</v>
      </c>
      <c r="E107" s="4" t="s">
        <v>362</v>
      </c>
      <c r="F107" s="2" t="s">
        <v>1732</v>
      </c>
      <c r="G107" s="2" t="s">
        <v>1733</v>
      </c>
      <c r="H107" s="2" t="s">
        <v>368</v>
      </c>
      <c r="I107" s="2" t="s">
        <v>1028</v>
      </c>
      <c r="J107" s="2" t="s">
        <v>100</v>
      </c>
      <c r="K107" s="2" t="s">
        <v>101</v>
      </c>
      <c r="L107" s="2" t="s">
        <v>204</v>
      </c>
      <c r="M107" s="2" t="s">
        <v>778</v>
      </c>
      <c r="N107" s="2" t="s">
        <v>164</v>
      </c>
      <c r="O107" s="2" t="s">
        <v>105</v>
      </c>
      <c r="P107" s="152">
        <v>240</v>
      </c>
      <c r="Q107" s="150">
        <v>3.681</v>
      </c>
      <c r="R107" s="150">
        <v>2522</v>
      </c>
      <c r="T107" s="150">
        <v>22.28</v>
      </c>
      <c r="U107" s="164">
        <v>1.9999999999999999E-6</v>
      </c>
      <c r="V107" s="164">
        <v>4.3300019566947399E-3</v>
      </c>
      <c r="W107" s="164">
        <v>2.85601640338489E-3</v>
      </c>
    </row>
    <row r="108" spans="1:23">
      <c r="A108" s="2" t="s">
        <v>26</v>
      </c>
      <c r="B108" s="2">
        <v>14769</v>
      </c>
      <c r="C108" s="2" t="s">
        <v>1670</v>
      </c>
      <c r="D108" s="2" t="s">
        <v>1671</v>
      </c>
      <c r="E108" s="4" t="s">
        <v>362</v>
      </c>
      <c r="F108" s="2" t="s">
        <v>1736</v>
      </c>
      <c r="G108" s="2" t="s">
        <v>1737</v>
      </c>
      <c r="H108" s="2" t="s">
        <v>368</v>
      </c>
      <c r="I108" s="2" t="s">
        <v>1026</v>
      </c>
      <c r="J108" s="2" t="s">
        <v>100</v>
      </c>
      <c r="K108" s="2" t="s">
        <v>101</v>
      </c>
      <c r="L108" s="2" t="s">
        <v>393</v>
      </c>
      <c r="M108" s="2" t="s">
        <v>781</v>
      </c>
      <c r="N108" s="2" t="s">
        <v>164</v>
      </c>
      <c r="O108" s="2" t="s">
        <v>105</v>
      </c>
      <c r="P108" s="152">
        <v>12</v>
      </c>
      <c r="Q108" s="150">
        <v>3.681</v>
      </c>
      <c r="R108" s="150">
        <v>22499</v>
      </c>
      <c r="T108" s="150">
        <v>9.9380000000000006</v>
      </c>
      <c r="U108" s="164">
        <v>9.9999999999999995E-7</v>
      </c>
      <c r="V108" s="164">
        <v>1.9314178038000601E-3</v>
      </c>
      <c r="W108" s="164">
        <v>1.2739395927786801E-3</v>
      </c>
    </row>
    <row r="109" spans="1:23">
      <c r="A109" s="2" t="s">
        <v>26</v>
      </c>
      <c r="B109" s="2">
        <v>14769</v>
      </c>
      <c r="C109" s="2" t="s">
        <v>1738</v>
      </c>
      <c r="D109" s="2" t="s">
        <v>1739</v>
      </c>
      <c r="E109" s="4" t="s">
        <v>362</v>
      </c>
      <c r="F109" s="2" t="s">
        <v>1794</v>
      </c>
      <c r="G109" s="2" t="s">
        <v>1795</v>
      </c>
      <c r="H109" s="2" t="s">
        <v>368</v>
      </c>
      <c r="I109" s="2" t="s">
        <v>1026</v>
      </c>
      <c r="J109" s="2" t="s">
        <v>100</v>
      </c>
      <c r="K109" s="2" t="s">
        <v>101</v>
      </c>
      <c r="L109" s="2" t="s">
        <v>391</v>
      </c>
      <c r="M109" s="2" t="s">
        <v>781</v>
      </c>
      <c r="N109" s="2" t="s">
        <v>164</v>
      </c>
      <c r="O109" s="2" t="s">
        <v>105</v>
      </c>
      <c r="P109" s="152">
        <v>65</v>
      </c>
      <c r="Q109" s="150">
        <v>3.681</v>
      </c>
      <c r="R109" s="150">
        <v>480.7</v>
      </c>
      <c r="T109" s="150">
        <v>115.015</v>
      </c>
      <c r="U109" s="164">
        <v>0</v>
      </c>
      <c r="V109" s="164">
        <v>2.23521471282556E-2</v>
      </c>
      <c r="W109" s="164">
        <v>1.47432032335386E-2</v>
      </c>
    </row>
    <row r="110" spans="1:23">
      <c r="A110" s="2" t="s">
        <v>26</v>
      </c>
      <c r="B110" s="2">
        <v>14769</v>
      </c>
      <c r="C110" s="2" t="s">
        <v>1738</v>
      </c>
      <c r="D110" s="2" t="s">
        <v>1739</v>
      </c>
      <c r="E110" s="4" t="s">
        <v>362</v>
      </c>
      <c r="F110" s="2" t="s">
        <v>1796</v>
      </c>
      <c r="G110" s="2" t="s">
        <v>1797</v>
      </c>
      <c r="H110" s="2" t="s">
        <v>368</v>
      </c>
      <c r="I110" s="2" t="s">
        <v>1026</v>
      </c>
      <c r="J110" s="2" t="s">
        <v>100</v>
      </c>
      <c r="K110" s="2" t="s">
        <v>101</v>
      </c>
      <c r="L110" s="2" t="s">
        <v>393</v>
      </c>
      <c r="M110" s="2" t="s">
        <v>781</v>
      </c>
      <c r="N110" s="2" t="s">
        <v>164</v>
      </c>
      <c r="O110" s="2" t="s">
        <v>105</v>
      </c>
      <c r="P110" s="152">
        <v>38</v>
      </c>
      <c r="Q110" s="150">
        <v>3.681</v>
      </c>
      <c r="R110" s="150">
        <v>18047</v>
      </c>
      <c r="T110" s="150">
        <v>25.244</v>
      </c>
      <c r="U110" s="164">
        <v>0</v>
      </c>
      <c r="V110" s="164">
        <v>4.9059191149118803E-3</v>
      </c>
      <c r="W110" s="164">
        <v>3.2358843266120001E-3</v>
      </c>
    </row>
    <row r="111" spans="1:23">
      <c r="A111" s="2" t="s">
        <v>26</v>
      </c>
      <c r="B111" s="2">
        <v>14769</v>
      </c>
      <c r="C111" s="2" t="s">
        <v>1738</v>
      </c>
      <c r="D111" s="2" t="s">
        <v>1739</v>
      </c>
      <c r="E111" s="4" t="s">
        <v>362</v>
      </c>
      <c r="F111" s="2" t="s">
        <v>1740</v>
      </c>
      <c r="G111" s="2" t="s">
        <v>1741</v>
      </c>
      <c r="H111" s="2" t="s">
        <v>368</v>
      </c>
      <c r="I111" s="2" t="s">
        <v>1026</v>
      </c>
      <c r="J111" s="2" t="s">
        <v>100</v>
      </c>
      <c r="K111" s="2" t="s">
        <v>101</v>
      </c>
      <c r="L111" s="2" t="s">
        <v>391</v>
      </c>
      <c r="M111" s="2" t="s">
        <v>781</v>
      </c>
      <c r="N111" s="2" t="s">
        <v>164</v>
      </c>
      <c r="O111" s="2" t="s">
        <v>105</v>
      </c>
      <c r="P111" s="152">
        <v>340</v>
      </c>
      <c r="Q111" s="150">
        <v>3.681</v>
      </c>
      <c r="R111" s="150">
        <v>10301</v>
      </c>
      <c r="T111" s="150">
        <v>128.92099999999999</v>
      </c>
      <c r="U111" s="164">
        <v>4.3000000000000002E-5</v>
      </c>
      <c r="V111" s="164">
        <v>2.5054749955409499E-2</v>
      </c>
      <c r="W111" s="164">
        <v>1.65258070483595E-2</v>
      </c>
    </row>
    <row r="112" spans="1:23">
      <c r="A112" s="2" t="s">
        <v>26</v>
      </c>
      <c r="B112" s="2">
        <v>14769</v>
      </c>
      <c r="C112" s="2" t="s">
        <v>1738</v>
      </c>
      <c r="D112" s="2" t="s">
        <v>1739</v>
      </c>
      <c r="E112" s="4" t="s">
        <v>362</v>
      </c>
      <c r="F112" s="2" t="s">
        <v>1798</v>
      </c>
      <c r="G112" s="2" t="s">
        <v>1799</v>
      </c>
      <c r="H112" s="2" t="s">
        <v>368</v>
      </c>
      <c r="I112" s="2" t="s">
        <v>1026</v>
      </c>
      <c r="J112" s="2" t="s">
        <v>100</v>
      </c>
      <c r="K112" s="2" t="s">
        <v>346</v>
      </c>
      <c r="L112" s="2" t="s">
        <v>391</v>
      </c>
      <c r="M112" s="2" t="s">
        <v>781</v>
      </c>
      <c r="N112" s="2" t="s">
        <v>164</v>
      </c>
      <c r="O112" s="2" t="s">
        <v>105</v>
      </c>
      <c r="P112" s="152">
        <v>637</v>
      </c>
      <c r="Q112" s="150">
        <v>3.681</v>
      </c>
      <c r="R112" s="150">
        <v>11050</v>
      </c>
      <c r="T112" s="150">
        <v>259.10000000000002</v>
      </c>
      <c r="U112" s="164">
        <v>1.9999999999999999E-6</v>
      </c>
      <c r="V112" s="164">
        <v>5.0353942428100699E-2</v>
      </c>
      <c r="W112" s="164">
        <v>3.3212845395462799E-2</v>
      </c>
    </row>
    <row r="113" spans="1:23">
      <c r="A113" s="2" t="s">
        <v>26</v>
      </c>
      <c r="B113" s="2">
        <v>14769</v>
      </c>
      <c r="C113" s="2" t="s">
        <v>1742</v>
      </c>
      <c r="D113" s="2" t="s">
        <v>1743</v>
      </c>
      <c r="E113" s="4" t="s">
        <v>362</v>
      </c>
      <c r="F113" s="2" t="s">
        <v>1744</v>
      </c>
      <c r="G113" s="2" t="s">
        <v>1745</v>
      </c>
      <c r="H113" s="2" t="s">
        <v>368</v>
      </c>
      <c r="I113" s="2" t="s">
        <v>1026</v>
      </c>
      <c r="J113" s="2" t="s">
        <v>100</v>
      </c>
      <c r="K113" s="2" t="s">
        <v>346</v>
      </c>
      <c r="L113" s="2" t="s">
        <v>391</v>
      </c>
      <c r="M113" s="2" t="s">
        <v>781</v>
      </c>
      <c r="N113" s="2" t="s">
        <v>164</v>
      </c>
      <c r="O113" s="2" t="s">
        <v>105</v>
      </c>
      <c r="P113" s="152">
        <v>2168</v>
      </c>
      <c r="Q113" s="150">
        <v>3.681</v>
      </c>
      <c r="R113" s="150">
        <v>2946</v>
      </c>
      <c r="T113" s="150">
        <v>235.10300000000001</v>
      </c>
      <c r="U113" s="164">
        <v>2.5000000000000001E-5</v>
      </c>
      <c r="V113" s="164">
        <v>4.5690276793002298E-2</v>
      </c>
      <c r="W113" s="164">
        <v>3.01367485052178E-2</v>
      </c>
    </row>
    <row r="114" spans="1:23">
      <c r="A114" s="2" t="s">
        <v>26</v>
      </c>
      <c r="B114" s="2">
        <v>14769</v>
      </c>
      <c r="C114" s="2" t="s">
        <v>1742</v>
      </c>
      <c r="D114" s="2" t="s">
        <v>1743</v>
      </c>
      <c r="E114" s="4" t="s">
        <v>362</v>
      </c>
      <c r="F114" s="2" t="s">
        <v>1746</v>
      </c>
      <c r="G114" s="2" t="s">
        <v>1747</v>
      </c>
      <c r="H114" s="2" t="s">
        <v>368</v>
      </c>
      <c r="I114" s="2" t="s">
        <v>1026</v>
      </c>
      <c r="J114" s="2" t="s">
        <v>100</v>
      </c>
      <c r="K114" s="2" t="s">
        <v>294</v>
      </c>
      <c r="L114" s="2" t="s">
        <v>391</v>
      </c>
      <c r="M114" s="2" t="s">
        <v>781</v>
      </c>
      <c r="N114" s="2" t="s">
        <v>164</v>
      </c>
      <c r="O114" s="2" t="s">
        <v>105</v>
      </c>
      <c r="P114" s="152">
        <v>764</v>
      </c>
      <c r="Q114" s="150">
        <v>3.681</v>
      </c>
      <c r="R114" s="150">
        <v>43.56</v>
      </c>
      <c r="T114" s="150">
        <v>122.503</v>
      </c>
      <c r="U114" s="164">
        <v>3.4999999999999997E-5</v>
      </c>
      <c r="V114" s="164">
        <v>2.3807456436440701E-2</v>
      </c>
      <c r="W114" s="164">
        <v>1.5703107477865599E-2</v>
      </c>
    </row>
    <row r="115" spans="1:23">
      <c r="A115" s="2" t="s">
        <v>26</v>
      </c>
      <c r="B115" s="2">
        <v>14769</v>
      </c>
      <c r="C115" s="2" t="s">
        <v>1748</v>
      </c>
      <c r="D115" s="2" t="s">
        <v>1749</v>
      </c>
      <c r="E115" s="4" t="s">
        <v>362</v>
      </c>
      <c r="F115" s="2" t="s">
        <v>1750</v>
      </c>
      <c r="G115" s="2" t="s">
        <v>1751</v>
      </c>
      <c r="H115" s="2" t="s">
        <v>368</v>
      </c>
      <c r="I115" s="2" t="s">
        <v>1026</v>
      </c>
      <c r="J115" s="2" t="s">
        <v>100</v>
      </c>
      <c r="K115" s="2" t="s">
        <v>301</v>
      </c>
      <c r="L115" s="2" t="s">
        <v>110</v>
      </c>
      <c r="M115" s="2" t="s">
        <v>781</v>
      </c>
      <c r="N115" s="2" t="s">
        <v>164</v>
      </c>
      <c r="O115" s="2" t="s">
        <v>1224</v>
      </c>
      <c r="P115" s="152">
        <v>1300</v>
      </c>
      <c r="Q115" s="150">
        <v>3.9790000000000001</v>
      </c>
      <c r="R115" s="150">
        <v>2551.5</v>
      </c>
      <c r="T115" s="150">
        <v>131.98500000000001</v>
      </c>
      <c r="U115" s="164">
        <v>2.1999999999999999E-5</v>
      </c>
      <c r="V115" s="164">
        <v>2.5650139409454199E-2</v>
      </c>
      <c r="W115" s="164">
        <v>1.6918518660077101E-2</v>
      </c>
    </row>
    <row r="116" spans="1:23">
      <c r="A116" s="2" t="s">
        <v>119</v>
      </c>
      <c r="B116" s="2">
        <v>12905</v>
      </c>
      <c r="C116" s="2" t="s">
        <v>1752</v>
      </c>
      <c r="D116" s="2" t="s">
        <v>1753</v>
      </c>
      <c r="E116" s="4" t="s">
        <v>1380</v>
      </c>
      <c r="F116" s="2" t="s">
        <v>1754</v>
      </c>
      <c r="G116" s="2" t="s">
        <v>1755</v>
      </c>
      <c r="H116" s="2" t="s">
        <v>368</v>
      </c>
      <c r="I116" s="2" t="s">
        <v>1026</v>
      </c>
      <c r="J116" s="2" t="s">
        <v>31</v>
      </c>
      <c r="K116" s="2" t="s">
        <v>283</v>
      </c>
      <c r="L116" s="2" t="s">
        <v>32</v>
      </c>
      <c r="M116" s="2" t="s">
        <v>1614</v>
      </c>
      <c r="N116" s="2" t="s">
        <v>164</v>
      </c>
      <c r="O116" s="2" t="s">
        <v>35</v>
      </c>
      <c r="P116" s="152">
        <v>4225</v>
      </c>
      <c r="Q116" s="150">
        <v>1</v>
      </c>
      <c r="R116" s="150">
        <v>4148</v>
      </c>
      <c r="T116" s="150">
        <v>175.25299999999999</v>
      </c>
      <c r="U116" s="164">
        <v>2.7E-4</v>
      </c>
      <c r="V116" s="164">
        <v>1.42784745302978E-2</v>
      </c>
      <c r="W116" s="164">
        <v>6.0532324973107503E-3</v>
      </c>
    </row>
    <row r="117" spans="1:23">
      <c r="A117" s="2" t="s">
        <v>119</v>
      </c>
      <c r="B117" s="2">
        <v>12905</v>
      </c>
      <c r="C117" s="2" t="s">
        <v>1607</v>
      </c>
      <c r="D117" s="2" t="s">
        <v>1608</v>
      </c>
      <c r="E117" s="4" t="s">
        <v>1380</v>
      </c>
      <c r="F117" s="2" t="s">
        <v>1619</v>
      </c>
      <c r="G117" s="2" t="s">
        <v>1620</v>
      </c>
      <c r="H117" s="2" t="s">
        <v>368</v>
      </c>
      <c r="I117" s="2" t="s">
        <v>1025</v>
      </c>
      <c r="J117" s="2" t="s">
        <v>31</v>
      </c>
      <c r="K117" s="2" t="s">
        <v>31</v>
      </c>
      <c r="L117" s="2" t="s">
        <v>32</v>
      </c>
      <c r="M117" s="2" t="s">
        <v>1611</v>
      </c>
      <c r="N117" s="2" t="s">
        <v>164</v>
      </c>
      <c r="O117" s="2" t="s">
        <v>35</v>
      </c>
      <c r="P117" s="152">
        <v>2514</v>
      </c>
      <c r="Q117" s="150">
        <v>1</v>
      </c>
      <c r="R117" s="150">
        <v>3091</v>
      </c>
      <c r="T117" s="150">
        <v>77.707999999999998</v>
      </c>
      <c r="U117" s="164">
        <v>6.9999999999999994E-5</v>
      </c>
      <c r="V117" s="164">
        <v>6.3311212155968801E-3</v>
      </c>
      <c r="W117" s="164">
        <v>2.6840226247800301E-3</v>
      </c>
    </row>
    <row r="118" spans="1:23">
      <c r="A118" s="2" t="s">
        <v>119</v>
      </c>
      <c r="B118" s="2">
        <v>12905</v>
      </c>
      <c r="C118" s="2" t="s">
        <v>1607</v>
      </c>
      <c r="D118" s="2" t="s">
        <v>1608</v>
      </c>
      <c r="E118" s="4" t="s">
        <v>1380</v>
      </c>
      <c r="F118" s="2" t="s">
        <v>1800</v>
      </c>
      <c r="G118" s="2" t="s">
        <v>1801</v>
      </c>
      <c r="H118" s="2" t="s">
        <v>368</v>
      </c>
      <c r="I118" s="2" t="s">
        <v>1027</v>
      </c>
      <c r="J118" s="2" t="s">
        <v>31</v>
      </c>
      <c r="K118" s="2" t="s">
        <v>31</v>
      </c>
      <c r="L118" s="2" t="s">
        <v>32</v>
      </c>
      <c r="M118" s="2" t="s">
        <v>1802</v>
      </c>
      <c r="N118" s="2" t="s">
        <v>164</v>
      </c>
      <c r="O118" s="2" t="s">
        <v>35</v>
      </c>
      <c r="P118" s="152">
        <v>107069</v>
      </c>
      <c r="Q118" s="150">
        <v>1</v>
      </c>
      <c r="R118" s="150">
        <v>457.01</v>
      </c>
      <c r="T118" s="150">
        <v>489.31599999999997</v>
      </c>
      <c r="U118" s="164">
        <v>7.3899999999999997E-4</v>
      </c>
      <c r="V118" s="164">
        <v>3.9866287995885298E-2</v>
      </c>
      <c r="W118" s="164">
        <v>1.6900958819640099E-2</v>
      </c>
    </row>
    <row r="119" spans="1:23">
      <c r="A119" s="2" t="s">
        <v>119</v>
      </c>
      <c r="B119" s="2">
        <v>12905</v>
      </c>
      <c r="C119" s="2" t="s">
        <v>1607</v>
      </c>
      <c r="D119" s="2" t="s">
        <v>1608</v>
      </c>
      <c r="E119" s="4" t="s">
        <v>1380</v>
      </c>
      <c r="F119" s="2" t="s">
        <v>1803</v>
      </c>
      <c r="G119" s="2" t="s">
        <v>1804</v>
      </c>
      <c r="H119" s="2" t="s">
        <v>368</v>
      </c>
      <c r="I119" s="2" t="s">
        <v>1026</v>
      </c>
      <c r="J119" s="2" t="s">
        <v>31</v>
      </c>
      <c r="K119" s="2" t="s">
        <v>343</v>
      </c>
      <c r="L119" s="2" t="s">
        <v>32</v>
      </c>
      <c r="M119" s="2" t="s">
        <v>1614</v>
      </c>
      <c r="N119" s="2" t="s">
        <v>164</v>
      </c>
      <c r="O119" s="2" t="s">
        <v>35</v>
      </c>
      <c r="P119" s="152">
        <v>13816</v>
      </c>
      <c r="Q119" s="150">
        <v>1</v>
      </c>
      <c r="R119" s="150">
        <v>4830</v>
      </c>
      <c r="T119" s="150">
        <v>667.31299999999999</v>
      </c>
      <c r="U119" s="164">
        <v>2.199E-3</v>
      </c>
      <c r="V119" s="164">
        <v>5.4368306497130897E-2</v>
      </c>
      <c r="W119" s="164">
        <v>2.30489607985679E-2</v>
      </c>
    </row>
    <row r="120" spans="1:23">
      <c r="A120" s="2" t="s">
        <v>119</v>
      </c>
      <c r="B120" s="2">
        <v>12905</v>
      </c>
      <c r="C120" s="2" t="s">
        <v>1623</v>
      </c>
      <c r="D120" s="2" t="s">
        <v>1624</v>
      </c>
      <c r="E120" s="4" t="s">
        <v>1380</v>
      </c>
      <c r="F120" s="2" t="s">
        <v>1805</v>
      </c>
      <c r="G120" s="2" t="s">
        <v>1806</v>
      </c>
      <c r="H120" s="2" t="s">
        <v>368</v>
      </c>
      <c r="I120" s="2" t="s">
        <v>1027</v>
      </c>
      <c r="J120" s="2" t="s">
        <v>31</v>
      </c>
      <c r="K120" s="2" t="s">
        <v>31</v>
      </c>
      <c r="L120" s="2" t="s">
        <v>32</v>
      </c>
      <c r="M120" s="2" t="s">
        <v>1802</v>
      </c>
      <c r="N120" s="2" t="s">
        <v>164</v>
      </c>
      <c r="O120" s="2" t="s">
        <v>35</v>
      </c>
      <c r="P120" s="152">
        <v>111655</v>
      </c>
      <c r="Q120" s="150">
        <v>1</v>
      </c>
      <c r="R120" s="150">
        <v>399.86</v>
      </c>
      <c r="T120" s="150">
        <v>446.464</v>
      </c>
      <c r="U120" s="164">
        <v>1.034E-3</v>
      </c>
      <c r="V120" s="164">
        <v>3.6374956927518701E-2</v>
      </c>
      <c r="W120" s="164">
        <v>1.5420840013036299E-2</v>
      </c>
    </row>
    <row r="121" spans="1:23">
      <c r="A121" s="2" t="s">
        <v>119</v>
      </c>
      <c r="B121" s="2">
        <v>12905</v>
      </c>
      <c r="C121" s="2" t="s">
        <v>1623</v>
      </c>
      <c r="D121" s="2" t="s">
        <v>1624</v>
      </c>
      <c r="E121" s="4" t="s">
        <v>1380</v>
      </c>
      <c r="F121" s="2" t="s">
        <v>1625</v>
      </c>
      <c r="G121" s="2" t="s">
        <v>1626</v>
      </c>
      <c r="H121" s="2" t="s">
        <v>368</v>
      </c>
      <c r="I121" s="2" t="s">
        <v>1025</v>
      </c>
      <c r="J121" s="2" t="s">
        <v>31</v>
      </c>
      <c r="K121" s="2" t="s">
        <v>31</v>
      </c>
      <c r="L121" s="2" t="s">
        <v>32</v>
      </c>
      <c r="M121" s="2" t="s">
        <v>1611</v>
      </c>
      <c r="N121" s="2" t="s">
        <v>164</v>
      </c>
      <c r="O121" s="2" t="s">
        <v>35</v>
      </c>
      <c r="P121" s="152">
        <v>1378</v>
      </c>
      <c r="Q121" s="150">
        <v>1</v>
      </c>
      <c r="R121" s="150">
        <v>2053</v>
      </c>
      <c r="T121" s="150">
        <v>28.29</v>
      </c>
      <c r="U121" s="164">
        <v>2.8E-5</v>
      </c>
      <c r="V121" s="164">
        <v>2.3049128924666801E-3</v>
      </c>
      <c r="W121" s="164">
        <v>9.7714735524053907E-4</v>
      </c>
    </row>
    <row r="122" spans="1:23">
      <c r="A122" s="2" t="s">
        <v>119</v>
      </c>
      <c r="B122" s="2">
        <v>12905</v>
      </c>
      <c r="C122" s="2" t="s">
        <v>1623</v>
      </c>
      <c r="D122" s="2" t="s">
        <v>1624</v>
      </c>
      <c r="E122" s="4" t="s">
        <v>1380</v>
      </c>
      <c r="F122" s="2" t="s">
        <v>1807</v>
      </c>
      <c r="G122" s="2" t="s">
        <v>1808</v>
      </c>
      <c r="H122" s="2" t="s">
        <v>368</v>
      </c>
      <c r="I122" s="2" t="s">
        <v>1027</v>
      </c>
      <c r="J122" s="2" t="s">
        <v>31</v>
      </c>
      <c r="K122" s="2" t="s">
        <v>31</v>
      </c>
      <c r="L122" s="2" t="s">
        <v>32</v>
      </c>
      <c r="M122" s="2" t="s">
        <v>1802</v>
      </c>
      <c r="N122" s="2" t="s">
        <v>164</v>
      </c>
      <c r="O122" s="2" t="s">
        <v>35</v>
      </c>
      <c r="P122" s="152">
        <v>58603</v>
      </c>
      <c r="Q122" s="150">
        <v>1</v>
      </c>
      <c r="R122" s="150">
        <v>385.54</v>
      </c>
      <c r="T122" s="150">
        <v>225.93799999999999</v>
      </c>
      <c r="U122" s="164">
        <v>2.5700000000000001E-4</v>
      </c>
      <c r="V122" s="164">
        <v>1.8407959161628899E-2</v>
      </c>
      <c r="W122" s="164">
        <v>7.8038908407127797E-3</v>
      </c>
    </row>
    <row r="123" spans="1:23">
      <c r="A123" s="2" t="s">
        <v>119</v>
      </c>
      <c r="B123" s="2">
        <v>12905</v>
      </c>
      <c r="C123" s="2" t="s">
        <v>1623</v>
      </c>
      <c r="D123" s="2" t="s">
        <v>1624</v>
      </c>
      <c r="E123" s="4" t="s">
        <v>1380</v>
      </c>
      <c r="F123" s="2" t="s">
        <v>1627</v>
      </c>
      <c r="G123" s="2" t="s">
        <v>1628</v>
      </c>
      <c r="H123" s="2" t="s">
        <v>368</v>
      </c>
      <c r="I123" s="2" t="s">
        <v>1025</v>
      </c>
      <c r="J123" s="2" t="s">
        <v>31</v>
      </c>
      <c r="K123" s="2" t="s">
        <v>31</v>
      </c>
      <c r="L123" s="2" t="s">
        <v>32</v>
      </c>
      <c r="M123" s="2" t="s">
        <v>1611</v>
      </c>
      <c r="N123" s="2" t="s">
        <v>164</v>
      </c>
      <c r="O123" s="2" t="s">
        <v>35</v>
      </c>
      <c r="P123" s="152">
        <v>4091</v>
      </c>
      <c r="Q123" s="150">
        <v>1</v>
      </c>
      <c r="R123" s="150">
        <v>2014</v>
      </c>
      <c r="T123" s="150">
        <v>82.393000000000001</v>
      </c>
      <c r="U123" s="164">
        <v>7.2000000000000002E-5</v>
      </c>
      <c r="V123" s="164">
        <v>6.7128245426409001E-3</v>
      </c>
      <c r="W123" s="164">
        <v>2.8458423611035198E-3</v>
      </c>
    </row>
    <row r="124" spans="1:23">
      <c r="A124" s="2" t="s">
        <v>119</v>
      </c>
      <c r="B124" s="2">
        <v>12905</v>
      </c>
      <c r="C124" s="2" t="s">
        <v>1629</v>
      </c>
      <c r="D124" s="2" t="s">
        <v>1630</v>
      </c>
      <c r="E124" s="4" t="s">
        <v>1380</v>
      </c>
      <c r="F124" s="2" t="s">
        <v>1631</v>
      </c>
      <c r="G124" s="2" t="s">
        <v>1632</v>
      </c>
      <c r="H124" s="2" t="s">
        <v>368</v>
      </c>
      <c r="I124" s="2" t="s">
        <v>1026</v>
      </c>
      <c r="J124" s="2" t="s">
        <v>31</v>
      </c>
      <c r="K124" s="2" t="s">
        <v>101</v>
      </c>
      <c r="L124" s="2" t="s">
        <v>32</v>
      </c>
      <c r="M124" s="2" t="s">
        <v>1614</v>
      </c>
      <c r="N124" s="2" t="s">
        <v>164</v>
      </c>
      <c r="O124" s="2" t="s">
        <v>35</v>
      </c>
      <c r="P124" s="152">
        <v>932</v>
      </c>
      <c r="Q124" s="150">
        <v>1</v>
      </c>
      <c r="R124" s="150">
        <v>10160</v>
      </c>
      <c r="T124" s="150">
        <v>94.691000000000003</v>
      </c>
      <c r="U124" s="164">
        <v>9.7999999999999997E-5</v>
      </c>
      <c r="V124" s="164">
        <v>7.7148230697524798E-3</v>
      </c>
      <c r="W124" s="164">
        <v>3.2706307398409802E-3</v>
      </c>
    </row>
    <row r="125" spans="1:23">
      <c r="A125" s="2" t="s">
        <v>119</v>
      </c>
      <c r="B125" s="2">
        <v>12905</v>
      </c>
      <c r="C125" s="2" t="s">
        <v>1629</v>
      </c>
      <c r="D125" s="2" t="s">
        <v>1630</v>
      </c>
      <c r="E125" s="4" t="s">
        <v>1380</v>
      </c>
      <c r="F125" s="2" t="s">
        <v>1760</v>
      </c>
      <c r="G125" s="2" t="s">
        <v>1761</v>
      </c>
      <c r="H125" s="2" t="s">
        <v>368</v>
      </c>
      <c r="I125" s="2" t="s">
        <v>1026</v>
      </c>
      <c r="J125" s="2" t="s">
        <v>31</v>
      </c>
      <c r="K125" s="2" t="s">
        <v>101</v>
      </c>
      <c r="L125" s="2" t="s">
        <v>32</v>
      </c>
      <c r="M125" s="2" t="s">
        <v>1614</v>
      </c>
      <c r="N125" s="2" t="s">
        <v>164</v>
      </c>
      <c r="O125" s="2" t="s">
        <v>35</v>
      </c>
      <c r="P125" s="152">
        <v>7139</v>
      </c>
      <c r="Q125" s="150">
        <v>1</v>
      </c>
      <c r="R125" s="150">
        <v>9551</v>
      </c>
      <c r="T125" s="150">
        <v>681.846</v>
      </c>
      <c r="U125" s="164">
        <v>1.25E-4</v>
      </c>
      <c r="V125" s="164">
        <v>5.5552368141790501E-2</v>
      </c>
      <c r="W125" s="164">
        <v>2.3550933219435698E-2</v>
      </c>
    </row>
    <row r="126" spans="1:23">
      <c r="A126" s="2" t="s">
        <v>119</v>
      </c>
      <c r="B126" s="2">
        <v>12905</v>
      </c>
      <c r="C126" s="2" t="s">
        <v>1607</v>
      </c>
      <c r="D126" s="2" t="s">
        <v>1608</v>
      </c>
      <c r="E126" s="4" t="s">
        <v>1380</v>
      </c>
      <c r="F126" s="2" t="s">
        <v>1633</v>
      </c>
      <c r="G126" s="2" t="s">
        <v>1634</v>
      </c>
      <c r="H126" s="2" t="s">
        <v>368</v>
      </c>
      <c r="I126" s="2" t="s">
        <v>1026</v>
      </c>
      <c r="J126" s="2" t="s">
        <v>31</v>
      </c>
      <c r="K126" s="2" t="s">
        <v>101</v>
      </c>
      <c r="L126" s="2" t="s">
        <v>32</v>
      </c>
      <c r="M126" s="2" t="s">
        <v>1614</v>
      </c>
      <c r="N126" s="2" t="s">
        <v>164</v>
      </c>
      <c r="O126" s="2" t="s">
        <v>35</v>
      </c>
      <c r="P126" s="152">
        <v>1710</v>
      </c>
      <c r="Q126" s="150">
        <v>1</v>
      </c>
      <c r="R126" s="150">
        <v>3141</v>
      </c>
      <c r="T126" s="150">
        <v>53.710999999999999</v>
      </c>
      <c r="U126" s="164">
        <v>8.6000000000000003E-5</v>
      </c>
      <c r="V126" s="164">
        <v>4.3760310713327304E-3</v>
      </c>
      <c r="W126" s="164">
        <v>1.8551795175335501E-3</v>
      </c>
    </row>
    <row r="127" spans="1:23">
      <c r="A127" s="2" t="s">
        <v>119</v>
      </c>
      <c r="B127" s="2">
        <v>12905</v>
      </c>
      <c r="C127" s="2" t="s">
        <v>1752</v>
      </c>
      <c r="D127" s="2" t="s">
        <v>1753</v>
      </c>
      <c r="E127" s="4" t="s">
        <v>1380</v>
      </c>
      <c r="F127" s="2" t="s">
        <v>1809</v>
      </c>
      <c r="G127" s="2" t="s">
        <v>1810</v>
      </c>
      <c r="H127" s="2" t="s">
        <v>368</v>
      </c>
      <c r="I127" s="2" t="s">
        <v>1025</v>
      </c>
      <c r="J127" s="2" t="s">
        <v>31</v>
      </c>
      <c r="K127" s="2" t="s">
        <v>31</v>
      </c>
      <c r="L127" s="2" t="s">
        <v>32</v>
      </c>
      <c r="M127" s="2" t="s">
        <v>1611</v>
      </c>
      <c r="N127" s="2" t="s">
        <v>164</v>
      </c>
      <c r="O127" s="2" t="s">
        <v>35</v>
      </c>
      <c r="P127" s="152">
        <v>218</v>
      </c>
      <c r="Q127" s="150">
        <v>1</v>
      </c>
      <c r="R127" s="150">
        <v>20050</v>
      </c>
      <c r="T127" s="150">
        <v>43.709000000000003</v>
      </c>
      <c r="U127" s="164">
        <v>6.0000000000000002E-6</v>
      </c>
      <c r="V127" s="164">
        <v>3.56112502065462E-3</v>
      </c>
      <c r="W127" s="164">
        <v>1.5097073329698001E-3</v>
      </c>
    </row>
    <row r="128" spans="1:23">
      <c r="A128" s="2" t="s">
        <v>119</v>
      </c>
      <c r="B128" s="2">
        <v>12905</v>
      </c>
      <c r="C128" s="2" t="s">
        <v>1752</v>
      </c>
      <c r="D128" s="2" t="s">
        <v>1753</v>
      </c>
      <c r="E128" s="4" t="s">
        <v>1380</v>
      </c>
      <c r="F128" s="2" t="s">
        <v>1811</v>
      </c>
      <c r="G128" s="2" t="s">
        <v>1812</v>
      </c>
      <c r="H128" s="2" t="s">
        <v>368</v>
      </c>
      <c r="I128" s="2" t="s">
        <v>1025</v>
      </c>
      <c r="J128" s="2" t="s">
        <v>31</v>
      </c>
      <c r="K128" s="2" t="s">
        <v>31</v>
      </c>
      <c r="L128" s="2" t="s">
        <v>32</v>
      </c>
      <c r="M128" s="2" t="s">
        <v>1611</v>
      </c>
      <c r="N128" s="2" t="s">
        <v>164</v>
      </c>
      <c r="O128" s="2" t="s">
        <v>35</v>
      </c>
      <c r="P128" s="152">
        <v>853</v>
      </c>
      <c r="Q128" s="150">
        <v>1</v>
      </c>
      <c r="R128" s="150">
        <v>26270</v>
      </c>
      <c r="T128" s="150">
        <v>224.083</v>
      </c>
      <c r="U128" s="164">
        <v>2.5500000000000002E-4</v>
      </c>
      <c r="V128" s="164">
        <v>1.8256833469442301E-2</v>
      </c>
      <c r="W128" s="164">
        <v>7.7398224453683198E-3</v>
      </c>
    </row>
    <row r="129" spans="1:23">
      <c r="A129" s="2" t="s">
        <v>119</v>
      </c>
      <c r="B129" s="2">
        <v>12905</v>
      </c>
      <c r="C129" s="2" t="s">
        <v>1635</v>
      </c>
      <c r="D129" s="2" t="s">
        <v>1636</v>
      </c>
      <c r="E129" s="4" t="s">
        <v>362</v>
      </c>
      <c r="F129" s="2" t="s">
        <v>1637</v>
      </c>
      <c r="G129" s="2" t="s">
        <v>1638</v>
      </c>
      <c r="H129" s="2" t="s">
        <v>368</v>
      </c>
      <c r="I129" s="2" t="s">
        <v>1026</v>
      </c>
      <c r="J129" s="2" t="s">
        <v>100</v>
      </c>
      <c r="K129" s="2" t="s">
        <v>101</v>
      </c>
      <c r="L129" s="2" t="s">
        <v>391</v>
      </c>
      <c r="M129" s="2" t="s">
        <v>781</v>
      </c>
      <c r="N129" s="2" t="s">
        <v>164</v>
      </c>
      <c r="O129" s="2" t="s">
        <v>105</v>
      </c>
      <c r="P129" s="152">
        <v>214</v>
      </c>
      <c r="Q129" s="150">
        <v>3.681</v>
      </c>
      <c r="R129" s="150">
        <v>65.650000000000006</v>
      </c>
      <c r="T129" s="150">
        <v>51.715000000000003</v>
      </c>
      <c r="U129" s="164">
        <v>9.9999999999999995E-7</v>
      </c>
      <c r="V129" s="164">
        <v>4.2133804073162502E-3</v>
      </c>
      <c r="W129" s="164">
        <v>1.7862252127130601E-3</v>
      </c>
    </row>
    <row r="130" spans="1:23">
      <c r="A130" s="2" t="s">
        <v>119</v>
      </c>
      <c r="B130" s="2">
        <v>12905</v>
      </c>
      <c r="C130" s="2" t="s">
        <v>1579</v>
      </c>
      <c r="D130" s="2" t="s">
        <v>1580</v>
      </c>
      <c r="E130" s="4" t="s">
        <v>362</v>
      </c>
      <c r="F130" s="2" t="s">
        <v>1639</v>
      </c>
      <c r="G130" s="2" t="s">
        <v>1640</v>
      </c>
      <c r="H130" s="2" t="s">
        <v>368</v>
      </c>
      <c r="I130" s="2" t="s">
        <v>1026</v>
      </c>
      <c r="J130" s="2" t="s">
        <v>100</v>
      </c>
      <c r="K130" s="2" t="s">
        <v>101</v>
      </c>
      <c r="L130" s="2" t="s">
        <v>391</v>
      </c>
      <c r="M130" s="2" t="s">
        <v>781</v>
      </c>
      <c r="N130" s="2" t="s">
        <v>164</v>
      </c>
      <c r="O130" s="2" t="s">
        <v>105</v>
      </c>
      <c r="P130" s="152">
        <v>210</v>
      </c>
      <c r="Q130" s="150">
        <v>3.681</v>
      </c>
      <c r="R130" s="150">
        <v>10157</v>
      </c>
      <c r="T130" s="150">
        <v>78.515000000000001</v>
      </c>
      <c r="U130" s="164">
        <v>1.1E-5</v>
      </c>
      <c r="V130" s="164">
        <v>6.3968610141527504E-3</v>
      </c>
      <c r="W130" s="164">
        <v>2.7118924286684402E-3</v>
      </c>
    </row>
    <row r="131" spans="1:23">
      <c r="A131" s="2" t="s">
        <v>119</v>
      </c>
      <c r="B131" s="2">
        <v>12905</v>
      </c>
      <c r="C131" s="2" t="s">
        <v>1641</v>
      </c>
      <c r="D131" s="2" t="s">
        <v>1642</v>
      </c>
      <c r="E131" s="4" t="s">
        <v>362</v>
      </c>
      <c r="F131" s="2" t="s">
        <v>1643</v>
      </c>
      <c r="G131" s="2" t="s">
        <v>1644</v>
      </c>
      <c r="H131" s="2" t="s">
        <v>34</v>
      </c>
      <c r="I131" s="2" t="s">
        <v>1026</v>
      </c>
      <c r="J131" s="2" t="s">
        <v>100</v>
      </c>
      <c r="K131" s="2" t="s">
        <v>331</v>
      </c>
      <c r="L131" s="2" t="s">
        <v>393</v>
      </c>
      <c r="M131" s="2" t="s">
        <v>781</v>
      </c>
      <c r="N131" s="2" t="s">
        <v>164</v>
      </c>
      <c r="O131" s="2" t="s">
        <v>105</v>
      </c>
      <c r="P131" s="152">
        <v>2234</v>
      </c>
      <c r="Q131" s="150">
        <v>3.681</v>
      </c>
      <c r="R131" s="150">
        <v>12389</v>
      </c>
      <c r="T131" s="150">
        <v>1018.7910000000001</v>
      </c>
      <c r="U131" s="164">
        <v>0</v>
      </c>
      <c r="V131" s="164">
        <v>8.3004490736902997E-2</v>
      </c>
      <c r="W131" s="164">
        <v>3.5189016843865398E-2</v>
      </c>
    </row>
    <row r="132" spans="1:23">
      <c r="A132" s="2" t="s">
        <v>119</v>
      </c>
      <c r="B132" s="2">
        <v>12905</v>
      </c>
      <c r="C132" s="2" t="s">
        <v>1645</v>
      </c>
      <c r="D132" s="2" t="s">
        <v>1646</v>
      </c>
      <c r="E132" s="4" t="s">
        <v>362</v>
      </c>
      <c r="F132" s="2" t="s">
        <v>1650</v>
      </c>
      <c r="G132" s="2" t="s">
        <v>1651</v>
      </c>
      <c r="H132" s="2" t="s">
        <v>368</v>
      </c>
      <c r="I132" s="2" t="s">
        <v>1026</v>
      </c>
      <c r="J132" s="2" t="s">
        <v>100</v>
      </c>
      <c r="K132" s="2" t="s">
        <v>331</v>
      </c>
      <c r="L132" s="2" t="s">
        <v>411</v>
      </c>
      <c r="M132" s="2" t="s">
        <v>781</v>
      </c>
      <c r="N132" s="2" t="s">
        <v>164</v>
      </c>
      <c r="O132" s="2" t="s">
        <v>1224</v>
      </c>
      <c r="P132" s="152">
        <v>150</v>
      </c>
      <c r="Q132" s="150">
        <v>3.9790000000000001</v>
      </c>
      <c r="R132" s="150">
        <v>11016</v>
      </c>
      <c r="T132" s="150">
        <v>65.751000000000005</v>
      </c>
      <c r="U132" s="164">
        <v>3.0000000000000001E-5</v>
      </c>
      <c r="V132" s="164">
        <v>5.3569351653321899E-3</v>
      </c>
      <c r="W132" s="164">
        <v>2.2710250986524199E-3</v>
      </c>
    </row>
    <row r="133" spans="1:23">
      <c r="A133" s="2" t="s">
        <v>119</v>
      </c>
      <c r="B133" s="2">
        <v>12905</v>
      </c>
      <c r="C133" s="2" t="s">
        <v>1645</v>
      </c>
      <c r="D133" s="2" t="s">
        <v>1646</v>
      </c>
      <c r="E133" s="4" t="s">
        <v>362</v>
      </c>
      <c r="F133" s="2" t="s">
        <v>1652</v>
      </c>
      <c r="G133" s="2" t="s">
        <v>1653</v>
      </c>
      <c r="H133" s="2" t="s">
        <v>368</v>
      </c>
      <c r="I133" s="2" t="s">
        <v>1026</v>
      </c>
      <c r="J133" s="2" t="s">
        <v>100</v>
      </c>
      <c r="K133" s="2" t="s">
        <v>101</v>
      </c>
      <c r="L133" s="2" t="s">
        <v>426</v>
      </c>
      <c r="M133" s="2" t="s">
        <v>781</v>
      </c>
      <c r="N133" s="2" t="s">
        <v>164</v>
      </c>
      <c r="O133" s="2" t="s">
        <v>105</v>
      </c>
      <c r="P133" s="152">
        <v>597</v>
      </c>
      <c r="Q133" s="150">
        <v>3.681</v>
      </c>
      <c r="R133" s="150">
        <v>9308</v>
      </c>
      <c r="T133" s="150">
        <v>204.54900000000001</v>
      </c>
      <c r="U133" s="164">
        <v>0</v>
      </c>
      <c r="V133" s="164">
        <v>1.6665289921977799E-2</v>
      </c>
      <c r="W133" s="164">
        <v>7.0651016898734403E-3</v>
      </c>
    </row>
    <row r="134" spans="1:23">
      <c r="A134" s="2" t="s">
        <v>119</v>
      </c>
      <c r="B134" s="2">
        <v>12905</v>
      </c>
      <c r="C134" s="2" t="s">
        <v>1635</v>
      </c>
      <c r="D134" s="2" t="s">
        <v>1636</v>
      </c>
      <c r="E134" s="4" t="s">
        <v>362</v>
      </c>
      <c r="F134" s="2" t="s">
        <v>1654</v>
      </c>
      <c r="G134" s="2" t="s">
        <v>1655</v>
      </c>
      <c r="H134" s="2" t="s">
        <v>368</v>
      </c>
      <c r="I134" s="2" t="s">
        <v>1026</v>
      </c>
      <c r="J134" s="2" t="s">
        <v>100</v>
      </c>
      <c r="K134" s="2" t="s">
        <v>101</v>
      </c>
      <c r="L134" s="2" t="s">
        <v>391</v>
      </c>
      <c r="M134" s="2" t="s">
        <v>781</v>
      </c>
      <c r="N134" s="2" t="s">
        <v>164</v>
      </c>
      <c r="O134" s="2" t="s">
        <v>105</v>
      </c>
      <c r="P134" s="152">
        <v>600</v>
      </c>
      <c r="Q134" s="150">
        <v>3.681</v>
      </c>
      <c r="R134" s="150">
        <v>81.66</v>
      </c>
      <c r="T134" s="150">
        <v>180.35400000000001</v>
      </c>
      <c r="U134" s="164">
        <v>3.0000000000000001E-6</v>
      </c>
      <c r="V134" s="164">
        <v>1.46940933182102E-2</v>
      </c>
      <c r="W134" s="164">
        <v>6.2294303921311004E-3</v>
      </c>
    </row>
    <row r="135" spans="1:23">
      <c r="A135" s="2" t="s">
        <v>119</v>
      </c>
      <c r="B135" s="2">
        <v>12905</v>
      </c>
      <c r="C135" s="2" t="s">
        <v>1635</v>
      </c>
      <c r="D135" s="2" t="s">
        <v>1636</v>
      </c>
      <c r="E135" s="4" t="s">
        <v>362</v>
      </c>
      <c r="F135" s="2" t="s">
        <v>1656</v>
      </c>
      <c r="G135" s="2" t="s">
        <v>1657</v>
      </c>
      <c r="H135" s="2" t="s">
        <v>368</v>
      </c>
      <c r="I135" s="2" t="s">
        <v>1026</v>
      </c>
      <c r="J135" s="2" t="s">
        <v>100</v>
      </c>
      <c r="K135" s="2" t="s">
        <v>101</v>
      </c>
      <c r="L135" s="2" t="s">
        <v>391</v>
      </c>
      <c r="M135" s="2" t="s">
        <v>781</v>
      </c>
      <c r="N135" s="2" t="s">
        <v>164</v>
      </c>
      <c r="O135" s="2" t="s">
        <v>105</v>
      </c>
      <c r="P135" s="152">
        <v>167</v>
      </c>
      <c r="Q135" s="150">
        <v>3.681</v>
      </c>
      <c r="R135" s="150">
        <v>183.89</v>
      </c>
      <c r="T135" s="150">
        <v>113.042</v>
      </c>
      <c r="U135" s="164">
        <v>1.9999999999999999E-6</v>
      </c>
      <c r="V135" s="164">
        <v>9.2099389539494498E-3</v>
      </c>
      <c r="W135" s="164">
        <v>3.9044718436831798E-3</v>
      </c>
    </row>
    <row r="136" spans="1:23">
      <c r="A136" s="2" t="s">
        <v>119</v>
      </c>
      <c r="B136" s="2">
        <v>12905</v>
      </c>
      <c r="C136" s="2" t="s">
        <v>1658</v>
      </c>
      <c r="D136" s="2" t="s">
        <v>1659</v>
      </c>
      <c r="E136" s="4" t="s">
        <v>362</v>
      </c>
      <c r="F136" s="2" t="s">
        <v>1660</v>
      </c>
      <c r="G136" s="2" t="s">
        <v>1661</v>
      </c>
      <c r="H136" s="2" t="s">
        <v>368</v>
      </c>
      <c r="I136" s="2" t="s">
        <v>1026</v>
      </c>
      <c r="J136" s="2" t="s">
        <v>100</v>
      </c>
      <c r="K136" s="2" t="s">
        <v>101</v>
      </c>
      <c r="L136" s="2" t="s">
        <v>391</v>
      </c>
      <c r="M136" s="2" t="s">
        <v>781</v>
      </c>
      <c r="N136" s="2" t="s">
        <v>164</v>
      </c>
      <c r="O136" s="2" t="s">
        <v>105</v>
      </c>
      <c r="P136" s="152">
        <v>195</v>
      </c>
      <c r="Q136" s="150">
        <v>3.681</v>
      </c>
      <c r="R136" s="150">
        <v>5454</v>
      </c>
      <c r="T136" s="150">
        <v>39.149000000000001</v>
      </c>
      <c r="U136" s="164">
        <v>3.4E-5</v>
      </c>
      <c r="V136" s="164">
        <v>3.18956834572538E-3</v>
      </c>
      <c r="W136" s="164">
        <v>1.3521891797173601E-3</v>
      </c>
    </row>
    <row r="137" spans="1:23">
      <c r="A137" s="2" t="s">
        <v>119</v>
      </c>
      <c r="B137" s="2">
        <v>12905</v>
      </c>
      <c r="C137" s="2" t="s">
        <v>1635</v>
      </c>
      <c r="D137" s="2" t="s">
        <v>1636</v>
      </c>
      <c r="E137" s="4" t="s">
        <v>362</v>
      </c>
      <c r="F137" s="2" t="s">
        <v>1662</v>
      </c>
      <c r="G137" s="2" t="s">
        <v>1663</v>
      </c>
      <c r="H137" s="2" t="s">
        <v>368</v>
      </c>
      <c r="I137" s="2" t="s">
        <v>1026</v>
      </c>
      <c r="J137" s="2" t="s">
        <v>100</v>
      </c>
      <c r="K137" s="2" t="s">
        <v>101</v>
      </c>
      <c r="L137" s="2" t="s">
        <v>391</v>
      </c>
      <c r="M137" s="2" t="s">
        <v>781</v>
      </c>
      <c r="N137" s="2" t="s">
        <v>164</v>
      </c>
      <c r="O137" s="2" t="s">
        <v>105</v>
      </c>
      <c r="P137" s="152">
        <v>1335</v>
      </c>
      <c r="Q137" s="150">
        <v>3.681</v>
      </c>
      <c r="R137" s="150">
        <v>42.12</v>
      </c>
      <c r="T137" s="150">
        <v>206.983</v>
      </c>
      <c r="U137" s="164">
        <v>9.9999999999999995E-7</v>
      </c>
      <c r="V137" s="164">
        <v>1.6863658382349999E-2</v>
      </c>
      <c r="W137" s="164">
        <v>7.1491982373175396E-3</v>
      </c>
    </row>
    <row r="138" spans="1:23">
      <c r="A138" s="2" t="s">
        <v>119</v>
      </c>
      <c r="B138" s="2">
        <v>12905</v>
      </c>
      <c r="C138" s="2" t="s">
        <v>1664</v>
      </c>
      <c r="D138" s="2" t="s">
        <v>1665</v>
      </c>
      <c r="E138" s="4" t="s">
        <v>362</v>
      </c>
      <c r="F138" s="2" t="s">
        <v>1668</v>
      </c>
      <c r="G138" s="2" t="s">
        <v>1669</v>
      </c>
      <c r="H138" s="2" t="s">
        <v>368</v>
      </c>
      <c r="I138" s="2" t="s">
        <v>1026</v>
      </c>
      <c r="J138" s="2" t="s">
        <v>100</v>
      </c>
      <c r="K138" s="2" t="s">
        <v>346</v>
      </c>
      <c r="L138" s="2" t="s">
        <v>393</v>
      </c>
      <c r="M138" s="2" t="s">
        <v>781</v>
      </c>
      <c r="N138" s="2" t="s">
        <v>164</v>
      </c>
      <c r="O138" s="2" t="s">
        <v>105</v>
      </c>
      <c r="P138" s="152">
        <v>143</v>
      </c>
      <c r="Q138" s="150">
        <v>3.681</v>
      </c>
      <c r="R138" s="150">
        <v>11461</v>
      </c>
      <c r="T138" s="150">
        <v>60.329000000000001</v>
      </c>
      <c r="U138" s="164">
        <v>2.0000000000000002E-5</v>
      </c>
      <c r="V138" s="164">
        <v>4.91519460840905E-3</v>
      </c>
      <c r="W138" s="164">
        <v>2.0837531117974301E-3</v>
      </c>
    </row>
    <row r="139" spans="1:23">
      <c r="A139" s="2" t="s">
        <v>119</v>
      </c>
      <c r="B139" s="2">
        <v>12905</v>
      </c>
      <c r="C139" s="2" t="s">
        <v>1770</v>
      </c>
      <c r="D139" s="2" t="s">
        <v>1771</v>
      </c>
      <c r="E139" s="4" t="s">
        <v>362</v>
      </c>
      <c r="F139" s="2" t="s">
        <v>1772</v>
      </c>
      <c r="G139" s="2" t="s">
        <v>1773</v>
      </c>
      <c r="H139" s="2" t="s">
        <v>368</v>
      </c>
      <c r="I139" s="2" t="s">
        <v>1026</v>
      </c>
      <c r="J139" s="2" t="s">
        <v>100</v>
      </c>
      <c r="K139" s="2" t="s">
        <v>101</v>
      </c>
      <c r="L139" s="2" t="s">
        <v>393</v>
      </c>
      <c r="M139" s="2" t="s">
        <v>781</v>
      </c>
      <c r="N139" s="2" t="s">
        <v>164</v>
      </c>
      <c r="O139" s="2" t="s">
        <v>105</v>
      </c>
      <c r="P139" s="152">
        <v>652</v>
      </c>
      <c r="Q139" s="150">
        <v>3.681</v>
      </c>
      <c r="R139" s="150">
        <v>2337.64</v>
      </c>
      <c r="T139" s="150">
        <v>56.103999999999999</v>
      </c>
      <c r="U139" s="164">
        <v>0</v>
      </c>
      <c r="V139" s="164">
        <v>4.5709597106817603E-3</v>
      </c>
      <c r="W139" s="164">
        <v>1.9378177833973399E-3</v>
      </c>
    </row>
    <row r="140" spans="1:23">
      <c r="A140" s="2" t="s">
        <v>119</v>
      </c>
      <c r="B140" s="2">
        <v>12905</v>
      </c>
      <c r="C140" s="2" t="s">
        <v>1670</v>
      </c>
      <c r="D140" s="2" t="s">
        <v>1671</v>
      </c>
      <c r="E140" s="4" t="s">
        <v>362</v>
      </c>
      <c r="F140" s="2" t="s">
        <v>1672</v>
      </c>
      <c r="G140" s="2" t="s">
        <v>1673</v>
      </c>
      <c r="H140" s="2" t="s">
        <v>368</v>
      </c>
      <c r="I140" s="2" t="s">
        <v>1026</v>
      </c>
      <c r="J140" s="2" t="s">
        <v>100</v>
      </c>
      <c r="K140" s="2" t="s">
        <v>101</v>
      </c>
      <c r="L140" s="2" t="s">
        <v>391</v>
      </c>
      <c r="M140" s="2" t="s">
        <v>781</v>
      </c>
      <c r="N140" s="2" t="s">
        <v>164</v>
      </c>
      <c r="O140" s="2" t="s">
        <v>105</v>
      </c>
      <c r="P140" s="152">
        <v>863</v>
      </c>
      <c r="Q140" s="150">
        <v>3.681</v>
      </c>
      <c r="R140" s="150">
        <v>3162</v>
      </c>
      <c r="T140" s="150">
        <v>100.447</v>
      </c>
      <c r="U140" s="164">
        <v>1.9999999999999999E-6</v>
      </c>
      <c r="V140" s="164">
        <v>8.1837966387647704E-3</v>
      </c>
      <c r="W140" s="164">
        <v>3.4694479203669099E-3</v>
      </c>
    </row>
    <row r="141" spans="1:23">
      <c r="A141" s="2" t="s">
        <v>119</v>
      </c>
      <c r="B141" s="2">
        <v>12905</v>
      </c>
      <c r="C141" s="2" t="s">
        <v>1635</v>
      </c>
      <c r="D141" s="2" t="s">
        <v>1636</v>
      </c>
      <c r="E141" s="4" t="s">
        <v>362</v>
      </c>
      <c r="F141" s="2" t="s">
        <v>1678</v>
      </c>
      <c r="G141" s="2" t="s">
        <v>1679</v>
      </c>
      <c r="H141" s="2" t="s">
        <v>368</v>
      </c>
      <c r="I141" s="2" t="s">
        <v>1026</v>
      </c>
      <c r="J141" s="2" t="s">
        <v>100</v>
      </c>
      <c r="K141" s="2" t="s">
        <v>101</v>
      </c>
      <c r="L141" s="2" t="s">
        <v>391</v>
      </c>
      <c r="M141" s="2" t="s">
        <v>781</v>
      </c>
      <c r="N141" s="2" t="s">
        <v>164</v>
      </c>
      <c r="O141" s="2" t="s">
        <v>105</v>
      </c>
      <c r="P141" s="152">
        <v>1013</v>
      </c>
      <c r="Q141" s="150">
        <v>3.681</v>
      </c>
      <c r="R141" s="150">
        <v>147.72999999999999</v>
      </c>
      <c r="T141" s="150">
        <v>550.86300000000006</v>
      </c>
      <c r="U141" s="164">
        <v>3.0000000000000001E-6</v>
      </c>
      <c r="V141" s="164">
        <v>4.4880771188992599E-2</v>
      </c>
      <c r="W141" s="164">
        <v>1.90268044453284E-2</v>
      </c>
    </row>
    <row r="142" spans="1:23">
      <c r="A142" s="2" t="s">
        <v>119</v>
      </c>
      <c r="B142" s="2">
        <v>12905</v>
      </c>
      <c r="C142" s="2" t="s">
        <v>1680</v>
      </c>
      <c r="D142" s="2" t="s">
        <v>1681</v>
      </c>
      <c r="E142" s="4" t="s">
        <v>362</v>
      </c>
      <c r="F142" s="2" t="s">
        <v>1682</v>
      </c>
      <c r="G142" s="2" t="s">
        <v>1683</v>
      </c>
      <c r="H142" s="2" t="s">
        <v>368</v>
      </c>
      <c r="I142" s="2" t="s">
        <v>1026</v>
      </c>
      <c r="J142" s="2" t="s">
        <v>100</v>
      </c>
      <c r="K142" s="2" t="s">
        <v>332</v>
      </c>
      <c r="L142" s="2" t="s">
        <v>1684</v>
      </c>
      <c r="M142" s="2" t="s">
        <v>781</v>
      </c>
      <c r="N142" s="2" t="s">
        <v>164</v>
      </c>
      <c r="O142" s="2" t="s">
        <v>1221</v>
      </c>
      <c r="P142" s="152">
        <v>430</v>
      </c>
      <c r="Q142" s="150">
        <v>2.7120000000000002</v>
      </c>
      <c r="R142" s="150">
        <v>5675</v>
      </c>
      <c r="T142" s="150">
        <v>66.183999999999997</v>
      </c>
      <c r="U142" s="164">
        <v>6.0000000000000002E-6</v>
      </c>
      <c r="V142" s="164">
        <v>5.3922793535674E-3</v>
      </c>
      <c r="W142" s="164">
        <v>2.28600895343064E-3</v>
      </c>
    </row>
    <row r="143" spans="1:23">
      <c r="A143" s="2" t="s">
        <v>119</v>
      </c>
      <c r="B143" s="2">
        <v>12905</v>
      </c>
      <c r="C143" s="2" t="s">
        <v>1658</v>
      </c>
      <c r="D143" s="2" t="s">
        <v>1659</v>
      </c>
      <c r="E143" s="4" t="s">
        <v>362</v>
      </c>
      <c r="F143" s="2" t="s">
        <v>1685</v>
      </c>
      <c r="G143" s="2" t="s">
        <v>1686</v>
      </c>
      <c r="H143" s="2" t="s">
        <v>368</v>
      </c>
      <c r="I143" s="2" t="s">
        <v>1028</v>
      </c>
      <c r="J143" s="2" t="s">
        <v>100</v>
      </c>
      <c r="K143" s="2" t="s">
        <v>1649</v>
      </c>
      <c r="L143" s="2" t="s">
        <v>426</v>
      </c>
      <c r="M143" s="2" t="s">
        <v>778</v>
      </c>
      <c r="N143" s="2" t="s">
        <v>164</v>
      </c>
      <c r="O143" s="2" t="s">
        <v>105</v>
      </c>
      <c r="P143" s="152">
        <v>871</v>
      </c>
      <c r="Q143" s="150">
        <v>3.681</v>
      </c>
      <c r="R143" s="150">
        <v>44.09</v>
      </c>
      <c r="T143" s="150">
        <v>141.35900000000001</v>
      </c>
      <c r="U143" s="164">
        <v>0</v>
      </c>
      <c r="V143" s="164">
        <v>1.1517027967636199E-2</v>
      </c>
      <c r="W143" s="164">
        <v>4.88254174619299E-3</v>
      </c>
    </row>
    <row r="144" spans="1:23">
      <c r="A144" s="2" t="s">
        <v>119</v>
      </c>
      <c r="B144" s="2">
        <v>12905</v>
      </c>
      <c r="C144" s="2" t="s">
        <v>1658</v>
      </c>
      <c r="D144" s="2" t="s">
        <v>1659</v>
      </c>
      <c r="E144" s="4" t="s">
        <v>362</v>
      </c>
      <c r="F144" s="2" t="s">
        <v>1687</v>
      </c>
      <c r="G144" s="2" t="s">
        <v>1688</v>
      </c>
      <c r="H144" s="2" t="s">
        <v>368</v>
      </c>
      <c r="I144" s="2" t="s">
        <v>1026</v>
      </c>
      <c r="J144" s="2" t="s">
        <v>100</v>
      </c>
      <c r="K144" s="2" t="s">
        <v>101</v>
      </c>
      <c r="L144" s="2" t="s">
        <v>391</v>
      </c>
      <c r="M144" s="2" t="s">
        <v>781</v>
      </c>
      <c r="N144" s="2" t="s">
        <v>164</v>
      </c>
      <c r="O144" s="2" t="s">
        <v>105</v>
      </c>
      <c r="P144" s="152">
        <v>210</v>
      </c>
      <c r="Q144" s="150">
        <v>3.681</v>
      </c>
      <c r="R144" s="150">
        <v>5859</v>
      </c>
      <c r="T144" s="150">
        <v>45.290999999999997</v>
      </c>
      <c r="U144" s="164">
        <v>1.9999999999999999E-6</v>
      </c>
      <c r="V144" s="164">
        <v>3.68998805571733E-3</v>
      </c>
      <c r="W144" s="164">
        <v>1.56433767249861E-3</v>
      </c>
    </row>
    <row r="145" spans="1:23">
      <c r="A145" s="2" t="s">
        <v>119</v>
      </c>
      <c r="B145" s="2">
        <v>12905</v>
      </c>
      <c r="C145" s="2" t="s">
        <v>1635</v>
      </c>
      <c r="D145" s="2" t="s">
        <v>1636</v>
      </c>
      <c r="E145" s="4" t="s">
        <v>362</v>
      </c>
      <c r="F145" s="2" t="s">
        <v>1689</v>
      </c>
      <c r="G145" s="2" t="s">
        <v>1690</v>
      </c>
      <c r="H145" s="2" t="s">
        <v>368</v>
      </c>
      <c r="I145" s="2" t="s">
        <v>1026</v>
      </c>
      <c r="J145" s="2" t="s">
        <v>100</v>
      </c>
      <c r="K145" s="2" t="s">
        <v>101</v>
      </c>
      <c r="L145" s="2" t="s">
        <v>391</v>
      </c>
      <c r="M145" s="2" t="s">
        <v>781</v>
      </c>
      <c r="N145" s="2" t="s">
        <v>164</v>
      </c>
      <c r="O145" s="2" t="s">
        <v>105</v>
      </c>
      <c r="P145" s="152">
        <v>461</v>
      </c>
      <c r="Q145" s="150">
        <v>3.681</v>
      </c>
      <c r="R145" s="150">
        <v>125.96</v>
      </c>
      <c r="T145" s="150">
        <v>213.74700000000001</v>
      </c>
      <c r="U145" s="164">
        <v>3.0000000000000001E-6</v>
      </c>
      <c r="V145" s="164">
        <v>1.7414689880822301E-2</v>
      </c>
      <c r="W145" s="164">
        <v>7.3828031484385699E-3</v>
      </c>
    </row>
    <row r="146" spans="1:23">
      <c r="A146" s="2" t="s">
        <v>119</v>
      </c>
      <c r="B146" s="2">
        <v>12905</v>
      </c>
      <c r="C146" s="2" t="s">
        <v>1575</v>
      </c>
      <c r="D146" s="2" t="s">
        <v>1576</v>
      </c>
      <c r="E146" s="4" t="s">
        <v>362</v>
      </c>
      <c r="F146" s="2" t="s">
        <v>1691</v>
      </c>
      <c r="G146" s="2" t="s">
        <v>1692</v>
      </c>
      <c r="H146" s="2" t="s">
        <v>368</v>
      </c>
      <c r="I146" s="2" t="s">
        <v>1028</v>
      </c>
      <c r="J146" s="2" t="s">
        <v>100</v>
      </c>
      <c r="K146" s="2" t="s">
        <v>101</v>
      </c>
      <c r="L146" s="2" t="s">
        <v>426</v>
      </c>
      <c r="M146" s="2" t="s">
        <v>778</v>
      </c>
      <c r="N146" s="2" t="s">
        <v>164</v>
      </c>
      <c r="O146" s="2" t="s">
        <v>105</v>
      </c>
      <c r="P146" s="152">
        <v>5261</v>
      </c>
      <c r="Q146" s="150">
        <v>3.681</v>
      </c>
      <c r="R146" s="150">
        <v>2769.5</v>
      </c>
      <c r="T146" s="150">
        <v>536.33399999999995</v>
      </c>
      <c r="U146" s="164">
        <v>0</v>
      </c>
      <c r="V146" s="164">
        <v>4.3697021857091199E-2</v>
      </c>
      <c r="W146" s="164">
        <v>1.85249644266814E-2</v>
      </c>
    </row>
    <row r="147" spans="1:23">
      <c r="A147" s="2" t="s">
        <v>119</v>
      </c>
      <c r="B147" s="2">
        <v>12905</v>
      </c>
      <c r="C147" s="2" t="s">
        <v>1658</v>
      </c>
      <c r="D147" s="2" t="s">
        <v>1659</v>
      </c>
      <c r="E147" s="4" t="s">
        <v>362</v>
      </c>
      <c r="F147" s="2" t="s">
        <v>1693</v>
      </c>
      <c r="G147" s="2" t="s">
        <v>1694</v>
      </c>
      <c r="H147" s="2" t="s">
        <v>368</v>
      </c>
      <c r="I147" s="2" t="s">
        <v>1026</v>
      </c>
      <c r="J147" s="2" t="s">
        <v>100</v>
      </c>
      <c r="K147" s="2" t="s">
        <v>283</v>
      </c>
      <c r="L147" s="2" t="s">
        <v>426</v>
      </c>
      <c r="M147" s="2" t="s">
        <v>781</v>
      </c>
      <c r="N147" s="2" t="s">
        <v>164</v>
      </c>
      <c r="O147" s="2" t="s">
        <v>1223</v>
      </c>
      <c r="P147" s="152">
        <v>5066</v>
      </c>
      <c r="Q147" s="150">
        <v>4.6539999999999999</v>
      </c>
      <c r="R147" s="150">
        <v>777.2</v>
      </c>
      <c r="T147" s="150">
        <v>183.22200000000001</v>
      </c>
      <c r="U147" s="164">
        <v>7.9999999999999996E-6</v>
      </c>
      <c r="V147" s="164">
        <v>1.49277394349093E-2</v>
      </c>
      <c r="W147" s="164">
        <v>6.32848258874163E-3</v>
      </c>
    </row>
    <row r="148" spans="1:23">
      <c r="A148" s="2" t="s">
        <v>119</v>
      </c>
      <c r="B148" s="2">
        <v>12905</v>
      </c>
      <c r="C148" s="2" t="s">
        <v>1658</v>
      </c>
      <c r="D148" s="2" t="s">
        <v>1659</v>
      </c>
      <c r="E148" s="4" t="s">
        <v>362</v>
      </c>
      <c r="F148" s="2" t="s">
        <v>1695</v>
      </c>
      <c r="G148" s="2" t="s">
        <v>1696</v>
      </c>
      <c r="H148" s="2" t="s">
        <v>368</v>
      </c>
      <c r="I148" s="2" t="s">
        <v>1028</v>
      </c>
      <c r="J148" s="2" t="s">
        <v>100</v>
      </c>
      <c r="K148" s="2" t="s">
        <v>101</v>
      </c>
      <c r="L148" s="2" t="s">
        <v>426</v>
      </c>
      <c r="M148" s="2" t="s">
        <v>778</v>
      </c>
      <c r="N148" s="2" t="s">
        <v>164</v>
      </c>
      <c r="O148" s="2" t="s">
        <v>105</v>
      </c>
      <c r="P148" s="152">
        <v>1302</v>
      </c>
      <c r="Q148" s="150">
        <v>3.681</v>
      </c>
      <c r="R148" s="150">
        <v>9423</v>
      </c>
      <c r="T148" s="150">
        <v>451.613</v>
      </c>
      <c r="U148" s="164">
        <v>4.1999999999999998E-5</v>
      </c>
      <c r="V148" s="164">
        <v>3.6794452327010001E-2</v>
      </c>
      <c r="W148" s="164">
        <v>1.55986813629147E-2</v>
      </c>
    </row>
    <row r="149" spans="1:23">
      <c r="A149" s="2" t="s">
        <v>119</v>
      </c>
      <c r="B149" s="2">
        <v>12905</v>
      </c>
      <c r="C149" s="2" t="s">
        <v>1658</v>
      </c>
      <c r="D149" s="2" t="s">
        <v>1659</v>
      </c>
      <c r="E149" s="4" t="s">
        <v>362</v>
      </c>
      <c r="F149" s="2" t="s">
        <v>1697</v>
      </c>
      <c r="G149" s="2" t="s">
        <v>1698</v>
      </c>
      <c r="H149" s="2" t="s">
        <v>368</v>
      </c>
      <c r="I149" s="2" t="s">
        <v>1026</v>
      </c>
      <c r="J149" s="2" t="s">
        <v>100</v>
      </c>
      <c r="K149" s="2" t="s">
        <v>318</v>
      </c>
      <c r="L149" s="2" t="s">
        <v>391</v>
      </c>
      <c r="M149" s="2" t="s">
        <v>781</v>
      </c>
      <c r="N149" s="2" t="s">
        <v>164</v>
      </c>
      <c r="O149" s="2" t="s">
        <v>105</v>
      </c>
      <c r="P149" s="152">
        <v>400</v>
      </c>
      <c r="Q149" s="150">
        <v>3.681</v>
      </c>
      <c r="R149" s="150">
        <v>24.07</v>
      </c>
      <c r="T149" s="150">
        <v>35.441000000000003</v>
      </c>
      <c r="U149" s="164">
        <v>1.9999999999999999E-6</v>
      </c>
      <c r="V149" s="164">
        <v>2.8874751095544098E-3</v>
      </c>
      <c r="W149" s="164">
        <v>1.22411943455462E-3</v>
      </c>
    </row>
    <row r="150" spans="1:23">
      <c r="A150" s="2" t="s">
        <v>119</v>
      </c>
      <c r="B150" s="2">
        <v>12905</v>
      </c>
      <c r="C150" s="2" t="s">
        <v>1658</v>
      </c>
      <c r="D150" s="2" t="s">
        <v>1659</v>
      </c>
      <c r="E150" s="4" t="s">
        <v>362</v>
      </c>
      <c r="F150" s="2" t="s">
        <v>1699</v>
      </c>
      <c r="G150" s="2" t="s">
        <v>1700</v>
      </c>
      <c r="H150" s="2" t="s">
        <v>368</v>
      </c>
      <c r="I150" s="2" t="s">
        <v>1028</v>
      </c>
      <c r="J150" s="2" t="s">
        <v>100</v>
      </c>
      <c r="K150" s="2" t="s">
        <v>271</v>
      </c>
      <c r="L150" s="2" t="s">
        <v>426</v>
      </c>
      <c r="M150" s="2" t="s">
        <v>778</v>
      </c>
      <c r="N150" s="2" t="s">
        <v>164</v>
      </c>
      <c r="O150" s="2" t="s">
        <v>105</v>
      </c>
      <c r="P150" s="152">
        <v>6921</v>
      </c>
      <c r="Q150" s="150">
        <v>3.681</v>
      </c>
      <c r="R150" s="150">
        <v>590.6</v>
      </c>
      <c r="T150" s="150">
        <v>150.46199999999999</v>
      </c>
      <c r="U150" s="164">
        <v>0</v>
      </c>
      <c r="V150" s="164">
        <v>1.22587012014368E-2</v>
      </c>
      <c r="W150" s="164">
        <v>5.1969675282820199E-3</v>
      </c>
    </row>
    <row r="151" spans="1:23">
      <c r="A151" s="2" t="s">
        <v>119</v>
      </c>
      <c r="B151" s="2">
        <v>12905</v>
      </c>
      <c r="C151" s="2" t="s">
        <v>1658</v>
      </c>
      <c r="D151" s="2" t="s">
        <v>1659</v>
      </c>
      <c r="E151" s="4" t="s">
        <v>362</v>
      </c>
      <c r="F151" s="2" t="s">
        <v>1813</v>
      </c>
      <c r="G151" s="2" t="s">
        <v>1814</v>
      </c>
      <c r="H151" s="2" t="s">
        <v>368</v>
      </c>
      <c r="I151" s="2" t="s">
        <v>1026</v>
      </c>
      <c r="J151" s="2" t="s">
        <v>100</v>
      </c>
      <c r="K151" s="2" t="s">
        <v>346</v>
      </c>
      <c r="L151" s="2" t="s">
        <v>393</v>
      </c>
      <c r="M151" s="2" t="s">
        <v>781</v>
      </c>
      <c r="N151" s="2" t="s">
        <v>164</v>
      </c>
      <c r="O151" s="2" t="s">
        <v>105</v>
      </c>
      <c r="P151" s="152">
        <v>1298</v>
      </c>
      <c r="Q151" s="150">
        <v>3.681</v>
      </c>
      <c r="R151" s="150">
        <v>11013</v>
      </c>
      <c r="T151" s="150">
        <v>526.19399999999996</v>
      </c>
      <c r="U151" s="164">
        <v>6.0000000000000002E-6</v>
      </c>
      <c r="V151" s="164">
        <v>4.2870889976336202E-2</v>
      </c>
      <c r="W151" s="164">
        <v>1.8174733151131699E-2</v>
      </c>
    </row>
    <row r="152" spans="1:23">
      <c r="A152" s="2" t="s">
        <v>119</v>
      </c>
      <c r="B152" s="2">
        <v>12905</v>
      </c>
      <c r="C152" s="2" t="s">
        <v>1658</v>
      </c>
      <c r="D152" s="2" t="s">
        <v>1659</v>
      </c>
      <c r="E152" s="4" t="s">
        <v>362</v>
      </c>
      <c r="F152" s="2" t="s">
        <v>1701</v>
      </c>
      <c r="G152" s="2" t="s">
        <v>1702</v>
      </c>
      <c r="H152" s="2" t="s">
        <v>368</v>
      </c>
      <c r="I152" s="2" t="s">
        <v>1026</v>
      </c>
      <c r="J152" s="2" t="s">
        <v>100</v>
      </c>
      <c r="K152" s="2" t="s">
        <v>101</v>
      </c>
      <c r="L152" s="2" t="s">
        <v>393</v>
      </c>
      <c r="M152" s="2" t="s">
        <v>781</v>
      </c>
      <c r="N152" s="2" t="s">
        <v>164</v>
      </c>
      <c r="O152" s="2" t="s">
        <v>105</v>
      </c>
      <c r="P152" s="152">
        <v>302</v>
      </c>
      <c r="Q152" s="150">
        <v>3.681</v>
      </c>
      <c r="R152" s="150">
        <v>5757</v>
      </c>
      <c r="T152" s="150">
        <v>63.997999999999998</v>
      </c>
      <c r="U152" s="164">
        <v>0</v>
      </c>
      <c r="V152" s="164">
        <v>5.2141718426701603E-3</v>
      </c>
      <c r="W152" s="164">
        <v>2.21050185561773E-3</v>
      </c>
    </row>
    <row r="153" spans="1:23">
      <c r="A153" s="2" t="s">
        <v>119</v>
      </c>
      <c r="B153" s="2">
        <v>12905</v>
      </c>
      <c r="C153" s="2" t="s">
        <v>1658</v>
      </c>
      <c r="D153" s="2" t="s">
        <v>1659</v>
      </c>
      <c r="E153" s="4" t="s">
        <v>362</v>
      </c>
      <c r="F153" s="2" t="s">
        <v>1703</v>
      </c>
      <c r="G153" s="2" t="s">
        <v>1704</v>
      </c>
      <c r="H153" s="2" t="s">
        <v>368</v>
      </c>
      <c r="I153" s="2" t="s">
        <v>1026</v>
      </c>
      <c r="J153" s="2" t="s">
        <v>100</v>
      </c>
      <c r="K153" s="2" t="s">
        <v>101</v>
      </c>
      <c r="L153" s="2" t="s">
        <v>391</v>
      </c>
      <c r="M153" s="2" t="s">
        <v>781</v>
      </c>
      <c r="N153" s="2" t="s">
        <v>164</v>
      </c>
      <c r="O153" s="2" t="s">
        <v>105</v>
      </c>
      <c r="P153" s="152">
        <v>250</v>
      </c>
      <c r="Q153" s="150">
        <v>3.681</v>
      </c>
      <c r="R153" s="150">
        <v>11601</v>
      </c>
      <c r="T153" s="150">
        <v>106.758</v>
      </c>
      <c r="U153" s="164">
        <v>5.3999999999999998E-5</v>
      </c>
      <c r="V153" s="164">
        <v>8.6979639452484103E-3</v>
      </c>
      <c r="W153" s="164">
        <v>3.6874245846147099E-3</v>
      </c>
    </row>
    <row r="154" spans="1:23">
      <c r="A154" s="2" t="s">
        <v>119</v>
      </c>
      <c r="B154" s="2">
        <v>12905</v>
      </c>
      <c r="C154" s="2" t="s">
        <v>1658</v>
      </c>
      <c r="D154" s="2" t="s">
        <v>1659</v>
      </c>
      <c r="E154" s="4" t="s">
        <v>362</v>
      </c>
      <c r="F154" s="2" t="s">
        <v>1705</v>
      </c>
      <c r="G154" s="2" t="s">
        <v>1706</v>
      </c>
      <c r="H154" s="2" t="s">
        <v>368</v>
      </c>
      <c r="I154" s="2" t="s">
        <v>1028</v>
      </c>
      <c r="J154" s="2" t="s">
        <v>100</v>
      </c>
      <c r="K154" s="2" t="s">
        <v>101</v>
      </c>
      <c r="L154" s="2" t="s">
        <v>426</v>
      </c>
      <c r="M154" s="2" t="s">
        <v>778</v>
      </c>
      <c r="N154" s="2" t="s">
        <v>164</v>
      </c>
      <c r="O154" s="2" t="s">
        <v>105</v>
      </c>
      <c r="P154" s="152">
        <v>6197</v>
      </c>
      <c r="Q154" s="150">
        <v>3.681</v>
      </c>
      <c r="R154" s="150">
        <v>571.15</v>
      </c>
      <c r="T154" s="150">
        <v>130.286</v>
      </c>
      <c r="U154" s="164">
        <v>0</v>
      </c>
      <c r="V154" s="164">
        <v>1.0614849595419499E-2</v>
      </c>
      <c r="W154" s="164">
        <v>4.5000712358114602E-3</v>
      </c>
    </row>
    <row r="155" spans="1:23">
      <c r="A155" s="2" t="s">
        <v>119</v>
      </c>
      <c r="B155" s="2">
        <v>12905</v>
      </c>
      <c r="C155" s="2" t="s">
        <v>1707</v>
      </c>
      <c r="D155" s="2" t="s">
        <v>1708</v>
      </c>
      <c r="E155" s="4" t="s">
        <v>362</v>
      </c>
      <c r="F155" s="2" t="s">
        <v>1709</v>
      </c>
      <c r="G155" s="2" t="s">
        <v>1710</v>
      </c>
      <c r="H155" s="2" t="s">
        <v>368</v>
      </c>
      <c r="I155" s="2" t="s">
        <v>1026</v>
      </c>
      <c r="J155" s="2" t="s">
        <v>100</v>
      </c>
      <c r="K155" s="2" t="s">
        <v>331</v>
      </c>
      <c r="L155" s="2" t="s">
        <v>411</v>
      </c>
      <c r="M155" s="2" t="s">
        <v>781</v>
      </c>
      <c r="N155" s="2" t="s">
        <v>164</v>
      </c>
      <c r="O155" s="2" t="s">
        <v>1224</v>
      </c>
      <c r="P155" s="152">
        <v>1165</v>
      </c>
      <c r="Q155" s="150">
        <v>3.9790000000000001</v>
      </c>
      <c r="R155" s="150">
        <v>8097</v>
      </c>
      <c r="T155" s="150">
        <v>375.34899999999999</v>
      </c>
      <c r="U155" s="164">
        <v>1.8E-5</v>
      </c>
      <c r="V155" s="164">
        <v>3.05809708298562E-2</v>
      </c>
      <c r="W155" s="164">
        <v>1.29645310522354E-2</v>
      </c>
    </row>
    <row r="156" spans="1:23">
      <c r="A156" s="2" t="s">
        <v>119</v>
      </c>
      <c r="B156" s="2">
        <v>12905</v>
      </c>
      <c r="C156" s="2" t="s">
        <v>1707</v>
      </c>
      <c r="D156" s="2" t="s">
        <v>1708</v>
      </c>
      <c r="E156" s="4" t="s">
        <v>362</v>
      </c>
      <c r="F156" s="2" t="s">
        <v>1711</v>
      </c>
      <c r="G156" s="2" t="s">
        <v>1712</v>
      </c>
      <c r="H156" s="2" t="s">
        <v>368</v>
      </c>
      <c r="I156" s="2" t="s">
        <v>1026</v>
      </c>
      <c r="J156" s="2" t="s">
        <v>100</v>
      </c>
      <c r="K156" s="2" t="s">
        <v>331</v>
      </c>
      <c r="L156" s="2" t="s">
        <v>411</v>
      </c>
      <c r="M156" s="2" t="s">
        <v>781</v>
      </c>
      <c r="N156" s="2" t="s">
        <v>164</v>
      </c>
      <c r="O156" s="2" t="s">
        <v>1224</v>
      </c>
      <c r="P156" s="152">
        <v>78</v>
      </c>
      <c r="Q156" s="150">
        <v>3.9790000000000001</v>
      </c>
      <c r="R156" s="150">
        <v>14783</v>
      </c>
      <c r="T156" s="150">
        <v>45.881999999999998</v>
      </c>
      <c r="U156" s="164">
        <v>2.4000000000000001E-5</v>
      </c>
      <c r="V156" s="164">
        <v>3.7381642815482001E-3</v>
      </c>
      <c r="W156" s="164">
        <v>1.5847615556787401E-3</v>
      </c>
    </row>
    <row r="157" spans="1:23">
      <c r="A157" s="2" t="s">
        <v>119</v>
      </c>
      <c r="B157" s="2">
        <v>12905</v>
      </c>
      <c r="C157" s="2" t="s">
        <v>1713</v>
      </c>
      <c r="D157" s="2" t="s">
        <v>1714</v>
      </c>
      <c r="E157" s="4" t="s">
        <v>362</v>
      </c>
      <c r="F157" s="2" t="s">
        <v>1715</v>
      </c>
      <c r="G157" s="2" t="s">
        <v>1716</v>
      </c>
      <c r="H157" s="2" t="s">
        <v>368</v>
      </c>
      <c r="I157" s="2" t="s">
        <v>1026</v>
      </c>
      <c r="J157" s="2" t="s">
        <v>100</v>
      </c>
      <c r="K157" s="2" t="s">
        <v>1717</v>
      </c>
      <c r="L157" s="2" t="s">
        <v>391</v>
      </c>
      <c r="M157" s="2" t="s">
        <v>781</v>
      </c>
      <c r="N157" s="2" t="s">
        <v>164</v>
      </c>
      <c r="O157" s="2" t="s">
        <v>105</v>
      </c>
      <c r="P157" s="152">
        <v>136</v>
      </c>
      <c r="Q157" s="150">
        <v>3.681</v>
      </c>
      <c r="R157" s="150">
        <v>9289</v>
      </c>
      <c r="T157" s="150">
        <v>46.502000000000002</v>
      </c>
      <c r="U157" s="164">
        <v>1.9999999999999999E-6</v>
      </c>
      <c r="V157" s="164">
        <v>3.7886984376823002E-3</v>
      </c>
      <c r="W157" s="164">
        <v>1.60618506247465E-3</v>
      </c>
    </row>
    <row r="158" spans="1:23">
      <c r="A158" s="2" t="s">
        <v>119</v>
      </c>
      <c r="B158" s="2">
        <v>12905</v>
      </c>
      <c r="C158" s="2" t="s">
        <v>1658</v>
      </c>
      <c r="D158" s="2" t="s">
        <v>1659</v>
      </c>
      <c r="E158" s="4" t="s">
        <v>362</v>
      </c>
      <c r="F158" s="2" t="s">
        <v>1718</v>
      </c>
      <c r="G158" s="2" t="s">
        <v>1719</v>
      </c>
      <c r="H158" s="2" t="s">
        <v>368</v>
      </c>
      <c r="I158" s="2" t="s">
        <v>1026</v>
      </c>
      <c r="J158" s="2" t="s">
        <v>100</v>
      </c>
      <c r="K158" s="2" t="s">
        <v>318</v>
      </c>
      <c r="L158" s="2" t="s">
        <v>393</v>
      </c>
      <c r="M158" s="2" t="s">
        <v>781</v>
      </c>
      <c r="N158" s="2" t="s">
        <v>164</v>
      </c>
      <c r="O158" s="2" t="s">
        <v>105</v>
      </c>
      <c r="P158" s="152">
        <v>419</v>
      </c>
      <c r="Q158" s="150">
        <v>3.681</v>
      </c>
      <c r="R158" s="150">
        <v>3973</v>
      </c>
      <c r="T158" s="150">
        <v>61.277000000000001</v>
      </c>
      <c r="U158" s="164">
        <v>3.0000000000000001E-6</v>
      </c>
      <c r="V158" s="164">
        <v>4.9924618588479399E-3</v>
      </c>
      <c r="W158" s="164">
        <v>2.1165098765584E-3</v>
      </c>
    </row>
    <row r="159" spans="1:23">
      <c r="A159" s="2" t="s">
        <v>119</v>
      </c>
      <c r="B159" s="2">
        <v>12905</v>
      </c>
      <c r="C159" s="2" t="s">
        <v>1635</v>
      </c>
      <c r="D159" s="2" t="s">
        <v>1636</v>
      </c>
      <c r="E159" s="4" t="s">
        <v>362</v>
      </c>
      <c r="F159" s="2" t="s">
        <v>1720</v>
      </c>
      <c r="G159" s="2" t="s">
        <v>1721</v>
      </c>
      <c r="H159" s="2" t="s">
        <v>368</v>
      </c>
      <c r="I159" s="2" t="s">
        <v>1026</v>
      </c>
      <c r="J159" s="2" t="s">
        <v>100</v>
      </c>
      <c r="K159" s="2" t="s">
        <v>101</v>
      </c>
      <c r="L159" s="2" t="s">
        <v>391</v>
      </c>
      <c r="M159" s="2" t="s">
        <v>781</v>
      </c>
      <c r="N159" s="2" t="s">
        <v>164</v>
      </c>
      <c r="O159" s="2" t="s">
        <v>105</v>
      </c>
      <c r="P159" s="152">
        <v>194</v>
      </c>
      <c r="Q159" s="150">
        <v>3.681</v>
      </c>
      <c r="R159" s="150">
        <v>94.41</v>
      </c>
      <c r="T159" s="150">
        <v>67.42</v>
      </c>
      <c r="U159" s="164">
        <v>0</v>
      </c>
      <c r="V159" s="164">
        <v>5.4929025621155104E-3</v>
      </c>
      <c r="W159" s="164">
        <v>2.3286672692524502E-3</v>
      </c>
    </row>
    <row r="160" spans="1:23">
      <c r="A160" s="2" t="s">
        <v>119</v>
      </c>
      <c r="B160" s="2">
        <v>12905</v>
      </c>
      <c r="C160" s="2" t="s">
        <v>1579</v>
      </c>
      <c r="D160" s="2" t="s">
        <v>1580</v>
      </c>
      <c r="E160" s="4" t="s">
        <v>362</v>
      </c>
      <c r="F160" s="2" t="s">
        <v>1722</v>
      </c>
      <c r="G160" s="2" t="s">
        <v>1723</v>
      </c>
      <c r="H160" s="2" t="s">
        <v>368</v>
      </c>
      <c r="I160" s="2" t="s">
        <v>1026</v>
      </c>
      <c r="J160" s="2" t="s">
        <v>100</v>
      </c>
      <c r="K160" s="2" t="s">
        <v>101</v>
      </c>
      <c r="L160" s="2" t="s">
        <v>393</v>
      </c>
      <c r="M160" s="2" t="s">
        <v>781</v>
      </c>
      <c r="N160" s="2" t="s">
        <v>164</v>
      </c>
      <c r="O160" s="2" t="s">
        <v>105</v>
      </c>
      <c r="P160" s="152">
        <v>262</v>
      </c>
      <c r="Q160" s="150">
        <v>3.681</v>
      </c>
      <c r="R160" s="150">
        <v>444.01</v>
      </c>
      <c r="S160" s="155">
        <v>0.114</v>
      </c>
      <c r="T160" s="150">
        <v>428.63400000000001</v>
      </c>
      <c r="U160" s="164">
        <v>0</v>
      </c>
      <c r="V160" s="164">
        <v>3.4922272215795601E-2</v>
      </c>
      <c r="W160" s="164">
        <v>1.4804987228014301E-2</v>
      </c>
    </row>
    <row r="161" spans="1:23">
      <c r="A161" s="2" t="s">
        <v>119</v>
      </c>
      <c r="B161" s="2">
        <v>12905</v>
      </c>
      <c r="C161" s="2" t="s">
        <v>1635</v>
      </c>
      <c r="D161" s="2" t="s">
        <v>1636</v>
      </c>
      <c r="E161" s="4" t="s">
        <v>362</v>
      </c>
      <c r="F161" s="2" t="s">
        <v>1724</v>
      </c>
      <c r="G161" s="2" t="s">
        <v>1725</v>
      </c>
      <c r="H161" s="2" t="s">
        <v>368</v>
      </c>
      <c r="I161" s="2" t="s">
        <v>1026</v>
      </c>
      <c r="J161" s="2" t="s">
        <v>100</v>
      </c>
      <c r="K161" s="2" t="s">
        <v>101</v>
      </c>
      <c r="L161" s="2" t="s">
        <v>391</v>
      </c>
      <c r="M161" s="2" t="s">
        <v>781</v>
      </c>
      <c r="N161" s="2" t="s">
        <v>164</v>
      </c>
      <c r="O161" s="2" t="s">
        <v>105</v>
      </c>
      <c r="P161" s="152">
        <v>324</v>
      </c>
      <c r="Q161" s="150">
        <v>3.681</v>
      </c>
      <c r="R161" s="150">
        <v>39.53</v>
      </c>
      <c r="T161" s="150">
        <v>47.145000000000003</v>
      </c>
      <c r="U161" s="164">
        <v>5.0000000000000004E-6</v>
      </c>
      <c r="V161" s="164">
        <v>3.8410856574721802E-3</v>
      </c>
      <c r="W161" s="164">
        <v>1.6283941591539201E-3</v>
      </c>
    </row>
    <row r="162" spans="1:23">
      <c r="A162" s="2" t="s">
        <v>119</v>
      </c>
      <c r="B162" s="2">
        <v>12905</v>
      </c>
      <c r="C162" s="2" t="s">
        <v>1788</v>
      </c>
      <c r="D162" s="2" t="s">
        <v>1789</v>
      </c>
      <c r="E162" s="4" t="s">
        <v>34</v>
      </c>
      <c r="F162" s="2" t="s">
        <v>1790</v>
      </c>
      <c r="G162" s="2" t="s">
        <v>1791</v>
      </c>
      <c r="H162" s="2" t="s">
        <v>368</v>
      </c>
      <c r="I162" s="2" t="s">
        <v>1026</v>
      </c>
      <c r="J162" s="2" t="s">
        <v>100</v>
      </c>
      <c r="L162" s="2" t="s">
        <v>204</v>
      </c>
      <c r="M162" s="2" t="s">
        <v>781</v>
      </c>
      <c r="N162" s="2" t="s">
        <v>164</v>
      </c>
      <c r="O162" s="2" t="s">
        <v>1224</v>
      </c>
      <c r="P162" s="152">
        <v>230</v>
      </c>
      <c r="Q162" s="150">
        <v>3.9790000000000001</v>
      </c>
      <c r="R162" s="150">
        <v>12328</v>
      </c>
      <c r="T162" s="150">
        <v>112.825</v>
      </c>
      <c r="U162" s="164">
        <v>9.0000000000000006E-5</v>
      </c>
      <c r="V162" s="164">
        <v>9.19224657781984E-3</v>
      </c>
      <c r="W162" s="164">
        <v>3.8969713179151698E-3</v>
      </c>
    </row>
    <row r="163" spans="1:23">
      <c r="A163" s="2" t="s">
        <v>119</v>
      </c>
      <c r="B163" s="2">
        <v>12905</v>
      </c>
      <c r="C163" s="2" t="s">
        <v>1635</v>
      </c>
      <c r="D163" s="2" t="s">
        <v>1636</v>
      </c>
      <c r="E163" s="4" t="s">
        <v>362</v>
      </c>
      <c r="F163" s="2" t="s">
        <v>1726</v>
      </c>
      <c r="G163" s="2" t="s">
        <v>1727</v>
      </c>
      <c r="H163" s="2" t="s">
        <v>368</v>
      </c>
      <c r="I163" s="2" t="s">
        <v>1026</v>
      </c>
      <c r="J163" s="2" t="s">
        <v>100</v>
      </c>
      <c r="K163" s="2" t="s">
        <v>101</v>
      </c>
      <c r="L163" s="2" t="s">
        <v>391</v>
      </c>
      <c r="M163" s="2" t="s">
        <v>781</v>
      </c>
      <c r="N163" s="2" t="s">
        <v>164</v>
      </c>
      <c r="O163" s="2" t="s">
        <v>105</v>
      </c>
      <c r="P163" s="152">
        <v>152</v>
      </c>
      <c r="Q163" s="150">
        <v>3.681</v>
      </c>
      <c r="R163" s="150">
        <v>208.27</v>
      </c>
      <c r="T163" s="150">
        <v>116.53</v>
      </c>
      <c r="U163" s="164">
        <v>9.9999999999999995E-7</v>
      </c>
      <c r="V163" s="164">
        <v>9.49407094330788E-3</v>
      </c>
      <c r="W163" s="164">
        <v>4.0249270777391998E-3</v>
      </c>
    </row>
    <row r="164" spans="1:23">
      <c r="A164" s="2" t="s">
        <v>119</v>
      </c>
      <c r="B164" s="2">
        <v>12905</v>
      </c>
      <c r="C164" s="2" t="s">
        <v>1635</v>
      </c>
      <c r="D164" s="2" t="s">
        <v>1636</v>
      </c>
      <c r="E164" s="4" t="s">
        <v>362</v>
      </c>
      <c r="F164" s="2" t="s">
        <v>1728</v>
      </c>
      <c r="G164" s="2" t="s">
        <v>1729</v>
      </c>
      <c r="H164" s="2" t="s">
        <v>368</v>
      </c>
      <c r="I164" s="2" t="s">
        <v>1028</v>
      </c>
      <c r="J164" s="2" t="s">
        <v>100</v>
      </c>
      <c r="K164" s="2" t="s">
        <v>101</v>
      </c>
      <c r="L164" s="2" t="s">
        <v>393</v>
      </c>
      <c r="M164" s="2" t="s">
        <v>778</v>
      </c>
      <c r="N164" s="2" t="s">
        <v>164</v>
      </c>
      <c r="O164" s="2" t="s">
        <v>105</v>
      </c>
      <c r="P164" s="152">
        <v>1320</v>
      </c>
      <c r="Q164" s="150">
        <v>3.681</v>
      </c>
      <c r="R164" s="150">
        <v>4007.5</v>
      </c>
      <c r="T164" s="150">
        <v>194.721</v>
      </c>
      <c r="U164" s="164">
        <v>0</v>
      </c>
      <c r="V164" s="164">
        <v>1.5864618385990702E-2</v>
      </c>
      <c r="W164" s="164">
        <v>6.7256641014234496E-3</v>
      </c>
    </row>
    <row r="165" spans="1:23">
      <c r="A165" s="2" t="s">
        <v>119</v>
      </c>
      <c r="B165" s="2">
        <v>12905</v>
      </c>
      <c r="C165" s="2" t="s">
        <v>1730</v>
      </c>
      <c r="D165" s="2" t="s">
        <v>1731</v>
      </c>
      <c r="E165" s="4" t="s">
        <v>362</v>
      </c>
      <c r="F165" s="2" t="s">
        <v>1732</v>
      </c>
      <c r="G165" s="2" t="s">
        <v>1733</v>
      </c>
      <c r="H165" s="2" t="s">
        <v>368</v>
      </c>
      <c r="I165" s="2" t="s">
        <v>1028</v>
      </c>
      <c r="J165" s="2" t="s">
        <v>100</v>
      </c>
      <c r="K165" s="2" t="s">
        <v>101</v>
      </c>
      <c r="L165" s="2" t="s">
        <v>204</v>
      </c>
      <c r="M165" s="2" t="s">
        <v>778</v>
      </c>
      <c r="N165" s="2" t="s">
        <v>164</v>
      </c>
      <c r="O165" s="2" t="s">
        <v>105</v>
      </c>
      <c r="P165" s="152">
        <v>1480</v>
      </c>
      <c r="Q165" s="150">
        <v>3.681</v>
      </c>
      <c r="R165" s="150">
        <v>2522</v>
      </c>
      <c r="T165" s="150">
        <v>137.39599999999999</v>
      </c>
      <c r="U165" s="164">
        <v>9.0000000000000002E-6</v>
      </c>
      <c r="V165" s="164">
        <v>1.1194094406853299E-2</v>
      </c>
      <c r="W165" s="164">
        <v>4.7456369304540898E-3</v>
      </c>
    </row>
    <row r="166" spans="1:23">
      <c r="A166" s="2" t="s">
        <v>119</v>
      </c>
      <c r="B166" s="2">
        <v>12905</v>
      </c>
      <c r="C166" s="2" t="s">
        <v>1670</v>
      </c>
      <c r="D166" s="2" t="s">
        <v>1671</v>
      </c>
      <c r="E166" s="4" t="s">
        <v>362</v>
      </c>
      <c r="F166" s="2" t="s">
        <v>1736</v>
      </c>
      <c r="G166" s="2" t="s">
        <v>1737</v>
      </c>
      <c r="H166" s="2" t="s">
        <v>368</v>
      </c>
      <c r="I166" s="2" t="s">
        <v>1026</v>
      </c>
      <c r="J166" s="2" t="s">
        <v>100</v>
      </c>
      <c r="K166" s="2" t="s">
        <v>101</v>
      </c>
      <c r="L166" s="2" t="s">
        <v>393</v>
      </c>
      <c r="M166" s="2" t="s">
        <v>781</v>
      </c>
      <c r="N166" s="2" t="s">
        <v>164</v>
      </c>
      <c r="O166" s="2" t="s">
        <v>105</v>
      </c>
      <c r="P166" s="152">
        <v>87</v>
      </c>
      <c r="Q166" s="150">
        <v>3.681</v>
      </c>
      <c r="R166" s="150">
        <v>22499</v>
      </c>
      <c r="T166" s="150">
        <v>72.052000000000007</v>
      </c>
      <c r="U166" s="164">
        <v>3.9999999999999998E-6</v>
      </c>
      <c r="V166" s="164">
        <v>5.8703586587227101E-3</v>
      </c>
      <c r="W166" s="164">
        <v>2.4886864299437802E-3</v>
      </c>
    </row>
    <row r="167" spans="1:23">
      <c r="A167" s="2" t="s">
        <v>119</v>
      </c>
      <c r="B167" s="2">
        <v>12905</v>
      </c>
      <c r="C167" s="2" t="s">
        <v>1738</v>
      </c>
      <c r="D167" s="2" t="s">
        <v>1739</v>
      </c>
      <c r="E167" s="4" t="s">
        <v>362</v>
      </c>
      <c r="F167" s="2" t="s">
        <v>1794</v>
      </c>
      <c r="G167" s="2" t="s">
        <v>1795</v>
      </c>
      <c r="H167" s="2" t="s">
        <v>368</v>
      </c>
      <c r="I167" s="2" t="s">
        <v>1026</v>
      </c>
      <c r="J167" s="2" t="s">
        <v>100</v>
      </c>
      <c r="K167" s="2" t="s">
        <v>101</v>
      </c>
      <c r="L167" s="2" t="s">
        <v>391</v>
      </c>
      <c r="M167" s="2" t="s">
        <v>781</v>
      </c>
      <c r="N167" s="2" t="s">
        <v>164</v>
      </c>
      <c r="O167" s="2" t="s">
        <v>105</v>
      </c>
      <c r="P167" s="152">
        <v>288</v>
      </c>
      <c r="Q167" s="150">
        <v>3.681</v>
      </c>
      <c r="R167" s="150">
        <v>480.7</v>
      </c>
      <c r="T167" s="150">
        <v>509.60399999999998</v>
      </c>
      <c r="U167" s="164">
        <v>0</v>
      </c>
      <c r="V167" s="164">
        <v>4.1519180943798001E-2</v>
      </c>
      <c r="W167" s="164">
        <v>1.7601688108728399E-2</v>
      </c>
    </row>
    <row r="168" spans="1:23">
      <c r="A168" s="2" t="s">
        <v>119</v>
      </c>
      <c r="B168" s="2">
        <v>12905</v>
      </c>
      <c r="C168" s="2" t="s">
        <v>1738</v>
      </c>
      <c r="D168" s="2" t="s">
        <v>1739</v>
      </c>
      <c r="E168" s="4" t="s">
        <v>362</v>
      </c>
      <c r="F168" s="2" t="s">
        <v>1740</v>
      </c>
      <c r="G168" s="2" t="s">
        <v>1741</v>
      </c>
      <c r="H168" s="2" t="s">
        <v>368</v>
      </c>
      <c r="I168" s="2" t="s">
        <v>1026</v>
      </c>
      <c r="J168" s="2" t="s">
        <v>100</v>
      </c>
      <c r="K168" s="2" t="s">
        <v>101</v>
      </c>
      <c r="L168" s="2" t="s">
        <v>391</v>
      </c>
      <c r="M168" s="2" t="s">
        <v>781</v>
      </c>
      <c r="N168" s="2" t="s">
        <v>164</v>
      </c>
      <c r="O168" s="2" t="s">
        <v>105</v>
      </c>
      <c r="P168" s="152">
        <v>660</v>
      </c>
      <c r="Q168" s="150">
        <v>3.681</v>
      </c>
      <c r="R168" s="150">
        <v>10301</v>
      </c>
      <c r="T168" s="150">
        <v>250.25899999999999</v>
      </c>
      <c r="U168" s="164">
        <v>8.2999999999999998E-5</v>
      </c>
      <c r="V168" s="164">
        <v>2.0389449032325702E-2</v>
      </c>
      <c r="W168" s="164">
        <v>8.6439258775749105E-3</v>
      </c>
    </row>
    <row r="169" spans="1:23">
      <c r="A169" s="2" t="s">
        <v>119</v>
      </c>
      <c r="B169" s="2">
        <v>12905</v>
      </c>
      <c r="C169" s="2" t="s">
        <v>1742</v>
      </c>
      <c r="D169" s="2" t="s">
        <v>1743</v>
      </c>
      <c r="E169" s="4" t="s">
        <v>362</v>
      </c>
      <c r="F169" s="2" t="s">
        <v>1744</v>
      </c>
      <c r="G169" s="2" t="s">
        <v>1745</v>
      </c>
      <c r="H169" s="2" t="s">
        <v>368</v>
      </c>
      <c r="I169" s="2" t="s">
        <v>1026</v>
      </c>
      <c r="J169" s="2" t="s">
        <v>100</v>
      </c>
      <c r="K169" s="2" t="s">
        <v>346</v>
      </c>
      <c r="L169" s="2" t="s">
        <v>391</v>
      </c>
      <c r="M169" s="2" t="s">
        <v>781</v>
      </c>
      <c r="N169" s="2" t="s">
        <v>164</v>
      </c>
      <c r="O169" s="2" t="s">
        <v>105</v>
      </c>
      <c r="P169" s="152">
        <v>3922</v>
      </c>
      <c r="Q169" s="150">
        <v>3.681</v>
      </c>
      <c r="R169" s="150">
        <v>2946</v>
      </c>
      <c r="T169" s="150">
        <v>425.31099999999998</v>
      </c>
      <c r="U169" s="164">
        <v>4.5000000000000003E-5</v>
      </c>
      <c r="V169" s="164">
        <v>3.4651536726749997E-2</v>
      </c>
      <c r="W169" s="164">
        <v>1.46902113213172E-2</v>
      </c>
    </row>
    <row r="170" spans="1:23">
      <c r="A170" s="2" t="s">
        <v>119</v>
      </c>
      <c r="B170" s="2">
        <v>12905</v>
      </c>
      <c r="C170" s="2" t="s">
        <v>1742</v>
      </c>
      <c r="D170" s="2" t="s">
        <v>1743</v>
      </c>
      <c r="E170" s="4" t="s">
        <v>362</v>
      </c>
      <c r="F170" s="2" t="s">
        <v>1746</v>
      </c>
      <c r="G170" s="2" t="s">
        <v>1747</v>
      </c>
      <c r="H170" s="2" t="s">
        <v>368</v>
      </c>
      <c r="I170" s="2" t="s">
        <v>1026</v>
      </c>
      <c r="J170" s="2" t="s">
        <v>100</v>
      </c>
      <c r="K170" s="2" t="s">
        <v>294</v>
      </c>
      <c r="L170" s="2" t="s">
        <v>391</v>
      </c>
      <c r="M170" s="2" t="s">
        <v>781</v>
      </c>
      <c r="N170" s="2" t="s">
        <v>164</v>
      </c>
      <c r="O170" s="2" t="s">
        <v>105</v>
      </c>
      <c r="P170" s="152">
        <v>2090</v>
      </c>
      <c r="Q170" s="150">
        <v>3.681</v>
      </c>
      <c r="R170" s="150">
        <v>43.56</v>
      </c>
      <c r="T170" s="150">
        <v>335.12</v>
      </c>
      <c r="U170" s="164">
        <v>9.5000000000000005E-5</v>
      </c>
      <c r="V170" s="164">
        <v>2.7303374424997601E-2</v>
      </c>
      <c r="W170" s="164">
        <v>1.15750231584573E-2</v>
      </c>
    </row>
    <row r="171" spans="1:23">
      <c r="A171" s="2" t="s">
        <v>119</v>
      </c>
      <c r="B171" s="2">
        <v>12905</v>
      </c>
      <c r="C171" s="2" t="s">
        <v>1748</v>
      </c>
      <c r="D171" s="2" t="s">
        <v>1749</v>
      </c>
      <c r="E171" s="4" t="s">
        <v>362</v>
      </c>
      <c r="F171" s="2" t="s">
        <v>1750</v>
      </c>
      <c r="G171" s="2" t="s">
        <v>1751</v>
      </c>
      <c r="H171" s="2" t="s">
        <v>368</v>
      </c>
      <c r="I171" s="2" t="s">
        <v>1026</v>
      </c>
      <c r="J171" s="2" t="s">
        <v>100</v>
      </c>
      <c r="K171" s="2" t="s">
        <v>301</v>
      </c>
      <c r="L171" s="2" t="s">
        <v>110</v>
      </c>
      <c r="M171" s="2" t="s">
        <v>781</v>
      </c>
      <c r="N171" s="2" t="s">
        <v>164</v>
      </c>
      <c r="O171" s="2" t="s">
        <v>1224</v>
      </c>
      <c r="P171" s="152">
        <v>3740</v>
      </c>
      <c r="Q171" s="150">
        <v>3.9790000000000001</v>
      </c>
      <c r="R171" s="150">
        <v>2551.5</v>
      </c>
      <c r="T171" s="150">
        <v>379.71</v>
      </c>
      <c r="U171" s="164">
        <v>6.3E-5</v>
      </c>
      <c r="V171" s="164">
        <v>3.0936300579793401E-2</v>
      </c>
      <c r="W171" s="164">
        <v>1.3115169944717699E-2</v>
      </c>
    </row>
    <row r="172" spans="1:23">
      <c r="A172" s="2" t="s">
        <v>119</v>
      </c>
      <c r="B172" s="2">
        <v>13680</v>
      </c>
      <c r="C172" s="2" t="s">
        <v>1752</v>
      </c>
      <c r="D172" s="2" t="s">
        <v>1753</v>
      </c>
      <c r="E172" s="4" t="s">
        <v>1380</v>
      </c>
      <c r="F172" s="2" t="s">
        <v>1754</v>
      </c>
      <c r="G172" s="2" t="s">
        <v>1755</v>
      </c>
      <c r="H172" s="2" t="s">
        <v>368</v>
      </c>
      <c r="I172" s="2" t="s">
        <v>1026</v>
      </c>
      <c r="J172" s="2" t="s">
        <v>31</v>
      </c>
      <c r="K172" s="2" t="s">
        <v>283</v>
      </c>
      <c r="L172" s="2" t="s">
        <v>32</v>
      </c>
      <c r="M172" s="2" t="s">
        <v>1614</v>
      </c>
      <c r="N172" s="2" t="s">
        <v>164</v>
      </c>
      <c r="O172" s="2" t="s">
        <v>35</v>
      </c>
      <c r="P172" s="152">
        <v>10150</v>
      </c>
      <c r="Q172" s="150">
        <v>1</v>
      </c>
      <c r="R172" s="150">
        <v>4148</v>
      </c>
      <c r="T172" s="150">
        <v>421.02199999999999</v>
      </c>
      <c r="U172" s="164">
        <v>6.4899999999999995E-4</v>
      </c>
      <c r="V172" s="164">
        <v>2.1414896172091601E-2</v>
      </c>
      <c r="W172" s="164">
        <v>1.4393820916581901E-2</v>
      </c>
    </row>
    <row r="173" spans="1:23">
      <c r="A173" s="2" t="s">
        <v>119</v>
      </c>
      <c r="B173" s="2">
        <v>13680</v>
      </c>
      <c r="C173" s="2" t="s">
        <v>1607</v>
      </c>
      <c r="D173" s="2" t="s">
        <v>1608</v>
      </c>
      <c r="E173" s="4" t="s">
        <v>1380</v>
      </c>
      <c r="F173" s="2" t="s">
        <v>1612</v>
      </c>
      <c r="G173" s="2" t="s">
        <v>1613</v>
      </c>
      <c r="H173" s="2" t="s">
        <v>368</v>
      </c>
      <c r="I173" s="2" t="s">
        <v>1026</v>
      </c>
      <c r="J173" s="2" t="s">
        <v>31</v>
      </c>
      <c r="K173" s="2" t="s">
        <v>101</v>
      </c>
      <c r="L173" s="2" t="s">
        <v>32</v>
      </c>
      <c r="M173" s="2" t="s">
        <v>1614</v>
      </c>
      <c r="N173" s="2" t="s">
        <v>164</v>
      </c>
      <c r="O173" s="2" t="s">
        <v>35</v>
      </c>
      <c r="P173" s="152">
        <v>2984</v>
      </c>
      <c r="Q173" s="150">
        <v>1</v>
      </c>
      <c r="R173" s="150">
        <v>9356</v>
      </c>
      <c r="T173" s="150">
        <v>279.18299999999999</v>
      </c>
      <c r="U173" s="164">
        <v>4.7100000000000001E-4</v>
      </c>
      <c r="V173" s="164">
        <v>1.4200388137933199E-2</v>
      </c>
      <c r="W173" s="164">
        <v>9.5446572404931807E-3</v>
      </c>
    </row>
    <row r="174" spans="1:23">
      <c r="A174" s="2" t="s">
        <v>119</v>
      </c>
      <c r="B174" s="2">
        <v>13680</v>
      </c>
      <c r="C174" s="2" t="s">
        <v>1607</v>
      </c>
      <c r="D174" s="2" t="s">
        <v>1608</v>
      </c>
      <c r="E174" s="4" t="s">
        <v>1380</v>
      </c>
      <c r="F174" s="2" t="s">
        <v>1619</v>
      </c>
      <c r="G174" s="2" t="s">
        <v>1620</v>
      </c>
      <c r="H174" s="2" t="s">
        <v>368</v>
      </c>
      <c r="I174" s="2" t="s">
        <v>1025</v>
      </c>
      <c r="J174" s="2" t="s">
        <v>31</v>
      </c>
      <c r="K174" s="2" t="s">
        <v>31</v>
      </c>
      <c r="L174" s="2" t="s">
        <v>32</v>
      </c>
      <c r="M174" s="2" t="s">
        <v>1611</v>
      </c>
      <c r="N174" s="2" t="s">
        <v>164</v>
      </c>
      <c r="O174" s="2" t="s">
        <v>35</v>
      </c>
      <c r="P174" s="152">
        <v>19231</v>
      </c>
      <c r="Q174" s="150">
        <v>1</v>
      </c>
      <c r="R174" s="150">
        <v>3091</v>
      </c>
      <c r="T174" s="150">
        <v>594.42999999999995</v>
      </c>
      <c r="U174" s="164">
        <v>5.3399999999999997E-4</v>
      </c>
      <c r="V174" s="164">
        <v>3.0235145024974E-2</v>
      </c>
      <c r="W174" s="164">
        <v>2.0322268171606601E-2</v>
      </c>
    </row>
    <row r="175" spans="1:23">
      <c r="A175" s="2" t="s">
        <v>119</v>
      </c>
      <c r="B175" s="2">
        <v>13680</v>
      </c>
      <c r="C175" s="2" t="s">
        <v>1623</v>
      </c>
      <c r="D175" s="2" t="s">
        <v>1624</v>
      </c>
      <c r="E175" s="4" t="s">
        <v>1380</v>
      </c>
      <c r="F175" s="2" t="s">
        <v>1758</v>
      </c>
      <c r="G175" s="2" t="s">
        <v>1759</v>
      </c>
      <c r="H175" s="2" t="s">
        <v>368</v>
      </c>
      <c r="I175" s="2" t="s">
        <v>1026</v>
      </c>
      <c r="J175" s="2" t="s">
        <v>100</v>
      </c>
      <c r="K175" s="2" t="s">
        <v>101</v>
      </c>
      <c r="L175" s="2" t="s">
        <v>32</v>
      </c>
      <c r="M175" s="2" t="s">
        <v>1614</v>
      </c>
      <c r="N175" s="2" t="s">
        <v>164</v>
      </c>
      <c r="O175" s="2" t="s">
        <v>35</v>
      </c>
      <c r="P175" s="152">
        <v>3812</v>
      </c>
      <c r="Q175" s="150">
        <v>1</v>
      </c>
      <c r="R175" s="150">
        <v>7145</v>
      </c>
      <c r="T175" s="150">
        <v>272.36700000000002</v>
      </c>
      <c r="U175" s="164">
        <v>3.8000000000000002E-5</v>
      </c>
      <c r="V175" s="164">
        <v>1.3853716888102101E-2</v>
      </c>
      <c r="W175" s="164">
        <v>9.3116454226026893E-3</v>
      </c>
    </row>
    <row r="176" spans="1:23">
      <c r="A176" s="2" t="s">
        <v>119</v>
      </c>
      <c r="B176" s="2">
        <v>13680</v>
      </c>
      <c r="C176" s="2" t="s">
        <v>1623</v>
      </c>
      <c r="D176" s="2" t="s">
        <v>1624</v>
      </c>
      <c r="E176" s="4" t="s">
        <v>1380</v>
      </c>
      <c r="F176" s="2" t="s">
        <v>1627</v>
      </c>
      <c r="G176" s="2" t="s">
        <v>1628</v>
      </c>
      <c r="H176" s="2" t="s">
        <v>368</v>
      </c>
      <c r="I176" s="2" t="s">
        <v>1025</v>
      </c>
      <c r="J176" s="2" t="s">
        <v>31</v>
      </c>
      <c r="K176" s="2" t="s">
        <v>31</v>
      </c>
      <c r="L176" s="2" t="s">
        <v>32</v>
      </c>
      <c r="M176" s="2" t="s">
        <v>1611</v>
      </c>
      <c r="N176" s="2" t="s">
        <v>164</v>
      </c>
      <c r="O176" s="2" t="s">
        <v>35</v>
      </c>
      <c r="P176" s="152">
        <v>5713</v>
      </c>
      <c r="Q176" s="150">
        <v>1</v>
      </c>
      <c r="R176" s="150">
        <v>2014</v>
      </c>
      <c r="T176" s="150">
        <v>115.06</v>
      </c>
      <c r="U176" s="164">
        <v>1E-4</v>
      </c>
      <c r="V176" s="164">
        <v>5.8524117477935797E-3</v>
      </c>
      <c r="W176" s="164">
        <v>3.9336434765265202E-3</v>
      </c>
    </row>
    <row r="177" spans="1:23">
      <c r="A177" s="2" t="s">
        <v>119</v>
      </c>
      <c r="B177" s="2">
        <v>13680</v>
      </c>
      <c r="C177" s="2" t="s">
        <v>1629</v>
      </c>
      <c r="D177" s="2" t="s">
        <v>1630</v>
      </c>
      <c r="E177" s="4" t="s">
        <v>1380</v>
      </c>
      <c r="F177" s="2" t="s">
        <v>1631</v>
      </c>
      <c r="G177" s="2" t="s">
        <v>1632</v>
      </c>
      <c r="H177" s="2" t="s">
        <v>368</v>
      </c>
      <c r="I177" s="2" t="s">
        <v>1026</v>
      </c>
      <c r="J177" s="2" t="s">
        <v>31</v>
      </c>
      <c r="K177" s="2" t="s">
        <v>101</v>
      </c>
      <c r="L177" s="2" t="s">
        <v>32</v>
      </c>
      <c r="M177" s="2" t="s">
        <v>1614</v>
      </c>
      <c r="N177" s="2" t="s">
        <v>164</v>
      </c>
      <c r="O177" s="2" t="s">
        <v>35</v>
      </c>
      <c r="P177" s="152">
        <v>1365</v>
      </c>
      <c r="Q177" s="150">
        <v>1</v>
      </c>
      <c r="R177" s="150">
        <v>10160</v>
      </c>
      <c r="T177" s="150">
        <v>138.684</v>
      </c>
      <c r="U177" s="164">
        <v>1.44E-4</v>
      </c>
      <c r="V177" s="164">
        <v>7.0540339002008196E-3</v>
      </c>
      <c r="W177" s="164">
        <v>4.7413024972453796E-3</v>
      </c>
    </row>
    <row r="178" spans="1:23">
      <c r="A178" s="2" t="s">
        <v>119</v>
      </c>
      <c r="B178" s="2">
        <v>13680</v>
      </c>
      <c r="C178" s="2" t="s">
        <v>1629</v>
      </c>
      <c r="D178" s="2" t="s">
        <v>1630</v>
      </c>
      <c r="E178" s="4" t="s">
        <v>1380</v>
      </c>
      <c r="F178" s="2" t="s">
        <v>1760</v>
      </c>
      <c r="G178" s="2" t="s">
        <v>1761</v>
      </c>
      <c r="H178" s="2" t="s">
        <v>368</v>
      </c>
      <c r="I178" s="2" t="s">
        <v>1026</v>
      </c>
      <c r="J178" s="2" t="s">
        <v>31</v>
      </c>
      <c r="K178" s="2" t="s">
        <v>101</v>
      </c>
      <c r="L178" s="2" t="s">
        <v>32</v>
      </c>
      <c r="M178" s="2" t="s">
        <v>1614</v>
      </c>
      <c r="N178" s="2" t="s">
        <v>164</v>
      </c>
      <c r="O178" s="2" t="s">
        <v>35</v>
      </c>
      <c r="P178" s="152">
        <v>5021</v>
      </c>
      <c r="Q178" s="150">
        <v>1</v>
      </c>
      <c r="R178" s="150">
        <v>9551</v>
      </c>
      <c r="T178" s="150">
        <v>479.55599999999998</v>
      </c>
      <c r="U178" s="164">
        <v>8.7999999999999998E-5</v>
      </c>
      <c r="V178" s="164">
        <v>2.4392159408258202E-2</v>
      </c>
      <c r="W178" s="164">
        <v>1.6394960380370301E-2</v>
      </c>
    </row>
    <row r="179" spans="1:23">
      <c r="A179" s="2" t="s">
        <v>119</v>
      </c>
      <c r="B179" s="2">
        <v>13680</v>
      </c>
      <c r="C179" s="2" t="s">
        <v>1607</v>
      </c>
      <c r="D179" s="2" t="s">
        <v>1608</v>
      </c>
      <c r="E179" s="4" t="s">
        <v>1380</v>
      </c>
      <c r="F179" s="2" t="s">
        <v>1633</v>
      </c>
      <c r="G179" s="2" t="s">
        <v>1634</v>
      </c>
      <c r="H179" s="2" t="s">
        <v>368</v>
      </c>
      <c r="I179" s="2" t="s">
        <v>1026</v>
      </c>
      <c r="J179" s="2" t="s">
        <v>31</v>
      </c>
      <c r="K179" s="2" t="s">
        <v>101</v>
      </c>
      <c r="L179" s="2" t="s">
        <v>32</v>
      </c>
      <c r="M179" s="2" t="s">
        <v>1614</v>
      </c>
      <c r="N179" s="2" t="s">
        <v>164</v>
      </c>
      <c r="O179" s="2" t="s">
        <v>35</v>
      </c>
      <c r="P179" s="152">
        <v>2687</v>
      </c>
      <c r="Q179" s="150">
        <v>1</v>
      </c>
      <c r="R179" s="150">
        <v>3141</v>
      </c>
      <c r="T179" s="150">
        <v>84.399000000000001</v>
      </c>
      <c r="U179" s="164">
        <v>1.34E-4</v>
      </c>
      <c r="V179" s="164">
        <v>4.2928605990010501E-3</v>
      </c>
      <c r="W179" s="164">
        <v>2.8854058495225701E-3</v>
      </c>
    </row>
    <row r="180" spans="1:23">
      <c r="A180" s="2" t="s">
        <v>119</v>
      </c>
      <c r="B180" s="2">
        <v>13680</v>
      </c>
      <c r="C180" s="2" t="s">
        <v>1815</v>
      </c>
      <c r="D180" s="2" t="s">
        <v>1816</v>
      </c>
      <c r="E180" s="4" t="s">
        <v>1380</v>
      </c>
      <c r="F180" s="2" t="s">
        <v>1817</v>
      </c>
      <c r="G180" s="2" t="s">
        <v>1818</v>
      </c>
      <c r="H180" s="2" t="s">
        <v>368</v>
      </c>
      <c r="I180" s="2" t="s">
        <v>1026</v>
      </c>
      <c r="J180" s="2" t="s">
        <v>100</v>
      </c>
      <c r="K180" s="2" t="s">
        <v>101</v>
      </c>
      <c r="L180" s="2" t="s">
        <v>32</v>
      </c>
      <c r="M180" s="2" t="s">
        <v>1614</v>
      </c>
      <c r="N180" s="2" t="s">
        <v>164</v>
      </c>
      <c r="O180" s="2" t="s">
        <v>35</v>
      </c>
      <c r="P180" s="152">
        <v>2290</v>
      </c>
      <c r="Q180" s="150">
        <v>1</v>
      </c>
      <c r="R180" s="150">
        <v>19040</v>
      </c>
      <c r="T180" s="150">
        <v>436.01600000000002</v>
      </c>
      <c r="U180" s="164">
        <v>2.3E-5</v>
      </c>
      <c r="V180" s="164">
        <v>2.2177552169175701E-2</v>
      </c>
      <c r="W180" s="164">
        <v>1.4906432967313799E-2</v>
      </c>
    </row>
    <row r="181" spans="1:23">
      <c r="A181" s="2" t="s">
        <v>119</v>
      </c>
      <c r="B181" s="2">
        <v>13680</v>
      </c>
      <c r="C181" s="2" t="s">
        <v>1752</v>
      </c>
      <c r="D181" s="2" t="s">
        <v>1753</v>
      </c>
      <c r="E181" s="4" t="s">
        <v>1380</v>
      </c>
      <c r="F181" s="2" t="s">
        <v>1762</v>
      </c>
      <c r="G181" s="2" t="s">
        <v>1763</v>
      </c>
      <c r="H181" s="2" t="s">
        <v>368</v>
      </c>
      <c r="I181" s="2" t="s">
        <v>1026</v>
      </c>
      <c r="J181" s="2" t="s">
        <v>31</v>
      </c>
      <c r="K181" s="2" t="s">
        <v>346</v>
      </c>
      <c r="L181" s="2" t="s">
        <v>32</v>
      </c>
      <c r="M181" s="2" t="s">
        <v>1614</v>
      </c>
      <c r="N181" s="2" t="s">
        <v>164</v>
      </c>
      <c r="O181" s="2" t="s">
        <v>35</v>
      </c>
      <c r="P181" s="152">
        <v>10115</v>
      </c>
      <c r="Q181" s="150">
        <v>1</v>
      </c>
      <c r="R181" s="150">
        <v>1361</v>
      </c>
      <c r="T181" s="150">
        <v>137.66499999999999</v>
      </c>
      <c r="U181" s="164">
        <v>1.4999999999999999E-4</v>
      </c>
      <c r="V181" s="164">
        <v>7.0022110335455504E-3</v>
      </c>
      <c r="W181" s="164">
        <v>4.7064702451520002E-3</v>
      </c>
    </row>
    <row r="182" spans="1:23">
      <c r="A182" s="2" t="s">
        <v>119</v>
      </c>
      <c r="B182" s="2">
        <v>13680</v>
      </c>
      <c r="C182" s="2" t="s">
        <v>1752</v>
      </c>
      <c r="D182" s="2" t="s">
        <v>1753</v>
      </c>
      <c r="E182" s="4" t="s">
        <v>1380</v>
      </c>
      <c r="F182" s="2" t="s">
        <v>1811</v>
      </c>
      <c r="G182" s="2" t="s">
        <v>1812</v>
      </c>
      <c r="H182" s="2" t="s">
        <v>368</v>
      </c>
      <c r="I182" s="2" t="s">
        <v>1025</v>
      </c>
      <c r="J182" s="2" t="s">
        <v>31</v>
      </c>
      <c r="K182" s="2" t="s">
        <v>31</v>
      </c>
      <c r="L182" s="2" t="s">
        <v>32</v>
      </c>
      <c r="M182" s="2" t="s">
        <v>1611</v>
      </c>
      <c r="N182" s="2" t="s">
        <v>164</v>
      </c>
      <c r="O182" s="2" t="s">
        <v>35</v>
      </c>
      <c r="P182" s="152">
        <v>327.81</v>
      </c>
      <c r="Q182" s="150">
        <v>1</v>
      </c>
      <c r="R182" s="150">
        <v>26270</v>
      </c>
      <c r="T182" s="150">
        <v>86.116</v>
      </c>
      <c r="U182" s="164">
        <v>9.7999999999999997E-5</v>
      </c>
      <c r="V182" s="164">
        <v>4.38019508693925E-3</v>
      </c>
      <c r="W182" s="164">
        <v>2.9441069036449902E-3</v>
      </c>
    </row>
    <row r="183" spans="1:23">
      <c r="A183" s="2" t="s">
        <v>119</v>
      </c>
      <c r="B183" s="2">
        <v>13680</v>
      </c>
      <c r="C183" s="2" t="s">
        <v>1635</v>
      </c>
      <c r="D183" s="2" t="s">
        <v>1636</v>
      </c>
      <c r="E183" s="4" t="s">
        <v>362</v>
      </c>
      <c r="F183" s="2" t="s">
        <v>1637</v>
      </c>
      <c r="G183" s="2" t="s">
        <v>1638</v>
      </c>
      <c r="H183" s="2" t="s">
        <v>368</v>
      </c>
      <c r="I183" s="2" t="s">
        <v>1026</v>
      </c>
      <c r="J183" s="2" t="s">
        <v>100</v>
      </c>
      <c r="K183" s="2" t="s">
        <v>101</v>
      </c>
      <c r="L183" s="2" t="s">
        <v>391</v>
      </c>
      <c r="M183" s="2" t="s">
        <v>781</v>
      </c>
      <c r="N183" s="2" t="s">
        <v>164</v>
      </c>
      <c r="O183" s="2" t="s">
        <v>105</v>
      </c>
      <c r="P183" s="152">
        <v>558</v>
      </c>
      <c r="Q183" s="150">
        <v>3.681</v>
      </c>
      <c r="R183" s="150">
        <v>65.650000000000006</v>
      </c>
      <c r="T183" s="150">
        <v>134.845</v>
      </c>
      <c r="U183" s="164">
        <v>1.9999999999999999E-6</v>
      </c>
      <c r="V183" s="164">
        <v>6.8587651097554003E-3</v>
      </c>
      <c r="W183" s="164">
        <v>4.6100544175123699E-3</v>
      </c>
    </row>
    <row r="184" spans="1:23">
      <c r="A184" s="2" t="s">
        <v>119</v>
      </c>
      <c r="B184" s="2">
        <v>13680</v>
      </c>
      <c r="C184" s="2" t="s">
        <v>1579</v>
      </c>
      <c r="D184" s="2" t="s">
        <v>1580</v>
      </c>
      <c r="E184" s="4" t="s">
        <v>362</v>
      </c>
      <c r="F184" s="2" t="s">
        <v>1639</v>
      </c>
      <c r="G184" s="2" t="s">
        <v>1640</v>
      </c>
      <c r="H184" s="2" t="s">
        <v>368</v>
      </c>
      <c r="I184" s="2" t="s">
        <v>1026</v>
      </c>
      <c r="J184" s="2" t="s">
        <v>100</v>
      </c>
      <c r="K184" s="2" t="s">
        <v>101</v>
      </c>
      <c r="L184" s="2" t="s">
        <v>391</v>
      </c>
      <c r="M184" s="2" t="s">
        <v>781</v>
      </c>
      <c r="N184" s="2" t="s">
        <v>164</v>
      </c>
      <c r="O184" s="2" t="s">
        <v>105</v>
      </c>
      <c r="P184" s="152">
        <v>292</v>
      </c>
      <c r="Q184" s="150">
        <v>3.681</v>
      </c>
      <c r="R184" s="150">
        <v>10157</v>
      </c>
      <c r="T184" s="150">
        <v>109.173</v>
      </c>
      <c r="U184" s="164">
        <v>1.5E-5</v>
      </c>
      <c r="V184" s="164">
        <v>5.5529697096248403E-3</v>
      </c>
      <c r="W184" s="164">
        <v>3.7323763287588799E-3</v>
      </c>
    </row>
    <row r="185" spans="1:23">
      <c r="A185" s="2" t="s">
        <v>119</v>
      </c>
      <c r="B185" s="2">
        <v>13680</v>
      </c>
      <c r="C185" s="2" t="s">
        <v>1641</v>
      </c>
      <c r="D185" s="2" t="s">
        <v>1642</v>
      </c>
      <c r="E185" s="4" t="s">
        <v>362</v>
      </c>
      <c r="F185" s="2" t="s">
        <v>1643</v>
      </c>
      <c r="G185" s="2" t="s">
        <v>1644</v>
      </c>
      <c r="H185" s="2" t="s">
        <v>34</v>
      </c>
      <c r="I185" s="2" t="s">
        <v>1026</v>
      </c>
      <c r="J185" s="2" t="s">
        <v>100</v>
      </c>
      <c r="K185" s="2" t="s">
        <v>331</v>
      </c>
      <c r="L185" s="2" t="s">
        <v>393</v>
      </c>
      <c r="M185" s="2" t="s">
        <v>781</v>
      </c>
      <c r="N185" s="2" t="s">
        <v>164</v>
      </c>
      <c r="O185" s="2" t="s">
        <v>105</v>
      </c>
      <c r="P185" s="152">
        <v>1373</v>
      </c>
      <c r="Q185" s="150">
        <v>3.681</v>
      </c>
      <c r="R185" s="150">
        <v>12389</v>
      </c>
      <c r="T185" s="150">
        <v>626.14200000000005</v>
      </c>
      <c r="U185" s="164">
        <v>0</v>
      </c>
      <c r="V185" s="164">
        <v>3.1848119253332398E-2</v>
      </c>
      <c r="W185" s="164">
        <v>2.1406413618751501E-2</v>
      </c>
    </row>
    <row r="186" spans="1:23">
      <c r="A186" s="2" t="s">
        <v>119</v>
      </c>
      <c r="B186" s="2">
        <v>13680</v>
      </c>
      <c r="C186" s="2" t="s">
        <v>1645</v>
      </c>
      <c r="D186" s="2" t="s">
        <v>1646</v>
      </c>
      <c r="E186" s="4" t="s">
        <v>362</v>
      </c>
      <c r="F186" s="2" t="s">
        <v>1647</v>
      </c>
      <c r="G186" s="2" t="s">
        <v>1648</v>
      </c>
      <c r="H186" s="2" t="s">
        <v>368</v>
      </c>
      <c r="I186" s="2" t="s">
        <v>1026</v>
      </c>
      <c r="J186" s="2" t="s">
        <v>100</v>
      </c>
      <c r="K186" s="2" t="s">
        <v>1649</v>
      </c>
      <c r="L186" s="2" t="s">
        <v>204</v>
      </c>
      <c r="M186" s="2" t="s">
        <v>781</v>
      </c>
      <c r="N186" s="2" t="s">
        <v>164</v>
      </c>
      <c r="O186" s="2" t="s">
        <v>105</v>
      </c>
      <c r="P186" s="152">
        <v>550</v>
      </c>
      <c r="Q186" s="150">
        <v>3.681</v>
      </c>
      <c r="R186" s="150">
        <v>6742.6</v>
      </c>
      <c r="T186" s="150">
        <v>136.50700000000001</v>
      </c>
      <c r="U186" s="164">
        <v>0</v>
      </c>
      <c r="V186" s="164">
        <v>6.94331848211304E-3</v>
      </c>
      <c r="W186" s="164">
        <v>4.6668861709716703E-3</v>
      </c>
    </row>
    <row r="187" spans="1:23">
      <c r="A187" s="2" t="s">
        <v>119</v>
      </c>
      <c r="B187" s="2">
        <v>13680</v>
      </c>
      <c r="C187" s="2" t="s">
        <v>1645</v>
      </c>
      <c r="D187" s="2" t="s">
        <v>1646</v>
      </c>
      <c r="E187" s="4" t="s">
        <v>362</v>
      </c>
      <c r="F187" s="2" t="s">
        <v>1768</v>
      </c>
      <c r="G187" s="2" t="s">
        <v>1769</v>
      </c>
      <c r="H187" s="2" t="s">
        <v>368</v>
      </c>
      <c r="I187" s="2" t="s">
        <v>1026</v>
      </c>
      <c r="J187" s="2" t="s">
        <v>100</v>
      </c>
      <c r="K187" s="2" t="s">
        <v>1649</v>
      </c>
      <c r="L187" s="2" t="s">
        <v>393</v>
      </c>
      <c r="M187" s="2" t="s">
        <v>781</v>
      </c>
      <c r="N187" s="2" t="s">
        <v>164</v>
      </c>
      <c r="O187" s="2" t="s">
        <v>105</v>
      </c>
      <c r="P187" s="152">
        <v>721</v>
      </c>
      <c r="Q187" s="150">
        <v>3.681</v>
      </c>
      <c r="R187" s="150">
        <v>4968.5</v>
      </c>
      <c r="T187" s="150">
        <v>131.864</v>
      </c>
      <c r="U187" s="164">
        <v>0</v>
      </c>
      <c r="V187" s="164">
        <v>6.7071429015273304E-3</v>
      </c>
      <c r="W187" s="164">
        <v>4.5081429772385702E-3</v>
      </c>
    </row>
    <row r="188" spans="1:23">
      <c r="A188" s="2" t="s">
        <v>119</v>
      </c>
      <c r="B188" s="2">
        <v>13680</v>
      </c>
      <c r="C188" s="2" t="s">
        <v>1645</v>
      </c>
      <c r="D188" s="2" t="s">
        <v>1646</v>
      </c>
      <c r="E188" s="4" t="s">
        <v>362</v>
      </c>
      <c r="F188" s="2" t="s">
        <v>1650</v>
      </c>
      <c r="G188" s="2" t="s">
        <v>1651</v>
      </c>
      <c r="H188" s="2" t="s">
        <v>368</v>
      </c>
      <c r="I188" s="2" t="s">
        <v>1026</v>
      </c>
      <c r="J188" s="2" t="s">
        <v>100</v>
      </c>
      <c r="K188" s="2" t="s">
        <v>331</v>
      </c>
      <c r="L188" s="2" t="s">
        <v>411</v>
      </c>
      <c r="M188" s="2" t="s">
        <v>781</v>
      </c>
      <c r="N188" s="2" t="s">
        <v>164</v>
      </c>
      <c r="O188" s="2" t="s">
        <v>1224</v>
      </c>
      <c r="P188" s="152">
        <v>70</v>
      </c>
      <c r="Q188" s="150">
        <v>3.9790000000000001</v>
      </c>
      <c r="R188" s="150">
        <v>11016</v>
      </c>
      <c r="T188" s="150">
        <v>30.684000000000001</v>
      </c>
      <c r="U188" s="164">
        <v>1.4E-5</v>
      </c>
      <c r="V188" s="164">
        <v>1.5606948743986299E-3</v>
      </c>
      <c r="W188" s="164">
        <v>1.0490063714059599E-3</v>
      </c>
    </row>
    <row r="189" spans="1:23">
      <c r="A189" s="2" t="s">
        <v>119</v>
      </c>
      <c r="B189" s="2">
        <v>13680</v>
      </c>
      <c r="C189" s="2" t="s">
        <v>1645</v>
      </c>
      <c r="D189" s="2" t="s">
        <v>1646</v>
      </c>
      <c r="E189" s="4" t="s">
        <v>362</v>
      </c>
      <c r="F189" s="2" t="s">
        <v>1819</v>
      </c>
      <c r="G189" s="2" t="s">
        <v>1820</v>
      </c>
      <c r="H189" s="2" t="s">
        <v>368</v>
      </c>
      <c r="I189" s="2" t="s">
        <v>1026</v>
      </c>
      <c r="J189" s="2" t="s">
        <v>100</v>
      </c>
      <c r="K189" s="2" t="s">
        <v>101</v>
      </c>
      <c r="L189" s="2" t="s">
        <v>411</v>
      </c>
      <c r="M189" s="2" t="s">
        <v>781</v>
      </c>
      <c r="N189" s="2" t="s">
        <v>164</v>
      </c>
      <c r="O189" s="2" t="s">
        <v>105</v>
      </c>
      <c r="P189" s="152">
        <v>555</v>
      </c>
      <c r="Q189" s="150">
        <v>3.681</v>
      </c>
      <c r="R189" s="150">
        <v>10227.780000000001</v>
      </c>
      <c r="T189" s="150">
        <v>208.94900000000001</v>
      </c>
      <c r="U189" s="164">
        <v>0</v>
      </c>
      <c r="V189" s="164">
        <v>1.0627995490616601E-2</v>
      </c>
      <c r="W189" s="164">
        <v>7.1435071440383198E-3</v>
      </c>
    </row>
    <row r="190" spans="1:23">
      <c r="A190" s="2" t="s">
        <v>119</v>
      </c>
      <c r="B190" s="2">
        <v>13680</v>
      </c>
      <c r="C190" s="2" t="s">
        <v>1645</v>
      </c>
      <c r="D190" s="2" t="s">
        <v>1646</v>
      </c>
      <c r="E190" s="4" t="s">
        <v>362</v>
      </c>
      <c r="F190" s="2" t="s">
        <v>1652</v>
      </c>
      <c r="G190" s="2" t="s">
        <v>1653</v>
      </c>
      <c r="H190" s="2" t="s">
        <v>368</v>
      </c>
      <c r="I190" s="2" t="s">
        <v>1026</v>
      </c>
      <c r="J190" s="2" t="s">
        <v>100</v>
      </c>
      <c r="K190" s="2" t="s">
        <v>101</v>
      </c>
      <c r="L190" s="2" t="s">
        <v>426</v>
      </c>
      <c r="M190" s="2" t="s">
        <v>781</v>
      </c>
      <c r="N190" s="2" t="s">
        <v>164</v>
      </c>
      <c r="O190" s="2" t="s">
        <v>105</v>
      </c>
      <c r="P190" s="152">
        <v>565</v>
      </c>
      <c r="Q190" s="150">
        <v>3.681</v>
      </c>
      <c r="R190" s="150">
        <v>9308</v>
      </c>
      <c r="T190" s="150">
        <v>193.58500000000001</v>
      </c>
      <c r="U190" s="164">
        <v>0</v>
      </c>
      <c r="V190" s="164">
        <v>9.8464985893766607E-3</v>
      </c>
      <c r="W190" s="164">
        <v>6.6182313568985901E-3</v>
      </c>
    </row>
    <row r="191" spans="1:23">
      <c r="A191" s="2" t="s">
        <v>119</v>
      </c>
      <c r="B191" s="2">
        <v>13680</v>
      </c>
      <c r="C191" s="2" t="s">
        <v>1635</v>
      </c>
      <c r="D191" s="2" t="s">
        <v>1636</v>
      </c>
      <c r="E191" s="4" t="s">
        <v>362</v>
      </c>
      <c r="F191" s="2" t="s">
        <v>1654</v>
      </c>
      <c r="G191" s="2" t="s">
        <v>1655</v>
      </c>
      <c r="H191" s="2" t="s">
        <v>368</v>
      </c>
      <c r="I191" s="2" t="s">
        <v>1026</v>
      </c>
      <c r="J191" s="2" t="s">
        <v>100</v>
      </c>
      <c r="K191" s="2" t="s">
        <v>101</v>
      </c>
      <c r="L191" s="2" t="s">
        <v>391</v>
      </c>
      <c r="M191" s="2" t="s">
        <v>781</v>
      </c>
      <c r="N191" s="2" t="s">
        <v>164</v>
      </c>
      <c r="O191" s="2" t="s">
        <v>105</v>
      </c>
      <c r="P191" s="152">
        <v>666</v>
      </c>
      <c r="Q191" s="150">
        <v>3.681</v>
      </c>
      <c r="R191" s="150">
        <v>81.66</v>
      </c>
      <c r="T191" s="150">
        <v>200.19300000000001</v>
      </c>
      <c r="U191" s="164">
        <v>3.9999999999999998E-6</v>
      </c>
      <c r="V191" s="164">
        <v>1.0182645052166799E-2</v>
      </c>
      <c r="W191" s="164">
        <v>6.8441690382331603E-3</v>
      </c>
    </row>
    <row r="192" spans="1:23">
      <c r="A192" s="2" t="s">
        <v>119</v>
      </c>
      <c r="B192" s="2">
        <v>13680</v>
      </c>
      <c r="C192" s="2" t="s">
        <v>1635</v>
      </c>
      <c r="D192" s="2" t="s">
        <v>1636</v>
      </c>
      <c r="E192" s="4" t="s">
        <v>362</v>
      </c>
      <c r="F192" s="2" t="s">
        <v>1656</v>
      </c>
      <c r="G192" s="2" t="s">
        <v>1657</v>
      </c>
      <c r="H192" s="2" t="s">
        <v>368</v>
      </c>
      <c r="I192" s="2" t="s">
        <v>1026</v>
      </c>
      <c r="J192" s="2" t="s">
        <v>100</v>
      </c>
      <c r="K192" s="2" t="s">
        <v>101</v>
      </c>
      <c r="L192" s="2" t="s">
        <v>391</v>
      </c>
      <c r="M192" s="2" t="s">
        <v>781</v>
      </c>
      <c r="N192" s="2" t="s">
        <v>164</v>
      </c>
      <c r="O192" s="2" t="s">
        <v>105</v>
      </c>
      <c r="P192" s="152">
        <v>404</v>
      </c>
      <c r="Q192" s="150">
        <v>3.681</v>
      </c>
      <c r="R192" s="150">
        <v>183.89</v>
      </c>
      <c r="T192" s="150">
        <v>273.46699999999998</v>
      </c>
      <c r="U192" s="164">
        <v>3.9999999999999998E-6</v>
      </c>
      <c r="V192" s="164">
        <v>1.39096588478955E-2</v>
      </c>
      <c r="W192" s="164">
        <v>9.3492462843821206E-3</v>
      </c>
    </row>
    <row r="193" spans="1:23">
      <c r="A193" s="2" t="s">
        <v>119</v>
      </c>
      <c r="B193" s="2">
        <v>13680</v>
      </c>
      <c r="C193" s="2" t="s">
        <v>1658</v>
      </c>
      <c r="D193" s="2" t="s">
        <v>1659</v>
      </c>
      <c r="E193" s="4" t="s">
        <v>362</v>
      </c>
      <c r="F193" s="2" t="s">
        <v>1660</v>
      </c>
      <c r="G193" s="2" t="s">
        <v>1661</v>
      </c>
      <c r="H193" s="2" t="s">
        <v>368</v>
      </c>
      <c r="I193" s="2" t="s">
        <v>1026</v>
      </c>
      <c r="J193" s="2" t="s">
        <v>100</v>
      </c>
      <c r="K193" s="2" t="s">
        <v>101</v>
      </c>
      <c r="L193" s="2" t="s">
        <v>391</v>
      </c>
      <c r="M193" s="2" t="s">
        <v>781</v>
      </c>
      <c r="N193" s="2" t="s">
        <v>164</v>
      </c>
      <c r="O193" s="2" t="s">
        <v>105</v>
      </c>
      <c r="P193" s="152">
        <v>220</v>
      </c>
      <c r="Q193" s="150">
        <v>3.681</v>
      </c>
      <c r="R193" s="150">
        <v>5454</v>
      </c>
      <c r="T193" s="150">
        <v>44.167999999999999</v>
      </c>
      <c r="U193" s="164">
        <v>3.8999999999999999E-5</v>
      </c>
      <c r="V193" s="164">
        <v>2.24654341063949E-3</v>
      </c>
      <c r="W193" s="164">
        <v>1.50999301020256E-3</v>
      </c>
    </row>
    <row r="194" spans="1:23">
      <c r="A194" s="2" t="s">
        <v>119</v>
      </c>
      <c r="B194" s="2">
        <v>13680</v>
      </c>
      <c r="C194" s="2" t="s">
        <v>1635</v>
      </c>
      <c r="D194" s="2" t="s">
        <v>1636</v>
      </c>
      <c r="E194" s="4" t="s">
        <v>362</v>
      </c>
      <c r="F194" s="2" t="s">
        <v>1662</v>
      </c>
      <c r="G194" s="2" t="s">
        <v>1663</v>
      </c>
      <c r="H194" s="2" t="s">
        <v>368</v>
      </c>
      <c r="I194" s="2" t="s">
        <v>1026</v>
      </c>
      <c r="J194" s="2" t="s">
        <v>100</v>
      </c>
      <c r="K194" s="2" t="s">
        <v>101</v>
      </c>
      <c r="L194" s="2" t="s">
        <v>391</v>
      </c>
      <c r="M194" s="2" t="s">
        <v>781</v>
      </c>
      <c r="N194" s="2" t="s">
        <v>164</v>
      </c>
      <c r="O194" s="2" t="s">
        <v>105</v>
      </c>
      <c r="P194" s="152">
        <v>4979</v>
      </c>
      <c r="Q194" s="150">
        <v>3.681</v>
      </c>
      <c r="R194" s="150">
        <v>42.12</v>
      </c>
      <c r="T194" s="150">
        <v>771.96299999999997</v>
      </c>
      <c r="U194" s="164">
        <v>6.0000000000000002E-6</v>
      </c>
      <c r="V194" s="164">
        <v>3.92651706589906E-2</v>
      </c>
      <c r="W194" s="164">
        <v>2.6391714915764499E-2</v>
      </c>
    </row>
    <row r="195" spans="1:23">
      <c r="A195" s="2" t="s">
        <v>119</v>
      </c>
      <c r="B195" s="2">
        <v>13680</v>
      </c>
      <c r="C195" s="2" t="s">
        <v>1664</v>
      </c>
      <c r="D195" s="2" t="s">
        <v>1665</v>
      </c>
      <c r="E195" s="4" t="s">
        <v>362</v>
      </c>
      <c r="F195" s="2" t="s">
        <v>1666</v>
      </c>
      <c r="G195" s="2" t="s">
        <v>1667</v>
      </c>
      <c r="H195" s="2" t="s">
        <v>368</v>
      </c>
      <c r="I195" s="2" t="s">
        <v>1026</v>
      </c>
      <c r="J195" s="2" t="s">
        <v>100</v>
      </c>
      <c r="K195" s="2" t="s">
        <v>101</v>
      </c>
      <c r="L195" s="2" t="s">
        <v>393</v>
      </c>
      <c r="M195" s="2" t="s">
        <v>781</v>
      </c>
      <c r="N195" s="2" t="s">
        <v>164</v>
      </c>
      <c r="O195" s="2" t="s">
        <v>105</v>
      </c>
      <c r="P195" s="152">
        <v>362</v>
      </c>
      <c r="Q195" s="150">
        <v>3.681</v>
      </c>
      <c r="R195" s="150">
        <v>19068</v>
      </c>
      <c r="T195" s="150">
        <v>254.08500000000001</v>
      </c>
      <c r="U195" s="164">
        <v>2.5999999999999998E-5</v>
      </c>
      <c r="V195" s="164">
        <v>1.2923814457257999E-2</v>
      </c>
      <c r="W195" s="164">
        <v>8.6866202554525193E-3</v>
      </c>
    </row>
    <row r="196" spans="1:23">
      <c r="A196" s="2" t="s">
        <v>119</v>
      </c>
      <c r="B196" s="2">
        <v>13680</v>
      </c>
      <c r="C196" s="2" t="s">
        <v>1664</v>
      </c>
      <c r="D196" s="2" t="s">
        <v>1665</v>
      </c>
      <c r="E196" s="4" t="s">
        <v>362</v>
      </c>
      <c r="F196" s="2" t="s">
        <v>1668</v>
      </c>
      <c r="G196" s="2" t="s">
        <v>1669</v>
      </c>
      <c r="H196" s="2" t="s">
        <v>368</v>
      </c>
      <c r="I196" s="2" t="s">
        <v>1026</v>
      </c>
      <c r="J196" s="2" t="s">
        <v>100</v>
      </c>
      <c r="K196" s="2" t="s">
        <v>346</v>
      </c>
      <c r="L196" s="2" t="s">
        <v>393</v>
      </c>
      <c r="M196" s="2" t="s">
        <v>781</v>
      </c>
      <c r="N196" s="2" t="s">
        <v>164</v>
      </c>
      <c r="O196" s="2" t="s">
        <v>105</v>
      </c>
      <c r="P196" s="152">
        <v>157</v>
      </c>
      <c r="Q196" s="150">
        <v>3.681</v>
      </c>
      <c r="R196" s="150">
        <v>11461</v>
      </c>
      <c r="T196" s="150">
        <v>66.234999999999999</v>
      </c>
      <c r="U196" s="164">
        <v>2.1999999999999999E-5</v>
      </c>
      <c r="V196" s="164">
        <v>3.3689856840736199E-3</v>
      </c>
      <c r="W196" s="164">
        <v>2.2644320204680901E-3</v>
      </c>
    </row>
    <row r="197" spans="1:23">
      <c r="A197" s="2" t="s">
        <v>119</v>
      </c>
      <c r="B197" s="2">
        <v>13680</v>
      </c>
      <c r="C197" s="2" t="s">
        <v>1770</v>
      </c>
      <c r="D197" s="2" t="s">
        <v>1771</v>
      </c>
      <c r="E197" s="4" t="s">
        <v>362</v>
      </c>
      <c r="F197" s="2" t="s">
        <v>1772</v>
      </c>
      <c r="G197" s="2" t="s">
        <v>1773</v>
      </c>
      <c r="H197" s="2" t="s">
        <v>368</v>
      </c>
      <c r="I197" s="2" t="s">
        <v>1026</v>
      </c>
      <c r="J197" s="2" t="s">
        <v>100</v>
      </c>
      <c r="K197" s="2" t="s">
        <v>101</v>
      </c>
      <c r="L197" s="2" t="s">
        <v>393</v>
      </c>
      <c r="M197" s="2" t="s">
        <v>781</v>
      </c>
      <c r="N197" s="2" t="s">
        <v>164</v>
      </c>
      <c r="O197" s="2" t="s">
        <v>105</v>
      </c>
      <c r="P197" s="152">
        <v>1968</v>
      </c>
      <c r="Q197" s="150">
        <v>3.681</v>
      </c>
      <c r="R197" s="150">
        <v>2337.64</v>
      </c>
      <c r="T197" s="150">
        <v>169.34399999999999</v>
      </c>
      <c r="U197" s="164">
        <v>0</v>
      </c>
      <c r="V197" s="164">
        <v>8.6135013211856796E-3</v>
      </c>
      <c r="W197" s="164">
        <v>5.7894838473913999E-3</v>
      </c>
    </row>
    <row r="198" spans="1:23">
      <c r="A198" s="2" t="s">
        <v>119</v>
      </c>
      <c r="B198" s="2">
        <v>13680</v>
      </c>
      <c r="C198" s="2" t="s">
        <v>1670</v>
      </c>
      <c r="D198" s="2" t="s">
        <v>1671</v>
      </c>
      <c r="E198" s="4" t="s">
        <v>362</v>
      </c>
      <c r="F198" s="2" t="s">
        <v>1672</v>
      </c>
      <c r="G198" s="2" t="s">
        <v>1673</v>
      </c>
      <c r="H198" s="2" t="s">
        <v>368</v>
      </c>
      <c r="I198" s="2" t="s">
        <v>1026</v>
      </c>
      <c r="J198" s="2" t="s">
        <v>100</v>
      </c>
      <c r="K198" s="2" t="s">
        <v>101</v>
      </c>
      <c r="L198" s="2" t="s">
        <v>391</v>
      </c>
      <c r="M198" s="2" t="s">
        <v>781</v>
      </c>
      <c r="N198" s="2" t="s">
        <v>164</v>
      </c>
      <c r="O198" s="2" t="s">
        <v>105</v>
      </c>
      <c r="P198" s="152">
        <v>681</v>
      </c>
      <c r="Q198" s="150">
        <v>3.681</v>
      </c>
      <c r="R198" s="150">
        <v>3162</v>
      </c>
      <c r="T198" s="150">
        <v>79.263999999999996</v>
      </c>
      <c r="U198" s="164">
        <v>1.9999999999999999E-6</v>
      </c>
      <c r="V198" s="164">
        <v>4.03167929300017E-3</v>
      </c>
      <c r="W198" s="164">
        <v>2.7098552927921102E-3</v>
      </c>
    </row>
    <row r="199" spans="1:23">
      <c r="A199" s="2" t="s">
        <v>119</v>
      </c>
      <c r="B199" s="2">
        <v>13680</v>
      </c>
      <c r="C199" s="2" t="s">
        <v>1674</v>
      </c>
      <c r="D199" s="2" t="s">
        <v>1675</v>
      </c>
      <c r="E199" s="4" t="s">
        <v>362</v>
      </c>
      <c r="F199" s="2" t="s">
        <v>1676</v>
      </c>
      <c r="G199" s="2" t="s">
        <v>1677</v>
      </c>
      <c r="H199" s="2" t="s">
        <v>368</v>
      </c>
      <c r="I199" s="2" t="s">
        <v>1026</v>
      </c>
      <c r="J199" s="2" t="s">
        <v>100</v>
      </c>
      <c r="K199" s="2" t="s">
        <v>339</v>
      </c>
      <c r="L199" s="2" t="s">
        <v>391</v>
      </c>
      <c r="M199" s="2" t="s">
        <v>781</v>
      </c>
      <c r="N199" s="2" t="s">
        <v>164</v>
      </c>
      <c r="O199" s="2" t="s">
        <v>105</v>
      </c>
      <c r="P199" s="152">
        <v>510</v>
      </c>
      <c r="Q199" s="150">
        <v>3.681</v>
      </c>
      <c r="R199" s="150">
        <v>3981</v>
      </c>
      <c r="T199" s="150">
        <v>74.736000000000004</v>
      </c>
      <c r="U199" s="164">
        <v>3.0000000000000001E-6</v>
      </c>
      <c r="V199" s="164">
        <v>3.8013630963558498E-3</v>
      </c>
      <c r="W199" s="164">
        <v>2.5550504288298498E-3</v>
      </c>
    </row>
    <row r="200" spans="1:23">
      <c r="A200" s="2" t="s">
        <v>119</v>
      </c>
      <c r="B200" s="2">
        <v>13680</v>
      </c>
      <c r="C200" s="2" t="s">
        <v>1635</v>
      </c>
      <c r="D200" s="2" t="s">
        <v>1636</v>
      </c>
      <c r="E200" s="4" t="s">
        <v>362</v>
      </c>
      <c r="F200" s="2" t="s">
        <v>1678</v>
      </c>
      <c r="G200" s="2" t="s">
        <v>1679</v>
      </c>
      <c r="H200" s="2" t="s">
        <v>368</v>
      </c>
      <c r="I200" s="2" t="s">
        <v>1026</v>
      </c>
      <c r="J200" s="2" t="s">
        <v>100</v>
      </c>
      <c r="K200" s="2" t="s">
        <v>101</v>
      </c>
      <c r="L200" s="2" t="s">
        <v>391</v>
      </c>
      <c r="M200" s="2" t="s">
        <v>781</v>
      </c>
      <c r="N200" s="2" t="s">
        <v>164</v>
      </c>
      <c r="O200" s="2" t="s">
        <v>105</v>
      </c>
      <c r="P200" s="152">
        <v>799</v>
      </c>
      <c r="Q200" s="150">
        <v>3.681</v>
      </c>
      <c r="R200" s="150">
        <v>147.72999999999999</v>
      </c>
      <c r="T200" s="150">
        <v>434.49200000000002</v>
      </c>
      <c r="U200" s="164">
        <v>3.0000000000000001E-6</v>
      </c>
      <c r="V200" s="164">
        <v>2.2100010383118599E-2</v>
      </c>
      <c r="W200" s="164">
        <v>1.48543139855971E-2</v>
      </c>
    </row>
    <row r="201" spans="1:23">
      <c r="A201" s="2" t="s">
        <v>119</v>
      </c>
      <c r="B201" s="2">
        <v>13680</v>
      </c>
      <c r="C201" s="2" t="s">
        <v>1680</v>
      </c>
      <c r="D201" s="2" t="s">
        <v>1681</v>
      </c>
      <c r="E201" s="4" t="s">
        <v>362</v>
      </c>
      <c r="F201" s="2" t="s">
        <v>1682</v>
      </c>
      <c r="G201" s="2" t="s">
        <v>1683</v>
      </c>
      <c r="H201" s="2" t="s">
        <v>368</v>
      </c>
      <c r="I201" s="2" t="s">
        <v>1026</v>
      </c>
      <c r="J201" s="2" t="s">
        <v>100</v>
      </c>
      <c r="K201" s="2" t="s">
        <v>332</v>
      </c>
      <c r="L201" s="2" t="s">
        <v>1684</v>
      </c>
      <c r="M201" s="2" t="s">
        <v>781</v>
      </c>
      <c r="N201" s="2" t="s">
        <v>164</v>
      </c>
      <c r="O201" s="2" t="s">
        <v>1221</v>
      </c>
      <c r="P201" s="152">
        <v>580</v>
      </c>
      <c r="Q201" s="150">
        <v>2.7120000000000002</v>
      </c>
      <c r="R201" s="150">
        <v>5675</v>
      </c>
      <c r="T201" s="150">
        <v>89.272000000000006</v>
      </c>
      <c r="U201" s="164">
        <v>7.9999999999999996E-6</v>
      </c>
      <c r="V201" s="164">
        <v>4.5407412444323997E-3</v>
      </c>
      <c r="W201" s="164">
        <v>3.0520164924298901E-3</v>
      </c>
    </row>
    <row r="202" spans="1:23">
      <c r="A202" s="2" t="s">
        <v>119</v>
      </c>
      <c r="B202" s="2">
        <v>13680</v>
      </c>
      <c r="C202" s="2" t="s">
        <v>1658</v>
      </c>
      <c r="D202" s="2" t="s">
        <v>1659</v>
      </c>
      <c r="E202" s="4" t="s">
        <v>362</v>
      </c>
      <c r="F202" s="2" t="s">
        <v>1685</v>
      </c>
      <c r="G202" s="2" t="s">
        <v>1686</v>
      </c>
      <c r="H202" s="2" t="s">
        <v>368</v>
      </c>
      <c r="I202" s="2" t="s">
        <v>1028</v>
      </c>
      <c r="J202" s="2" t="s">
        <v>100</v>
      </c>
      <c r="K202" s="2" t="s">
        <v>1649</v>
      </c>
      <c r="L202" s="2" t="s">
        <v>426</v>
      </c>
      <c r="M202" s="2" t="s">
        <v>778</v>
      </c>
      <c r="N202" s="2" t="s">
        <v>164</v>
      </c>
      <c r="O202" s="2" t="s">
        <v>105</v>
      </c>
      <c r="P202" s="152">
        <v>818</v>
      </c>
      <c r="Q202" s="150">
        <v>3.681</v>
      </c>
      <c r="R202" s="150">
        <v>44.09</v>
      </c>
      <c r="T202" s="150">
        <v>132.75800000000001</v>
      </c>
      <c r="U202" s="164">
        <v>0</v>
      </c>
      <c r="V202" s="164">
        <v>6.7525903391695598E-3</v>
      </c>
      <c r="W202" s="164">
        <v>4.5386900447229499E-3</v>
      </c>
    </row>
    <row r="203" spans="1:23">
      <c r="A203" s="2" t="s">
        <v>119</v>
      </c>
      <c r="B203" s="2">
        <v>13680</v>
      </c>
      <c r="C203" s="2" t="s">
        <v>1658</v>
      </c>
      <c r="D203" s="2" t="s">
        <v>1659</v>
      </c>
      <c r="E203" s="4" t="s">
        <v>362</v>
      </c>
      <c r="F203" s="2" t="s">
        <v>1687</v>
      </c>
      <c r="G203" s="2" t="s">
        <v>1688</v>
      </c>
      <c r="H203" s="2" t="s">
        <v>368</v>
      </c>
      <c r="I203" s="2" t="s">
        <v>1026</v>
      </c>
      <c r="J203" s="2" t="s">
        <v>100</v>
      </c>
      <c r="K203" s="2" t="s">
        <v>101</v>
      </c>
      <c r="L203" s="2" t="s">
        <v>391</v>
      </c>
      <c r="M203" s="2" t="s">
        <v>781</v>
      </c>
      <c r="N203" s="2" t="s">
        <v>164</v>
      </c>
      <c r="O203" s="2" t="s">
        <v>105</v>
      </c>
      <c r="P203" s="152">
        <v>286</v>
      </c>
      <c r="Q203" s="150">
        <v>3.681</v>
      </c>
      <c r="R203" s="150">
        <v>5859</v>
      </c>
      <c r="T203" s="150">
        <v>61.682000000000002</v>
      </c>
      <c r="U203" s="164">
        <v>1.9999999999999999E-6</v>
      </c>
      <c r="V203" s="164">
        <v>3.1373757234722699E-3</v>
      </c>
      <c r="W203" s="164">
        <v>2.1087575652383298E-3</v>
      </c>
    </row>
    <row r="204" spans="1:23">
      <c r="A204" s="2" t="s">
        <v>119</v>
      </c>
      <c r="B204" s="2">
        <v>13680</v>
      </c>
      <c r="C204" s="2" t="s">
        <v>1635</v>
      </c>
      <c r="D204" s="2" t="s">
        <v>1636</v>
      </c>
      <c r="E204" s="4" t="s">
        <v>362</v>
      </c>
      <c r="F204" s="2" t="s">
        <v>1689</v>
      </c>
      <c r="G204" s="2" t="s">
        <v>1690</v>
      </c>
      <c r="H204" s="2" t="s">
        <v>368</v>
      </c>
      <c r="I204" s="2" t="s">
        <v>1026</v>
      </c>
      <c r="J204" s="2" t="s">
        <v>100</v>
      </c>
      <c r="K204" s="2" t="s">
        <v>101</v>
      </c>
      <c r="L204" s="2" t="s">
        <v>391</v>
      </c>
      <c r="M204" s="2" t="s">
        <v>781</v>
      </c>
      <c r="N204" s="2" t="s">
        <v>164</v>
      </c>
      <c r="O204" s="2" t="s">
        <v>105</v>
      </c>
      <c r="P204" s="152">
        <v>435</v>
      </c>
      <c r="Q204" s="150">
        <v>3.681</v>
      </c>
      <c r="R204" s="150">
        <v>125.96</v>
      </c>
      <c r="T204" s="150">
        <v>201.69200000000001</v>
      </c>
      <c r="U204" s="164">
        <v>3.0000000000000001E-6</v>
      </c>
      <c r="V204" s="164">
        <v>1.0258855425693001E-2</v>
      </c>
      <c r="W204" s="164">
        <v>6.8953931235477602E-3</v>
      </c>
    </row>
    <row r="205" spans="1:23">
      <c r="A205" s="2" t="s">
        <v>119</v>
      </c>
      <c r="B205" s="2">
        <v>13680</v>
      </c>
      <c r="C205" s="2" t="s">
        <v>1774</v>
      </c>
      <c r="D205" s="2" t="s">
        <v>1775</v>
      </c>
      <c r="E205" s="4" t="s">
        <v>362</v>
      </c>
      <c r="F205" s="2" t="s">
        <v>1776</v>
      </c>
      <c r="G205" s="2" t="s">
        <v>1777</v>
      </c>
      <c r="H205" s="2" t="s">
        <v>368</v>
      </c>
      <c r="I205" s="2" t="s">
        <v>1026</v>
      </c>
      <c r="J205" s="2" t="s">
        <v>100</v>
      </c>
      <c r="K205" s="2" t="s">
        <v>101</v>
      </c>
      <c r="L205" s="2" t="s">
        <v>393</v>
      </c>
      <c r="M205" s="2" t="s">
        <v>781</v>
      </c>
      <c r="N205" s="2" t="s">
        <v>164</v>
      </c>
      <c r="O205" s="2" t="s">
        <v>105</v>
      </c>
      <c r="P205" s="152">
        <v>1600</v>
      </c>
      <c r="Q205" s="150">
        <v>3.681</v>
      </c>
      <c r="R205" s="150">
        <v>4771</v>
      </c>
      <c r="T205" s="150">
        <v>280.99299999999999</v>
      </c>
      <c r="U205" s="164">
        <v>0</v>
      </c>
      <c r="V205" s="164">
        <v>1.4292440726954E-2</v>
      </c>
      <c r="W205" s="164">
        <v>9.6065295218540799E-3</v>
      </c>
    </row>
    <row r="206" spans="1:23">
      <c r="A206" s="2" t="s">
        <v>119</v>
      </c>
      <c r="B206" s="2">
        <v>13680</v>
      </c>
      <c r="C206" s="2" t="s">
        <v>1575</v>
      </c>
      <c r="D206" s="2" t="s">
        <v>1576</v>
      </c>
      <c r="E206" s="4" t="s">
        <v>362</v>
      </c>
      <c r="F206" s="2" t="s">
        <v>1691</v>
      </c>
      <c r="G206" s="2" t="s">
        <v>1692</v>
      </c>
      <c r="H206" s="2" t="s">
        <v>368</v>
      </c>
      <c r="I206" s="2" t="s">
        <v>1028</v>
      </c>
      <c r="J206" s="2" t="s">
        <v>100</v>
      </c>
      <c r="K206" s="2" t="s">
        <v>101</v>
      </c>
      <c r="L206" s="2" t="s">
        <v>426</v>
      </c>
      <c r="M206" s="2" t="s">
        <v>778</v>
      </c>
      <c r="N206" s="2" t="s">
        <v>164</v>
      </c>
      <c r="O206" s="2" t="s">
        <v>105</v>
      </c>
      <c r="P206" s="152">
        <v>5256</v>
      </c>
      <c r="Q206" s="150">
        <v>3.681</v>
      </c>
      <c r="R206" s="150">
        <v>2769.5</v>
      </c>
      <c r="T206" s="150">
        <v>535.82399999999996</v>
      </c>
      <c r="U206" s="164">
        <v>0</v>
      </c>
      <c r="V206" s="164">
        <v>2.72542180756629E-2</v>
      </c>
      <c r="W206" s="164">
        <v>1.8318666177509001E-2</v>
      </c>
    </row>
    <row r="207" spans="1:23">
      <c r="A207" s="2" t="s">
        <v>119</v>
      </c>
      <c r="B207" s="2">
        <v>13680</v>
      </c>
      <c r="C207" s="2" t="s">
        <v>1658</v>
      </c>
      <c r="D207" s="2" t="s">
        <v>1659</v>
      </c>
      <c r="E207" s="4" t="s">
        <v>362</v>
      </c>
      <c r="F207" s="2" t="s">
        <v>1693</v>
      </c>
      <c r="G207" s="2" t="s">
        <v>1694</v>
      </c>
      <c r="H207" s="2" t="s">
        <v>368</v>
      </c>
      <c r="I207" s="2" t="s">
        <v>1026</v>
      </c>
      <c r="J207" s="2" t="s">
        <v>100</v>
      </c>
      <c r="K207" s="2" t="s">
        <v>283</v>
      </c>
      <c r="L207" s="2" t="s">
        <v>426</v>
      </c>
      <c r="M207" s="2" t="s">
        <v>781</v>
      </c>
      <c r="N207" s="2" t="s">
        <v>164</v>
      </c>
      <c r="O207" s="2" t="s">
        <v>1223</v>
      </c>
      <c r="P207" s="152">
        <v>11264</v>
      </c>
      <c r="Q207" s="150">
        <v>4.6539999999999999</v>
      </c>
      <c r="R207" s="150">
        <v>777.2</v>
      </c>
      <c r="T207" s="150">
        <v>407.38499999999999</v>
      </c>
      <c r="U207" s="164">
        <v>1.8E-5</v>
      </c>
      <c r="V207" s="164">
        <v>2.07212683518039E-2</v>
      </c>
      <c r="W207" s="164">
        <v>1.39276055052276E-2</v>
      </c>
    </row>
    <row r="208" spans="1:23">
      <c r="A208" s="2" t="s">
        <v>119</v>
      </c>
      <c r="B208" s="2">
        <v>13680</v>
      </c>
      <c r="C208" s="2" t="s">
        <v>1658</v>
      </c>
      <c r="D208" s="2" t="s">
        <v>1659</v>
      </c>
      <c r="E208" s="4" t="s">
        <v>362</v>
      </c>
      <c r="F208" s="2" t="s">
        <v>1695</v>
      </c>
      <c r="G208" s="2" t="s">
        <v>1696</v>
      </c>
      <c r="H208" s="2" t="s">
        <v>368</v>
      </c>
      <c r="I208" s="2" t="s">
        <v>1028</v>
      </c>
      <c r="J208" s="2" t="s">
        <v>100</v>
      </c>
      <c r="K208" s="2" t="s">
        <v>101</v>
      </c>
      <c r="L208" s="2" t="s">
        <v>426</v>
      </c>
      <c r="M208" s="2" t="s">
        <v>778</v>
      </c>
      <c r="N208" s="2" t="s">
        <v>164</v>
      </c>
      <c r="O208" s="2" t="s">
        <v>105</v>
      </c>
      <c r="P208" s="152">
        <v>723</v>
      </c>
      <c r="Q208" s="150">
        <v>3.681</v>
      </c>
      <c r="R208" s="150">
        <v>9423</v>
      </c>
      <c r="T208" s="150">
        <v>250.78</v>
      </c>
      <c r="U208" s="164">
        <v>2.3E-5</v>
      </c>
      <c r="V208" s="164">
        <v>1.2755705652034899E-2</v>
      </c>
      <c r="W208" s="164">
        <v>8.5736275041715104E-3</v>
      </c>
    </row>
    <row r="209" spans="1:23">
      <c r="A209" s="2" t="s">
        <v>119</v>
      </c>
      <c r="B209" s="2">
        <v>13680</v>
      </c>
      <c r="C209" s="2" t="s">
        <v>1658</v>
      </c>
      <c r="D209" s="2" t="s">
        <v>1659</v>
      </c>
      <c r="E209" s="4" t="s">
        <v>362</v>
      </c>
      <c r="F209" s="2" t="s">
        <v>1697</v>
      </c>
      <c r="G209" s="2" t="s">
        <v>1698</v>
      </c>
      <c r="H209" s="2" t="s">
        <v>368</v>
      </c>
      <c r="I209" s="2" t="s">
        <v>1026</v>
      </c>
      <c r="J209" s="2" t="s">
        <v>100</v>
      </c>
      <c r="K209" s="2" t="s">
        <v>318</v>
      </c>
      <c r="L209" s="2" t="s">
        <v>391</v>
      </c>
      <c r="M209" s="2" t="s">
        <v>781</v>
      </c>
      <c r="N209" s="2" t="s">
        <v>164</v>
      </c>
      <c r="O209" s="2" t="s">
        <v>105</v>
      </c>
      <c r="P209" s="152">
        <v>700</v>
      </c>
      <c r="Q209" s="150">
        <v>3.681</v>
      </c>
      <c r="R209" s="150">
        <v>24.07</v>
      </c>
      <c r="T209" s="150">
        <v>62.021000000000001</v>
      </c>
      <c r="U209" s="164">
        <v>3.9999999999999998E-6</v>
      </c>
      <c r="V209" s="164">
        <v>3.15464962545127E-3</v>
      </c>
      <c r="W209" s="164">
        <v>2.12036805588083E-3</v>
      </c>
    </row>
    <row r="210" spans="1:23">
      <c r="A210" s="2" t="s">
        <v>119</v>
      </c>
      <c r="B210" s="2">
        <v>13680</v>
      </c>
      <c r="C210" s="2" t="s">
        <v>1658</v>
      </c>
      <c r="D210" s="2" t="s">
        <v>1659</v>
      </c>
      <c r="E210" s="4" t="s">
        <v>362</v>
      </c>
      <c r="F210" s="2" t="s">
        <v>1699</v>
      </c>
      <c r="G210" s="2" t="s">
        <v>1700</v>
      </c>
      <c r="H210" s="2" t="s">
        <v>368</v>
      </c>
      <c r="I210" s="2" t="s">
        <v>1028</v>
      </c>
      <c r="J210" s="2" t="s">
        <v>100</v>
      </c>
      <c r="K210" s="2" t="s">
        <v>271</v>
      </c>
      <c r="L210" s="2" t="s">
        <v>426</v>
      </c>
      <c r="M210" s="2" t="s">
        <v>778</v>
      </c>
      <c r="N210" s="2" t="s">
        <v>164</v>
      </c>
      <c r="O210" s="2" t="s">
        <v>105</v>
      </c>
      <c r="P210" s="152">
        <v>5687</v>
      </c>
      <c r="Q210" s="150">
        <v>3.681</v>
      </c>
      <c r="R210" s="150">
        <v>590.6</v>
      </c>
      <c r="T210" s="150">
        <v>123.63500000000001</v>
      </c>
      <c r="U210" s="164">
        <v>0</v>
      </c>
      <c r="V210" s="164">
        <v>6.2885956574380598E-3</v>
      </c>
      <c r="W210" s="164">
        <v>4.2268203862656003E-3</v>
      </c>
    </row>
    <row r="211" spans="1:23">
      <c r="A211" s="2" t="s">
        <v>119</v>
      </c>
      <c r="B211" s="2">
        <v>13680</v>
      </c>
      <c r="C211" s="2" t="s">
        <v>1658</v>
      </c>
      <c r="D211" s="2" t="s">
        <v>1659</v>
      </c>
      <c r="E211" s="4" t="s">
        <v>362</v>
      </c>
      <c r="F211" s="2" t="s">
        <v>1701</v>
      </c>
      <c r="G211" s="2" t="s">
        <v>1702</v>
      </c>
      <c r="H211" s="2" t="s">
        <v>368</v>
      </c>
      <c r="I211" s="2" t="s">
        <v>1026</v>
      </c>
      <c r="J211" s="2" t="s">
        <v>100</v>
      </c>
      <c r="K211" s="2" t="s">
        <v>101</v>
      </c>
      <c r="L211" s="2" t="s">
        <v>393</v>
      </c>
      <c r="M211" s="2" t="s">
        <v>781</v>
      </c>
      <c r="N211" s="2" t="s">
        <v>164</v>
      </c>
      <c r="O211" s="2" t="s">
        <v>105</v>
      </c>
      <c r="P211" s="152">
        <v>830</v>
      </c>
      <c r="Q211" s="150">
        <v>3.681</v>
      </c>
      <c r="R211" s="150">
        <v>5757</v>
      </c>
      <c r="T211" s="150">
        <v>175.89</v>
      </c>
      <c r="U211" s="164">
        <v>0</v>
      </c>
      <c r="V211" s="164">
        <v>8.9464620166123006E-3</v>
      </c>
      <c r="W211" s="164">
        <v>6.0132802451753498E-3</v>
      </c>
    </row>
    <row r="212" spans="1:23">
      <c r="A212" s="2" t="s">
        <v>119</v>
      </c>
      <c r="B212" s="2">
        <v>13680</v>
      </c>
      <c r="C212" s="2" t="s">
        <v>1658</v>
      </c>
      <c r="D212" s="2" t="s">
        <v>1659</v>
      </c>
      <c r="E212" s="4" t="s">
        <v>362</v>
      </c>
      <c r="F212" s="2" t="s">
        <v>1703</v>
      </c>
      <c r="G212" s="2" t="s">
        <v>1704</v>
      </c>
      <c r="H212" s="2" t="s">
        <v>368</v>
      </c>
      <c r="I212" s="2" t="s">
        <v>1026</v>
      </c>
      <c r="J212" s="2" t="s">
        <v>100</v>
      </c>
      <c r="K212" s="2" t="s">
        <v>101</v>
      </c>
      <c r="L212" s="2" t="s">
        <v>391</v>
      </c>
      <c r="M212" s="2" t="s">
        <v>781</v>
      </c>
      <c r="N212" s="2" t="s">
        <v>164</v>
      </c>
      <c r="O212" s="2" t="s">
        <v>105</v>
      </c>
      <c r="P212" s="152">
        <v>96</v>
      </c>
      <c r="Q212" s="150">
        <v>3.681</v>
      </c>
      <c r="R212" s="150">
        <v>11601</v>
      </c>
      <c r="T212" s="150">
        <v>40.994999999999997</v>
      </c>
      <c r="U212" s="164">
        <v>2.0999999999999999E-5</v>
      </c>
      <c r="V212" s="164">
        <v>2.0851805265989501E-3</v>
      </c>
      <c r="W212" s="164">
        <v>1.40153446635543E-3</v>
      </c>
    </row>
    <row r="213" spans="1:23">
      <c r="A213" s="2" t="s">
        <v>119</v>
      </c>
      <c r="B213" s="2">
        <v>13680</v>
      </c>
      <c r="C213" s="2" t="s">
        <v>1658</v>
      </c>
      <c r="D213" s="2" t="s">
        <v>1659</v>
      </c>
      <c r="E213" s="4" t="s">
        <v>362</v>
      </c>
      <c r="F213" s="2" t="s">
        <v>1705</v>
      </c>
      <c r="G213" s="2" t="s">
        <v>1706</v>
      </c>
      <c r="H213" s="2" t="s">
        <v>368</v>
      </c>
      <c r="I213" s="2" t="s">
        <v>1028</v>
      </c>
      <c r="J213" s="2" t="s">
        <v>100</v>
      </c>
      <c r="K213" s="2" t="s">
        <v>101</v>
      </c>
      <c r="L213" s="2" t="s">
        <v>426</v>
      </c>
      <c r="M213" s="2" t="s">
        <v>778</v>
      </c>
      <c r="N213" s="2" t="s">
        <v>164</v>
      </c>
      <c r="O213" s="2" t="s">
        <v>105</v>
      </c>
      <c r="P213" s="152">
        <v>20000</v>
      </c>
      <c r="Q213" s="150">
        <v>3.681</v>
      </c>
      <c r="R213" s="150">
        <v>571.15</v>
      </c>
      <c r="T213" s="150">
        <v>420.48099999999999</v>
      </c>
      <c r="U213" s="164">
        <v>0</v>
      </c>
      <c r="V213" s="164">
        <v>2.13873598857676E-2</v>
      </c>
      <c r="W213" s="164">
        <v>1.4375312660886E-2</v>
      </c>
    </row>
    <row r="214" spans="1:23">
      <c r="A214" s="2" t="s">
        <v>119</v>
      </c>
      <c r="B214" s="2">
        <v>13680</v>
      </c>
      <c r="C214" s="2" t="s">
        <v>1658</v>
      </c>
      <c r="D214" s="2" t="s">
        <v>1659</v>
      </c>
      <c r="E214" s="4" t="s">
        <v>362</v>
      </c>
      <c r="F214" s="2" t="s">
        <v>1778</v>
      </c>
      <c r="G214" s="2" t="s">
        <v>1779</v>
      </c>
      <c r="H214" s="2" t="s">
        <v>368</v>
      </c>
      <c r="I214" s="2" t="s">
        <v>1026</v>
      </c>
      <c r="J214" s="2" t="s">
        <v>100</v>
      </c>
      <c r="K214" s="2" t="s">
        <v>101</v>
      </c>
      <c r="L214" s="2" t="s">
        <v>391</v>
      </c>
      <c r="M214" s="2" t="s">
        <v>781</v>
      </c>
      <c r="N214" s="2" t="s">
        <v>164</v>
      </c>
      <c r="O214" s="2" t="s">
        <v>105</v>
      </c>
      <c r="P214" s="152">
        <v>665</v>
      </c>
      <c r="Q214" s="150">
        <v>3.681</v>
      </c>
      <c r="R214" s="150">
        <v>52573</v>
      </c>
      <c r="T214" s="150">
        <v>1286.9159999999999</v>
      </c>
      <c r="U214" s="164">
        <v>9.9999999999999995E-7</v>
      </c>
      <c r="V214" s="164">
        <v>6.5457800174868006E-2</v>
      </c>
      <c r="W214" s="164">
        <v>4.3996844333914403E-2</v>
      </c>
    </row>
    <row r="215" spans="1:23">
      <c r="A215" s="2" t="s">
        <v>119</v>
      </c>
      <c r="B215" s="2">
        <v>13680</v>
      </c>
      <c r="C215" s="2" t="s">
        <v>1707</v>
      </c>
      <c r="D215" s="2" t="s">
        <v>1708</v>
      </c>
      <c r="E215" s="4" t="s">
        <v>362</v>
      </c>
      <c r="F215" s="2" t="s">
        <v>1780</v>
      </c>
      <c r="G215" s="2" t="s">
        <v>1781</v>
      </c>
      <c r="H215" s="2" t="s">
        <v>368</v>
      </c>
      <c r="I215" s="2" t="s">
        <v>1026</v>
      </c>
      <c r="J215" s="2" t="s">
        <v>100</v>
      </c>
      <c r="K215" s="2" t="s">
        <v>343</v>
      </c>
      <c r="L215" s="2" t="s">
        <v>411</v>
      </c>
      <c r="M215" s="2" t="s">
        <v>781</v>
      </c>
      <c r="N215" s="2" t="s">
        <v>164</v>
      </c>
      <c r="O215" s="2" t="s">
        <v>1224</v>
      </c>
      <c r="P215" s="152">
        <v>590</v>
      </c>
      <c r="Q215" s="150">
        <v>3.9790000000000001</v>
      </c>
      <c r="R215" s="150">
        <v>23431</v>
      </c>
      <c r="T215" s="150">
        <v>550.08199999999999</v>
      </c>
      <c r="U215" s="164">
        <v>2.5999999999999998E-5</v>
      </c>
      <c r="V215" s="164">
        <v>2.7979430627139999E-2</v>
      </c>
      <c r="W215" s="164">
        <v>1.8806110968673701E-2</v>
      </c>
    </row>
    <row r="216" spans="1:23">
      <c r="A216" s="2" t="s">
        <v>119</v>
      </c>
      <c r="B216" s="2">
        <v>13680</v>
      </c>
      <c r="C216" s="2" t="s">
        <v>1707</v>
      </c>
      <c r="D216" s="2" t="s">
        <v>1708</v>
      </c>
      <c r="E216" s="4" t="s">
        <v>362</v>
      </c>
      <c r="F216" s="2" t="s">
        <v>1709</v>
      </c>
      <c r="G216" s="2" t="s">
        <v>1710</v>
      </c>
      <c r="H216" s="2" t="s">
        <v>368</v>
      </c>
      <c r="I216" s="2" t="s">
        <v>1026</v>
      </c>
      <c r="J216" s="2" t="s">
        <v>100</v>
      </c>
      <c r="K216" s="2" t="s">
        <v>331</v>
      </c>
      <c r="L216" s="2" t="s">
        <v>411</v>
      </c>
      <c r="M216" s="2" t="s">
        <v>781</v>
      </c>
      <c r="N216" s="2" t="s">
        <v>164</v>
      </c>
      <c r="O216" s="2" t="s">
        <v>1224</v>
      </c>
      <c r="P216" s="152">
        <v>2526</v>
      </c>
      <c r="Q216" s="150">
        <v>3.9790000000000001</v>
      </c>
      <c r="R216" s="150">
        <v>8097</v>
      </c>
      <c r="T216" s="150">
        <v>813.846</v>
      </c>
      <c r="U216" s="164">
        <v>3.8999999999999999E-5</v>
      </c>
      <c r="V216" s="164">
        <v>4.1395537142549003E-2</v>
      </c>
      <c r="W216" s="164">
        <v>2.7823620697824299E-2</v>
      </c>
    </row>
    <row r="217" spans="1:23">
      <c r="A217" s="2" t="s">
        <v>119</v>
      </c>
      <c r="B217" s="2">
        <v>13680</v>
      </c>
      <c r="C217" s="2" t="s">
        <v>1707</v>
      </c>
      <c r="D217" s="2" t="s">
        <v>1708</v>
      </c>
      <c r="E217" s="4" t="s">
        <v>362</v>
      </c>
      <c r="F217" s="2" t="s">
        <v>1711</v>
      </c>
      <c r="G217" s="2" t="s">
        <v>1712</v>
      </c>
      <c r="H217" s="2" t="s">
        <v>368</v>
      </c>
      <c r="I217" s="2" t="s">
        <v>1026</v>
      </c>
      <c r="J217" s="2" t="s">
        <v>100</v>
      </c>
      <c r="K217" s="2" t="s">
        <v>331</v>
      </c>
      <c r="L217" s="2" t="s">
        <v>411</v>
      </c>
      <c r="M217" s="2" t="s">
        <v>781</v>
      </c>
      <c r="N217" s="2" t="s">
        <v>164</v>
      </c>
      <c r="O217" s="2" t="s">
        <v>1224</v>
      </c>
      <c r="P217" s="152">
        <v>43</v>
      </c>
      <c r="Q217" s="150">
        <v>3.9790000000000001</v>
      </c>
      <c r="R217" s="150">
        <v>14783</v>
      </c>
      <c r="T217" s="150">
        <v>25.294</v>
      </c>
      <c r="U217" s="164">
        <v>1.2999999999999999E-5</v>
      </c>
      <c r="V217" s="164">
        <v>1.2865511854368999E-3</v>
      </c>
      <c r="W217" s="164">
        <v>8.6474327096334503E-4</v>
      </c>
    </row>
    <row r="218" spans="1:23">
      <c r="A218" s="2" t="s">
        <v>119</v>
      </c>
      <c r="B218" s="2">
        <v>13680</v>
      </c>
      <c r="C218" s="2" t="s">
        <v>1713</v>
      </c>
      <c r="D218" s="2" t="s">
        <v>1714</v>
      </c>
      <c r="E218" s="4" t="s">
        <v>362</v>
      </c>
      <c r="F218" s="2" t="s">
        <v>1715</v>
      </c>
      <c r="G218" s="2" t="s">
        <v>1716</v>
      </c>
      <c r="H218" s="2" t="s">
        <v>368</v>
      </c>
      <c r="I218" s="2" t="s">
        <v>1026</v>
      </c>
      <c r="J218" s="2" t="s">
        <v>100</v>
      </c>
      <c r="K218" s="2" t="s">
        <v>1717</v>
      </c>
      <c r="L218" s="2" t="s">
        <v>391</v>
      </c>
      <c r="M218" s="2" t="s">
        <v>781</v>
      </c>
      <c r="N218" s="2" t="s">
        <v>164</v>
      </c>
      <c r="O218" s="2" t="s">
        <v>105</v>
      </c>
      <c r="P218" s="152">
        <v>919</v>
      </c>
      <c r="Q218" s="150">
        <v>3.681</v>
      </c>
      <c r="R218" s="150">
        <v>9289</v>
      </c>
      <c r="T218" s="150">
        <v>314.23200000000003</v>
      </c>
      <c r="U218" s="164">
        <v>1.2E-5</v>
      </c>
      <c r="V218" s="164">
        <v>1.5983116861998201E-2</v>
      </c>
      <c r="W218" s="164">
        <v>1.07429015742892E-2</v>
      </c>
    </row>
    <row r="219" spans="1:23">
      <c r="A219" s="2" t="s">
        <v>119</v>
      </c>
      <c r="B219" s="2">
        <v>13680</v>
      </c>
      <c r="C219" s="2" t="s">
        <v>1658</v>
      </c>
      <c r="D219" s="2" t="s">
        <v>1659</v>
      </c>
      <c r="E219" s="4" t="s">
        <v>362</v>
      </c>
      <c r="F219" s="2" t="s">
        <v>1718</v>
      </c>
      <c r="G219" s="2" t="s">
        <v>1719</v>
      </c>
      <c r="H219" s="2" t="s">
        <v>368</v>
      </c>
      <c r="I219" s="2" t="s">
        <v>1026</v>
      </c>
      <c r="J219" s="2" t="s">
        <v>100</v>
      </c>
      <c r="K219" s="2" t="s">
        <v>318</v>
      </c>
      <c r="L219" s="2" t="s">
        <v>393</v>
      </c>
      <c r="M219" s="2" t="s">
        <v>781</v>
      </c>
      <c r="N219" s="2" t="s">
        <v>164</v>
      </c>
      <c r="O219" s="2" t="s">
        <v>105</v>
      </c>
      <c r="P219" s="152">
        <v>1171</v>
      </c>
      <c r="Q219" s="150">
        <v>3.681</v>
      </c>
      <c r="R219" s="150">
        <v>3973</v>
      </c>
      <c r="T219" s="150">
        <v>171.25399999999999</v>
      </c>
      <c r="U219" s="164">
        <v>6.9999999999999999E-6</v>
      </c>
      <c r="V219" s="164">
        <v>8.7106880458222204E-3</v>
      </c>
      <c r="W219" s="164">
        <v>5.8548069896866596E-3</v>
      </c>
    </row>
    <row r="220" spans="1:23">
      <c r="A220" s="2" t="s">
        <v>119</v>
      </c>
      <c r="B220" s="2">
        <v>13680</v>
      </c>
      <c r="C220" s="2" t="s">
        <v>1635</v>
      </c>
      <c r="D220" s="2" t="s">
        <v>1636</v>
      </c>
      <c r="E220" s="4" t="s">
        <v>362</v>
      </c>
      <c r="F220" s="2" t="s">
        <v>1720</v>
      </c>
      <c r="G220" s="2" t="s">
        <v>1721</v>
      </c>
      <c r="H220" s="2" t="s">
        <v>368</v>
      </c>
      <c r="I220" s="2" t="s">
        <v>1026</v>
      </c>
      <c r="J220" s="2" t="s">
        <v>100</v>
      </c>
      <c r="K220" s="2" t="s">
        <v>101</v>
      </c>
      <c r="L220" s="2" t="s">
        <v>391</v>
      </c>
      <c r="M220" s="2" t="s">
        <v>781</v>
      </c>
      <c r="N220" s="2" t="s">
        <v>164</v>
      </c>
      <c r="O220" s="2" t="s">
        <v>105</v>
      </c>
      <c r="P220" s="152">
        <v>655</v>
      </c>
      <c r="Q220" s="150">
        <v>3.681</v>
      </c>
      <c r="R220" s="150">
        <v>94.41</v>
      </c>
      <c r="T220" s="150">
        <v>227.62799999999999</v>
      </c>
      <c r="U220" s="164">
        <v>9.9999999999999995E-7</v>
      </c>
      <c r="V220" s="164">
        <v>1.1578073392839301E-2</v>
      </c>
      <c r="W220" s="164">
        <v>7.7820930643949099E-3</v>
      </c>
    </row>
    <row r="221" spans="1:23">
      <c r="A221" s="2" t="s">
        <v>119</v>
      </c>
      <c r="B221" s="2">
        <v>13680</v>
      </c>
      <c r="C221" s="2" t="s">
        <v>1579</v>
      </c>
      <c r="D221" s="2" t="s">
        <v>1580</v>
      </c>
      <c r="E221" s="4" t="s">
        <v>362</v>
      </c>
      <c r="F221" s="2" t="s">
        <v>1722</v>
      </c>
      <c r="G221" s="2" t="s">
        <v>1723</v>
      </c>
      <c r="H221" s="2" t="s">
        <v>368</v>
      </c>
      <c r="I221" s="2" t="s">
        <v>1026</v>
      </c>
      <c r="J221" s="2" t="s">
        <v>100</v>
      </c>
      <c r="K221" s="2" t="s">
        <v>101</v>
      </c>
      <c r="L221" s="2" t="s">
        <v>393</v>
      </c>
      <c r="M221" s="2" t="s">
        <v>781</v>
      </c>
      <c r="N221" s="2" t="s">
        <v>164</v>
      </c>
      <c r="O221" s="2" t="s">
        <v>105</v>
      </c>
      <c r="P221" s="152">
        <v>252</v>
      </c>
      <c r="Q221" s="150">
        <v>3.681</v>
      </c>
      <c r="R221" s="150">
        <v>444.01</v>
      </c>
      <c r="S221" s="155">
        <v>0.11</v>
      </c>
      <c r="T221" s="150">
        <v>412.27300000000002</v>
      </c>
      <c r="U221" s="164">
        <v>0</v>
      </c>
      <c r="V221" s="164">
        <v>2.0969910462606E-2</v>
      </c>
      <c r="W221" s="164">
        <v>1.40947279599174E-2</v>
      </c>
    </row>
    <row r="222" spans="1:23">
      <c r="A222" s="2" t="s">
        <v>119</v>
      </c>
      <c r="B222" s="2">
        <v>13680</v>
      </c>
      <c r="C222" s="2" t="s">
        <v>1635</v>
      </c>
      <c r="D222" s="2" t="s">
        <v>1636</v>
      </c>
      <c r="E222" s="4" t="s">
        <v>362</v>
      </c>
      <c r="F222" s="2" t="s">
        <v>1724</v>
      </c>
      <c r="G222" s="2" t="s">
        <v>1725</v>
      </c>
      <c r="H222" s="2" t="s">
        <v>368</v>
      </c>
      <c r="I222" s="2" t="s">
        <v>1026</v>
      </c>
      <c r="J222" s="2" t="s">
        <v>100</v>
      </c>
      <c r="K222" s="2" t="s">
        <v>101</v>
      </c>
      <c r="L222" s="2" t="s">
        <v>391</v>
      </c>
      <c r="M222" s="2" t="s">
        <v>781</v>
      </c>
      <c r="N222" s="2" t="s">
        <v>164</v>
      </c>
      <c r="O222" s="2" t="s">
        <v>105</v>
      </c>
      <c r="P222" s="152">
        <v>432</v>
      </c>
      <c r="Q222" s="150">
        <v>3.681</v>
      </c>
      <c r="R222" s="150">
        <v>39.53</v>
      </c>
      <c r="T222" s="150">
        <v>62.86</v>
      </c>
      <c r="U222" s="164">
        <v>6.9999999999999999E-6</v>
      </c>
      <c r="V222" s="164">
        <v>3.1973307298858301E-3</v>
      </c>
      <c r="W222" s="164">
        <v>2.1490557585349202E-3</v>
      </c>
    </row>
    <row r="223" spans="1:23">
      <c r="A223" s="2" t="s">
        <v>119</v>
      </c>
      <c r="B223" s="2">
        <v>13680</v>
      </c>
      <c r="C223" s="2" t="s">
        <v>1784</v>
      </c>
      <c r="D223" s="2" t="s">
        <v>1785</v>
      </c>
      <c r="E223" s="4" t="s">
        <v>362</v>
      </c>
      <c r="F223" s="2" t="s">
        <v>1786</v>
      </c>
      <c r="G223" s="2" t="s">
        <v>1787</v>
      </c>
      <c r="H223" s="2" t="s">
        <v>368</v>
      </c>
      <c r="I223" s="2" t="s">
        <v>1026</v>
      </c>
      <c r="J223" s="2" t="s">
        <v>100</v>
      </c>
      <c r="K223" s="2" t="s">
        <v>101</v>
      </c>
      <c r="L223" s="2" t="s">
        <v>391</v>
      </c>
      <c r="M223" s="2" t="s">
        <v>781</v>
      </c>
      <c r="N223" s="2" t="s">
        <v>164</v>
      </c>
      <c r="O223" s="2" t="s">
        <v>105</v>
      </c>
      <c r="P223" s="152">
        <v>639</v>
      </c>
      <c r="Q223" s="150">
        <v>3.681</v>
      </c>
      <c r="R223" s="150">
        <v>16937</v>
      </c>
      <c r="T223" s="150">
        <v>398.38499999999999</v>
      </c>
      <c r="U223" s="164">
        <v>3.0000000000000001E-6</v>
      </c>
      <c r="V223" s="164">
        <v>2.0263494659211501E-2</v>
      </c>
      <c r="W223" s="164">
        <v>1.3619917226071501E-2</v>
      </c>
    </row>
    <row r="224" spans="1:23">
      <c r="A224" s="2" t="s">
        <v>119</v>
      </c>
      <c r="B224" s="2">
        <v>13680</v>
      </c>
      <c r="C224" s="2" t="s">
        <v>1788</v>
      </c>
      <c r="D224" s="2" t="s">
        <v>1789</v>
      </c>
      <c r="E224" s="4" t="s">
        <v>34</v>
      </c>
      <c r="F224" s="2" t="s">
        <v>1790</v>
      </c>
      <c r="G224" s="2" t="s">
        <v>1791</v>
      </c>
      <c r="H224" s="2" t="s">
        <v>368</v>
      </c>
      <c r="I224" s="2" t="s">
        <v>1026</v>
      </c>
      <c r="J224" s="2" t="s">
        <v>100</v>
      </c>
      <c r="L224" s="2" t="s">
        <v>204</v>
      </c>
      <c r="M224" s="2" t="s">
        <v>781</v>
      </c>
      <c r="N224" s="2" t="s">
        <v>164</v>
      </c>
      <c r="O224" s="2" t="s">
        <v>1224</v>
      </c>
      <c r="P224" s="152">
        <v>885</v>
      </c>
      <c r="Q224" s="150">
        <v>3.9790000000000001</v>
      </c>
      <c r="R224" s="150">
        <v>12328</v>
      </c>
      <c r="T224" s="150">
        <v>434.13099999999997</v>
      </c>
      <c r="U224" s="164">
        <v>3.48E-4</v>
      </c>
      <c r="V224" s="164">
        <v>2.20816709127683E-2</v>
      </c>
      <c r="W224" s="164">
        <v>1.48419872832024E-2</v>
      </c>
    </row>
    <row r="225" spans="1:23">
      <c r="A225" s="2" t="s">
        <v>119</v>
      </c>
      <c r="B225" s="2">
        <v>13680</v>
      </c>
      <c r="C225" s="2" t="s">
        <v>1635</v>
      </c>
      <c r="D225" s="2" t="s">
        <v>1636</v>
      </c>
      <c r="E225" s="4" t="s">
        <v>362</v>
      </c>
      <c r="F225" s="2" t="s">
        <v>1726</v>
      </c>
      <c r="G225" s="2" t="s">
        <v>1727</v>
      </c>
      <c r="H225" s="2" t="s">
        <v>368</v>
      </c>
      <c r="I225" s="2" t="s">
        <v>1026</v>
      </c>
      <c r="J225" s="2" t="s">
        <v>100</v>
      </c>
      <c r="K225" s="2" t="s">
        <v>101</v>
      </c>
      <c r="L225" s="2" t="s">
        <v>391</v>
      </c>
      <c r="M225" s="2" t="s">
        <v>781</v>
      </c>
      <c r="N225" s="2" t="s">
        <v>164</v>
      </c>
      <c r="O225" s="2" t="s">
        <v>105</v>
      </c>
      <c r="P225" s="152">
        <v>241</v>
      </c>
      <c r="Q225" s="150">
        <v>3.681</v>
      </c>
      <c r="R225" s="150">
        <v>208.27</v>
      </c>
      <c r="T225" s="150">
        <v>184.761</v>
      </c>
      <c r="U225" s="164">
        <v>9.9999999999999995E-7</v>
      </c>
      <c r="V225" s="164">
        <v>9.3976823239212692E-3</v>
      </c>
      <c r="W225" s="164">
        <v>6.3165637280901297E-3</v>
      </c>
    </row>
    <row r="226" spans="1:23">
      <c r="A226" s="2" t="s">
        <v>119</v>
      </c>
      <c r="B226" s="2">
        <v>13680</v>
      </c>
      <c r="C226" s="2" t="s">
        <v>1635</v>
      </c>
      <c r="D226" s="2" t="s">
        <v>1636</v>
      </c>
      <c r="E226" s="4" t="s">
        <v>362</v>
      </c>
      <c r="F226" s="2" t="s">
        <v>1728</v>
      </c>
      <c r="G226" s="2" t="s">
        <v>1729</v>
      </c>
      <c r="H226" s="2" t="s">
        <v>368</v>
      </c>
      <c r="I226" s="2" t="s">
        <v>1028</v>
      </c>
      <c r="J226" s="2" t="s">
        <v>100</v>
      </c>
      <c r="K226" s="2" t="s">
        <v>101</v>
      </c>
      <c r="L226" s="2" t="s">
        <v>393</v>
      </c>
      <c r="M226" s="2" t="s">
        <v>778</v>
      </c>
      <c r="N226" s="2" t="s">
        <v>164</v>
      </c>
      <c r="O226" s="2" t="s">
        <v>105</v>
      </c>
      <c r="P226" s="152">
        <v>1200</v>
      </c>
      <c r="Q226" s="150">
        <v>3.681</v>
      </c>
      <c r="R226" s="150">
        <v>4007.5</v>
      </c>
      <c r="T226" s="150">
        <v>177.01900000000001</v>
      </c>
      <c r="U226" s="164">
        <v>0</v>
      </c>
      <c r="V226" s="164">
        <v>9.0039231104487895E-3</v>
      </c>
      <c r="W226" s="164">
        <v>6.0519021786046298E-3</v>
      </c>
    </row>
    <row r="227" spans="1:23">
      <c r="A227" s="2" t="s">
        <v>119</v>
      </c>
      <c r="B227" s="2">
        <v>13680</v>
      </c>
      <c r="C227" s="2" t="s">
        <v>1730</v>
      </c>
      <c r="D227" s="2" t="s">
        <v>1731</v>
      </c>
      <c r="E227" s="4" t="s">
        <v>362</v>
      </c>
      <c r="F227" s="2" t="s">
        <v>1732</v>
      </c>
      <c r="G227" s="2" t="s">
        <v>1733</v>
      </c>
      <c r="H227" s="2" t="s">
        <v>368</v>
      </c>
      <c r="I227" s="2" t="s">
        <v>1028</v>
      </c>
      <c r="J227" s="2" t="s">
        <v>100</v>
      </c>
      <c r="K227" s="2" t="s">
        <v>101</v>
      </c>
      <c r="L227" s="2" t="s">
        <v>204</v>
      </c>
      <c r="M227" s="2" t="s">
        <v>778</v>
      </c>
      <c r="N227" s="2" t="s">
        <v>164</v>
      </c>
      <c r="O227" s="2" t="s">
        <v>105</v>
      </c>
      <c r="P227" s="152">
        <v>1840</v>
      </c>
      <c r="Q227" s="150">
        <v>3.681</v>
      </c>
      <c r="R227" s="150">
        <v>2522</v>
      </c>
      <c r="T227" s="150">
        <v>170.816</v>
      </c>
      <c r="U227" s="164">
        <v>1.2E-5</v>
      </c>
      <c r="V227" s="164">
        <v>8.6884019787014793E-3</v>
      </c>
      <c r="W227" s="164">
        <v>5.8398276194159297E-3</v>
      </c>
    </row>
    <row r="228" spans="1:23">
      <c r="A228" s="2" t="s">
        <v>119</v>
      </c>
      <c r="B228" s="2">
        <v>13680</v>
      </c>
      <c r="C228" s="2" t="s">
        <v>1670</v>
      </c>
      <c r="D228" s="2" t="s">
        <v>1671</v>
      </c>
      <c r="E228" s="4" t="s">
        <v>362</v>
      </c>
      <c r="F228" s="2" t="s">
        <v>1736</v>
      </c>
      <c r="G228" s="2" t="s">
        <v>1737</v>
      </c>
      <c r="H228" s="2" t="s">
        <v>368</v>
      </c>
      <c r="I228" s="2" t="s">
        <v>1026</v>
      </c>
      <c r="J228" s="2" t="s">
        <v>100</v>
      </c>
      <c r="K228" s="2" t="s">
        <v>101</v>
      </c>
      <c r="L228" s="2" t="s">
        <v>393</v>
      </c>
      <c r="M228" s="2" t="s">
        <v>781</v>
      </c>
      <c r="N228" s="2" t="s">
        <v>164</v>
      </c>
      <c r="O228" s="2" t="s">
        <v>105</v>
      </c>
      <c r="P228" s="152">
        <v>122</v>
      </c>
      <c r="Q228" s="150">
        <v>3.681</v>
      </c>
      <c r="R228" s="150">
        <v>22499</v>
      </c>
      <c r="T228" s="150">
        <v>101.039</v>
      </c>
      <c r="U228" s="164">
        <v>5.0000000000000004E-6</v>
      </c>
      <c r="V228" s="164">
        <v>5.1392535786156102E-3</v>
      </c>
      <c r="W228" s="164">
        <v>3.4543009249748198E-3</v>
      </c>
    </row>
    <row r="229" spans="1:23">
      <c r="A229" s="2" t="s">
        <v>119</v>
      </c>
      <c r="B229" s="2">
        <v>13680</v>
      </c>
      <c r="C229" s="2" t="s">
        <v>1738</v>
      </c>
      <c r="D229" s="2" t="s">
        <v>1739</v>
      </c>
      <c r="E229" s="4" t="s">
        <v>362</v>
      </c>
      <c r="F229" s="2" t="s">
        <v>1794</v>
      </c>
      <c r="G229" s="2" t="s">
        <v>1795</v>
      </c>
      <c r="H229" s="2" t="s">
        <v>368</v>
      </c>
      <c r="I229" s="2" t="s">
        <v>1026</v>
      </c>
      <c r="J229" s="2" t="s">
        <v>100</v>
      </c>
      <c r="K229" s="2" t="s">
        <v>101</v>
      </c>
      <c r="L229" s="2" t="s">
        <v>391</v>
      </c>
      <c r="M229" s="2" t="s">
        <v>781</v>
      </c>
      <c r="N229" s="2" t="s">
        <v>164</v>
      </c>
      <c r="O229" s="2" t="s">
        <v>105</v>
      </c>
      <c r="P229" s="152">
        <v>610</v>
      </c>
      <c r="Q229" s="150">
        <v>3.681</v>
      </c>
      <c r="R229" s="150">
        <v>480.7</v>
      </c>
      <c r="T229" s="150">
        <v>1079.3689999999999</v>
      </c>
      <c r="U229" s="164">
        <v>9.9999999999999995E-7</v>
      </c>
      <c r="V229" s="164">
        <v>5.4901088831515198E-2</v>
      </c>
      <c r="W229" s="164">
        <v>3.6901250158571403E-2</v>
      </c>
    </row>
    <row r="230" spans="1:23">
      <c r="A230" s="2" t="s">
        <v>119</v>
      </c>
      <c r="B230" s="2">
        <v>13680</v>
      </c>
      <c r="C230" s="2" t="s">
        <v>1738</v>
      </c>
      <c r="D230" s="2" t="s">
        <v>1739</v>
      </c>
      <c r="E230" s="4" t="s">
        <v>362</v>
      </c>
      <c r="F230" s="2" t="s">
        <v>1796</v>
      </c>
      <c r="G230" s="2" t="s">
        <v>1797</v>
      </c>
      <c r="H230" s="2" t="s">
        <v>368</v>
      </c>
      <c r="I230" s="2" t="s">
        <v>1026</v>
      </c>
      <c r="J230" s="2" t="s">
        <v>100</v>
      </c>
      <c r="K230" s="2" t="s">
        <v>101</v>
      </c>
      <c r="L230" s="2" t="s">
        <v>393</v>
      </c>
      <c r="M230" s="2" t="s">
        <v>781</v>
      </c>
      <c r="N230" s="2" t="s">
        <v>164</v>
      </c>
      <c r="O230" s="2" t="s">
        <v>105</v>
      </c>
      <c r="P230" s="152">
        <v>205</v>
      </c>
      <c r="Q230" s="150">
        <v>3.681</v>
      </c>
      <c r="R230" s="150">
        <v>18047</v>
      </c>
      <c r="T230" s="150">
        <v>136.184</v>
      </c>
      <c r="U230" s="164">
        <v>0</v>
      </c>
      <c r="V230" s="164">
        <v>6.9268515443387801E-3</v>
      </c>
      <c r="W230" s="164">
        <v>4.6558180737246704E-3</v>
      </c>
    </row>
    <row r="231" spans="1:23">
      <c r="A231" s="2" t="s">
        <v>119</v>
      </c>
      <c r="B231" s="2">
        <v>13680</v>
      </c>
      <c r="C231" s="2" t="s">
        <v>1738</v>
      </c>
      <c r="D231" s="2" t="s">
        <v>1739</v>
      </c>
      <c r="E231" s="4" t="s">
        <v>362</v>
      </c>
      <c r="F231" s="2" t="s">
        <v>1740</v>
      </c>
      <c r="G231" s="2" t="s">
        <v>1741</v>
      </c>
      <c r="H231" s="2" t="s">
        <v>368</v>
      </c>
      <c r="I231" s="2" t="s">
        <v>1026</v>
      </c>
      <c r="J231" s="2" t="s">
        <v>100</v>
      </c>
      <c r="K231" s="2" t="s">
        <v>101</v>
      </c>
      <c r="L231" s="2" t="s">
        <v>391</v>
      </c>
      <c r="M231" s="2" t="s">
        <v>781</v>
      </c>
      <c r="N231" s="2" t="s">
        <v>164</v>
      </c>
      <c r="O231" s="2" t="s">
        <v>105</v>
      </c>
      <c r="P231" s="152">
        <v>1330</v>
      </c>
      <c r="Q231" s="150">
        <v>3.681</v>
      </c>
      <c r="R231" s="150">
        <v>10301</v>
      </c>
      <c r="T231" s="150">
        <v>504.30900000000003</v>
      </c>
      <c r="U231" s="164">
        <v>1.6699999999999999E-4</v>
      </c>
      <c r="V231" s="164">
        <v>2.5651220192924699E-2</v>
      </c>
      <c r="W231" s="164">
        <v>1.7241226237180801E-2</v>
      </c>
    </row>
    <row r="232" spans="1:23">
      <c r="A232" s="2" t="s">
        <v>119</v>
      </c>
      <c r="B232" s="2">
        <v>13680</v>
      </c>
      <c r="C232" s="2" t="s">
        <v>1738</v>
      </c>
      <c r="D232" s="2" t="s">
        <v>1739</v>
      </c>
      <c r="E232" s="4" t="s">
        <v>362</v>
      </c>
      <c r="F232" s="2" t="s">
        <v>1798</v>
      </c>
      <c r="G232" s="2" t="s">
        <v>1799</v>
      </c>
      <c r="H232" s="2" t="s">
        <v>368</v>
      </c>
      <c r="I232" s="2" t="s">
        <v>1026</v>
      </c>
      <c r="J232" s="2" t="s">
        <v>100</v>
      </c>
      <c r="K232" s="2" t="s">
        <v>346</v>
      </c>
      <c r="L232" s="2" t="s">
        <v>391</v>
      </c>
      <c r="M232" s="2" t="s">
        <v>781</v>
      </c>
      <c r="N232" s="2" t="s">
        <v>164</v>
      </c>
      <c r="O232" s="2" t="s">
        <v>105</v>
      </c>
      <c r="P232" s="152">
        <v>2230</v>
      </c>
      <c r="Q232" s="150">
        <v>3.681</v>
      </c>
      <c r="R232" s="150">
        <v>11050</v>
      </c>
      <c r="T232" s="150">
        <v>907.05399999999997</v>
      </c>
      <c r="U232" s="164">
        <v>9.0000000000000002E-6</v>
      </c>
      <c r="V232" s="164">
        <v>4.61364465223797E-2</v>
      </c>
      <c r="W232" s="164">
        <v>3.1010178318587201E-2</v>
      </c>
    </row>
    <row r="233" spans="1:23">
      <c r="A233" s="2" t="s">
        <v>119</v>
      </c>
      <c r="B233" s="2">
        <v>13680</v>
      </c>
      <c r="C233" s="2" t="s">
        <v>1742</v>
      </c>
      <c r="D233" s="2" t="s">
        <v>1743</v>
      </c>
      <c r="E233" s="4" t="s">
        <v>362</v>
      </c>
      <c r="F233" s="2" t="s">
        <v>1744</v>
      </c>
      <c r="G233" s="2" t="s">
        <v>1745</v>
      </c>
      <c r="H233" s="2" t="s">
        <v>368</v>
      </c>
      <c r="I233" s="2" t="s">
        <v>1026</v>
      </c>
      <c r="J233" s="2" t="s">
        <v>100</v>
      </c>
      <c r="K233" s="2" t="s">
        <v>346</v>
      </c>
      <c r="L233" s="2" t="s">
        <v>391</v>
      </c>
      <c r="M233" s="2" t="s">
        <v>781</v>
      </c>
      <c r="N233" s="2" t="s">
        <v>164</v>
      </c>
      <c r="O233" s="2" t="s">
        <v>105</v>
      </c>
      <c r="P233" s="152">
        <v>5910</v>
      </c>
      <c r="Q233" s="150">
        <v>3.681</v>
      </c>
      <c r="R233" s="150">
        <v>2946</v>
      </c>
      <c r="T233" s="150">
        <v>640.89400000000001</v>
      </c>
      <c r="U233" s="164">
        <v>6.7999999999999999E-5</v>
      </c>
      <c r="V233" s="164">
        <v>3.2598470519190799E-2</v>
      </c>
      <c r="W233" s="164">
        <v>2.19107551601955E-2</v>
      </c>
    </row>
    <row r="234" spans="1:23">
      <c r="A234" s="2" t="s">
        <v>119</v>
      </c>
      <c r="B234" s="2">
        <v>13680</v>
      </c>
      <c r="C234" s="2" t="s">
        <v>1742</v>
      </c>
      <c r="D234" s="2" t="s">
        <v>1743</v>
      </c>
      <c r="E234" s="4" t="s">
        <v>362</v>
      </c>
      <c r="F234" s="2" t="s">
        <v>1746</v>
      </c>
      <c r="G234" s="2" t="s">
        <v>1747</v>
      </c>
      <c r="H234" s="2" t="s">
        <v>368</v>
      </c>
      <c r="I234" s="2" t="s">
        <v>1026</v>
      </c>
      <c r="J234" s="2" t="s">
        <v>100</v>
      </c>
      <c r="K234" s="2" t="s">
        <v>294</v>
      </c>
      <c r="L234" s="2" t="s">
        <v>391</v>
      </c>
      <c r="M234" s="2" t="s">
        <v>781</v>
      </c>
      <c r="N234" s="2" t="s">
        <v>164</v>
      </c>
      <c r="O234" s="2" t="s">
        <v>105</v>
      </c>
      <c r="P234" s="152">
        <v>2355</v>
      </c>
      <c r="Q234" s="150">
        <v>3.681</v>
      </c>
      <c r="R234" s="150">
        <v>43.56</v>
      </c>
      <c r="T234" s="150">
        <v>377.61099999999999</v>
      </c>
      <c r="U234" s="164">
        <v>1.07E-4</v>
      </c>
      <c r="V234" s="164">
        <v>1.9206834010764302E-2</v>
      </c>
      <c r="W234" s="164">
        <v>1.29096927159397E-2</v>
      </c>
    </row>
    <row r="235" spans="1:23">
      <c r="A235" s="2" t="s">
        <v>119</v>
      </c>
      <c r="B235" s="2">
        <v>13680</v>
      </c>
      <c r="C235" s="2" t="s">
        <v>1748</v>
      </c>
      <c r="D235" s="2" t="s">
        <v>1749</v>
      </c>
      <c r="E235" s="4" t="s">
        <v>362</v>
      </c>
      <c r="F235" s="2" t="s">
        <v>1750</v>
      </c>
      <c r="G235" s="2" t="s">
        <v>1751</v>
      </c>
      <c r="H235" s="2" t="s">
        <v>368</v>
      </c>
      <c r="I235" s="2" t="s">
        <v>1026</v>
      </c>
      <c r="J235" s="2" t="s">
        <v>100</v>
      </c>
      <c r="K235" s="2" t="s">
        <v>301</v>
      </c>
      <c r="L235" s="2" t="s">
        <v>110</v>
      </c>
      <c r="M235" s="2" t="s">
        <v>781</v>
      </c>
      <c r="N235" s="2" t="s">
        <v>164</v>
      </c>
      <c r="O235" s="2" t="s">
        <v>1224</v>
      </c>
      <c r="P235" s="152">
        <v>9029</v>
      </c>
      <c r="Q235" s="150">
        <v>3.9790000000000001</v>
      </c>
      <c r="R235" s="150">
        <v>2551.5</v>
      </c>
      <c r="T235" s="150">
        <v>916.68499999999995</v>
      </c>
      <c r="U235" s="164">
        <v>1.5200000000000001E-4</v>
      </c>
      <c r="V235" s="164">
        <v>4.6626333157539397E-2</v>
      </c>
      <c r="W235" s="164">
        <v>3.13394510098602E-2</v>
      </c>
    </row>
    <row r="236" spans="1:23">
      <c r="A236" s="2" t="s">
        <v>128</v>
      </c>
      <c r="B236" s="2">
        <v>7228</v>
      </c>
      <c r="C236" s="2" t="s">
        <v>1607</v>
      </c>
      <c r="D236" s="2" t="s">
        <v>1608</v>
      </c>
      <c r="E236" s="4" t="s">
        <v>1380</v>
      </c>
      <c r="F236" s="2" t="s">
        <v>1633</v>
      </c>
      <c r="G236" s="2" t="s">
        <v>1634</v>
      </c>
      <c r="H236" s="2" t="s">
        <v>368</v>
      </c>
      <c r="I236" s="2" t="s">
        <v>1026</v>
      </c>
      <c r="J236" s="2" t="s">
        <v>31</v>
      </c>
      <c r="K236" s="2" t="s">
        <v>101</v>
      </c>
      <c r="L236" s="2" t="s">
        <v>32</v>
      </c>
      <c r="M236" s="2" t="s">
        <v>1614</v>
      </c>
      <c r="N236" s="2" t="s">
        <v>164</v>
      </c>
      <c r="O236" s="2" t="s">
        <v>35</v>
      </c>
      <c r="P236" s="152">
        <v>125683</v>
      </c>
      <c r="Q236" s="150">
        <v>1</v>
      </c>
      <c r="R236" s="150">
        <v>3141</v>
      </c>
      <c r="T236" s="150">
        <v>3947.703</v>
      </c>
      <c r="U236" s="164">
        <v>6.2839999999999997E-3</v>
      </c>
      <c r="V236" s="164">
        <v>7.3462516566212702E-3</v>
      </c>
      <c r="W236" s="164">
        <v>1.70344821950657E-3</v>
      </c>
    </row>
    <row r="237" spans="1:23">
      <c r="A237" s="2" t="s">
        <v>128</v>
      </c>
      <c r="B237" s="2">
        <v>7228</v>
      </c>
      <c r="C237" s="2" t="s">
        <v>1752</v>
      </c>
      <c r="D237" s="2" t="s">
        <v>1753</v>
      </c>
      <c r="E237" s="4" t="s">
        <v>1380</v>
      </c>
      <c r="F237" s="2" t="s">
        <v>1762</v>
      </c>
      <c r="G237" s="2" t="s">
        <v>1763</v>
      </c>
      <c r="H237" s="2" t="s">
        <v>368</v>
      </c>
      <c r="I237" s="2" t="s">
        <v>1026</v>
      </c>
      <c r="J237" s="2" t="s">
        <v>31</v>
      </c>
      <c r="K237" s="2" t="s">
        <v>346</v>
      </c>
      <c r="L237" s="2" t="s">
        <v>32</v>
      </c>
      <c r="M237" s="2" t="s">
        <v>1614</v>
      </c>
      <c r="N237" s="2" t="s">
        <v>164</v>
      </c>
      <c r="O237" s="2" t="s">
        <v>35</v>
      </c>
      <c r="P237" s="152">
        <v>935828</v>
      </c>
      <c r="Q237" s="150">
        <v>1</v>
      </c>
      <c r="R237" s="150">
        <v>1361</v>
      </c>
      <c r="T237" s="150">
        <v>12736.619000000001</v>
      </c>
      <c r="U237" s="164">
        <v>1.3842E-2</v>
      </c>
      <c r="V237" s="164">
        <v>2.3701481166430099E-2</v>
      </c>
      <c r="W237" s="164">
        <v>5.4958974698660198E-3</v>
      </c>
    </row>
    <row r="238" spans="1:23">
      <c r="A238" s="2" t="s">
        <v>128</v>
      </c>
      <c r="B238" s="2">
        <v>7228</v>
      </c>
      <c r="C238" s="2" t="s">
        <v>1635</v>
      </c>
      <c r="D238" s="2" t="s">
        <v>1636</v>
      </c>
      <c r="E238" s="4" t="s">
        <v>362</v>
      </c>
      <c r="F238" s="2" t="s">
        <v>1637</v>
      </c>
      <c r="G238" s="2" t="s">
        <v>1638</v>
      </c>
      <c r="H238" s="2" t="s">
        <v>368</v>
      </c>
      <c r="I238" s="2" t="s">
        <v>1026</v>
      </c>
      <c r="J238" s="2" t="s">
        <v>100</v>
      </c>
      <c r="K238" s="2" t="s">
        <v>101</v>
      </c>
      <c r="L238" s="2" t="s">
        <v>391</v>
      </c>
      <c r="M238" s="2" t="s">
        <v>781</v>
      </c>
      <c r="N238" s="2" t="s">
        <v>164</v>
      </c>
      <c r="O238" s="2" t="s">
        <v>105</v>
      </c>
      <c r="P238" s="152">
        <v>16000</v>
      </c>
      <c r="Q238" s="150">
        <v>3.681</v>
      </c>
      <c r="R238" s="150">
        <v>65.650000000000006</v>
      </c>
      <c r="T238" s="150">
        <v>3866.5219999999999</v>
      </c>
      <c r="U238" s="164">
        <v>7.1000000000000005E-5</v>
      </c>
      <c r="V238" s="164">
        <v>7.1951832167991801E-3</v>
      </c>
      <c r="W238" s="164">
        <v>1.6684184823199E-3</v>
      </c>
    </row>
    <row r="239" spans="1:23">
      <c r="A239" s="2" t="s">
        <v>128</v>
      </c>
      <c r="B239" s="2">
        <v>7228</v>
      </c>
      <c r="C239" s="2" t="s">
        <v>1579</v>
      </c>
      <c r="D239" s="2" t="s">
        <v>1580</v>
      </c>
      <c r="E239" s="4" t="s">
        <v>362</v>
      </c>
      <c r="F239" s="2" t="s">
        <v>1639</v>
      </c>
      <c r="G239" s="2" t="s">
        <v>1640</v>
      </c>
      <c r="H239" s="2" t="s">
        <v>368</v>
      </c>
      <c r="I239" s="2" t="s">
        <v>1026</v>
      </c>
      <c r="J239" s="2" t="s">
        <v>100</v>
      </c>
      <c r="K239" s="2" t="s">
        <v>101</v>
      </c>
      <c r="L239" s="2" t="s">
        <v>391</v>
      </c>
      <c r="M239" s="2" t="s">
        <v>781</v>
      </c>
      <c r="N239" s="2" t="s">
        <v>164</v>
      </c>
      <c r="O239" s="2" t="s">
        <v>105</v>
      </c>
      <c r="P239" s="152">
        <v>15319</v>
      </c>
      <c r="Q239" s="150">
        <v>3.681</v>
      </c>
      <c r="R239" s="150">
        <v>10157</v>
      </c>
      <c r="T239" s="150">
        <v>5727.4549999999999</v>
      </c>
      <c r="U239" s="164">
        <v>7.94E-4</v>
      </c>
      <c r="V239" s="164">
        <v>1.0658179072906299E-2</v>
      </c>
      <c r="W239" s="164">
        <v>2.4714176716993399E-3</v>
      </c>
    </row>
    <row r="240" spans="1:23">
      <c r="A240" s="2" t="s">
        <v>128</v>
      </c>
      <c r="B240" s="2">
        <v>7228</v>
      </c>
      <c r="C240" s="2" t="s">
        <v>1645</v>
      </c>
      <c r="D240" s="2" t="s">
        <v>1646</v>
      </c>
      <c r="E240" s="4" t="s">
        <v>362</v>
      </c>
      <c r="F240" s="2" t="s">
        <v>1650</v>
      </c>
      <c r="G240" s="2" t="s">
        <v>1651</v>
      </c>
      <c r="H240" s="2" t="s">
        <v>368</v>
      </c>
      <c r="I240" s="2" t="s">
        <v>1026</v>
      </c>
      <c r="J240" s="2" t="s">
        <v>100</v>
      </c>
      <c r="K240" s="2" t="s">
        <v>331</v>
      </c>
      <c r="L240" s="2" t="s">
        <v>411</v>
      </c>
      <c r="M240" s="2" t="s">
        <v>781</v>
      </c>
      <c r="N240" s="2" t="s">
        <v>164</v>
      </c>
      <c r="O240" s="2" t="s">
        <v>1224</v>
      </c>
      <c r="P240" s="152">
        <v>29929</v>
      </c>
      <c r="Q240" s="150">
        <v>3.9790000000000001</v>
      </c>
      <c r="R240" s="150">
        <v>11016</v>
      </c>
      <c r="T240" s="150">
        <v>13119.008</v>
      </c>
      <c r="U240" s="164">
        <v>5.9569999999999996E-3</v>
      </c>
      <c r="V240" s="164">
        <v>2.4413065360832001E-2</v>
      </c>
      <c r="W240" s="164">
        <v>5.6608995533285996E-3</v>
      </c>
    </row>
    <row r="241" spans="1:23">
      <c r="A241" s="2" t="s">
        <v>128</v>
      </c>
      <c r="B241" s="2">
        <v>7228</v>
      </c>
      <c r="C241" s="2" t="s">
        <v>1645</v>
      </c>
      <c r="D241" s="2" t="s">
        <v>1646</v>
      </c>
      <c r="E241" s="4" t="s">
        <v>362</v>
      </c>
      <c r="F241" s="2" t="s">
        <v>1652</v>
      </c>
      <c r="G241" s="2" t="s">
        <v>1653</v>
      </c>
      <c r="H241" s="2" t="s">
        <v>368</v>
      </c>
      <c r="I241" s="2" t="s">
        <v>1026</v>
      </c>
      <c r="J241" s="2" t="s">
        <v>100</v>
      </c>
      <c r="K241" s="2" t="s">
        <v>101</v>
      </c>
      <c r="L241" s="2" t="s">
        <v>426</v>
      </c>
      <c r="M241" s="2" t="s">
        <v>781</v>
      </c>
      <c r="N241" s="2" t="s">
        <v>164</v>
      </c>
      <c r="O241" s="2" t="s">
        <v>105</v>
      </c>
      <c r="P241" s="152">
        <v>48955</v>
      </c>
      <c r="Q241" s="150">
        <v>3.681</v>
      </c>
      <c r="R241" s="150">
        <v>9308</v>
      </c>
      <c r="T241" s="150">
        <v>16773.328000000001</v>
      </c>
      <c r="U241" s="164">
        <v>0</v>
      </c>
      <c r="V241" s="164">
        <v>3.1213363759274401E-2</v>
      </c>
      <c r="W241" s="164">
        <v>7.2377521770063203E-3</v>
      </c>
    </row>
    <row r="242" spans="1:23">
      <c r="A242" s="2" t="s">
        <v>128</v>
      </c>
      <c r="B242" s="2">
        <v>7228</v>
      </c>
      <c r="C242" s="2" t="s">
        <v>1635</v>
      </c>
      <c r="D242" s="2" t="s">
        <v>1636</v>
      </c>
      <c r="E242" s="4" t="s">
        <v>362</v>
      </c>
      <c r="F242" s="2" t="s">
        <v>1656</v>
      </c>
      <c r="G242" s="2" t="s">
        <v>1657</v>
      </c>
      <c r="H242" s="2" t="s">
        <v>368</v>
      </c>
      <c r="I242" s="2" t="s">
        <v>1026</v>
      </c>
      <c r="J242" s="2" t="s">
        <v>100</v>
      </c>
      <c r="K242" s="2" t="s">
        <v>101</v>
      </c>
      <c r="L242" s="2" t="s">
        <v>391</v>
      </c>
      <c r="M242" s="2" t="s">
        <v>781</v>
      </c>
      <c r="N242" s="2" t="s">
        <v>164</v>
      </c>
      <c r="O242" s="2" t="s">
        <v>105</v>
      </c>
      <c r="P242" s="152">
        <v>5400</v>
      </c>
      <c r="Q242" s="150">
        <v>3.681</v>
      </c>
      <c r="R242" s="150">
        <v>183.89</v>
      </c>
      <c r="T242" s="150">
        <v>3655.2550000000001</v>
      </c>
      <c r="U242" s="164">
        <v>5.5999999999999999E-5</v>
      </c>
      <c r="V242" s="164">
        <v>6.80203741944105E-3</v>
      </c>
      <c r="W242" s="164">
        <v>1.5772558677214E-3</v>
      </c>
    </row>
    <row r="243" spans="1:23">
      <c r="A243" s="2" t="s">
        <v>128</v>
      </c>
      <c r="B243" s="2">
        <v>7228</v>
      </c>
      <c r="C243" s="2" t="s">
        <v>1658</v>
      </c>
      <c r="D243" s="2" t="s">
        <v>1659</v>
      </c>
      <c r="E243" s="4" t="s">
        <v>362</v>
      </c>
      <c r="F243" s="2" t="s">
        <v>1660</v>
      </c>
      <c r="G243" s="2" t="s">
        <v>1661</v>
      </c>
      <c r="H243" s="2" t="s">
        <v>368</v>
      </c>
      <c r="I243" s="2" t="s">
        <v>1026</v>
      </c>
      <c r="J243" s="2" t="s">
        <v>100</v>
      </c>
      <c r="K243" s="2" t="s">
        <v>101</v>
      </c>
      <c r="L243" s="2" t="s">
        <v>391</v>
      </c>
      <c r="M243" s="2" t="s">
        <v>781</v>
      </c>
      <c r="N243" s="2" t="s">
        <v>164</v>
      </c>
      <c r="O243" s="2" t="s">
        <v>105</v>
      </c>
      <c r="P243" s="152">
        <v>21500</v>
      </c>
      <c r="Q243" s="150">
        <v>3.681</v>
      </c>
      <c r="R243" s="150">
        <v>5454</v>
      </c>
      <c r="T243" s="150">
        <v>4316.3770000000004</v>
      </c>
      <c r="U243" s="164">
        <v>3.7720000000000002E-3</v>
      </c>
      <c r="V243" s="164">
        <v>8.0323151102921608E-3</v>
      </c>
      <c r="W243" s="164">
        <v>1.8625325557436599E-3</v>
      </c>
    </row>
    <row r="244" spans="1:23">
      <c r="A244" s="2" t="s">
        <v>128</v>
      </c>
      <c r="B244" s="2">
        <v>7228</v>
      </c>
      <c r="C244" s="2" t="s">
        <v>1635</v>
      </c>
      <c r="D244" s="2" t="s">
        <v>1636</v>
      </c>
      <c r="E244" s="4" t="s">
        <v>362</v>
      </c>
      <c r="F244" s="2" t="s">
        <v>1662</v>
      </c>
      <c r="G244" s="2" t="s">
        <v>1663</v>
      </c>
      <c r="H244" s="2" t="s">
        <v>368</v>
      </c>
      <c r="I244" s="2" t="s">
        <v>1026</v>
      </c>
      <c r="J244" s="2" t="s">
        <v>100</v>
      </c>
      <c r="K244" s="2" t="s">
        <v>101</v>
      </c>
      <c r="L244" s="2" t="s">
        <v>391</v>
      </c>
      <c r="M244" s="2" t="s">
        <v>781</v>
      </c>
      <c r="N244" s="2" t="s">
        <v>164</v>
      </c>
      <c r="O244" s="2" t="s">
        <v>105</v>
      </c>
      <c r="P244" s="152">
        <v>155238</v>
      </c>
      <c r="Q244" s="150">
        <v>3.681</v>
      </c>
      <c r="R244" s="150">
        <v>42.12</v>
      </c>
      <c r="T244" s="150">
        <v>24068.677</v>
      </c>
      <c r="U244" s="164">
        <v>1.7200000000000001E-4</v>
      </c>
      <c r="V244" s="164">
        <v>4.4789224766815398E-2</v>
      </c>
      <c r="W244" s="164">
        <v>1.03857216915983E-2</v>
      </c>
    </row>
    <row r="245" spans="1:23">
      <c r="A245" s="2" t="s">
        <v>128</v>
      </c>
      <c r="B245" s="2">
        <v>7228</v>
      </c>
      <c r="C245" s="2" t="s">
        <v>1664</v>
      </c>
      <c r="D245" s="2" t="s">
        <v>1665</v>
      </c>
      <c r="E245" s="4" t="s">
        <v>362</v>
      </c>
      <c r="F245" s="2" t="s">
        <v>1666</v>
      </c>
      <c r="G245" s="2" t="s">
        <v>1667</v>
      </c>
      <c r="H245" s="2" t="s">
        <v>368</v>
      </c>
      <c r="I245" s="2" t="s">
        <v>1026</v>
      </c>
      <c r="J245" s="2" t="s">
        <v>100</v>
      </c>
      <c r="K245" s="2" t="s">
        <v>101</v>
      </c>
      <c r="L245" s="2" t="s">
        <v>393</v>
      </c>
      <c r="M245" s="2" t="s">
        <v>781</v>
      </c>
      <c r="N245" s="2" t="s">
        <v>164</v>
      </c>
      <c r="O245" s="2" t="s">
        <v>105</v>
      </c>
      <c r="P245" s="152">
        <v>8901</v>
      </c>
      <c r="Q245" s="150">
        <v>3.681</v>
      </c>
      <c r="R245" s="150">
        <v>19068</v>
      </c>
      <c r="T245" s="150">
        <v>6247.55</v>
      </c>
      <c r="U245" s="164">
        <v>6.4300000000000002E-4</v>
      </c>
      <c r="V245" s="164">
        <v>1.16260206073603E-2</v>
      </c>
      <c r="W245" s="164">
        <v>2.6958406857332099E-3</v>
      </c>
    </row>
    <row r="246" spans="1:23">
      <c r="A246" s="2" t="s">
        <v>128</v>
      </c>
      <c r="B246" s="2">
        <v>7228</v>
      </c>
      <c r="C246" s="2" t="s">
        <v>1664</v>
      </c>
      <c r="D246" s="2" t="s">
        <v>1665</v>
      </c>
      <c r="E246" s="4" t="s">
        <v>362</v>
      </c>
      <c r="F246" s="2" t="s">
        <v>1668</v>
      </c>
      <c r="G246" s="2" t="s">
        <v>1669</v>
      </c>
      <c r="H246" s="2" t="s">
        <v>368</v>
      </c>
      <c r="I246" s="2" t="s">
        <v>1026</v>
      </c>
      <c r="J246" s="2" t="s">
        <v>100</v>
      </c>
      <c r="K246" s="2" t="s">
        <v>346</v>
      </c>
      <c r="L246" s="2" t="s">
        <v>393</v>
      </c>
      <c r="M246" s="2" t="s">
        <v>781</v>
      </c>
      <c r="N246" s="2" t="s">
        <v>164</v>
      </c>
      <c r="O246" s="2" t="s">
        <v>105</v>
      </c>
      <c r="P246" s="152">
        <v>9000</v>
      </c>
      <c r="Q246" s="150">
        <v>3.681</v>
      </c>
      <c r="R246" s="150">
        <v>11461</v>
      </c>
      <c r="T246" s="150">
        <v>3796.915</v>
      </c>
      <c r="U246" s="164">
        <v>1.2589999999999999E-3</v>
      </c>
      <c r="V246" s="164">
        <v>7.0656507390481601E-3</v>
      </c>
      <c r="W246" s="164">
        <v>1.6383825022164499E-3</v>
      </c>
    </row>
    <row r="247" spans="1:23">
      <c r="A247" s="2" t="s">
        <v>128</v>
      </c>
      <c r="B247" s="2">
        <v>7228</v>
      </c>
      <c r="C247" s="2" t="s">
        <v>1670</v>
      </c>
      <c r="D247" s="2" t="s">
        <v>1671</v>
      </c>
      <c r="E247" s="4" t="s">
        <v>362</v>
      </c>
      <c r="F247" s="2" t="s">
        <v>1672</v>
      </c>
      <c r="G247" s="2" t="s">
        <v>1673</v>
      </c>
      <c r="H247" s="2" t="s">
        <v>368</v>
      </c>
      <c r="I247" s="2" t="s">
        <v>1026</v>
      </c>
      <c r="J247" s="2" t="s">
        <v>100</v>
      </c>
      <c r="K247" s="2" t="s">
        <v>101</v>
      </c>
      <c r="L247" s="2" t="s">
        <v>391</v>
      </c>
      <c r="M247" s="2" t="s">
        <v>781</v>
      </c>
      <c r="N247" s="2" t="s">
        <v>164</v>
      </c>
      <c r="O247" s="2" t="s">
        <v>105</v>
      </c>
      <c r="P247" s="152">
        <v>63060</v>
      </c>
      <c r="Q247" s="150">
        <v>3.681</v>
      </c>
      <c r="R247" s="150">
        <v>3162</v>
      </c>
      <c r="T247" s="150">
        <v>7339.7560000000003</v>
      </c>
      <c r="U247" s="164">
        <v>1.4799999999999999E-4</v>
      </c>
      <c r="V247" s="164">
        <v>1.3658499029375401E-2</v>
      </c>
      <c r="W247" s="164">
        <v>3.1671316121809198E-3</v>
      </c>
    </row>
    <row r="248" spans="1:23">
      <c r="A248" s="2" t="s">
        <v>128</v>
      </c>
      <c r="B248" s="2">
        <v>7228</v>
      </c>
      <c r="C248" s="2" t="s">
        <v>1674</v>
      </c>
      <c r="D248" s="2" t="s">
        <v>1675</v>
      </c>
      <c r="E248" s="4" t="s">
        <v>362</v>
      </c>
      <c r="F248" s="2" t="s">
        <v>1676</v>
      </c>
      <c r="G248" s="2" t="s">
        <v>1677</v>
      </c>
      <c r="H248" s="2" t="s">
        <v>368</v>
      </c>
      <c r="I248" s="2" t="s">
        <v>1026</v>
      </c>
      <c r="J248" s="2" t="s">
        <v>100</v>
      </c>
      <c r="K248" s="2" t="s">
        <v>339</v>
      </c>
      <c r="L248" s="2" t="s">
        <v>391</v>
      </c>
      <c r="M248" s="2" t="s">
        <v>781</v>
      </c>
      <c r="N248" s="2" t="s">
        <v>164</v>
      </c>
      <c r="O248" s="2" t="s">
        <v>105</v>
      </c>
      <c r="P248" s="152">
        <v>42658</v>
      </c>
      <c r="Q248" s="150">
        <v>3.681</v>
      </c>
      <c r="R248" s="150">
        <v>3981</v>
      </c>
      <c r="T248" s="150">
        <v>6251.1289999999999</v>
      </c>
      <c r="U248" s="164">
        <v>2.8400000000000002E-4</v>
      </c>
      <c r="V248" s="164">
        <v>1.16326808097991E-2</v>
      </c>
      <c r="W248" s="164">
        <v>2.6973850529174799E-3</v>
      </c>
    </row>
    <row r="249" spans="1:23">
      <c r="A249" s="2" t="s">
        <v>128</v>
      </c>
      <c r="B249" s="2">
        <v>7228</v>
      </c>
      <c r="C249" s="2" t="s">
        <v>1635</v>
      </c>
      <c r="D249" s="2" t="s">
        <v>1636</v>
      </c>
      <c r="E249" s="4" t="s">
        <v>362</v>
      </c>
      <c r="F249" s="2" t="s">
        <v>1678</v>
      </c>
      <c r="G249" s="2" t="s">
        <v>1679</v>
      </c>
      <c r="H249" s="2" t="s">
        <v>368</v>
      </c>
      <c r="I249" s="2" t="s">
        <v>1026</v>
      </c>
      <c r="J249" s="2" t="s">
        <v>100</v>
      </c>
      <c r="K249" s="2" t="s">
        <v>101</v>
      </c>
      <c r="L249" s="2" t="s">
        <v>391</v>
      </c>
      <c r="M249" s="2" t="s">
        <v>781</v>
      </c>
      <c r="N249" s="2" t="s">
        <v>164</v>
      </c>
      <c r="O249" s="2" t="s">
        <v>105</v>
      </c>
      <c r="P249" s="152">
        <v>55598</v>
      </c>
      <c r="Q249" s="150">
        <v>3.681</v>
      </c>
      <c r="R249" s="150">
        <v>147.72999999999999</v>
      </c>
      <c r="T249" s="150">
        <v>30233.866000000002</v>
      </c>
      <c r="U249" s="164">
        <v>1.85E-4</v>
      </c>
      <c r="V249" s="164">
        <v>5.6261979888721697E-2</v>
      </c>
      <c r="W249" s="164">
        <v>1.3046023189387501E-2</v>
      </c>
    </row>
    <row r="250" spans="1:23">
      <c r="A250" s="2" t="s">
        <v>128</v>
      </c>
      <c r="B250" s="2">
        <v>7228</v>
      </c>
      <c r="C250" s="2" t="s">
        <v>1680</v>
      </c>
      <c r="D250" s="2" t="s">
        <v>1681</v>
      </c>
      <c r="E250" s="4" t="s">
        <v>362</v>
      </c>
      <c r="F250" s="2" t="s">
        <v>1682</v>
      </c>
      <c r="G250" s="2" t="s">
        <v>1683</v>
      </c>
      <c r="H250" s="2" t="s">
        <v>368</v>
      </c>
      <c r="I250" s="2" t="s">
        <v>1026</v>
      </c>
      <c r="J250" s="2" t="s">
        <v>100</v>
      </c>
      <c r="K250" s="2" t="s">
        <v>332</v>
      </c>
      <c r="L250" s="2" t="s">
        <v>1684</v>
      </c>
      <c r="M250" s="2" t="s">
        <v>781</v>
      </c>
      <c r="N250" s="2" t="s">
        <v>164</v>
      </c>
      <c r="O250" s="2" t="s">
        <v>1221</v>
      </c>
      <c r="P250" s="152">
        <v>35420</v>
      </c>
      <c r="Q250" s="150">
        <v>2.7120000000000002</v>
      </c>
      <c r="R250" s="150">
        <v>5675</v>
      </c>
      <c r="T250" s="150">
        <v>5451.7529999999997</v>
      </c>
      <c r="U250" s="164">
        <v>4.7600000000000002E-4</v>
      </c>
      <c r="V250" s="164">
        <v>1.0145126368947099E-2</v>
      </c>
      <c r="W250" s="164">
        <v>2.35245105363031E-3</v>
      </c>
    </row>
    <row r="251" spans="1:23">
      <c r="A251" s="2" t="s">
        <v>128</v>
      </c>
      <c r="B251" s="2">
        <v>7228</v>
      </c>
      <c r="C251" s="2" t="s">
        <v>1658</v>
      </c>
      <c r="D251" s="2" t="s">
        <v>1659</v>
      </c>
      <c r="E251" s="4" t="s">
        <v>362</v>
      </c>
      <c r="F251" s="2" t="s">
        <v>1685</v>
      </c>
      <c r="G251" s="2" t="s">
        <v>1686</v>
      </c>
      <c r="H251" s="2" t="s">
        <v>368</v>
      </c>
      <c r="I251" s="2" t="s">
        <v>1028</v>
      </c>
      <c r="J251" s="2" t="s">
        <v>100</v>
      </c>
      <c r="K251" s="2" t="s">
        <v>1649</v>
      </c>
      <c r="L251" s="2" t="s">
        <v>426</v>
      </c>
      <c r="M251" s="2" t="s">
        <v>778</v>
      </c>
      <c r="N251" s="2" t="s">
        <v>164</v>
      </c>
      <c r="O251" s="2" t="s">
        <v>105</v>
      </c>
      <c r="P251" s="152">
        <v>65328</v>
      </c>
      <c r="Q251" s="150">
        <v>3.681</v>
      </c>
      <c r="R251" s="150">
        <v>44.09</v>
      </c>
      <c r="T251" s="150">
        <v>10602.427</v>
      </c>
      <c r="U251" s="164">
        <v>0</v>
      </c>
      <c r="V251" s="164">
        <v>1.9729978206261701E-2</v>
      </c>
      <c r="W251" s="164">
        <v>4.5749856957415496E-3</v>
      </c>
    </row>
    <row r="252" spans="1:23">
      <c r="A252" s="2" t="s">
        <v>128</v>
      </c>
      <c r="B252" s="2">
        <v>7228</v>
      </c>
      <c r="C252" s="2" t="s">
        <v>1658</v>
      </c>
      <c r="D252" s="2" t="s">
        <v>1659</v>
      </c>
      <c r="E252" s="4" t="s">
        <v>362</v>
      </c>
      <c r="F252" s="2" t="s">
        <v>1687</v>
      </c>
      <c r="G252" s="2" t="s">
        <v>1688</v>
      </c>
      <c r="H252" s="2" t="s">
        <v>368</v>
      </c>
      <c r="I252" s="2" t="s">
        <v>1026</v>
      </c>
      <c r="J252" s="2" t="s">
        <v>100</v>
      </c>
      <c r="K252" s="2" t="s">
        <v>101</v>
      </c>
      <c r="L252" s="2" t="s">
        <v>391</v>
      </c>
      <c r="M252" s="2" t="s">
        <v>781</v>
      </c>
      <c r="N252" s="2" t="s">
        <v>164</v>
      </c>
      <c r="O252" s="2" t="s">
        <v>105</v>
      </c>
      <c r="P252" s="152">
        <v>21130</v>
      </c>
      <c r="Q252" s="150">
        <v>3.681</v>
      </c>
      <c r="R252" s="150">
        <v>5859</v>
      </c>
      <c r="T252" s="150">
        <v>4557.1030000000001</v>
      </c>
      <c r="U252" s="164">
        <v>1.66E-4</v>
      </c>
      <c r="V252" s="164">
        <v>8.4802789700351607E-3</v>
      </c>
      <c r="W252" s="164">
        <v>1.9664063780615699E-3</v>
      </c>
    </row>
    <row r="253" spans="1:23">
      <c r="A253" s="2" t="s">
        <v>128</v>
      </c>
      <c r="B253" s="2">
        <v>7228</v>
      </c>
      <c r="C253" s="2" t="s">
        <v>1635</v>
      </c>
      <c r="D253" s="2" t="s">
        <v>1636</v>
      </c>
      <c r="E253" s="4" t="s">
        <v>362</v>
      </c>
      <c r="F253" s="2" t="s">
        <v>1689</v>
      </c>
      <c r="G253" s="2" t="s">
        <v>1690</v>
      </c>
      <c r="H253" s="2" t="s">
        <v>368</v>
      </c>
      <c r="I253" s="2" t="s">
        <v>1026</v>
      </c>
      <c r="J253" s="2" t="s">
        <v>100</v>
      </c>
      <c r="K253" s="2" t="s">
        <v>101</v>
      </c>
      <c r="L253" s="2" t="s">
        <v>391</v>
      </c>
      <c r="M253" s="2" t="s">
        <v>781</v>
      </c>
      <c r="N253" s="2" t="s">
        <v>164</v>
      </c>
      <c r="O253" s="2" t="s">
        <v>105</v>
      </c>
      <c r="P253" s="152">
        <v>39632</v>
      </c>
      <c r="Q253" s="150">
        <v>3.681</v>
      </c>
      <c r="R253" s="150">
        <v>125.96</v>
      </c>
      <c r="T253" s="150">
        <v>18375.723999999998</v>
      </c>
      <c r="U253" s="164">
        <v>2.8600000000000001E-4</v>
      </c>
      <c r="V253" s="164">
        <v>3.4195250168718001E-2</v>
      </c>
      <c r="W253" s="164">
        <v>7.9291917481458807E-3</v>
      </c>
    </row>
    <row r="254" spans="1:23">
      <c r="A254" s="2" t="s">
        <v>128</v>
      </c>
      <c r="B254" s="2">
        <v>7228</v>
      </c>
      <c r="C254" s="2" t="s">
        <v>1575</v>
      </c>
      <c r="D254" s="2" t="s">
        <v>1576</v>
      </c>
      <c r="E254" s="4" t="s">
        <v>362</v>
      </c>
      <c r="F254" s="2" t="s">
        <v>1691</v>
      </c>
      <c r="G254" s="2" t="s">
        <v>1692</v>
      </c>
      <c r="H254" s="2" t="s">
        <v>368</v>
      </c>
      <c r="I254" s="2" t="s">
        <v>1028</v>
      </c>
      <c r="J254" s="2" t="s">
        <v>100</v>
      </c>
      <c r="K254" s="2" t="s">
        <v>101</v>
      </c>
      <c r="L254" s="2" t="s">
        <v>426</v>
      </c>
      <c r="M254" s="2" t="s">
        <v>778</v>
      </c>
      <c r="N254" s="2" t="s">
        <v>164</v>
      </c>
      <c r="O254" s="2" t="s">
        <v>105</v>
      </c>
      <c r="P254" s="152">
        <v>505650</v>
      </c>
      <c r="Q254" s="150">
        <v>3.681</v>
      </c>
      <c r="R254" s="150">
        <v>2769.5</v>
      </c>
      <c r="T254" s="150">
        <v>51548.637999999999</v>
      </c>
      <c r="U254" s="164">
        <v>0</v>
      </c>
      <c r="V254" s="164">
        <v>9.5926483701490706E-2</v>
      </c>
      <c r="W254" s="164">
        <v>2.2243425014925901E-2</v>
      </c>
    </row>
    <row r="255" spans="1:23">
      <c r="A255" s="2" t="s">
        <v>128</v>
      </c>
      <c r="B255" s="2">
        <v>7228</v>
      </c>
      <c r="C255" s="2" t="s">
        <v>1658</v>
      </c>
      <c r="D255" s="2" t="s">
        <v>1659</v>
      </c>
      <c r="E255" s="4" t="s">
        <v>362</v>
      </c>
      <c r="F255" s="2" t="s">
        <v>1693</v>
      </c>
      <c r="G255" s="2" t="s">
        <v>1694</v>
      </c>
      <c r="H255" s="2" t="s">
        <v>368</v>
      </c>
      <c r="I255" s="2" t="s">
        <v>1026</v>
      </c>
      <c r="J255" s="2" t="s">
        <v>100</v>
      </c>
      <c r="K255" s="2" t="s">
        <v>283</v>
      </c>
      <c r="L255" s="2" t="s">
        <v>426</v>
      </c>
      <c r="M255" s="2" t="s">
        <v>781</v>
      </c>
      <c r="N255" s="2" t="s">
        <v>164</v>
      </c>
      <c r="O255" s="2" t="s">
        <v>1223</v>
      </c>
      <c r="P255" s="152">
        <v>832298</v>
      </c>
      <c r="Q255" s="150">
        <v>4.6539999999999999</v>
      </c>
      <c r="R255" s="150">
        <v>777.2</v>
      </c>
      <c r="T255" s="150">
        <v>30101.723000000002</v>
      </c>
      <c r="U255" s="164">
        <v>1.343E-3</v>
      </c>
      <c r="V255" s="164">
        <v>5.6016076675142197E-2</v>
      </c>
      <c r="W255" s="164">
        <v>1.2989003172796399E-2</v>
      </c>
    </row>
    <row r="256" spans="1:23">
      <c r="A256" s="2" t="s">
        <v>128</v>
      </c>
      <c r="B256" s="2">
        <v>7228</v>
      </c>
      <c r="C256" s="2" t="s">
        <v>1658</v>
      </c>
      <c r="D256" s="2" t="s">
        <v>1659</v>
      </c>
      <c r="E256" s="4" t="s">
        <v>362</v>
      </c>
      <c r="F256" s="2" t="s">
        <v>1695</v>
      </c>
      <c r="G256" s="2" t="s">
        <v>1696</v>
      </c>
      <c r="H256" s="2" t="s">
        <v>368</v>
      </c>
      <c r="I256" s="2" t="s">
        <v>1028</v>
      </c>
      <c r="J256" s="2" t="s">
        <v>100</v>
      </c>
      <c r="K256" s="2" t="s">
        <v>101</v>
      </c>
      <c r="L256" s="2" t="s">
        <v>426</v>
      </c>
      <c r="M256" s="2" t="s">
        <v>778</v>
      </c>
      <c r="N256" s="2" t="s">
        <v>164</v>
      </c>
      <c r="O256" s="2" t="s">
        <v>105</v>
      </c>
      <c r="P256" s="152">
        <v>89283</v>
      </c>
      <c r="Q256" s="150">
        <v>3.681</v>
      </c>
      <c r="R256" s="150">
        <v>9423</v>
      </c>
      <c r="T256" s="150">
        <v>30968.758000000002</v>
      </c>
      <c r="U256" s="164">
        <v>2.8800000000000002E-3</v>
      </c>
      <c r="V256" s="164">
        <v>5.7629534263707802E-2</v>
      </c>
      <c r="W256" s="164">
        <v>1.3363131583441599E-2</v>
      </c>
    </row>
    <row r="257" spans="1:23">
      <c r="A257" s="2" t="s">
        <v>128</v>
      </c>
      <c r="B257" s="2">
        <v>7228</v>
      </c>
      <c r="C257" s="2" t="s">
        <v>1658</v>
      </c>
      <c r="D257" s="2" t="s">
        <v>1659</v>
      </c>
      <c r="E257" s="4" t="s">
        <v>362</v>
      </c>
      <c r="F257" s="2" t="s">
        <v>1697</v>
      </c>
      <c r="G257" s="2" t="s">
        <v>1698</v>
      </c>
      <c r="H257" s="2" t="s">
        <v>368</v>
      </c>
      <c r="I257" s="2" t="s">
        <v>1026</v>
      </c>
      <c r="J257" s="2" t="s">
        <v>100</v>
      </c>
      <c r="K257" s="2" t="s">
        <v>318</v>
      </c>
      <c r="L257" s="2" t="s">
        <v>391</v>
      </c>
      <c r="M257" s="2" t="s">
        <v>781</v>
      </c>
      <c r="N257" s="2" t="s">
        <v>164</v>
      </c>
      <c r="O257" s="2" t="s">
        <v>105</v>
      </c>
      <c r="P257" s="152">
        <v>16250</v>
      </c>
      <c r="Q257" s="150">
        <v>3.681</v>
      </c>
      <c r="R257" s="150">
        <v>24.07</v>
      </c>
      <c r="T257" s="150">
        <v>1439.777</v>
      </c>
      <c r="U257" s="164">
        <v>9.5000000000000005E-5</v>
      </c>
      <c r="V257" s="164">
        <v>2.6792707306367001E-3</v>
      </c>
      <c r="W257" s="164">
        <v>6.2126907285643598E-4</v>
      </c>
    </row>
    <row r="258" spans="1:23">
      <c r="A258" s="2" t="s">
        <v>128</v>
      </c>
      <c r="B258" s="2">
        <v>7228</v>
      </c>
      <c r="C258" s="2" t="s">
        <v>1658</v>
      </c>
      <c r="D258" s="2" t="s">
        <v>1659</v>
      </c>
      <c r="E258" s="4" t="s">
        <v>362</v>
      </c>
      <c r="F258" s="2" t="s">
        <v>1699</v>
      </c>
      <c r="G258" s="2" t="s">
        <v>1700</v>
      </c>
      <c r="H258" s="2" t="s">
        <v>368</v>
      </c>
      <c r="I258" s="2" t="s">
        <v>1028</v>
      </c>
      <c r="J258" s="2" t="s">
        <v>100</v>
      </c>
      <c r="K258" s="2" t="s">
        <v>271</v>
      </c>
      <c r="L258" s="2" t="s">
        <v>426</v>
      </c>
      <c r="M258" s="2" t="s">
        <v>778</v>
      </c>
      <c r="N258" s="2" t="s">
        <v>164</v>
      </c>
      <c r="O258" s="2" t="s">
        <v>105</v>
      </c>
      <c r="P258" s="152">
        <v>519103</v>
      </c>
      <c r="Q258" s="150">
        <v>3.681</v>
      </c>
      <c r="R258" s="150">
        <v>590.6</v>
      </c>
      <c r="T258" s="150">
        <v>11285.291999999999</v>
      </c>
      <c r="U258" s="164">
        <v>0</v>
      </c>
      <c r="V258" s="164">
        <v>2.1000717144099301E-2</v>
      </c>
      <c r="W258" s="164">
        <v>4.8696445343298202E-3</v>
      </c>
    </row>
    <row r="259" spans="1:23">
      <c r="A259" s="2" t="s">
        <v>128</v>
      </c>
      <c r="B259" s="2">
        <v>7228</v>
      </c>
      <c r="C259" s="2" t="s">
        <v>1658</v>
      </c>
      <c r="D259" s="2" t="s">
        <v>1659</v>
      </c>
      <c r="E259" s="4" t="s">
        <v>362</v>
      </c>
      <c r="F259" s="2" t="s">
        <v>1701</v>
      </c>
      <c r="G259" s="2" t="s">
        <v>1702</v>
      </c>
      <c r="H259" s="2" t="s">
        <v>368</v>
      </c>
      <c r="I259" s="2" t="s">
        <v>1026</v>
      </c>
      <c r="J259" s="2" t="s">
        <v>100</v>
      </c>
      <c r="K259" s="2" t="s">
        <v>101</v>
      </c>
      <c r="L259" s="2" t="s">
        <v>393</v>
      </c>
      <c r="M259" s="2" t="s">
        <v>781</v>
      </c>
      <c r="N259" s="2" t="s">
        <v>164</v>
      </c>
      <c r="O259" s="2" t="s">
        <v>105</v>
      </c>
      <c r="P259" s="152">
        <v>39623</v>
      </c>
      <c r="Q259" s="150">
        <v>3.681</v>
      </c>
      <c r="R259" s="150">
        <v>5757</v>
      </c>
      <c r="T259" s="150">
        <v>8396.7150000000001</v>
      </c>
      <c r="U259" s="164">
        <v>0</v>
      </c>
      <c r="V259" s="164">
        <v>1.56253850405349E-2</v>
      </c>
      <c r="W259" s="164">
        <v>3.62321297588731E-3</v>
      </c>
    </row>
    <row r="260" spans="1:23">
      <c r="A260" s="2" t="s">
        <v>128</v>
      </c>
      <c r="B260" s="2">
        <v>7228</v>
      </c>
      <c r="C260" s="2" t="s">
        <v>1658</v>
      </c>
      <c r="D260" s="2" t="s">
        <v>1659</v>
      </c>
      <c r="E260" s="4" t="s">
        <v>362</v>
      </c>
      <c r="F260" s="2" t="s">
        <v>1703</v>
      </c>
      <c r="G260" s="2" t="s">
        <v>1704</v>
      </c>
      <c r="H260" s="2" t="s">
        <v>368</v>
      </c>
      <c r="I260" s="2" t="s">
        <v>1026</v>
      </c>
      <c r="J260" s="2" t="s">
        <v>100</v>
      </c>
      <c r="K260" s="2" t="s">
        <v>101</v>
      </c>
      <c r="L260" s="2" t="s">
        <v>391</v>
      </c>
      <c r="M260" s="2" t="s">
        <v>781</v>
      </c>
      <c r="N260" s="2" t="s">
        <v>164</v>
      </c>
      <c r="O260" s="2" t="s">
        <v>105</v>
      </c>
      <c r="P260" s="152">
        <v>20384</v>
      </c>
      <c r="Q260" s="150">
        <v>3.681</v>
      </c>
      <c r="R260" s="150">
        <v>11601</v>
      </c>
      <c r="T260" s="150">
        <v>8704.6370000000006</v>
      </c>
      <c r="U260" s="164">
        <v>4.431E-3</v>
      </c>
      <c r="V260" s="164">
        <v>1.6198394868935699E-2</v>
      </c>
      <c r="W260" s="164">
        <v>3.7560824469555099E-3</v>
      </c>
    </row>
    <row r="261" spans="1:23">
      <c r="A261" s="2" t="s">
        <v>128</v>
      </c>
      <c r="B261" s="2">
        <v>7228</v>
      </c>
      <c r="C261" s="2" t="s">
        <v>1658</v>
      </c>
      <c r="D261" s="2" t="s">
        <v>1659</v>
      </c>
      <c r="E261" s="4" t="s">
        <v>362</v>
      </c>
      <c r="F261" s="2" t="s">
        <v>1705</v>
      </c>
      <c r="G261" s="2" t="s">
        <v>1706</v>
      </c>
      <c r="H261" s="2" t="s">
        <v>368</v>
      </c>
      <c r="I261" s="2" t="s">
        <v>1028</v>
      </c>
      <c r="J261" s="2" t="s">
        <v>100</v>
      </c>
      <c r="K261" s="2" t="s">
        <v>101</v>
      </c>
      <c r="L261" s="2" t="s">
        <v>426</v>
      </c>
      <c r="M261" s="2" t="s">
        <v>778</v>
      </c>
      <c r="N261" s="2" t="s">
        <v>164</v>
      </c>
      <c r="O261" s="2" t="s">
        <v>105</v>
      </c>
      <c r="P261" s="152">
        <v>811990</v>
      </c>
      <c r="Q261" s="150">
        <v>3.681</v>
      </c>
      <c r="R261" s="150">
        <v>571.15</v>
      </c>
      <c r="T261" s="150">
        <v>17071.303</v>
      </c>
      <c r="U261" s="164">
        <v>0</v>
      </c>
      <c r="V261" s="164">
        <v>3.1767863355504897E-2</v>
      </c>
      <c r="W261" s="164">
        <v>7.3663294969875401E-3</v>
      </c>
    </row>
    <row r="262" spans="1:23">
      <c r="A262" s="2" t="s">
        <v>128</v>
      </c>
      <c r="B262" s="2">
        <v>7228</v>
      </c>
      <c r="C262" s="2" t="s">
        <v>1707</v>
      </c>
      <c r="D262" s="2" t="s">
        <v>1708</v>
      </c>
      <c r="E262" s="4" t="s">
        <v>362</v>
      </c>
      <c r="F262" s="2" t="s">
        <v>1709</v>
      </c>
      <c r="G262" s="2" t="s">
        <v>1710</v>
      </c>
      <c r="H262" s="2" t="s">
        <v>368</v>
      </c>
      <c r="I262" s="2" t="s">
        <v>1026</v>
      </c>
      <c r="J262" s="2" t="s">
        <v>100</v>
      </c>
      <c r="K262" s="2" t="s">
        <v>331</v>
      </c>
      <c r="L262" s="2" t="s">
        <v>411</v>
      </c>
      <c r="M262" s="2" t="s">
        <v>781</v>
      </c>
      <c r="N262" s="2" t="s">
        <v>164</v>
      </c>
      <c r="O262" s="2" t="s">
        <v>1224</v>
      </c>
      <c r="P262" s="152">
        <v>82805</v>
      </c>
      <c r="Q262" s="150">
        <v>3.9790000000000001</v>
      </c>
      <c r="R262" s="150">
        <v>8097</v>
      </c>
      <c r="T262" s="150">
        <v>26678.755000000001</v>
      </c>
      <c r="U262" s="164">
        <v>1.274E-3</v>
      </c>
      <c r="V262" s="164">
        <v>4.9646299296977899E-2</v>
      </c>
      <c r="W262" s="164">
        <v>1.15119797272808E-2</v>
      </c>
    </row>
    <row r="263" spans="1:23">
      <c r="A263" s="2" t="s">
        <v>128</v>
      </c>
      <c r="B263" s="2">
        <v>7228</v>
      </c>
      <c r="C263" s="2" t="s">
        <v>1707</v>
      </c>
      <c r="D263" s="2" t="s">
        <v>1708</v>
      </c>
      <c r="E263" s="4" t="s">
        <v>362</v>
      </c>
      <c r="F263" s="2" t="s">
        <v>1711</v>
      </c>
      <c r="G263" s="2" t="s">
        <v>1712</v>
      </c>
      <c r="H263" s="2" t="s">
        <v>368</v>
      </c>
      <c r="I263" s="2" t="s">
        <v>1026</v>
      </c>
      <c r="J263" s="2" t="s">
        <v>100</v>
      </c>
      <c r="K263" s="2" t="s">
        <v>331</v>
      </c>
      <c r="L263" s="2" t="s">
        <v>411</v>
      </c>
      <c r="M263" s="2" t="s">
        <v>781</v>
      </c>
      <c r="N263" s="2" t="s">
        <v>164</v>
      </c>
      <c r="O263" s="2" t="s">
        <v>1224</v>
      </c>
      <c r="P263" s="152">
        <v>5533</v>
      </c>
      <c r="Q263" s="150">
        <v>3.9790000000000001</v>
      </c>
      <c r="R263" s="150">
        <v>14783</v>
      </c>
      <c r="T263" s="150">
        <v>3254.6790000000001</v>
      </c>
      <c r="U263" s="164">
        <v>1.7240000000000001E-3</v>
      </c>
      <c r="V263" s="164">
        <v>6.0566074645635199E-3</v>
      </c>
      <c r="W263" s="164">
        <v>1.4044056321514699E-3</v>
      </c>
    </row>
    <row r="264" spans="1:23">
      <c r="A264" s="2" t="s">
        <v>128</v>
      </c>
      <c r="B264" s="2">
        <v>7228</v>
      </c>
      <c r="C264" s="2" t="s">
        <v>1713</v>
      </c>
      <c r="D264" s="2" t="s">
        <v>1714</v>
      </c>
      <c r="E264" s="4" t="s">
        <v>362</v>
      </c>
      <c r="F264" s="2" t="s">
        <v>1715</v>
      </c>
      <c r="G264" s="2" t="s">
        <v>1716</v>
      </c>
      <c r="H264" s="2" t="s">
        <v>368</v>
      </c>
      <c r="I264" s="2" t="s">
        <v>1026</v>
      </c>
      <c r="J264" s="2" t="s">
        <v>100</v>
      </c>
      <c r="K264" s="2" t="s">
        <v>1717</v>
      </c>
      <c r="L264" s="2" t="s">
        <v>391</v>
      </c>
      <c r="M264" s="2" t="s">
        <v>781</v>
      </c>
      <c r="N264" s="2" t="s">
        <v>164</v>
      </c>
      <c r="O264" s="2" t="s">
        <v>105</v>
      </c>
      <c r="P264" s="152">
        <v>25118</v>
      </c>
      <c r="Q264" s="150">
        <v>3.681</v>
      </c>
      <c r="R264" s="150">
        <v>9289</v>
      </c>
      <c r="T264" s="150">
        <v>8588.5499999999993</v>
      </c>
      <c r="U264" s="164">
        <v>3.2299999999999999E-4</v>
      </c>
      <c r="V264" s="164">
        <v>1.5982369356773499E-2</v>
      </c>
      <c r="W264" s="164">
        <v>3.7059904692692898E-3</v>
      </c>
    </row>
    <row r="265" spans="1:23">
      <c r="A265" s="2" t="s">
        <v>128</v>
      </c>
      <c r="B265" s="2">
        <v>7228</v>
      </c>
      <c r="C265" s="2" t="s">
        <v>1658</v>
      </c>
      <c r="D265" s="2" t="s">
        <v>1659</v>
      </c>
      <c r="E265" s="4" t="s">
        <v>362</v>
      </c>
      <c r="F265" s="2" t="s">
        <v>1718</v>
      </c>
      <c r="G265" s="2" t="s">
        <v>1719</v>
      </c>
      <c r="H265" s="2" t="s">
        <v>368</v>
      </c>
      <c r="I265" s="2" t="s">
        <v>1026</v>
      </c>
      <c r="J265" s="2" t="s">
        <v>100</v>
      </c>
      <c r="K265" s="2" t="s">
        <v>318</v>
      </c>
      <c r="L265" s="2" t="s">
        <v>393</v>
      </c>
      <c r="M265" s="2" t="s">
        <v>781</v>
      </c>
      <c r="N265" s="2" t="s">
        <v>164</v>
      </c>
      <c r="O265" s="2" t="s">
        <v>105</v>
      </c>
      <c r="P265" s="152">
        <v>57155</v>
      </c>
      <c r="Q265" s="150">
        <v>3.681</v>
      </c>
      <c r="R265" s="150">
        <v>3973</v>
      </c>
      <c r="T265" s="150">
        <v>8358.6980000000003</v>
      </c>
      <c r="U265" s="164">
        <v>3.6099999999999999E-4</v>
      </c>
      <c r="V265" s="164">
        <v>1.55546390728504E-2</v>
      </c>
      <c r="W265" s="164">
        <v>3.60680840681966E-3</v>
      </c>
    </row>
    <row r="266" spans="1:23">
      <c r="A266" s="2" t="s">
        <v>128</v>
      </c>
      <c r="B266" s="2">
        <v>7228</v>
      </c>
      <c r="C266" s="2" t="s">
        <v>1635</v>
      </c>
      <c r="D266" s="2" t="s">
        <v>1636</v>
      </c>
      <c r="E266" s="4" t="s">
        <v>362</v>
      </c>
      <c r="F266" s="2" t="s">
        <v>1720</v>
      </c>
      <c r="G266" s="2" t="s">
        <v>1721</v>
      </c>
      <c r="H266" s="2" t="s">
        <v>368</v>
      </c>
      <c r="I266" s="2" t="s">
        <v>1026</v>
      </c>
      <c r="J266" s="2" t="s">
        <v>100</v>
      </c>
      <c r="K266" s="2" t="s">
        <v>101</v>
      </c>
      <c r="L266" s="2" t="s">
        <v>391</v>
      </c>
      <c r="M266" s="2" t="s">
        <v>781</v>
      </c>
      <c r="N266" s="2" t="s">
        <v>164</v>
      </c>
      <c r="O266" s="2" t="s">
        <v>105</v>
      </c>
      <c r="P266" s="152">
        <v>31272</v>
      </c>
      <c r="Q266" s="150">
        <v>3.681</v>
      </c>
      <c r="R266" s="150">
        <v>94.41</v>
      </c>
      <c r="T266" s="150">
        <v>10867.745999999999</v>
      </c>
      <c r="U266" s="164">
        <v>6.7000000000000002E-5</v>
      </c>
      <c r="V266" s="164">
        <v>2.0223708609822699E-2</v>
      </c>
      <c r="W266" s="164">
        <v>4.6894718604108699E-3</v>
      </c>
    </row>
    <row r="267" spans="1:23">
      <c r="A267" s="2" t="s">
        <v>128</v>
      </c>
      <c r="B267" s="2">
        <v>7228</v>
      </c>
      <c r="C267" s="2" t="s">
        <v>1579</v>
      </c>
      <c r="D267" s="2" t="s">
        <v>1580</v>
      </c>
      <c r="E267" s="4" t="s">
        <v>362</v>
      </c>
      <c r="F267" s="2" t="s">
        <v>1722</v>
      </c>
      <c r="G267" s="2" t="s">
        <v>1723</v>
      </c>
      <c r="H267" s="2" t="s">
        <v>368</v>
      </c>
      <c r="I267" s="2" t="s">
        <v>1026</v>
      </c>
      <c r="J267" s="2" t="s">
        <v>100</v>
      </c>
      <c r="K267" s="2" t="s">
        <v>101</v>
      </c>
      <c r="L267" s="2" t="s">
        <v>393</v>
      </c>
      <c r="M267" s="2" t="s">
        <v>781</v>
      </c>
      <c r="N267" s="2" t="s">
        <v>164</v>
      </c>
      <c r="O267" s="2" t="s">
        <v>105</v>
      </c>
      <c r="P267" s="152">
        <v>6346</v>
      </c>
      <c r="Q267" s="150">
        <v>3.681</v>
      </c>
      <c r="R267" s="150">
        <v>444.01</v>
      </c>
      <c r="S267" s="155">
        <v>2.5830000000000002</v>
      </c>
      <c r="T267" s="150">
        <v>10381.414000000001</v>
      </c>
      <c r="U267" s="164">
        <v>1.1E-5</v>
      </c>
      <c r="V267" s="164">
        <v>1.9318697952346201E-2</v>
      </c>
      <c r="W267" s="164">
        <v>4.4796180648737499E-3</v>
      </c>
    </row>
    <row r="268" spans="1:23">
      <c r="A268" s="2" t="s">
        <v>128</v>
      </c>
      <c r="B268" s="2">
        <v>7228</v>
      </c>
      <c r="C268" s="2" t="s">
        <v>1635</v>
      </c>
      <c r="D268" s="2" t="s">
        <v>1636</v>
      </c>
      <c r="E268" s="4" t="s">
        <v>362</v>
      </c>
      <c r="F268" s="2" t="s">
        <v>1724</v>
      </c>
      <c r="G268" s="2" t="s">
        <v>1725</v>
      </c>
      <c r="H268" s="2" t="s">
        <v>368</v>
      </c>
      <c r="I268" s="2" t="s">
        <v>1026</v>
      </c>
      <c r="J268" s="2" t="s">
        <v>100</v>
      </c>
      <c r="K268" s="2" t="s">
        <v>101</v>
      </c>
      <c r="L268" s="2" t="s">
        <v>391</v>
      </c>
      <c r="M268" s="2" t="s">
        <v>781</v>
      </c>
      <c r="N268" s="2" t="s">
        <v>164</v>
      </c>
      <c r="O268" s="2" t="s">
        <v>105</v>
      </c>
      <c r="P268" s="152">
        <v>36972</v>
      </c>
      <c r="Q268" s="150">
        <v>3.681</v>
      </c>
      <c r="R268" s="150">
        <v>39.53</v>
      </c>
      <c r="T268" s="150">
        <v>5379.7929999999997</v>
      </c>
      <c r="U268" s="164">
        <v>6.02E-4</v>
      </c>
      <c r="V268" s="164">
        <v>1.00112176391193E-2</v>
      </c>
      <c r="W268" s="164">
        <v>2.3214003085614398E-3</v>
      </c>
    </row>
    <row r="269" spans="1:23">
      <c r="A269" s="2" t="s">
        <v>128</v>
      </c>
      <c r="B269" s="2">
        <v>7228</v>
      </c>
      <c r="C269" s="2" t="s">
        <v>1635</v>
      </c>
      <c r="D269" s="2" t="s">
        <v>1636</v>
      </c>
      <c r="E269" s="4" t="s">
        <v>362</v>
      </c>
      <c r="F269" s="2" t="s">
        <v>1726</v>
      </c>
      <c r="G269" s="2" t="s">
        <v>1727</v>
      </c>
      <c r="H269" s="2" t="s">
        <v>368</v>
      </c>
      <c r="I269" s="2" t="s">
        <v>1026</v>
      </c>
      <c r="J269" s="2" t="s">
        <v>100</v>
      </c>
      <c r="K269" s="2" t="s">
        <v>101</v>
      </c>
      <c r="L269" s="2" t="s">
        <v>391</v>
      </c>
      <c r="M269" s="2" t="s">
        <v>781</v>
      </c>
      <c r="N269" s="2" t="s">
        <v>164</v>
      </c>
      <c r="O269" s="2" t="s">
        <v>105</v>
      </c>
      <c r="P269" s="152">
        <v>50663</v>
      </c>
      <c r="Q269" s="150">
        <v>3.681</v>
      </c>
      <c r="R269" s="150">
        <v>208.27</v>
      </c>
      <c r="T269" s="150">
        <v>38840.377</v>
      </c>
      <c r="U269" s="164">
        <v>1.6799999999999999E-4</v>
      </c>
      <c r="V269" s="164">
        <v>7.2277773214218702E-2</v>
      </c>
      <c r="W269" s="164">
        <v>1.6759764005728001E-2</v>
      </c>
    </row>
    <row r="270" spans="1:23">
      <c r="A270" s="2" t="s">
        <v>128</v>
      </c>
      <c r="B270" s="2">
        <v>7228</v>
      </c>
      <c r="C270" s="2" t="s">
        <v>1635</v>
      </c>
      <c r="D270" s="2" t="s">
        <v>1636</v>
      </c>
      <c r="E270" s="4" t="s">
        <v>362</v>
      </c>
      <c r="F270" s="2" t="s">
        <v>1728</v>
      </c>
      <c r="G270" s="2" t="s">
        <v>1729</v>
      </c>
      <c r="H270" s="2" t="s">
        <v>368</v>
      </c>
      <c r="I270" s="2" t="s">
        <v>1028</v>
      </c>
      <c r="J270" s="2" t="s">
        <v>100</v>
      </c>
      <c r="K270" s="2" t="s">
        <v>101</v>
      </c>
      <c r="L270" s="2" t="s">
        <v>393</v>
      </c>
      <c r="M270" s="2" t="s">
        <v>778</v>
      </c>
      <c r="N270" s="2" t="s">
        <v>164</v>
      </c>
      <c r="O270" s="2" t="s">
        <v>105</v>
      </c>
      <c r="P270" s="152">
        <v>109000</v>
      </c>
      <c r="Q270" s="150">
        <v>3.681</v>
      </c>
      <c r="R270" s="150">
        <v>4007.5</v>
      </c>
      <c r="T270" s="150">
        <v>16079.252</v>
      </c>
      <c r="U270" s="164">
        <v>0</v>
      </c>
      <c r="V270" s="164">
        <v>2.9921762612377899E-2</v>
      </c>
      <c r="W270" s="164">
        <v>6.9382558111269399E-3</v>
      </c>
    </row>
    <row r="271" spans="1:23">
      <c r="A271" s="2" t="s">
        <v>128</v>
      </c>
      <c r="B271" s="2">
        <v>7228</v>
      </c>
      <c r="C271" s="2" t="s">
        <v>1730</v>
      </c>
      <c r="D271" s="2" t="s">
        <v>1731</v>
      </c>
      <c r="E271" s="4" t="s">
        <v>362</v>
      </c>
      <c r="F271" s="2" t="s">
        <v>1734</v>
      </c>
      <c r="G271" s="2" t="s">
        <v>1735</v>
      </c>
      <c r="H271" s="2" t="s">
        <v>368</v>
      </c>
      <c r="I271" s="2" t="s">
        <v>1026</v>
      </c>
      <c r="J271" s="2" t="s">
        <v>100</v>
      </c>
      <c r="K271" s="2" t="s">
        <v>343</v>
      </c>
      <c r="L271" s="2" t="s">
        <v>411</v>
      </c>
      <c r="M271" s="2" t="s">
        <v>781</v>
      </c>
      <c r="N271" s="2" t="s">
        <v>164</v>
      </c>
      <c r="O271" s="2" t="s">
        <v>1224</v>
      </c>
      <c r="P271" s="152">
        <v>8000</v>
      </c>
      <c r="Q271" s="150">
        <v>3.9790000000000001</v>
      </c>
      <c r="R271" s="150">
        <v>18642</v>
      </c>
      <c r="T271" s="150">
        <v>5934.2709999999997</v>
      </c>
      <c r="U271" s="164">
        <v>9.1430000000000001E-3</v>
      </c>
      <c r="V271" s="164">
        <v>1.1043040653890999E-2</v>
      </c>
      <c r="W271" s="164">
        <v>2.5606593428982999E-3</v>
      </c>
    </row>
    <row r="272" spans="1:23">
      <c r="A272" s="2" t="s">
        <v>128</v>
      </c>
      <c r="B272" s="2">
        <v>7228</v>
      </c>
      <c r="C272" s="2" t="s">
        <v>1670</v>
      </c>
      <c r="D272" s="2" t="s">
        <v>1671</v>
      </c>
      <c r="E272" s="4" t="s">
        <v>362</v>
      </c>
      <c r="F272" s="2" t="s">
        <v>1736</v>
      </c>
      <c r="G272" s="2" t="s">
        <v>1737</v>
      </c>
      <c r="H272" s="2" t="s">
        <v>368</v>
      </c>
      <c r="I272" s="2" t="s">
        <v>1026</v>
      </c>
      <c r="J272" s="2" t="s">
        <v>100</v>
      </c>
      <c r="K272" s="2" t="s">
        <v>101</v>
      </c>
      <c r="L272" s="2" t="s">
        <v>393</v>
      </c>
      <c r="M272" s="2" t="s">
        <v>781</v>
      </c>
      <c r="N272" s="2" t="s">
        <v>164</v>
      </c>
      <c r="O272" s="2" t="s">
        <v>105</v>
      </c>
      <c r="P272" s="152">
        <v>7617</v>
      </c>
      <c r="Q272" s="150">
        <v>3.681</v>
      </c>
      <c r="R272" s="150">
        <v>22499</v>
      </c>
      <c r="T272" s="150">
        <v>6308.3090000000002</v>
      </c>
      <c r="U272" s="164">
        <v>3.3300000000000002E-4</v>
      </c>
      <c r="V272" s="164">
        <v>1.17390868425602E-2</v>
      </c>
      <c r="W272" s="164">
        <v>2.7220584748915699E-3</v>
      </c>
    </row>
    <row r="273" spans="1:23">
      <c r="A273" s="2" t="s">
        <v>128</v>
      </c>
      <c r="B273" s="2">
        <v>7228</v>
      </c>
      <c r="C273" s="2" t="s">
        <v>1738</v>
      </c>
      <c r="D273" s="2" t="s">
        <v>1739</v>
      </c>
      <c r="E273" s="4" t="s">
        <v>362</v>
      </c>
      <c r="F273" s="2" t="s">
        <v>1740</v>
      </c>
      <c r="G273" s="2" t="s">
        <v>1741</v>
      </c>
      <c r="H273" s="2" t="s">
        <v>368</v>
      </c>
      <c r="I273" s="2" t="s">
        <v>1026</v>
      </c>
      <c r="J273" s="2" t="s">
        <v>100</v>
      </c>
      <c r="K273" s="2" t="s">
        <v>101</v>
      </c>
      <c r="L273" s="2" t="s">
        <v>391</v>
      </c>
      <c r="M273" s="2" t="s">
        <v>781</v>
      </c>
      <c r="N273" s="2" t="s">
        <v>164</v>
      </c>
      <c r="O273" s="2" t="s">
        <v>105</v>
      </c>
      <c r="P273" s="152">
        <v>4400</v>
      </c>
      <c r="Q273" s="150">
        <v>3.681</v>
      </c>
      <c r="R273" s="150">
        <v>10301</v>
      </c>
      <c r="T273" s="150">
        <v>1668.3910000000001</v>
      </c>
      <c r="U273" s="164">
        <v>5.5199999999999997E-4</v>
      </c>
      <c r="V273" s="164">
        <v>3.1046968982434602E-3</v>
      </c>
      <c r="W273" s="164">
        <v>7.1991685700742696E-4</v>
      </c>
    </row>
    <row r="274" spans="1:23">
      <c r="A274" s="2" t="s">
        <v>128</v>
      </c>
      <c r="B274" s="2">
        <v>7228</v>
      </c>
      <c r="C274" s="2" t="s">
        <v>1742</v>
      </c>
      <c r="D274" s="2" t="s">
        <v>1743</v>
      </c>
      <c r="E274" s="4" t="s">
        <v>362</v>
      </c>
      <c r="F274" s="2" t="s">
        <v>1744</v>
      </c>
      <c r="G274" s="2" t="s">
        <v>1745</v>
      </c>
      <c r="H274" s="2" t="s">
        <v>368</v>
      </c>
      <c r="I274" s="2" t="s">
        <v>1026</v>
      </c>
      <c r="J274" s="2" t="s">
        <v>100</v>
      </c>
      <c r="K274" s="2" t="s">
        <v>346</v>
      </c>
      <c r="L274" s="2" t="s">
        <v>391</v>
      </c>
      <c r="M274" s="2" t="s">
        <v>781</v>
      </c>
      <c r="N274" s="2" t="s">
        <v>164</v>
      </c>
      <c r="O274" s="2" t="s">
        <v>105</v>
      </c>
      <c r="P274" s="152">
        <v>89970</v>
      </c>
      <c r="Q274" s="150">
        <v>3.681</v>
      </c>
      <c r="R274" s="150">
        <v>2946</v>
      </c>
      <c r="T274" s="150">
        <v>9756.5499999999993</v>
      </c>
      <c r="U274" s="164">
        <v>1.0280000000000001E-3</v>
      </c>
      <c r="V274" s="164">
        <v>1.8155892686685399E-2</v>
      </c>
      <c r="W274" s="164">
        <v>4.2099868771594698E-3</v>
      </c>
    </row>
    <row r="275" spans="1:23">
      <c r="A275" s="2" t="s">
        <v>128</v>
      </c>
      <c r="B275" s="2">
        <v>7228</v>
      </c>
      <c r="C275" s="2" t="s">
        <v>1742</v>
      </c>
      <c r="D275" s="2" t="s">
        <v>1743</v>
      </c>
      <c r="E275" s="4" t="s">
        <v>362</v>
      </c>
      <c r="F275" s="2" t="s">
        <v>1746</v>
      </c>
      <c r="G275" s="2" t="s">
        <v>1747</v>
      </c>
      <c r="H275" s="2" t="s">
        <v>368</v>
      </c>
      <c r="I275" s="2" t="s">
        <v>1026</v>
      </c>
      <c r="J275" s="2" t="s">
        <v>100</v>
      </c>
      <c r="K275" s="2" t="s">
        <v>294</v>
      </c>
      <c r="L275" s="2" t="s">
        <v>391</v>
      </c>
      <c r="M275" s="2" t="s">
        <v>781</v>
      </c>
      <c r="N275" s="2" t="s">
        <v>164</v>
      </c>
      <c r="O275" s="2" t="s">
        <v>105</v>
      </c>
      <c r="P275" s="152">
        <v>85790</v>
      </c>
      <c r="Q275" s="150">
        <v>3.681</v>
      </c>
      <c r="R275" s="150">
        <v>43.56</v>
      </c>
      <c r="T275" s="150">
        <v>13755.942999999999</v>
      </c>
      <c r="U275" s="164">
        <v>3.8999999999999998E-3</v>
      </c>
      <c r="V275" s="164">
        <v>2.5598332922172898E-2</v>
      </c>
      <c r="W275" s="164">
        <v>5.9357392962858403E-3</v>
      </c>
    </row>
    <row r="276" spans="1:23">
      <c r="A276" s="2" t="s">
        <v>128</v>
      </c>
      <c r="B276" s="2">
        <v>7228</v>
      </c>
      <c r="C276" s="2" t="s">
        <v>1748</v>
      </c>
      <c r="D276" s="2" t="s">
        <v>1749</v>
      </c>
      <c r="E276" s="4" t="s">
        <v>362</v>
      </c>
      <c r="F276" s="2" t="s">
        <v>1750</v>
      </c>
      <c r="G276" s="2" t="s">
        <v>1751</v>
      </c>
      <c r="H276" s="2" t="s">
        <v>368</v>
      </c>
      <c r="I276" s="2" t="s">
        <v>1026</v>
      </c>
      <c r="J276" s="2" t="s">
        <v>100</v>
      </c>
      <c r="K276" s="2" t="s">
        <v>301</v>
      </c>
      <c r="L276" s="2" t="s">
        <v>110</v>
      </c>
      <c r="M276" s="2" t="s">
        <v>781</v>
      </c>
      <c r="N276" s="2" t="s">
        <v>164</v>
      </c>
      <c r="O276" s="2" t="s">
        <v>1224</v>
      </c>
      <c r="P276" s="152">
        <v>304745</v>
      </c>
      <c r="Q276" s="150">
        <v>3.9790000000000001</v>
      </c>
      <c r="R276" s="150">
        <v>2551.5</v>
      </c>
      <c r="T276" s="150">
        <v>30939.764999999999</v>
      </c>
      <c r="U276" s="164">
        <v>5.1139999999999996E-3</v>
      </c>
      <c r="V276" s="164">
        <v>5.7575582679665997E-2</v>
      </c>
      <c r="W276" s="164">
        <v>1.33506212946479E-2</v>
      </c>
    </row>
    <row r="277" spans="1:23">
      <c r="A277" s="2" t="s">
        <v>128</v>
      </c>
      <c r="B277" s="2">
        <v>7229</v>
      </c>
      <c r="C277" s="2" t="s">
        <v>1607</v>
      </c>
      <c r="D277" s="2" t="s">
        <v>1608</v>
      </c>
      <c r="E277" s="4" t="s">
        <v>1380</v>
      </c>
      <c r="F277" s="2" t="s">
        <v>1821</v>
      </c>
      <c r="G277" s="2" t="s">
        <v>1822</v>
      </c>
      <c r="H277" s="2" t="s">
        <v>368</v>
      </c>
      <c r="I277" s="2" t="s">
        <v>1026</v>
      </c>
      <c r="J277" s="2" t="s">
        <v>31</v>
      </c>
      <c r="K277" s="2" t="s">
        <v>101</v>
      </c>
      <c r="L277" s="2" t="s">
        <v>32</v>
      </c>
      <c r="M277" s="2" t="s">
        <v>1614</v>
      </c>
      <c r="N277" s="2" t="s">
        <v>164</v>
      </c>
      <c r="O277" s="2" t="s">
        <v>35</v>
      </c>
      <c r="P277" s="152">
        <v>6772</v>
      </c>
      <c r="Q277" s="150">
        <v>1</v>
      </c>
      <c r="R277" s="150">
        <v>8248</v>
      </c>
      <c r="T277" s="150">
        <v>558.55499999999995</v>
      </c>
      <c r="U277" s="164">
        <v>9.1000000000000003E-5</v>
      </c>
      <c r="V277" s="164">
        <v>1.9861098813106E-2</v>
      </c>
      <c r="W277" s="164">
        <v>3.8963281189658599E-3</v>
      </c>
    </row>
    <row r="278" spans="1:23">
      <c r="A278" s="2" t="s">
        <v>128</v>
      </c>
      <c r="B278" s="2">
        <v>7229</v>
      </c>
      <c r="C278" s="2" t="s">
        <v>1607</v>
      </c>
      <c r="D278" s="2" t="s">
        <v>1608</v>
      </c>
      <c r="E278" s="4" t="s">
        <v>1380</v>
      </c>
      <c r="F278" s="2" t="s">
        <v>1621</v>
      </c>
      <c r="G278" s="2" t="s">
        <v>1622</v>
      </c>
      <c r="H278" s="2" t="s">
        <v>368</v>
      </c>
      <c r="I278" s="2" t="s">
        <v>1026</v>
      </c>
      <c r="J278" s="2" t="s">
        <v>31</v>
      </c>
      <c r="K278" s="2" t="s">
        <v>101</v>
      </c>
      <c r="L278" s="2" t="s">
        <v>32</v>
      </c>
      <c r="M278" s="2" t="s">
        <v>1614</v>
      </c>
      <c r="N278" s="2" t="s">
        <v>164</v>
      </c>
      <c r="O278" s="2" t="s">
        <v>35</v>
      </c>
      <c r="P278" s="152">
        <v>2034</v>
      </c>
      <c r="Q278" s="150">
        <v>1</v>
      </c>
      <c r="R278" s="150">
        <v>8701</v>
      </c>
      <c r="T278" s="150">
        <v>176.97800000000001</v>
      </c>
      <c r="U278" s="164">
        <v>5.4000000000000001E-4</v>
      </c>
      <c r="V278" s="164">
        <v>6.2930008100184004E-3</v>
      </c>
      <c r="W278" s="164">
        <v>1.23455385019129E-3</v>
      </c>
    </row>
    <row r="279" spans="1:23">
      <c r="A279" s="2" t="s">
        <v>128</v>
      </c>
      <c r="B279" s="2">
        <v>7229</v>
      </c>
      <c r="C279" s="2" t="s">
        <v>1607</v>
      </c>
      <c r="D279" s="2" t="s">
        <v>1608</v>
      </c>
      <c r="E279" s="4" t="s">
        <v>1380</v>
      </c>
      <c r="F279" s="2" t="s">
        <v>1633</v>
      </c>
      <c r="G279" s="2" t="s">
        <v>1634</v>
      </c>
      <c r="H279" s="2" t="s">
        <v>368</v>
      </c>
      <c r="I279" s="2" t="s">
        <v>1026</v>
      </c>
      <c r="J279" s="2" t="s">
        <v>31</v>
      </c>
      <c r="K279" s="2" t="s">
        <v>101</v>
      </c>
      <c r="L279" s="2" t="s">
        <v>32</v>
      </c>
      <c r="M279" s="2" t="s">
        <v>1614</v>
      </c>
      <c r="N279" s="2" t="s">
        <v>164</v>
      </c>
      <c r="O279" s="2" t="s">
        <v>35</v>
      </c>
      <c r="P279" s="152">
        <v>9975</v>
      </c>
      <c r="Q279" s="150">
        <v>1</v>
      </c>
      <c r="R279" s="150">
        <v>3141</v>
      </c>
      <c r="T279" s="150">
        <v>313.315</v>
      </c>
      <c r="U279" s="164">
        <v>4.9899999999999999E-4</v>
      </c>
      <c r="V279" s="164">
        <v>1.1140854725729199E-2</v>
      </c>
      <c r="W279" s="164">
        <v>2.18560040134979E-3</v>
      </c>
    </row>
    <row r="280" spans="1:23">
      <c r="A280" s="2" t="s">
        <v>128</v>
      </c>
      <c r="B280" s="2">
        <v>7229</v>
      </c>
      <c r="C280" s="2" t="s">
        <v>1635</v>
      </c>
      <c r="D280" s="2" t="s">
        <v>1636</v>
      </c>
      <c r="E280" s="4" t="s">
        <v>362</v>
      </c>
      <c r="F280" s="2" t="s">
        <v>1637</v>
      </c>
      <c r="G280" s="2" t="s">
        <v>1638</v>
      </c>
      <c r="H280" s="2" t="s">
        <v>368</v>
      </c>
      <c r="I280" s="2" t="s">
        <v>1026</v>
      </c>
      <c r="J280" s="2" t="s">
        <v>100</v>
      </c>
      <c r="K280" s="2" t="s">
        <v>101</v>
      </c>
      <c r="L280" s="2" t="s">
        <v>391</v>
      </c>
      <c r="M280" s="2" t="s">
        <v>781</v>
      </c>
      <c r="N280" s="2" t="s">
        <v>164</v>
      </c>
      <c r="O280" s="2" t="s">
        <v>105</v>
      </c>
      <c r="P280" s="152">
        <v>1355</v>
      </c>
      <c r="Q280" s="150">
        <v>3.681</v>
      </c>
      <c r="R280" s="150">
        <v>65.650000000000006</v>
      </c>
      <c r="T280" s="150">
        <v>327.44600000000003</v>
      </c>
      <c r="U280" s="164">
        <v>6.0000000000000002E-6</v>
      </c>
      <c r="V280" s="164">
        <v>1.16433382280121E-2</v>
      </c>
      <c r="W280" s="164">
        <v>2.2841770520016401E-3</v>
      </c>
    </row>
    <row r="281" spans="1:23">
      <c r="A281" s="2" t="s">
        <v>128</v>
      </c>
      <c r="B281" s="2">
        <v>7229</v>
      </c>
      <c r="C281" s="2" t="s">
        <v>1579</v>
      </c>
      <c r="D281" s="2" t="s">
        <v>1580</v>
      </c>
      <c r="E281" s="4" t="s">
        <v>362</v>
      </c>
      <c r="F281" s="2" t="s">
        <v>1639</v>
      </c>
      <c r="G281" s="2" t="s">
        <v>1640</v>
      </c>
      <c r="H281" s="2" t="s">
        <v>368</v>
      </c>
      <c r="I281" s="2" t="s">
        <v>1026</v>
      </c>
      <c r="J281" s="2" t="s">
        <v>100</v>
      </c>
      <c r="K281" s="2" t="s">
        <v>101</v>
      </c>
      <c r="L281" s="2" t="s">
        <v>391</v>
      </c>
      <c r="M281" s="2" t="s">
        <v>781</v>
      </c>
      <c r="N281" s="2" t="s">
        <v>164</v>
      </c>
      <c r="O281" s="2" t="s">
        <v>105</v>
      </c>
      <c r="P281" s="152">
        <v>620</v>
      </c>
      <c r="Q281" s="150">
        <v>3.681</v>
      </c>
      <c r="R281" s="150">
        <v>10157</v>
      </c>
      <c r="T281" s="150">
        <v>231.80500000000001</v>
      </c>
      <c r="U281" s="164">
        <v>3.1999999999999999E-5</v>
      </c>
      <c r="V281" s="164">
        <v>8.2425317707725404E-3</v>
      </c>
      <c r="W281" s="164">
        <v>1.61701065042474E-3</v>
      </c>
    </row>
    <row r="282" spans="1:23">
      <c r="A282" s="2" t="s">
        <v>128</v>
      </c>
      <c r="B282" s="2">
        <v>7229</v>
      </c>
      <c r="C282" s="2" t="s">
        <v>1641</v>
      </c>
      <c r="D282" s="2" t="s">
        <v>1642</v>
      </c>
      <c r="E282" s="4" t="s">
        <v>362</v>
      </c>
      <c r="F282" s="2" t="s">
        <v>1643</v>
      </c>
      <c r="G282" s="2" t="s">
        <v>1644</v>
      </c>
      <c r="H282" s="2" t="s">
        <v>34</v>
      </c>
      <c r="I282" s="2" t="s">
        <v>1026</v>
      </c>
      <c r="J282" s="2" t="s">
        <v>100</v>
      </c>
      <c r="K282" s="2" t="s">
        <v>331</v>
      </c>
      <c r="L282" s="2" t="s">
        <v>393</v>
      </c>
      <c r="M282" s="2" t="s">
        <v>781</v>
      </c>
      <c r="N282" s="2" t="s">
        <v>164</v>
      </c>
      <c r="O282" s="2" t="s">
        <v>105</v>
      </c>
      <c r="P282" s="152">
        <v>3050</v>
      </c>
      <c r="Q282" s="150">
        <v>3.681</v>
      </c>
      <c r="R282" s="150">
        <v>12389</v>
      </c>
      <c r="T282" s="150">
        <v>1390.9190000000001</v>
      </c>
      <c r="U282" s="164">
        <v>0</v>
      </c>
      <c r="V282" s="164">
        <v>4.9458345051991502E-2</v>
      </c>
      <c r="W282" s="164">
        <v>9.7026827345739197E-3</v>
      </c>
    </row>
    <row r="283" spans="1:23">
      <c r="A283" s="2" t="s">
        <v>128</v>
      </c>
      <c r="B283" s="2">
        <v>7229</v>
      </c>
      <c r="C283" s="2" t="s">
        <v>1645</v>
      </c>
      <c r="D283" s="2" t="s">
        <v>1646</v>
      </c>
      <c r="E283" s="4" t="s">
        <v>362</v>
      </c>
      <c r="F283" s="2" t="s">
        <v>1650</v>
      </c>
      <c r="G283" s="2" t="s">
        <v>1651</v>
      </c>
      <c r="H283" s="2" t="s">
        <v>368</v>
      </c>
      <c r="I283" s="2" t="s">
        <v>1026</v>
      </c>
      <c r="J283" s="2" t="s">
        <v>100</v>
      </c>
      <c r="K283" s="2" t="s">
        <v>331</v>
      </c>
      <c r="L283" s="2" t="s">
        <v>411</v>
      </c>
      <c r="M283" s="2" t="s">
        <v>781</v>
      </c>
      <c r="N283" s="2" t="s">
        <v>164</v>
      </c>
      <c r="O283" s="2" t="s">
        <v>1224</v>
      </c>
      <c r="P283" s="152">
        <v>2420</v>
      </c>
      <c r="Q283" s="150">
        <v>3.9790000000000001</v>
      </c>
      <c r="R283" s="150">
        <v>11016</v>
      </c>
      <c r="T283" s="150">
        <v>1060.777</v>
      </c>
      <c r="U283" s="164">
        <v>4.8200000000000001E-4</v>
      </c>
      <c r="V283" s="164">
        <v>3.7719143047292403E-2</v>
      </c>
      <c r="W283" s="164">
        <v>7.3996992342377499E-3</v>
      </c>
    </row>
    <row r="284" spans="1:23">
      <c r="A284" s="2" t="s">
        <v>128</v>
      </c>
      <c r="B284" s="2">
        <v>7229</v>
      </c>
      <c r="C284" s="2" t="s">
        <v>1645</v>
      </c>
      <c r="D284" s="2" t="s">
        <v>1646</v>
      </c>
      <c r="E284" s="4" t="s">
        <v>362</v>
      </c>
      <c r="F284" s="2" t="s">
        <v>1652</v>
      </c>
      <c r="G284" s="2" t="s">
        <v>1653</v>
      </c>
      <c r="H284" s="2" t="s">
        <v>368</v>
      </c>
      <c r="I284" s="2" t="s">
        <v>1026</v>
      </c>
      <c r="J284" s="2" t="s">
        <v>100</v>
      </c>
      <c r="K284" s="2" t="s">
        <v>101</v>
      </c>
      <c r="L284" s="2" t="s">
        <v>426</v>
      </c>
      <c r="M284" s="2" t="s">
        <v>781</v>
      </c>
      <c r="N284" s="2" t="s">
        <v>164</v>
      </c>
      <c r="O284" s="2" t="s">
        <v>105</v>
      </c>
      <c r="P284" s="152">
        <v>3146</v>
      </c>
      <c r="Q284" s="150">
        <v>3.681</v>
      </c>
      <c r="R284" s="150">
        <v>9308</v>
      </c>
      <c r="T284" s="150">
        <v>1077.9059999999999</v>
      </c>
      <c r="U284" s="164">
        <v>0</v>
      </c>
      <c r="V284" s="164">
        <v>3.8328213830365797E-2</v>
      </c>
      <c r="W284" s="164">
        <v>7.5191860582478802E-3</v>
      </c>
    </row>
    <row r="285" spans="1:23">
      <c r="A285" s="2" t="s">
        <v>128</v>
      </c>
      <c r="B285" s="2">
        <v>7229</v>
      </c>
      <c r="C285" s="2" t="s">
        <v>1635</v>
      </c>
      <c r="D285" s="2" t="s">
        <v>1636</v>
      </c>
      <c r="E285" s="4" t="s">
        <v>362</v>
      </c>
      <c r="F285" s="2" t="s">
        <v>1656</v>
      </c>
      <c r="G285" s="2" t="s">
        <v>1657</v>
      </c>
      <c r="H285" s="2" t="s">
        <v>368</v>
      </c>
      <c r="I285" s="2" t="s">
        <v>1026</v>
      </c>
      <c r="J285" s="2" t="s">
        <v>100</v>
      </c>
      <c r="K285" s="2" t="s">
        <v>101</v>
      </c>
      <c r="L285" s="2" t="s">
        <v>391</v>
      </c>
      <c r="M285" s="2" t="s">
        <v>781</v>
      </c>
      <c r="N285" s="2" t="s">
        <v>164</v>
      </c>
      <c r="O285" s="2" t="s">
        <v>105</v>
      </c>
      <c r="P285" s="152">
        <v>340</v>
      </c>
      <c r="Q285" s="150">
        <v>3.681</v>
      </c>
      <c r="R285" s="150">
        <v>183.89</v>
      </c>
      <c r="T285" s="150">
        <v>230.14599999999999</v>
      </c>
      <c r="U285" s="164">
        <v>3.0000000000000001E-6</v>
      </c>
      <c r="V285" s="164">
        <v>8.1835269636275493E-3</v>
      </c>
      <c r="W285" s="164">
        <v>1.60543515344964E-3</v>
      </c>
    </row>
    <row r="286" spans="1:23">
      <c r="A286" s="2" t="s">
        <v>128</v>
      </c>
      <c r="B286" s="2">
        <v>7229</v>
      </c>
      <c r="C286" s="2" t="s">
        <v>1658</v>
      </c>
      <c r="D286" s="2" t="s">
        <v>1659</v>
      </c>
      <c r="E286" s="4" t="s">
        <v>362</v>
      </c>
      <c r="F286" s="2" t="s">
        <v>1660</v>
      </c>
      <c r="G286" s="2" t="s">
        <v>1661</v>
      </c>
      <c r="H286" s="2" t="s">
        <v>368</v>
      </c>
      <c r="I286" s="2" t="s">
        <v>1026</v>
      </c>
      <c r="J286" s="2" t="s">
        <v>100</v>
      </c>
      <c r="K286" s="2" t="s">
        <v>101</v>
      </c>
      <c r="L286" s="2" t="s">
        <v>391</v>
      </c>
      <c r="M286" s="2" t="s">
        <v>781</v>
      </c>
      <c r="N286" s="2" t="s">
        <v>164</v>
      </c>
      <c r="O286" s="2" t="s">
        <v>105</v>
      </c>
      <c r="P286" s="152">
        <v>825</v>
      </c>
      <c r="Q286" s="150">
        <v>3.681</v>
      </c>
      <c r="R286" s="150">
        <v>5454</v>
      </c>
      <c r="T286" s="150">
        <v>165.62799999999999</v>
      </c>
      <c r="U286" s="164">
        <v>1.45E-4</v>
      </c>
      <c r="V286" s="164">
        <v>5.8894205853867801E-3</v>
      </c>
      <c r="W286" s="164">
        <v>1.1553799337686401E-3</v>
      </c>
    </row>
    <row r="287" spans="1:23">
      <c r="A287" s="2" t="s">
        <v>128</v>
      </c>
      <c r="B287" s="2">
        <v>7229</v>
      </c>
      <c r="C287" s="2" t="s">
        <v>1635</v>
      </c>
      <c r="D287" s="2" t="s">
        <v>1636</v>
      </c>
      <c r="E287" s="4" t="s">
        <v>362</v>
      </c>
      <c r="F287" s="2" t="s">
        <v>1662</v>
      </c>
      <c r="G287" s="2" t="s">
        <v>1663</v>
      </c>
      <c r="H287" s="2" t="s">
        <v>368</v>
      </c>
      <c r="I287" s="2" t="s">
        <v>1026</v>
      </c>
      <c r="J287" s="2" t="s">
        <v>100</v>
      </c>
      <c r="K287" s="2" t="s">
        <v>101</v>
      </c>
      <c r="L287" s="2" t="s">
        <v>391</v>
      </c>
      <c r="M287" s="2" t="s">
        <v>781</v>
      </c>
      <c r="N287" s="2" t="s">
        <v>164</v>
      </c>
      <c r="O287" s="2" t="s">
        <v>105</v>
      </c>
      <c r="P287" s="152">
        <v>5202</v>
      </c>
      <c r="Q287" s="150">
        <v>3.681</v>
      </c>
      <c r="R287" s="150">
        <v>42.12</v>
      </c>
      <c r="T287" s="150">
        <v>806.53700000000003</v>
      </c>
      <c r="U287" s="164">
        <v>6.0000000000000002E-6</v>
      </c>
      <c r="V287" s="164">
        <v>2.8678880756606E-2</v>
      </c>
      <c r="W287" s="164">
        <v>5.6261907039451397E-3</v>
      </c>
    </row>
    <row r="288" spans="1:23">
      <c r="A288" s="2" t="s">
        <v>128</v>
      </c>
      <c r="B288" s="2">
        <v>7229</v>
      </c>
      <c r="C288" s="2" t="s">
        <v>1664</v>
      </c>
      <c r="D288" s="2" t="s">
        <v>1665</v>
      </c>
      <c r="E288" s="4" t="s">
        <v>362</v>
      </c>
      <c r="F288" s="2" t="s">
        <v>1668</v>
      </c>
      <c r="G288" s="2" t="s">
        <v>1669</v>
      </c>
      <c r="H288" s="2" t="s">
        <v>368</v>
      </c>
      <c r="I288" s="2" t="s">
        <v>1026</v>
      </c>
      <c r="J288" s="2" t="s">
        <v>100</v>
      </c>
      <c r="K288" s="2" t="s">
        <v>346</v>
      </c>
      <c r="L288" s="2" t="s">
        <v>393</v>
      </c>
      <c r="M288" s="2" t="s">
        <v>781</v>
      </c>
      <c r="N288" s="2" t="s">
        <v>164</v>
      </c>
      <c r="O288" s="2" t="s">
        <v>105</v>
      </c>
      <c r="P288" s="152">
        <v>569</v>
      </c>
      <c r="Q288" s="150">
        <v>3.681</v>
      </c>
      <c r="R288" s="150">
        <v>11461</v>
      </c>
      <c r="T288" s="150">
        <v>240.04900000000001</v>
      </c>
      <c r="U288" s="164">
        <v>8.0000000000000007E-5</v>
      </c>
      <c r="V288" s="164">
        <v>8.5356827834490306E-3</v>
      </c>
      <c r="W288" s="164">
        <v>1.6745206877365199E-3</v>
      </c>
    </row>
    <row r="289" spans="1:23">
      <c r="A289" s="2" t="s">
        <v>128</v>
      </c>
      <c r="B289" s="2">
        <v>7229</v>
      </c>
      <c r="C289" s="2" t="s">
        <v>1670</v>
      </c>
      <c r="D289" s="2" t="s">
        <v>1671</v>
      </c>
      <c r="E289" s="4" t="s">
        <v>362</v>
      </c>
      <c r="F289" s="2" t="s">
        <v>1672</v>
      </c>
      <c r="G289" s="2" t="s">
        <v>1673</v>
      </c>
      <c r="H289" s="2" t="s">
        <v>368</v>
      </c>
      <c r="I289" s="2" t="s">
        <v>1026</v>
      </c>
      <c r="J289" s="2" t="s">
        <v>100</v>
      </c>
      <c r="K289" s="2" t="s">
        <v>101</v>
      </c>
      <c r="L289" s="2" t="s">
        <v>391</v>
      </c>
      <c r="M289" s="2" t="s">
        <v>781</v>
      </c>
      <c r="N289" s="2" t="s">
        <v>164</v>
      </c>
      <c r="O289" s="2" t="s">
        <v>105</v>
      </c>
      <c r="P289" s="152">
        <v>1299</v>
      </c>
      <c r="Q289" s="150">
        <v>3.681</v>
      </c>
      <c r="R289" s="150">
        <v>3162</v>
      </c>
      <c r="T289" s="150">
        <v>151.19499999999999</v>
      </c>
      <c r="U289" s="164">
        <v>3.0000000000000001E-6</v>
      </c>
      <c r="V289" s="164">
        <v>5.3761887100709903E-3</v>
      </c>
      <c r="W289" s="164">
        <v>1.05469467933433E-3</v>
      </c>
    </row>
    <row r="290" spans="1:23">
      <c r="A290" s="2" t="s">
        <v>128</v>
      </c>
      <c r="B290" s="2">
        <v>7229</v>
      </c>
      <c r="C290" s="2" t="s">
        <v>1674</v>
      </c>
      <c r="D290" s="2" t="s">
        <v>1675</v>
      </c>
      <c r="E290" s="4" t="s">
        <v>362</v>
      </c>
      <c r="F290" s="2" t="s">
        <v>1676</v>
      </c>
      <c r="G290" s="2" t="s">
        <v>1677</v>
      </c>
      <c r="H290" s="2" t="s">
        <v>368</v>
      </c>
      <c r="I290" s="2" t="s">
        <v>1026</v>
      </c>
      <c r="J290" s="2" t="s">
        <v>100</v>
      </c>
      <c r="K290" s="2" t="s">
        <v>339</v>
      </c>
      <c r="L290" s="2" t="s">
        <v>391</v>
      </c>
      <c r="M290" s="2" t="s">
        <v>781</v>
      </c>
      <c r="N290" s="2" t="s">
        <v>164</v>
      </c>
      <c r="O290" s="2" t="s">
        <v>105</v>
      </c>
      <c r="P290" s="152">
        <v>1824</v>
      </c>
      <c r="Q290" s="150">
        <v>3.681</v>
      </c>
      <c r="R290" s="150">
        <v>3981</v>
      </c>
      <c r="T290" s="150">
        <v>267.29000000000002</v>
      </c>
      <c r="U290" s="164">
        <v>1.2E-5</v>
      </c>
      <c r="V290" s="164">
        <v>9.50430794883372E-3</v>
      </c>
      <c r="W290" s="164">
        <v>1.8645444877357299E-3</v>
      </c>
    </row>
    <row r="291" spans="1:23">
      <c r="A291" s="2" t="s">
        <v>128</v>
      </c>
      <c r="B291" s="2">
        <v>7229</v>
      </c>
      <c r="C291" s="2" t="s">
        <v>1635</v>
      </c>
      <c r="D291" s="2" t="s">
        <v>1636</v>
      </c>
      <c r="E291" s="4" t="s">
        <v>362</v>
      </c>
      <c r="F291" s="2" t="s">
        <v>1678</v>
      </c>
      <c r="G291" s="2" t="s">
        <v>1679</v>
      </c>
      <c r="H291" s="2" t="s">
        <v>368</v>
      </c>
      <c r="I291" s="2" t="s">
        <v>1026</v>
      </c>
      <c r="J291" s="2" t="s">
        <v>100</v>
      </c>
      <c r="K291" s="2" t="s">
        <v>101</v>
      </c>
      <c r="L291" s="2" t="s">
        <v>391</v>
      </c>
      <c r="M291" s="2" t="s">
        <v>781</v>
      </c>
      <c r="N291" s="2" t="s">
        <v>164</v>
      </c>
      <c r="O291" s="2" t="s">
        <v>105</v>
      </c>
      <c r="P291" s="152">
        <v>1343</v>
      </c>
      <c r="Q291" s="150">
        <v>3.681</v>
      </c>
      <c r="R291" s="150">
        <v>147.72999999999999</v>
      </c>
      <c r="T291" s="150">
        <v>730.31600000000003</v>
      </c>
      <c r="U291" s="164">
        <v>3.9999999999999998E-6</v>
      </c>
      <c r="V291" s="164">
        <v>2.5968579756539E-2</v>
      </c>
      <c r="W291" s="164">
        <v>5.0944868895291002E-3</v>
      </c>
    </row>
    <row r="292" spans="1:23">
      <c r="A292" s="2" t="s">
        <v>128</v>
      </c>
      <c r="B292" s="2">
        <v>7229</v>
      </c>
      <c r="C292" s="2" t="s">
        <v>1658</v>
      </c>
      <c r="D292" s="2" t="s">
        <v>1659</v>
      </c>
      <c r="E292" s="4" t="s">
        <v>362</v>
      </c>
      <c r="F292" s="2" t="s">
        <v>1685</v>
      </c>
      <c r="G292" s="2" t="s">
        <v>1686</v>
      </c>
      <c r="H292" s="2" t="s">
        <v>368</v>
      </c>
      <c r="I292" s="2" t="s">
        <v>1028</v>
      </c>
      <c r="J292" s="2" t="s">
        <v>100</v>
      </c>
      <c r="K292" s="2" t="s">
        <v>1649</v>
      </c>
      <c r="L292" s="2" t="s">
        <v>426</v>
      </c>
      <c r="M292" s="2" t="s">
        <v>778</v>
      </c>
      <c r="N292" s="2" t="s">
        <v>164</v>
      </c>
      <c r="O292" s="2" t="s">
        <v>105</v>
      </c>
      <c r="P292" s="152">
        <v>5662</v>
      </c>
      <c r="Q292" s="150">
        <v>3.681</v>
      </c>
      <c r="R292" s="150">
        <v>44.09</v>
      </c>
      <c r="T292" s="150">
        <v>918.91600000000005</v>
      </c>
      <c r="U292" s="164">
        <v>0</v>
      </c>
      <c r="V292" s="164">
        <v>3.2674838651379302E-2</v>
      </c>
      <c r="W292" s="164">
        <v>6.4101132479151002E-3</v>
      </c>
    </row>
    <row r="293" spans="1:23">
      <c r="A293" s="2" t="s">
        <v>128</v>
      </c>
      <c r="B293" s="2">
        <v>7229</v>
      </c>
      <c r="C293" s="2" t="s">
        <v>1658</v>
      </c>
      <c r="D293" s="2" t="s">
        <v>1659</v>
      </c>
      <c r="E293" s="4" t="s">
        <v>362</v>
      </c>
      <c r="F293" s="2" t="s">
        <v>1687</v>
      </c>
      <c r="G293" s="2" t="s">
        <v>1688</v>
      </c>
      <c r="H293" s="2" t="s">
        <v>368</v>
      </c>
      <c r="I293" s="2" t="s">
        <v>1026</v>
      </c>
      <c r="J293" s="2" t="s">
        <v>100</v>
      </c>
      <c r="K293" s="2" t="s">
        <v>101</v>
      </c>
      <c r="L293" s="2" t="s">
        <v>391</v>
      </c>
      <c r="M293" s="2" t="s">
        <v>781</v>
      </c>
      <c r="N293" s="2" t="s">
        <v>164</v>
      </c>
      <c r="O293" s="2" t="s">
        <v>105</v>
      </c>
      <c r="P293" s="152">
        <v>1670</v>
      </c>
      <c r="Q293" s="150">
        <v>3.681</v>
      </c>
      <c r="R293" s="150">
        <v>5859</v>
      </c>
      <c r="T293" s="150">
        <v>360.16899999999998</v>
      </c>
      <c r="U293" s="164">
        <v>1.2999999999999999E-5</v>
      </c>
      <c r="V293" s="164">
        <v>1.28068834439743E-2</v>
      </c>
      <c r="W293" s="164">
        <v>2.5124400491954302E-3</v>
      </c>
    </row>
    <row r="294" spans="1:23">
      <c r="A294" s="2" t="s">
        <v>128</v>
      </c>
      <c r="B294" s="2">
        <v>7229</v>
      </c>
      <c r="C294" s="2" t="s">
        <v>1635</v>
      </c>
      <c r="D294" s="2" t="s">
        <v>1636</v>
      </c>
      <c r="E294" s="4" t="s">
        <v>362</v>
      </c>
      <c r="F294" s="2" t="s">
        <v>1689</v>
      </c>
      <c r="G294" s="2" t="s">
        <v>1690</v>
      </c>
      <c r="H294" s="2" t="s">
        <v>368</v>
      </c>
      <c r="I294" s="2" t="s">
        <v>1026</v>
      </c>
      <c r="J294" s="2" t="s">
        <v>100</v>
      </c>
      <c r="K294" s="2" t="s">
        <v>101</v>
      </c>
      <c r="L294" s="2" t="s">
        <v>391</v>
      </c>
      <c r="M294" s="2" t="s">
        <v>781</v>
      </c>
      <c r="N294" s="2" t="s">
        <v>164</v>
      </c>
      <c r="O294" s="2" t="s">
        <v>105</v>
      </c>
      <c r="P294" s="152">
        <v>3515</v>
      </c>
      <c r="Q294" s="150">
        <v>3.681</v>
      </c>
      <c r="R294" s="150">
        <v>125.96</v>
      </c>
      <c r="T294" s="150">
        <v>1629.761</v>
      </c>
      <c r="U294" s="164">
        <v>2.5000000000000001E-5</v>
      </c>
      <c r="V294" s="164">
        <v>5.7951071341081802E-2</v>
      </c>
      <c r="W294" s="164">
        <v>1.13687762653622E-2</v>
      </c>
    </row>
    <row r="295" spans="1:23">
      <c r="A295" s="2" t="s">
        <v>128</v>
      </c>
      <c r="B295" s="2">
        <v>7229</v>
      </c>
      <c r="C295" s="2" t="s">
        <v>1575</v>
      </c>
      <c r="D295" s="2" t="s">
        <v>1576</v>
      </c>
      <c r="E295" s="4" t="s">
        <v>362</v>
      </c>
      <c r="F295" s="2" t="s">
        <v>1691</v>
      </c>
      <c r="G295" s="2" t="s">
        <v>1692</v>
      </c>
      <c r="H295" s="2" t="s">
        <v>368</v>
      </c>
      <c r="I295" s="2" t="s">
        <v>1028</v>
      </c>
      <c r="J295" s="2" t="s">
        <v>100</v>
      </c>
      <c r="K295" s="2" t="s">
        <v>101</v>
      </c>
      <c r="L295" s="2" t="s">
        <v>426</v>
      </c>
      <c r="M295" s="2" t="s">
        <v>778</v>
      </c>
      <c r="N295" s="2" t="s">
        <v>164</v>
      </c>
      <c r="O295" s="2" t="s">
        <v>105</v>
      </c>
      <c r="P295" s="152">
        <v>27602</v>
      </c>
      <c r="Q295" s="150">
        <v>3.681</v>
      </c>
      <c r="R295" s="150">
        <v>2769.5</v>
      </c>
      <c r="T295" s="150">
        <v>2813.8939999999998</v>
      </c>
      <c r="U295" s="164">
        <v>0</v>
      </c>
      <c r="V295" s="164">
        <v>0.100056523450242</v>
      </c>
      <c r="W295" s="164">
        <v>1.9628976698302599E-2</v>
      </c>
    </row>
    <row r="296" spans="1:23">
      <c r="A296" s="2" t="s">
        <v>128</v>
      </c>
      <c r="B296" s="2">
        <v>7229</v>
      </c>
      <c r="C296" s="2" t="s">
        <v>1658</v>
      </c>
      <c r="D296" s="2" t="s">
        <v>1659</v>
      </c>
      <c r="E296" s="4" t="s">
        <v>362</v>
      </c>
      <c r="F296" s="2" t="s">
        <v>1693</v>
      </c>
      <c r="G296" s="2" t="s">
        <v>1694</v>
      </c>
      <c r="H296" s="2" t="s">
        <v>368</v>
      </c>
      <c r="I296" s="2" t="s">
        <v>1026</v>
      </c>
      <c r="J296" s="2" t="s">
        <v>100</v>
      </c>
      <c r="K296" s="2" t="s">
        <v>283</v>
      </c>
      <c r="L296" s="2" t="s">
        <v>426</v>
      </c>
      <c r="M296" s="2" t="s">
        <v>781</v>
      </c>
      <c r="N296" s="2" t="s">
        <v>164</v>
      </c>
      <c r="O296" s="2" t="s">
        <v>1223</v>
      </c>
      <c r="P296" s="152">
        <v>28000</v>
      </c>
      <c r="Q296" s="150">
        <v>4.6539999999999999</v>
      </c>
      <c r="R296" s="150">
        <v>777.2</v>
      </c>
      <c r="T296" s="150">
        <v>1012.676</v>
      </c>
      <c r="U296" s="164">
        <v>4.5000000000000003E-5</v>
      </c>
      <c r="V296" s="164">
        <v>3.6008763788236697E-2</v>
      </c>
      <c r="W296" s="164">
        <v>7.0641589469724198E-3</v>
      </c>
    </row>
    <row r="297" spans="1:23">
      <c r="A297" s="2" t="s">
        <v>128</v>
      </c>
      <c r="B297" s="2">
        <v>7229</v>
      </c>
      <c r="C297" s="2" t="s">
        <v>1658</v>
      </c>
      <c r="D297" s="2" t="s">
        <v>1659</v>
      </c>
      <c r="E297" s="4" t="s">
        <v>362</v>
      </c>
      <c r="F297" s="2" t="s">
        <v>1695</v>
      </c>
      <c r="G297" s="2" t="s">
        <v>1696</v>
      </c>
      <c r="H297" s="2" t="s">
        <v>368</v>
      </c>
      <c r="I297" s="2" t="s">
        <v>1028</v>
      </c>
      <c r="J297" s="2" t="s">
        <v>100</v>
      </c>
      <c r="K297" s="2" t="s">
        <v>101</v>
      </c>
      <c r="L297" s="2" t="s">
        <v>426</v>
      </c>
      <c r="M297" s="2" t="s">
        <v>778</v>
      </c>
      <c r="N297" s="2" t="s">
        <v>164</v>
      </c>
      <c r="O297" s="2" t="s">
        <v>105</v>
      </c>
      <c r="P297" s="152">
        <v>5570</v>
      </c>
      <c r="Q297" s="150">
        <v>3.681</v>
      </c>
      <c r="R297" s="150">
        <v>9423</v>
      </c>
      <c r="T297" s="150">
        <v>1932.0139999999999</v>
      </c>
      <c r="U297" s="164">
        <v>1.8000000000000001E-4</v>
      </c>
      <c r="V297" s="164">
        <v>6.8698598011106601E-2</v>
      </c>
      <c r="W297" s="164">
        <v>1.3477214009306199E-2</v>
      </c>
    </row>
    <row r="298" spans="1:23">
      <c r="A298" s="2" t="s">
        <v>128</v>
      </c>
      <c r="B298" s="2">
        <v>7229</v>
      </c>
      <c r="C298" s="2" t="s">
        <v>1658</v>
      </c>
      <c r="D298" s="2" t="s">
        <v>1659</v>
      </c>
      <c r="E298" s="4" t="s">
        <v>362</v>
      </c>
      <c r="F298" s="2" t="s">
        <v>1697</v>
      </c>
      <c r="G298" s="2" t="s">
        <v>1698</v>
      </c>
      <c r="H298" s="2" t="s">
        <v>368</v>
      </c>
      <c r="I298" s="2" t="s">
        <v>1026</v>
      </c>
      <c r="J298" s="2" t="s">
        <v>100</v>
      </c>
      <c r="K298" s="2" t="s">
        <v>318</v>
      </c>
      <c r="L298" s="2" t="s">
        <v>391</v>
      </c>
      <c r="M298" s="2" t="s">
        <v>781</v>
      </c>
      <c r="N298" s="2" t="s">
        <v>164</v>
      </c>
      <c r="O298" s="2" t="s">
        <v>105</v>
      </c>
      <c r="P298" s="152">
        <v>3540</v>
      </c>
      <c r="Q298" s="150">
        <v>3.681</v>
      </c>
      <c r="R298" s="150">
        <v>24.07</v>
      </c>
      <c r="T298" s="150">
        <v>313.64999999999998</v>
      </c>
      <c r="U298" s="164">
        <v>2.0999999999999999E-5</v>
      </c>
      <c r="V298" s="164">
        <v>1.11527724184756E-2</v>
      </c>
      <c r="W298" s="164">
        <v>2.18793840096391E-3</v>
      </c>
    </row>
    <row r="299" spans="1:23">
      <c r="A299" s="2" t="s">
        <v>128</v>
      </c>
      <c r="B299" s="2">
        <v>7229</v>
      </c>
      <c r="C299" s="2" t="s">
        <v>1658</v>
      </c>
      <c r="D299" s="2" t="s">
        <v>1659</v>
      </c>
      <c r="E299" s="4" t="s">
        <v>362</v>
      </c>
      <c r="F299" s="2" t="s">
        <v>1699</v>
      </c>
      <c r="G299" s="2" t="s">
        <v>1700</v>
      </c>
      <c r="H299" s="2" t="s">
        <v>368</v>
      </c>
      <c r="I299" s="2" t="s">
        <v>1028</v>
      </c>
      <c r="J299" s="2" t="s">
        <v>100</v>
      </c>
      <c r="K299" s="2" t="s">
        <v>271</v>
      </c>
      <c r="L299" s="2" t="s">
        <v>426</v>
      </c>
      <c r="M299" s="2" t="s">
        <v>778</v>
      </c>
      <c r="N299" s="2" t="s">
        <v>164</v>
      </c>
      <c r="O299" s="2" t="s">
        <v>105</v>
      </c>
      <c r="P299" s="152">
        <v>44989</v>
      </c>
      <c r="Q299" s="150">
        <v>3.681</v>
      </c>
      <c r="R299" s="150">
        <v>590.6</v>
      </c>
      <c r="T299" s="150">
        <v>978.06</v>
      </c>
      <c r="U299" s="164">
        <v>0</v>
      </c>
      <c r="V299" s="164">
        <v>3.4777893275560801E-2</v>
      </c>
      <c r="W299" s="164">
        <v>6.8226881484796196E-3</v>
      </c>
    </row>
    <row r="300" spans="1:23">
      <c r="A300" s="2" t="s">
        <v>128</v>
      </c>
      <c r="B300" s="2">
        <v>7229</v>
      </c>
      <c r="C300" s="2" t="s">
        <v>1658</v>
      </c>
      <c r="D300" s="2" t="s">
        <v>1659</v>
      </c>
      <c r="E300" s="4" t="s">
        <v>362</v>
      </c>
      <c r="F300" s="2" t="s">
        <v>1701</v>
      </c>
      <c r="G300" s="2" t="s">
        <v>1702</v>
      </c>
      <c r="H300" s="2" t="s">
        <v>368</v>
      </c>
      <c r="I300" s="2" t="s">
        <v>1026</v>
      </c>
      <c r="J300" s="2" t="s">
        <v>100</v>
      </c>
      <c r="K300" s="2" t="s">
        <v>101</v>
      </c>
      <c r="L300" s="2" t="s">
        <v>393</v>
      </c>
      <c r="M300" s="2" t="s">
        <v>781</v>
      </c>
      <c r="N300" s="2" t="s">
        <v>164</v>
      </c>
      <c r="O300" s="2" t="s">
        <v>105</v>
      </c>
      <c r="P300" s="152">
        <v>943</v>
      </c>
      <c r="Q300" s="150">
        <v>3.681</v>
      </c>
      <c r="R300" s="150">
        <v>5757</v>
      </c>
      <c r="T300" s="150">
        <v>199.83600000000001</v>
      </c>
      <c r="U300" s="164">
        <v>0</v>
      </c>
      <c r="V300" s="164">
        <v>7.1057743184090904E-3</v>
      </c>
      <c r="W300" s="164">
        <v>1.3940028466890701E-3</v>
      </c>
    </row>
    <row r="301" spans="1:23">
      <c r="A301" s="2" t="s">
        <v>128</v>
      </c>
      <c r="B301" s="2">
        <v>7229</v>
      </c>
      <c r="C301" s="2" t="s">
        <v>1658</v>
      </c>
      <c r="D301" s="2" t="s">
        <v>1659</v>
      </c>
      <c r="E301" s="4" t="s">
        <v>362</v>
      </c>
      <c r="F301" s="2" t="s">
        <v>1703</v>
      </c>
      <c r="G301" s="2" t="s">
        <v>1704</v>
      </c>
      <c r="H301" s="2" t="s">
        <v>368</v>
      </c>
      <c r="I301" s="2" t="s">
        <v>1026</v>
      </c>
      <c r="J301" s="2" t="s">
        <v>100</v>
      </c>
      <c r="K301" s="2" t="s">
        <v>101</v>
      </c>
      <c r="L301" s="2" t="s">
        <v>391</v>
      </c>
      <c r="M301" s="2" t="s">
        <v>781</v>
      </c>
      <c r="N301" s="2" t="s">
        <v>164</v>
      </c>
      <c r="O301" s="2" t="s">
        <v>105</v>
      </c>
      <c r="P301" s="152">
        <v>773</v>
      </c>
      <c r="Q301" s="150">
        <v>3.681</v>
      </c>
      <c r="R301" s="150">
        <v>11601</v>
      </c>
      <c r="T301" s="150">
        <v>330.096</v>
      </c>
      <c r="U301" s="164">
        <v>1.6799999999999999E-4</v>
      </c>
      <c r="V301" s="164">
        <v>1.1737575763611599E-2</v>
      </c>
      <c r="W301" s="164">
        <v>2.3026644661811599E-3</v>
      </c>
    </row>
    <row r="302" spans="1:23">
      <c r="A302" s="2" t="s">
        <v>128</v>
      </c>
      <c r="B302" s="2">
        <v>7229</v>
      </c>
      <c r="C302" s="2" t="s">
        <v>1658</v>
      </c>
      <c r="D302" s="2" t="s">
        <v>1659</v>
      </c>
      <c r="E302" s="4" t="s">
        <v>362</v>
      </c>
      <c r="F302" s="2" t="s">
        <v>1705</v>
      </c>
      <c r="G302" s="2" t="s">
        <v>1706</v>
      </c>
      <c r="H302" s="2" t="s">
        <v>368</v>
      </c>
      <c r="I302" s="2" t="s">
        <v>1028</v>
      </c>
      <c r="J302" s="2" t="s">
        <v>100</v>
      </c>
      <c r="K302" s="2" t="s">
        <v>101</v>
      </c>
      <c r="L302" s="2" t="s">
        <v>426</v>
      </c>
      <c r="M302" s="2" t="s">
        <v>778</v>
      </c>
      <c r="N302" s="2" t="s">
        <v>164</v>
      </c>
      <c r="O302" s="2" t="s">
        <v>105</v>
      </c>
      <c r="P302" s="152">
        <v>79342</v>
      </c>
      <c r="Q302" s="150">
        <v>3.681</v>
      </c>
      <c r="R302" s="150">
        <v>571.15</v>
      </c>
      <c r="T302" s="150">
        <v>1668.0889999999999</v>
      </c>
      <c r="U302" s="164">
        <v>0</v>
      </c>
      <c r="V302" s="164">
        <v>5.9313945345241301E-2</v>
      </c>
      <c r="W302" s="164">
        <v>1.16361433609587E-2</v>
      </c>
    </row>
    <row r="303" spans="1:23">
      <c r="A303" s="2" t="s">
        <v>128</v>
      </c>
      <c r="B303" s="2">
        <v>7229</v>
      </c>
      <c r="C303" s="2" t="s">
        <v>1707</v>
      </c>
      <c r="D303" s="2" t="s">
        <v>1708</v>
      </c>
      <c r="E303" s="4" t="s">
        <v>362</v>
      </c>
      <c r="F303" s="2" t="s">
        <v>1709</v>
      </c>
      <c r="G303" s="2" t="s">
        <v>1710</v>
      </c>
      <c r="H303" s="2" t="s">
        <v>368</v>
      </c>
      <c r="I303" s="2" t="s">
        <v>1026</v>
      </c>
      <c r="J303" s="2" t="s">
        <v>100</v>
      </c>
      <c r="K303" s="2" t="s">
        <v>331</v>
      </c>
      <c r="L303" s="2" t="s">
        <v>411</v>
      </c>
      <c r="M303" s="2" t="s">
        <v>781</v>
      </c>
      <c r="N303" s="2" t="s">
        <v>164</v>
      </c>
      <c r="O303" s="2" t="s">
        <v>1224</v>
      </c>
      <c r="P303" s="152">
        <v>3560</v>
      </c>
      <c r="Q303" s="150">
        <v>3.9790000000000001</v>
      </c>
      <c r="R303" s="150">
        <v>8097</v>
      </c>
      <c r="T303" s="150">
        <v>1146.9880000000001</v>
      </c>
      <c r="U303" s="164">
        <v>5.5000000000000002E-5</v>
      </c>
      <c r="V303" s="164">
        <v>4.0784642640906199E-2</v>
      </c>
      <c r="W303" s="164">
        <v>8.0010855108819303E-3</v>
      </c>
    </row>
    <row r="304" spans="1:23">
      <c r="A304" s="2" t="s">
        <v>128</v>
      </c>
      <c r="B304" s="2">
        <v>7229</v>
      </c>
      <c r="C304" s="2" t="s">
        <v>1707</v>
      </c>
      <c r="D304" s="2" t="s">
        <v>1708</v>
      </c>
      <c r="E304" s="4" t="s">
        <v>362</v>
      </c>
      <c r="F304" s="2" t="s">
        <v>1711</v>
      </c>
      <c r="G304" s="2" t="s">
        <v>1712</v>
      </c>
      <c r="H304" s="2" t="s">
        <v>368</v>
      </c>
      <c r="I304" s="2" t="s">
        <v>1026</v>
      </c>
      <c r="J304" s="2" t="s">
        <v>100</v>
      </c>
      <c r="K304" s="2" t="s">
        <v>331</v>
      </c>
      <c r="L304" s="2" t="s">
        <v>411</v>
      </c>
      <c r="M304" s="2" t="s">
        <v>781</v>
      </c>
      <c r="N304" s="2" t="s">
        <v>164</v>
      </c>
      <c r="O304" s="2" t="s">
        <v>1224</v>
      </c>
      <c r="P304" s="152">
        <v>562</v>
      </c>
      <c r="Q304" s="150">
        <v>3.9790000000000001</v>
      </c>
      <c r="R304" s="150">
        <v>14783</v>
      </c>
      <c r="T304" s="150">
        <v>330.58499999999998</v>
      </c>
      <c r="U304" s="164">
        <v>1.75E-4</v>
      </c>
      <c r="V304" s="164">
        <v>1.1754967062090199E-2</v>
      </c>
      <c r="W304" s="164">
        <v>2.3060762716368998E-3</v>
      </c>
    </row>
    <row r="305" spans="1:23">
      <c r="A305" s="2" t="s">
        <v>128</v>
      </c>
      <c r="B305" s="2">
        <v>7229</v>
      </c>
      <c r="C305" s="2" t="s">
        <v>1713</v>
      </c>
      <c r="D305" s="2" t="s">
        <v>1714</v>
      </c>
      <c r="E305" s="4" t="s">
        <v>362</v>
      </c>
      <c r="F305" s="2" t="s">
        <v>1715</v>
      </c>
      <c r="G305" s="2" t="s">
        <v>1716</v>
      </c>
      <c r="H305" s="2" t="s">
        <v>368</v>
      </c>
      <c r="I305" s="2" t="s">
        <v>1026</v>
      </c>
      <c r="J305" s="2" t="s">
        <v>100</v>
      </c>
      <c r="K305" s="2" t="s">
        <v>1717</v>
      </c>
      <c r="L305" s="2" t="s">
        <v>391</v>
      </c>
      <c r="M305" s="2" t="s">
        <v>781</v>
      </c>
      <c r="N305" s="2" t="s">
        <v>164</v>
      </c>
      <c r="O305" s="2" t="s">
        <v>105</v>
      </c>
      <c r="P305" s="152">
        <v>867</v>
      </c>
      <c r="Q305" s="150">
        <v>3.681</v>
      </c>
      <c r="R305" s="150">
        <v>9289</v>
      </c>
      <c r="T305" s="150">
        <v>296.452</v>
      </c>
      <c r="U305" s="164">
        <v>1.1E-5</v>
      </c>
      <c r="V305" s="164">
        <v>1.05412362831637E-2</v>
      </c>
      <c r="W305" s="164">
        <v>2.0679679269130398E-3</v>
      </c>
    </row>
    <row r="306" spans="1:23">
      <c r="A306" s="2" t="s">
        <v>128</v>
      </c>
      <c r="B306" s="2">
        <v>7229</v>
      </c>
      <c r="C306" s="2" t="s">
        <v>1658</v>
      </c>
      <c r="D306" s="2" t="s">
        <v>1659</v>
      </c>
      <c r="E306" s="4" t="s">
        <v>362</v>
      </c>
      <c r="F306" s="2" t="s">
        <v>1718</v>
      </c>
      <c r="G306" s="2" t="s">
        <v>1719</v>
      </c>
      <c r="H306" s="2" t="s">
        <v>368</v>
      </c>
      <c r="I306" s="2" t="s">
        <v>1026</v>
      </c>
      <c r="J306" s="2" t="s">
        <v>100</v>
      </c>
      <c r="K306" s="2" t="s">
        <v>318</v>
      </c>
      <c r="L306" s="2" t="s">
        <v>393</v>
      </c>
      <c r="M306" s="2" t="s">
        <v>781</v>
      </c>
      <c r="N306" s="2" t="s">
        <v>164</v>
      </c>
      <c r="O306" s="2" t="s">
        <v>105</v>
      </c>
      <c r="P306" s="152">
        <v>1369</v>
      </c>
      <c r="Q306" s="150">
        <v>3.681</v>
      </c>
      <c r="R306" s="150">
        <v>3973</v>
      </c>
      <c r="T306" s="150">
        <v>200.21100000000001</v>
      </c>
      <c r="U306" s="164">
        <v>9.0000000000000002E-6</v>
      </c>
      <c r="V306" s="164">
        <v>7.1191066823305298E-3</v>
      </c>
      <c r="W306" s="164">
        <v>1.39661837490976E-3</v>
      </c>
    </row>
    <row r="307" spans="1:23">
      <c r="A307" s="2" t="s">
        <v>128</v>
      </c>
      <c r="B307" s="2">
        <v>7229</v>
      </c>
      <c r="C307" s="2" t="s">
        <v>1635</v>
      </c>
      <c r="D307" s="2" t="s">
        <v>1636</v>
      </c>
      <c r="E307" s="4" t="s">
        <v>362</v>
      </c>
      <c r="F307" s="2" t="s">
        <v>1720</v>
      </c>
      <c r="G307" s="2" t="s">
        <v>1721</v>
      </c>
      <c r="H307" s="2" t="s">
        <v>368</v>
      </c>
      <c r="I307" s="2" t="s">
        <v>1026</v>
      </c>
      <c r="J307" s="2" t="s">
        <v>100</v>
      </c>
      <c r="K307" s="2" t="s">
        <v>101</v>
      </c>
      <c r="L307" s="2" t="s">
        <v>391</v>
      </c>
      <c r="M307" s="2" t="s">
        <v>781</v>
      </c>
      <c r="N307" s="2" t="s">
        <v>164</v>
      </c>
      <c r="O307" s="2" t="s">
        <v>105</v>
      </c>
      <c r="P307" s="152">
        <v>800</v>
      </c>
      <c r="Q307" s="150">
        <v>3.681</v>
      </c>
      <c r="R307" s="150">
        <v>94.41</v>
      </c>
      <c r="T307" s="150">
        <v>278.01900000000001</v>
      </c>
      <c r="U307" s="164">
        <v>1.9999999999999999E-6</v>
      </c>
      <c r="V307" s="164">
        <v>9.8857920897221403E-3</v>
      </c>
      <c r="W307" s="164">
        <v>1.93938361919921E-3</v>
      </c>
    </row>
    <row r="308" spans="1:23">
      <c r="A308" s="2" t="s">
        <v>128</v>
      </c>
      <c r="B308" s="2">
        <v>7229</v>
      </c>
      <c r="C308" s="2" t="s">
        <v>1579</v>
      </c>
      <c r="D308" s="2" t="s">
        <v>1580</v>
      </c>
      <c r="E308" s="4" t="s">
        <v>362</v>
      </c>
      <c r="F308" s="2" t="s">
        <v>1722</v>
      </c>
      <c r="G308" s="2" t="s">
        <v>1723</v>
      </c>
      <c r="H308" s="2" t="s">
        <v>368</v>
      </c>
      <c r="I308" s="2" t="s">
        <v>1026</v>
      </c>
      <c r="J308" s="2" t="s">
        <v>100</v>
      </c>
      <c r="K308" s="2" t="s">
        <v>101</v>
      </c>
      <c r="L308" s="2" t="s">
        <v>393</v>
      </c>
      <c r="M308" s="2" t="s">
        <v>781</v>
      </c>
      <c r="N308" s="2" t="s">
        <v>164</v>
      </c>
      <c r="O308" s="2" t="s">
        <v>105</v>
      </c>
      <c r="P308" s="152">
        <v>476</v>
      </c>
      <c r="Q308" s="150">
        <v>3.681</v>
      </c>
      <c r="R308" s="150">
        <v>444.01</v>
      </c>
      <c r="S308" s="155">
        <v>0.19400000000000001</v>
      </c>
      <c r="T308" s="150">
        <v>778.68799999999999</v>
      </c>
      <c r="U308" s="164">
        <v>9.9999999999999995E-7</v>
      </c>
      <c r="V308" s="164">
        <v>2.7688604751239999E-2</v>
      </c>
      <c r="W308" s="164">
        <v>5.4319194664092397E-3</v>
      </c>
    </row>
    <row r="309" spans="1:23">
      <c r="A309" s="2" t="s">
        <v>128</v>
      </c>
      <c r="B309" s="2">
        <v>7229</v>
      </c>
      <c r="C309" s="2" t="s">
        <v>1635</v>
      </c>
      <c r="D309" s="2" t="s">
        <v>1636</v>
      </c>
      <c r="E309" s="4" t="s">
        <v>362</v>
      </c>
      <c r="F309" s="2" t="s">
        <v>1724</v>
      </c>
      <c r="G309" s="2" t="s">
        <v>1725</v>
      </c>
      <c r="H309" s="2" t="s">
        <v>368</v>
      </c>
      <c r="I309" s="2" t="s">
        <v>1026</v>
      </c>
      <c r="J309" s="2" t="s">
        <v>100</v>
      </c>
      <c r="K309" s="2" t="s">
        <v>101</v>
      </c>
      <c r="L309" s="2" t="s">
        <v>391</v>
      </c>
      <c r="M309" s="2" t="s">
        <v>781</v>
      </c>
      <c r="N309" s="2" t="s">
        <v>164</v>
      </c>
      <c r="O309" s="2" t="s">
        <v>105</v>
      </c>
      <c r="P309" s="152">
        <v>1646</v>
      </c>
      <c r="Q309" s="150">
        <v>3.681</v>
      </c>
      <c r="R309" s="150">
        <v>39.53</v>
      </c>
      <c r="T309" s="150">
        <v>239.50899999999999</v>
      </c>
      <c r="U309" s="164">
        <v>2.6999999999999999E-5</v>
      </c>
      <c r="V309" s="164">
        <v>8.5164800433065197E-3</v>
      </c>
      <c r="W309" s="164">
        <v>1.67075351568413E-3</v>
      </c>
    </row>
    <row r="310" spans="1:23">
      <c r="A310" s="2" t="s">
        <v>128</v>
      </c>
      <c r="B310" s="2">
        <v>7229</v>
      </c>
      <c r="C310" s="2" t="s">
        <v>1635</v>
      </c>
      <c r="D310" s="2" t="s">
        <v>1636</v>
      </c>
      <c r="E310" s="4" t="s">
        <v>362</v>
      </c>
      <c r="F310" s="2" t="s">
        <v>1726</v>
      </c>
      <c r="G310" s="2" t="s">
        <v>1727</v>
      </c>
      <c r="H310" s="2" t="s">
        <v>368</v>
      </c>
      <c r="I310" s="2" t="s">
        <v>1026</v>
      </c>
      <c r="J310" s="2" t="s">
        <v>100</v>
      </c>
      <c r="K310" s="2" t="s">
        <v>101</v>
      </c>
      <c r="L310" s="2" t="s">
        <v>391</v>
      </c>
      <c r="M310" s="2" t="s">
        <v>781</v>
      </c>
      <c r="N310" s="2" t="s">
        <v>164</v>
      </c>
      <c r="O310" s="2" t="s">
        <v>105</v>
      </c>
      <c r="P310" s="152">
        <v>1906</v>
      </c>
      <c r="Q310" s="150">
        <v>3.681</v>
      </c>
      <c r="R310" s="150">
        <v>208.27</v>
      </c>
      <c r="T310" s="150">
        <v>1461.2190000000001</v>
      </c>
      <c r="U310" s="164">
        <v>6.0000000000000002E-6</v>
      </c>
      <c r="V310" s="164">
        <v>5.1958080827128703E-2</v>
      </c>
      <c r="W310" s="164">
        <v>1.01930780990149E-2</v>
      </c>
    </row>
    <row r="311" spans="1:23">
      <c r="A311" s="2" t="s">
        <v>128</v>
      </c>
      <c r="B311" s="2">
        <v>7229</v>
      </c>
      <c r="C311" s="2" t="s">
        <v>1635</v>
      </c>
      <c r="D311" s="2" t="s">
        <v>1636</v>
      </c>
      <c r="E311" s="4" t="s">
        <v>362</v>
      </c>
      <c r="F311" s="2" t="s">
        <v>1728</v>
      </c>
      <c r="G311" s="2" t="s">
        <v>1729</v>
      </c>
      <c r="H311" s="2" t="s">
        <v>368</v>
      </c>
      <c r="I311" s="2" t="s">
        <v>1028</v>
      </c>
      <c r="J311" s="2" t="s">
        <v>100</v>
      </c>
      <c r="K311" s="2" t="s">
        <v>101</v>
      </c>
      <c r="L311" s="2" t="s">
        <v>393</v>
      </c>
      <c r="M311" s="2" t="s">
        <v>778</v>
      </c>
      <c r="N311" s="2" t="s">
        <v>164</v>
      </c>
      <c r="O311" s="2" t="s">
        <v>105</v>
      </c>
      <c r="P311" s="152">
        <v>6300</v>
      </c>
      <c r="Q311" s="150">
        <v>3.681</v>
      </c>
      <c r="R311" s="150">
        <v>4007.5</v>
      </c>
      <c r="T311" s="150">
        <v>929.351</v>
      </c>
      <c r="U311" s="164">
        <v>0</v>
      </c>
      <c r="V311" s="164">
        <v>3.3045898784190897E-2</v>
      </c>
      <c r="W311" s="164">
        <v>6.4829074091498802E-3</v>
      </c>
    </row>
    <row r="312" spans="1:23">
      <c r="A312" s="2" t="s">
        <v>128</v>
      </c>
      <c r="B312" s="2">
        <v>7229</v>
      </c>
      <c r="C312" s="2" t="s">
        <v>1730</v>
      </c>
      <c r="D312" s="2" t="s">
        <v>1731</v>
      </c>
      <c r="E312" s="4" t="s">
        <v>362</v>
      </c>
      <c r="F312" s="2" t="s">
        <v>1734</v>
      </c>
      <c r="G312" s="2" t="s">
        <v>1735</v>
      </c>
      <c r="H312" s="2" t="s">
        <v>368</v>
      </c>
      <c r="I312" s="2" t="s">
        <v>1026</v>
      </c>
      <c r="J312" s="2" t="s">
        <v>100</v>
      </c>
      <c r="K312" s="2" t="s">
        <v>343</v>
      </c>
      <c r="L312" s="2" t="s">
        <v>411</v>
      </c>
      <c r="M312" s="2" t="s">
        <v>781</v>
      </c>
      <c r="N312" s="2" t="s">
        <v>164</v>
      </c>
      <c r="O312" s="2" t="s">
        <v>1224</v>
      </c>
      <c r="P312" s="152">
        <v>98</v>
      </c>
      <c r="Q312" s="150">
        <v>3.9790000000000001</v>
      </c>
      <c r="R312" s="150">
        <v>18642</v>
      </c>
      <c r="T312" s="150">
        <v>72.694999999999993</v>
      </c>
      <c r="U312" s="164">
        <v>1.12E-4</v>
      </c>
      <c r="V312" s="164">
        <v>2.5848842682389601E-3</v>
      </c>
      <c r="W312" s="164">
        <v>5.0709970044385798E-4</v>
      </c>
    </row>
    <row r="313" spans="1:23">
      <c r="A313" s="2" t="s">
        <v>128</v>
      </c>
      <c r="B313" s="2">
        <v>7229</v>
      </c>
      <c r="C313" s="2" t="s">
        <v>1670</v>
      </c>
      <c r="D313" s="2" t="s">
        <v>1671</v>
      </c>
      <c r="E313" s="4" t="s">
        <v>362</v>
      </c>
      <c r="F313" s="2" t="s">
        <v>1736</v>
      </c>
      <c r="G313" s="2" t="s">
        <v>1737</v>
      </c>
      <c r="H313" s="2" t="s">
        <v>368</v>
      </c>
      <c r="I313" s="2" t="s">
        <v>1026</v>
      </c>
      <c r="J313" s="2" t="s">
        <v>100</v>
      </c>
      <c r="K313" s="2" t="s">
        <v>101</v>
      </c>
      <c r="L313" s="2" t="s">
        <v>393</v>
      </c>
      <c r="M313" s="2" t="s">
        <v>781</v>
      </c>
      <c r="N313" s="2" t="s">
        <v>164</v>
      </c>
      <c r="O313" s="2" t="s">
        <v>105</v>
      </c>
      <c r="P313" s="152">
        <v>404</v>
      </c>
      <c r="Q313" s="150">
        <v>3.681</v>
      </c>
      <c r="R313" s="150">
        <v>22499</v>
      </c>
      <c r="T313" s="150">
        <v>334.58800000000002</v>
      </c>
      <c r="U313" s="164">
        <v>1.8E-5</v>
      </c>
      <c r="V313" s="164">
        <v>1.1897290572446E-2</v>
      </c>
      <c r="W313" s="164">
        <v>2.3339971384835601E-3</v>
      </c>
    </row>
    <row r="314" spans="1:23">
      <c r="A314" s="2" t="s">
        <v>128</v>
      </c>
      <c r="B314" s="2">
        <v>7229</v>
      </c>
      <c r="C314" s="2" t="s">
        <v>1742</v>
      </c>
      <c r="D314" s="2" t="s">
        <v>1743</v>
      </c>
      <c r="E314" s="4" t="s">
        <v>362</v>
      </c>
      <c r="F314" s="2" t="s">
        <v>1746</v>
      </c>
      <c r="G314" s="2" t="s">
        <v>1747</v>
      </c>
      <c r="H314" s="2" t="s">
        <v>368</v>
      </c>
      <c r="I314" s="2" t="s">
        <v>1026</v>
      </c>
      <c r="J314" s="2" t="s">
        <v>100</v>
      </c>
      <c r="K314" s="2" t="s">
        <v>294</v>
      </c>
      <c r="L314" s="2" t="s">
        <v>391</v>
      </c>
      <c r="M314" s="2" t="s">
        <v>781</v>
      </c>
      <c r="N314" s="2" t="s">
        <v>164</v>
      </c>
      <c r="O314" s="2" t="s">
        <v>105</v>
      </c>
      <c r="P314" s="152">
        <v>6801</v>
      </c>
      <c r="Q314" s="150">
        <v>3.681</v>
      </c>
      <c r="R314" s="150">
        <v>43.56</v>
      </c>
      <c r="T314" s="150">
        <v>1090.502</v>
      </c>
      <c r="U314" s="164">
        <v>3.0899999999999998E-4</v>
      </c>
      <c r="V314" s="164">
        <v>3.8776100630439597E-2</v>
      </c>
      <c r="W314" s="164">
        <v>7.6070519890134997E-3</v>
      </c>
    </row>
    <row r="315" spans="1:23">
      <c r="A315" s="2" t="s">
        <v>128</v>
      </c>
      <c r="B315" s="2">
        <v>7229</v>
      </c>
      <c r="C315" s="2" t="s">
        <v>1748</v>
      </c>
      <c r="D315" s="2" t="s">
        <v>1749</v>
      </c>
      <c r="E315" s="4" t="s">
        <v>362</v>
      </c>
      <c r="F315" s="2" t="s">
        <v>1750</v>
      </c>
      <c r="G315" s="2" t="s">
        <v>1751</v>
      </c>
      <c r="H315" s="2" t="s">
        <v>368</v>
      </c>
      <c r="I315" s="2" t="s">
        <v>1026</v>
      </c>
      <c r="J315" s="2" t="s">
        <v>100</v>
      </c>
      <c r="K315" s="2" t="s">
        <v>301</v>
      </c>
      <c r="L315" s="2" t="s">
        <v>110</v>
      </c>
      <c r="M315" s="2" t="s">
        <v>781</v>
      </c>
      <c r="N315" s="2" t="s">
        <v>164</v>
      </c>
      <c r="O315" s="2" t="s">
        <v>1224</v>
      </c>
      <c r="P315" s="152">
        <v>10620</v>
      </c>
      <c r="Q315" s="150">
        <v>3.9790000000000001</v>
      </c>
      <c r="R315" s="150">
        <v>2551.5</v>
      </c>
      <c r="T315" s="150">
        <v>1078.2139999999999</v>
      </c>
      <c r="U315" s="164">
        <v>1.7799999999999999E-4</v>
      </c>
      <c r="V315" s="164">
        <v>3.8339161775676797E-2</v>
      </c>
      <c r="W315" s="164">
        <v>7.52133381389632E-3</v>
      </c>
    </row>
    <row r="316" spans="1:23">
      <c r="A316" s="2" t="s">
        <v>128</v>
      </c>
      <c r="B316" s="2">
        <v>9817</v>
      </c>
      <c r="C316" s="2" t="s">
        <v>1607</v>
      </c>
      <c r="D316" s="2" t="s">
        <v>1608</v>
      </c>
      <c r="E316" s="4" t="s">
        <v>1380</v>
      </c>
      <c r="F316" s="2" t="s">
        <v>1619</v>
      </c>
      <c r="G316" s="2" t="s">
        <v>1620</v>
      </c>
      <c r="H316" s="2" t="s">
        <v>368</v>
      </c>
      <c r="I316" s="2" t="s">
        <v>1025</v>
      </c>
      <c r="J316" s="2" t="s">
        <v>31</v>
      </c>
      <c r="K316" s="2" t="s">
        <v>31</v>
      </c>
      <c r="L316" s="2" t="s">
        <v>32</v>
      </c>
      <c r="M316" s="2" t="s">
        <v>1611</v>
      </c>
      <c r="N316" s="2" t="s">
        <v>164</v>
      </c>
      <c r="O316" s="2" t="s">
        <v>35</v>
      </c>
      <c r="P316" s="152">
        <v>534</v>
      </c>
      <c r="Q316" s="150">
        <v>1</v>
      </c>
      <c r="R316" s="150">
        <v>3091</v>
      </c>
      <c r="T316" s="150">
        <v>16.506</v>
      </c>
      <c r="U316" s="164">
        <v>1.5E-5</v>
      </c>
      <c r="V316" s="164">
        <v>1.8649312434663799E-2</v>
      </c>
      <c r="W316" s="164">
        <v>1.1378625078541701E-2</v>
      </c>
    </row>
    <row r="317" spans="1:23">
      <c r="A317" s="2" t="s">
        <v>128</v>
      </c>
      <c r="B317" s="2">
        <v>9817</v>
      </c>
      <c r="C317" s="2" t="s">
        <v>1607</v>
      </c>
      <c r="D317" s="2" t="s">
        <v>1608</v>
      </c>
      <c r="E317" s="4" t="s">
        <v>1380</v>
      </c>
      <c r="F317" s="2" t="s">
        <v>1800</v>
      </c>
      <c r="G317" s="2" t="s">
        <v>1801</v>
      </c>
      <c r="H317" s="2" t="s">
        <v>368</v>
      </c>
      <c r="I317" s="2" t="s">
        <v>1027</v>
      </c>
      <c r="J317" s="2" t="s">
        <v>31</v>
      </c>
      <c r="K317" s="2" t="s">
        <v>31</v>
      </c>
      <c r="L317" s="2" t="s">
        <v>32</v>
      </c>
      <c r="M317" s="2" t="s">
        <v>1802</v>
      </c>
      <c r="N317" s="2" t="s">
        <v>164</v>
      </c>
      <c r="O317" s="2" t="s">
        <v>35</v>
      </c>
      <c r="P317" s="152">
        <v>16615</v>
      </c>
      <c r="Q317" s="150">
        <v>1</v>
      </c>
      <c r="R317" s="150">
        <v>457.01</v>
      </c>
      <c r="T317" s="150">
        <v>75.932000000000002</v>
      </c>
      <c r="U317" s="164">
        <v>1.15E-4</v>
      </c>
      <c r="V317" s="164">
        <v>8.57923593638696E-2</v>
      </c>
      <c r="W317" s="164">
        <v>5.2345044635024103E-2</v>
      </c>
    </row>
    <row r="318" spans="1:23">
      <c r="A318" s="2" t="s">
        <v>128</v>
      </c>
      <c r="B318" s="2">
        <v>9817</v>
      </c>
      <c r="C318" s="2" t="s">
        <v>1623</v>
      </c>
      <c r="D318" s="2" t="s">
        <v>1624</v>
      </c>
      <c r="E318" s="4" t="s">
        <v>1380</v>
      </c>
      <c r="F318" s="2" t="s">
        <v>1756</v>
      </c>
      <c r="G318" s="2" t="s">
        <v>1757</v>
      </c>
      <c r="H318" s="2" t="s">
        <v>368</v>
      </c>
      <c r="I318" s="2" t="s">
        <v>1026</v>
      </c>
      <c r="J318" s="2" t="s">
        <v>31</v>
      </c>
      <c r="K318" s="2" t="s">
        <v>1649</v>
      </c>
      <c r="L318" s="2" t="s">
        <v>32</v>
      </c>
      <c r="M318" s="2" t="s">
        <v>1614</v>
      </c>
      <c r="N318" s="2" t="s">
        <v>164</v>
      </c>
      <c r="O318" s="2" t="s">
        <v>35</v>
      </c>
      <c r="P318" s="152">
        <v>1061</v>
      </c>
      <c r="Q318" s="150">
        <v>1</v>
      </c>
      <c r="R318" s="150">
        <v>3249</v>
      </c>
      <c r="T318" s="150">
        <v>34.472000000000001</v>
      </c>
      <c r="U318" s="164">
        <v>5.0000000000000002E-5</v>
      </c>
      <c r="V318" s="164">
        <v>3.8948223901417403E-2</v>
      </c>
      <c r="W318" s="164">
        <v>2.3763730636287901E-2</v>
      </c>
    </row>
    <row r="319" spans="1:23">
      <c r="A319" s="2" t="s">
        <v>128</v>
      </c>
      <c r="B319" s="2">
        <v>9817</v>
      </c>
      <c r="C319" s="2" t="s">
        <v>1623</v>
      </c>
      <c r="D319" s="2" t="s">
        <v>1624</v>
      </c>
      <c r="E319" s="4" t="s">
        <v>1380</v>
      </c>
      <c r="F319" s="2" t="s">
        <v>1823</v>
      </c>
      <c r="G319" s="2" t="s">
        <v>1824</v>
      </c>
      <c r="H319" s="2" t="s">
        <v>368</v>
      </c>
      <c r="I319" s="2" t="s">
        <v>1027</v>
      </c>
      <c r="J319" s="2" t="s">
        <v>31</v>
      </c>
      <c r="K319" s="2" t="s">
        <v>31</v>
      </c>
      <c r="L319" s="2" t="s">
        <v>32</v>
      </c>
      <c r="M319" s="2" t="s">
        <v>1802</v>
      </c>
      <c r="N319" s="2" t="s">
        <v>164</v>
      </c>
      <c r="O319" s="2" t="s">
        <v>35</v>
      </c>
      <c r="P319" s="152">
        <v>20069</v>
      </c>
      <c r="Q319" s="150">
        <v>1</v>
      </c>
      <c r="R319" s="150">
        <v>357.86</v>
      </c>
      <c r="T319" s="150">
        <v>71.819000000000003</v>
      </c>
      <c r="U319" s="164">
        <v>6.4999999999999994E-5</v>
      </c>
      <c r="V319" s="164">
        <v>8.1144941833533005E-2</v>
      </c>
      <c r="W319" s="164">
        <v>4.9509485852553901E-2</v>
      </c>
    </row>
    <row r="320" spans="1:23">
      <c r="A320" s="2" t="s">
        <v>128</v>
      </c>
      <c r="B320" s="2">
        <v>9817</v>
      </c>
      <c r="C320" s="2" t="s">
        <v>1629</v>
      </c>
      <c r="D320" s="2" t="s">
        <v>1630</v>
      </c>
      <c r="E320" s="4" t="s">
        <v>1380</v>
      </c>
      <c r="F320" s="2" t="s">
        <v>1825</v>
      </c>
      <c r="G320" s="2" t="s">
        <v>1826</v>
      </c>
      <c r="H320" s="2" t="s">
        <v>368</v>
      </c>
      <c r="I320" s="2" t="s">
        <v>1025</v>
      </c>
      <c r="J320" s="2" t="s">
        <v>31</v>
      </c>
      <c r="K320" s="2" t="s">
        <v>31</v>
      </c>
      <c r="L320" s="2" t="s">
        <v>32</v>
      </c>
      <c r="M320" s="2" t="s">
        <v>1611</v>
      </c>
      <c r="N320" s="2" t="s">
        <v>164</v>
      </c>
      <c r="O320" s="2" t="s">
        <v>35</v>
      </c>
      <c r="P320" s="152">
        <v>317</v>
      </c>
      <c r="Q320" s="150">
        <v>1</v>
      </c>
      <c r="R320" s="150">
        <v>5568</v>
      </c>
      <c r="T320" s="150">
        <v>17.651</v>
      </c>
      <c r="U320" s="164">
        <v>0</v>
      </c>
      <c r="V320" s="164">
        <v>1.9942566620669799E-2</v>
      </c>
      <c r="W320" s="164">
        <v>1.21676865823034E-2</v>
      </c>
    </row>
    <row r="321" spans="1:23">
      <c r="A321" s="2" t="s">
        <v>128</v>
      </c>
      <c r="B321" s="2">
        <v>9817</v>
      </c>
      <c r="C321" s="2" t="s">
        <v>1629</v>
      </c>
      <c r="D321" s="2" t="s">
        <v>1630</v>
      </c>
      <c r="E321" s="4" t="s">
        <v>1380</v>
      </c>
      <c r="F321" s="2" t="s">
        <v>1631</v>
      </c>
      <c r="G321" s="2" t="s">
        <v>1632</v>
      </c>
      <c r="H321" s="2" t="s">
        <v>368</v>
      </c>
      <c r="I321" s="2" t="s">
        <v>1026</v>
      </c>
      <c r="J321" s="2" t="s">
        <v>31</v>
      </c>
      <c r="K321" s="2" t="s">
        <v>101</v>
      </c>
      <c r="L321" s="2" t="s">
        <v>32</v>
      </c>
      <c r="M321" s="2" t="s">
        <v>1614</v>
      </c>
      <c r="N321" s="2" t="s">
        <v>164</v>
      </c>
      <c r="O321" s="2" t="s">
        <v>35</v>
      </c>
      <c r="P321" s="152">
        <v>451</v>
      </c>
      <c r="Q321" s="150">
        <v>1</v>
      </c>
      <c r="R321" s="150">
        <v>10160</v>
      </c>
      <c r="T321" s="150">
        <v>45.822000000000003</v>
      </c>
      <c r="U321" s="164">
        <v>4.6999999999999997E-5</v>
      </c>
      <c r="V321" s="164">
        <v>5.1771746089964599E-2</v>
      </c>
      <c r="W321" s="164">
        <v>3.1587828799747503E-2</v>
      </c>
    </row>
    <row r="322" spans="1:23">
      <c r="A322" s="2" t="s">
        <v>128</v>
      </c>
      <c r="B322" s="2">
        <v>9817</v>
      </c>
      <c r="C322" s="2" t="s">
        <v>1629</v>
      </c>
      <c r="D322" s="2" t="s">
        <v>1630</v>
      </c>
      <c r="E322" s="4" t="s">
        <v>1380</v>
      </c>
      <c r="F322" s="2" t="s">
        <v>1760</v>
      </c>
      <c r="G322" s="2" t="s">
        <v>1761</v>
      </c>
      <c r="H322" s="2" t="s">
        <v>368</v>
      </c>
      <c r="I322" s="2" t="s">
        <v>1026</v>
      </c>
      <c r="J322" s="2" t="s">
        <v>31</v>
      </c>
      <c r="K322" s="2" t="s">
        <v>101</v>
      </c>
      <c r="L322" s="2" t="s">
        <v>32</v>
      </c>
      <c r="M322" s="2" t="s">
        <v>1614</v>
      </c>
      <c r="N322" s="2" t="s">
        <v>164</v>
      </c>
      <c r="O322" s="2" t="s">
        <v>35</v>
      </c>
      <c r="P322" s="152">
        <v>730</v>
      </c>
      <c r="Q322" s="150">
        <v>1</v>
      </c>
      <c r="R322" s="150">
        <v>9551</v>
      </c>
      <c r="T322" s="150">
        <v>69.721999999999994</v>
      </c>
      <c r="U322" s="164">
        <v>1.2999999999999999E-5</v>
      </c>
      <c r="V322" s="164">
        <v>7.8776062215381804E-2</v>
      </c>
      <c r="W322" s="164">
        <v>4.8064146077933502E-2</v>
      </c>
    </row>
    <row r="323" spans="1:23">
      <c r="A323" s="2" t="s">
        <v>128</v>
      </c>
      <c r="B323" s="2">
        <v>9817</v>
      </c>
      <c r="C323" s="2" t="s">
        <v>1607</v>
      </c>
      <c r="D323" s="2" t="s">
        <v>1608</v>
      </c>
      <c r="E323" s="4" t="s">
        <v>1380</v>
      </c>
      <c r="F323" s="2" t="s">
        <v>1633</v>
      </c>
      <c r="G323" s="2" t="s">
        <v>1634</v>
      </c>
      <c r="H323" s="2" t="s">
        <v>368</v>
      </c>
      <c r="I323" s="2" t="s">
        <v>1026</v>
      </c>
      <c r="J323" s="2" t="s">
        <v>31</v>
      </c>
      <c r="K323" s="2" t="s">
        <v>101</v>
      </c>
      <c r="L323" s="2" t="s">
        <v>32</v>
      </c>
      <c r="M323" s="2" t="s">
        <v>1614</v>
      </c>
      <c r="N323" s="2" t="s">
        <v>164</v>
      </c>
      <c r="O323" s="2" t="s">
        <v>35</v>
      </c>
      <c r="P323" s="152">
        <v>235</v>
      </c>
      <c r="Q323" s="150">
        <v>1</v>
      </c>
      <c r="R323" s="150">
        <v>3141</v>
      </c>
      <c r="T323" s="150">
        <v>7.3810000000000002</v>
      </c>
      <c r="U323" s="164">
        <v>1.2E-5</v>
      </c>
      <c r="V323" s="164">
        <v>8.3398523404062796E-3</v>
      </c>
      <c r="W323" s="164">
        <v>5.0884478086975701E-3</v>
      </c>
    </row>
    <row r="324" spans="1:23">
      <c r="A324" s="2" t="s">
        <v>128</v>
      </c>
      <c r="B324" s="2">
        <v>9817</v>
      </c>
      <c r="C324" s="2" t="s">
        <v>1815</v>
      </c>
      <c r="D324" s="2" t="s">
        <v>1816</v>
      </c>
      <c r="E324" s="4" t="s">
        <v>1380</v>
      </c>
      <c r="F324" s="2" t="s">
        <v>1827</v>
      </c>
      <c r="G324" s="2" t="s">
        <v>1828</v>
      </c>
      <c r="H324" s="2" t="s">
        <v>368</v>
      </c>
      <c r="I324" s="2" t="s">
        <v>1027</v>
      </c>
      <c r="J324" s="2" t="s">
        <v>31</v>
      </c>
      <c r="K324" s="2" t="s">
        <v>31</v>
      </c>
      <c r="L324" s="2" t="s">
        <v>32</v>
      </c>
      <c r="M324" s="2" t="s">
        <v>1802</v>
      </c>
      <c r="N324" s="2" t="s">
        <v>164</v>
      </c>
      <c r="O324" s="2" t="s">
        <v>35</v>
      </c>
      <c r="P324" s="152">
        <v>1702</v>
      </c>
      <c r="Q324" s="150">
        <v>1</v>
      </c>
      <c r="R324" s="150">
        <v>3712.93</v>
      </c>
      <c r="T324" s="150">
        <v>63.194000000000003</v>
      </c>
      <c r="U324" s="164">
        <v>1.1E-4</v>
      </c>
      <c r="V324" s="164">
        <v>7.1400109859782401E-2</v>
      </c>
      <c r="W324" s="164">
        <v>4.35638087735108E-2</v>
      </c>
    </row>
    <row r="325" spans="1:23">
      <c r="A325" s="2" t="s">
        <v>128</v>
      </c>
      <c r="B325" s="2">
        <v>9817</v>
      </c>
      <c r="C325" s="2" t="s">
        <v>1752</v>
      </c>
      <c r="D325" s="2" t="s">
        <v>1753</v>
      </c>
      <c r="E325" s="4" t="s">
        <v>1380</v>
      </c>
      <c r="F325" s="2" t="s">
        <v>1829</v>
      </c>
      <c r="G325" s="2" t="s">
        <v>1830</v>
      </c>
      <c r="H325" s="2" t="s">
        <v>368</v>
      </c>
      <c r="I325" s="2" t="s">
        <v>1026</v>
      </c>
      <c r="J325" s="2" t="s">
        <v>31</v>
      </c>
      <c r="K325" s="2" t="s">
        <v>101</v>
      </c>
      <c r="L325" s="2" t="s">
        <v>32</v>
      </c>
      <c r="M325" s="2" t="s">
        <v>1614</v>
      </c>
      <c r="N325" s="2" t="s">
        <v>164</v>
      </c>
      <c r="O325" s="2" t="s">
        <v>35</v>
      </c>
      <c r="P325" s="152">
        <v>371</v>
      </c>
      <c r="Q325" s="150">
        <v>1</v>
      </c>
      <c r="R325" s="150">
        <v>10000</v>
      </c>
      <c r="T325" s="150">
        <v>37.1</v>
      </c>
      <c r="U325" s="164">
        <v>1.6000000000000001E-4</v>
      </c>
      <c r="V325" s="164">
        <v>4.1917606105803501E-2</v>
      </c>
      <c r="W325" s="164">
        <v>2.5575458920479299E-2</v>
      </c>
    </row>
    <row r="326" spans="1:23">
      <c r="A326" s="2" t="s">
        <v>128</v>
      </c>
      <c r="B326" s="2">
        <v>9817</v>
      </c>
      <c r="C326" s="2" t="s">
        <v>1752</v>
      </c>
      <c r="D326" s="2" t="s">
        <v>1753</v>
      </c>
      <c r="E326" s="4" t="s">
        <v>1380</v>
      </c>
      <c r="F326" s="2" t="s">
        <v>1762</v>
      </c>
      <c r="G326" s="2" t="s">
        <v>1763</v>
      </c>
      <c r="H326" s="2" t="s">
        <v>368</v>
      </c>
      <c r="I326" s="2" t="s">
        <v>1026</v>
      </c>
      <c r="J326" s="2" t="s">
        <v>31</v>
      </c>
      <c r="K326" s="2" t="s">
        <v>346</v>
      </c>
      <c r="L326" s="2" t="s">
        <v>32</v>
      </c>
      <c r="M326" s="2" t="s">
        <v>1614</v>
      </c>
      <c r="N326" s="2" t="s">
        <v>164</v>
      </c>
      <c r="O326" s="2" t="s">
        <v>35</v>
      </c>
      <c r="P326" s="152">
        <v>7663</v>
      </c>
      <c r="Q326" s="150">
        <v>1</v>
      </c>
      <c r="R326" s="150">
        <v>1361</v>
      </c>
      <c r="T326" s="150">
        <v>104.29300000000001</v>
      </c>
      <c r="U326" s="164">
        <v>1.13E-4</v>
      </c>
      <c r="V326" s="164">
        <v>0.117836412888496</v>
      </c>
      <c r="W326" s="164">
        <v>7.1896289343420003E-2</v>
      </c>
    </row>
    <row r="327" spans="1:23">
      <c r="A327" s="2" t="s">
        <v>128</v>
      </c>
      <c r="B327" s="2">
        <v>9817</v>
      </c>
      <c r="C327" s="2" t="s">
        <v>1752</v>
      </c>
      <c r="D327" s="2" t="s">
        <v>1753</v>
      </c>
      <c r="E327" s="4" t="s">
        <v>1380</v>
      </c>
      <c r="F327" s="2" t="s">
        <v>1831</v>
      </c>
      <c r="G327" s="2" t="s">
        <v>1832</v>
      </c>
      <c r="H327" s="2" t="s">
        <v>368</v>
      </c>
      <c r="I327" s="2" t="s">
        <v>1025</v>
      </c>
      <c r="J327" s="2" t="s">
        <v>31</v>
      </c>
      <c r="K327" s="2" t="s">
        <v>31</v>
      </c>
      <c r="L327" s="2" t="s">
        <v>32</v>
      </c>
      <c r="M327" s="2" t="s">
        <v>1611</v>
      </c>
      <c r="N327" s="2" t="s">
        <v>164</v>
      </c>
      <c r="O327" s="2" t="s">
        <v>35</v>
      </c>
      <c r="P327" s="152">
        <v>68.180000000000007</v>
      </c>
      <c r="Q327" s="150">
        <v>1</v>
      </c>
      <c r="R327" s="150">
        <v>19660</v>
      </c>
      <c r="T327" s="150">
        <v>13.404</v>
      </c>
      <c r="U327" s="164">
        <v>6.0000000000000002E-6</v>
      </c>
      <c r="V327" s="164">
        <v>1.51447836321331E-2</v>
      </c>
      <c r="W327" s="164">
        <v>9.2403843546194492E-3</v>
      </c>
    </row>
    <row r="328" spans="1:23">
      <c r="A328" s="2" t="s">
        <v>128</v>
      </c>
      <c r="B328" s="2">
        <v>9817</v>
      </c>
      <c r="C328" s="2" t="s">
        <v>1752</v>
      </c>
      <c r="D328" s="2" t="s">
        <v>1753</v>
      </c>
      <c r="E328" s="4" t="s">
        <v>1380</v>
      </c>
      <c r="F328" s="2" t="s">
        <v>1811</v>
      </c>
      <c r="G328" s="2" t="s">
        <v>1812</v>
      </c>
      <c r="H328" s="2" t="s">
        <v>368</v>
      </c>
      <c r="I328" s="2" t="s">
        <v>1025</v>
      </c>
      <c r="J328" s="2" t="s">
        <v>31</v>
      </c>
      <c r="K328" s="2" t="s">
        <v>31</v>
      </c>
      <c r="L328" s="2" t="s">
        <v>32</v>
      </c>
      <c r="M328" s="2" t="s">
        <v>1611</v>
      </c>
      <c r="N328" s="2" t="s">
        <v>164</v>
      </c>
      <c r="O328" s="2" t="s">
        <v>35</v>
      </c>
      <c r="P328" s="152">
        <v>35</v>
      </c>
      <c r="Q328" s="150">
        <v>1</v>
      </c>
      <c r="R328" s="150">
        <v>26270</v>
      </c>
      <c r="T328" s="150">
        <v>9.1940000000000008</v>
      </c>
      <c r="U328" s="164">
        <v>1.0000000000000001E-5</v>
      </c>
      <c r="V328" s="164">
        <v>1.0388448230183599E-2</v>
      </c>
      <c r="W328" s="164">
        <v>6.33837080982067E-3</v>
      </c>
    </row>
    <row r="329" spans="1:23">
      <c r="A329" s="2" t="s">
        <v>128</v>
      </c>
      <c r="B329" s="2">
        <v>9817</v>
      </c>
      <c r="C329" s="2" t="s">
        <v>1641</v>
      </c>
      <c r="D329" s="2" t="s">
        <v>1642</v>
      </c>
      <c r="E329" s="4" t="s">
        <v>362</v>
      </c>
      <c r="F329" s="2" t="s">
        <v>1643</v>
      </c>
      <c r="G329" s="2" t="s">
        <v>1644</v>
      </c>
      <c r="H329" s="2" t="s">
        <v>34</v>
      </c>
      <c r="I329" s="2" t="s">
        <v>1026</v>
      </c>
      <c r="J329" s="2" t="s">
        <v>100</v>
      </c>
      <c r="K329" s="2" t="s">
        <v>331</v>
      </c>
      <c r="L329" s="2" t="s">
        <v>393</v>
      </c>
      <c r="M329" s="2" t="s">
        <v>781</v>
      </c>
      <c r="N329" s="2" t="s">
        <v>164</v>
      </c>
      <c r="O329" s="2" t="s">
        <v>105</v>
      </c>
      <c r="P329" s="152">
        <v>135</v>
      </c>
      <c r="Q329" s="150">
        <v>3.681</v>
      </c>
      <c r="R329" s="150">
        <v>12389</v>
      </c>
      <c r="T329" s="150">
        <v>61.564999999999998</v>
      </c>
      <c r="U329" s="164">
        <v>0</v>
      </c>
      <c r="V329" s="164">
        <v>6.9559812327987205E-2</v>
      </c>
      <c r="W329" s="164">
        <v>4.2440976190774901E-2</v>
      </c>
    </row>
    <row r="330" spans="1:23">
      <c r="A330" s="2" t="s">
        <v>128</v>
      </c>
      <c r="B330" s="2">
        <v>9817</v>
      </c>
      <c r="C330" s="2" t="s">
        <v>1645</v>
      </c>
      <c r="D330" s="2" t="s">
        <v>1646</v>
      </c>
      <c r="E330" s="4" t="s">
        <v>362</v>
      </c>
      <c r="F330" s="2" t="s">
        <v>1650</v>
      </c>
      <c r="G330" s="2" t="s">
        <v>1651</v>
      </c>
      <c r="H330" s="2" t="s">
        <v>368</v>
      </c>
      <c r="I330" s="2" t="s">
        <v>1026</v>
      </c>
      <c r="J330" s="2" t="s">
        <v>100</v>
      </c>
      <c r="K330" s="2" t="s">
        <v>331</v>
      </c>
      <c r="L330" s="2" t="s">
        <v>411</v>
      </c>
      <c r="M330" s="2" t="s">
        <v>781</v>
      </c>
      <c r="N330" s="2" t="s">
        <v>164</v>
      </c>
      <c r="O330" s="2" t="s">
        <v>1224</v>
      </c>
      <c r="P330" s="152">
        <v>15</v>
      </c>
      <c r="Q330" s="150">
        <v>3.9790000000000001</v>
      </c>
      <c r="R330" s="150">
        <v>11016</v>
      </c>
      <c r="T330" s="150">
        <v>6.5750000000000002</v>
      </c>
      <c r="U330" s="164">
        <v>3.0000000000000001E-6</v>
      </c>
      <c r="V330" s="164">
        <v>7.4288673337799998E-3</v>
      </c>
      <c r="W330" s="164">
        <v>4.5326226607791797E-3</v>
      </c>
    </row>
    <row r="331" spans="1:23">
      <c r="A331" s="2" t="s">
        <v>128</v>
      </c>
      <c r="B331" s="2">
        <v>9817</v>
      </c>
      <c r="C331" s="2" t="s">
        <v>1635</v>
      </c>
      <c r="D331" s="2" t="s">
        <v>1636</v>
      </c>
      <c r="E331" s="4" t="s">
        <v>362</v>
      </c>
      <c r="F331" s="2" t="s">
        <v>1678</v>
      </c>
      <c r="G331" s="2" t="s">
        <v>1679</v>
      </c>
      <c r="H331" s="2" t="s">
        <v>368</v>
      </c>
      <c r="I331" s="2" t="s">
        <v>1026</v>
      </c>
      <c r="J331" s="2" t="s">
        <v>100</v>
      </c>
      <c r="K331" s="2" t="s">
        <v>101</v>
      </c>
      <c r="L331" s="2" t="s">
        <v>391</v>
      </c>
      <c r="M331" s="2" t="s">
        <v>781</v>
      </c>
      <c r="N331" s="2" t="s">
        <v>164</v>
      </c>
      <c r="O331" s="2" t="s">
        <v>105</v>
      </c>
      <c r="P331" s="152">
        <v>65</v>
      </c>
      <c r="Q331" s="150">
        <v>3.681</v>
      </c>
      <c r="R331" s="150">
        <v>147.72999999999999</v>
      </c>
      <c r="T331" s="150">
        <v>35.347000000000001</v>
      </c>
      <c r="U331" s="164">
        <v>0</v>
      </c>
      <c r="V331" s="164">
        <v>3.9936539874911803E-2</v>
      </c>
      <c r="W331" s="164">
        <v>2.4366738224955001E-2</v>
      </c>
    </row>
    <row r="332" spans="1:23">
      <c r="A332" s="2" t="s">
        <v>128</v>
      </c>
      <c r="B332" s="2">
        <v>9817</v>
      </c>
      <c r="C332" s="2" t="s">
        <v>1658</v>
      </c>
      <c r="D332" s="2" t="s">
        <v>1659</v>
      </c>
      <c r="E332" s="4" t="s">
        <v>362</v>
      </c>
      <c r="F332" s="2" t="s">
        <v>1687</v>
      </c>
      <c r="G332" s="2" t="s">
        <v>1688</v>
      </c>
      <c r="H332" s="2" t="s">
        <v>368</v>
      </c>
      <c r="I332" s="2" t="s">
        <v>1026</v>
      </c>
      <c r="J332" s="2" t="s">
        <v>100</v>
      </c>
      <c r="K332" s="2" t="s">
        <v>101</v>
      </c>
      <c r="L332" s="2" t="s">
        <v>391</v>
      </c>
      <c r="M332" s="2" t="s">
        <v>781</v>
      </c>
      <c r="N332" s="2" t="s">
        <v>164</v>
      </c>
      <c r="O332" s="2" t="s">
        <v>105</v>
      </c>
      <c r="P332" s="152">
        <v>15</v>
      </c>
      <c r="Q332" s="150">
        <v>3.681</v>
      </c>
      <c r="R332" s="150">
        <v>5859</v>
      </c>
      <c r="T332" s="150">
        <v>3.2349999999999999</v>
      </c>
      <c r="U332" s="164">
        <v>0</v>
      </c>
      <c r="V332" s="164">
        <v>3.6551326035611999E-3</v>
      </c>
      <c r="W332" s="164">
        <v>2.2301295907817E-3</v>
      </c>
    </row>
    <row r="333" spans="1:23">
      <c r="A333" s="2" t="s">
        <v>128</v>
      </c>
      <c r="B333" s="2">
        <v>9817</v>
      </c>
      <c r="C333" s="2" t="s">
        <v>1658</v>
      </c>
      <c r="D333" s="2" t="s">
        <v>1659</v>
      </c>
      <c r="E333" s="4" t="s">
        <v>362</v>
      </c>
      <c r="F333" s="2" t="s">
        <v>1693</v>
      </c>
      <c r="G333" s="2" t="s">
        <v>1694</v>
      </c>
      <c r="H333" s="2" t="s">
        <v>368</v>
      </c>
      <c r="I333" s="2" t="s">
        <v>1026</v>
      </c>
      <c r="J333" s="2" t="s">
        <v>100</v>
      </c>
      <c r="K333" s="2" t="s">
        <v>283</v>
      </c>
      <c r="L333" s="2" t="s">
        <v>426</v>
      </c>
      <c r="M333" s="2" t="s">
        <v>781</v>
      </c>
      <c r="N333" s="2" t="s">
        <v>164</v>
      </c>
      <c r="O333" s="2" t="s">
        <v>1223</v>
      </c>
      <c r="P333" s="152">
        <v>545</v>
      </c>
      <c r="Q333" s="150">
        <v>4.6539999999999999</v>
      </c>
      <c r="R333" s="150">
        <v>777.2</v>
      </c>
      <c r="T333" s="150">
        <v>19.710999999999999</v>
      </c>
      <c r="U333" s="164">
        <v>9.9999999999999995E-7</v>
      </c>
      <c r="V333" s="164">
        <v>2.2270582436813399E-2</v>
      </c>
      <c r="W333" s="164">
        <v>1.35880938622831E-2</v>
      </c>
    </row>
    <row r="334" spans="1:23">
      <c r="A334" s="2" t="s">
        <v>128</v>
      </c>
      <c r="B334" s="2">
        <v>9817</v>
      </c>
      <c r="C334" s="2" t="s">
        <v>1658</v>
      </c>
      <c r="D334" s="2" t="s">
        <v>1659</v>
      </c>
      <c r="E334" s="4" t="s">
        <v>362</v>
      </c>
      <c r="F334" s="2" t="s">
        <v>1833</v>
      </c>
      <c r="G334" s="2" t="s">
        <v>1834</v>
      </c>
      <c r="H334" s="2" t="s">
        <v>368</v>
      </c>
      <c r="I334" s="2" t="s">
        <v>1026</v>
      </c>
      <c r="J334" s="2" t="s">
        <v>100</v>
      </c>
      <c r="K334" s="2" t="s">
        <v>1649</v>
      </c>
      <c r="L334" s="2" t="s">
        <v>393</v>
      </c>
      <c r="M334" s="2" t="s">
        <v>781</v>
      </c>
      <c r="N334" s="2" t="s">
        <v>164</v>
      </c>
      <c r="O334" s="2" t="s">
        <v>105</v>
      </c>
      <c r="P334" s="152">
        <v>21</v>
      </c>
      <c r="Q334" s="150">
        <v>3.681</v>
      </c>
      <c r="R334" s="150">
        <v>6775</v>
      </c>
      <c r="T334" s="150">
        <v>5.2370000000000001</v>
      </c>
      <c r="U334" s="164">
        <v>0</v>
      </c>
      <c r="V334" s="164">
        <v>5.9172098898750596E-3</v>
      </c>
      <c r="W334" s="164">
        <v>3.6103053709787298E-3</v>
      </c>
    </row>
    <row r="335" spans="1:23">
      <c r="A335" s="2" t="s">
        <v>128</v>
      </c>
      <c r="B335" s="2">
        <v>9817</v>
      </c>
      <c r="C335" s="2" t="s">
        <v>1658</v>
      </c>
      <c r="D335" s="2" t="s">
        <v>1659</v>
      </c>
      <c r="E335" s="4" t="s">
        <v>362</v>
      </c>
      <c r="F335" s="2" t="s">
        <v>1835</v>
      </c>
      <c r="G335" s="2" t="s">
        <v>1836</v>
      </c>
      <c r="H335" s="2" t="s">
        <v>368</v>
      </c>
      <c r="I335" s="2" t="s">
        <v>1026</v>
      </c>
      <c r="J335" s="2" t="s">
        <v>100</v>
      </c>
      <c r="K335" s="2" t="s">
        <v>346</v>
      </c>
      <c r="L335" s="2" t="s">
        <v>393</v>
      </c>
      <c r="M335" s="2" t="s">
        <v>781</v>
      </c>
      <c r="N335" s="2" t="s">
        <v>164</v>
      </c>
      <c r="O335" s="2" t="s">
        <v>105</v>
      </c>
      <c r="P335" s="152">
        <v>75</v>
      </c>
      <c r="Q335" s="150">
        <v>3.681</v>
      </c>
      <c r="R335" s="150">
        <v>5339</v>
      </c>
      <c r="T335" s="150">
        <v>14.74</v>
      </c>
      <c r="U335" s="164">
        <v>9.9999999999999995E-7</v>
      </c>
      <c r="V335" s="164">
        <v>1.6653655035341601E-2</v>
      </c>
      <c r="W335" s="164">
        <v>1.01610017794705E-2</v>
      </c>
    </row>
    <row r="336" spans="1:23">
      <c r="A336" s="2" t="s">
        <v>128</v>
      </c>
      <c r="B336" s="2">
        <v>9817</v>
      </c>
      <c r="C336" s="2" t="s">
        <v>1658</v>
      </c>
      <c r="D336" s="2" t="s">
        <v>1659</v>
      </c>
      <c r="E336" s="4" t="s">
        <v>362</v>
      </c>
      <c r="F336" s="2" t="s">
        <v>1837</v>
      </c>
      <c r="G336" s="2" t="s">
        <v>1838</v>
      </c>
      <c r="H336" s="2" t="s">
        <v>368</v>
      </c>
      <c r="I336" s="2" t="s">
        <v>1026</v>
      </c>
      <c r="J336" s="2" t="s">
        <v>100</v>
      </c>
      <c r="K336" s="2" t="s">
        <v>343</v>
      </c>
      <c r="L336" s="2" t="s">
        <v>110</v>
      </c>
      <c r="M336" s="2" t="s">
        <v>781</v>
      </c>
      <c r="N336" s="2" t="s">
        <v>164</v>
      </c>
      <c r="O336" s="2" t="s">
        <v>1224</v>
      </c>
      <c r="P336" s="152">
        <v>93</v>
      </c>
      <c r="Q336" s="150">
        <v>3.9790000000000001</v>
      </c>
      <c r="R336" s="150">
        <v>8617</v>
      </c>
      <c r="T336" s="150">
        <v>31.888000000000002</v>
      </c>
      <c r="U336" s="164">
        <v>1.9000000000000001E-5</v>
      </c>
      <c r="V336" s="164">
        <v>3.6028522953352397E-2</v>
      </c>
      <c r="W336" s="164">
        <v>2.1982314696912902E-2</v>
      </c>
    </row>
    <row r="337" spans="1:23">
      <c r="A337" s="2" t="s">
        <v>128</v>
      </c>
      <c r="B337" s="2">
        <v>9817</v>
      </c>
      <c r="C337" s="2" t="s">
        <v>1658</v>
      </c>
      <c r="D337" s="2" t="s">
        <v>1659</v>
      </c>
      <c r="E337" s="4" t="s">
        <v>362</v>
      </c>
      <c r="F337" s="2" t="s">
        <v>1718</v>
      </c>
      <c r="G337" s="2" t="s">
        <v>1719</v>
      </c>
      <c r="H337" s="2" t="s">
        <v>368</v>
      </c>
      <c r="I337" s="2" t="s">
        <v>1026</v>
      </c>
      <c r="J337" s="2" t="s">
        <v>100</v>
      </c>
      <c r="K337" s="2" t="s">
        <v>318</v>
      </c>
      <c r="L337" s="2" t="s">
        <v>393</v>
      </c>
      <c r="M337" s="2" t="s">
        <v>781</v>
      </c>
      <c r="N337" s="2" t="s">
        <v>164</v>
      </c>
      <c r="O337" s="2" t="s">
        <v>105</v>
      </c>
      <c r="P337" s="152">
        <v>19</v>
      </c>
      <c r="Q337" s="150">
        <v>3.681</v>
      </c>
      <c r="R337" s="150">
        <v>3973</v>
      </c>
      <c r="T337" s="150">
        <v>2.7789999999999999</v>
      </c>
      <c r="U337" s="164">
        <v>0</v>
      </c>
      <c r="V337" s="164">
        <v>3.1395004249305798E-3</v>
      </c>
      <c r="W337" s="164">
        <v>1.91552360948214E-3</v>
      </c>
    </row>
    <row r="338" spans="1:23">
      <c r="A338" s="2" t="s">
        <v>128</v>
      </c>
      <c r="B338" s="2">
        <v>9817</v>
      </c>
      <c r="C338" s="2" t="s">
        <v>1579</v>
      </c>
      <c r="D338" s="2" t="s">
        <v>1580</v>
      </c>
      <c r="E338" s="4" t="s">
        <v>362</v>
      </c>
      <c r="F338" s="2" t="s">
        <v>1792</v>
      </c>
      <c r="G338" s="2" t="s">
        <v>1793</v>
      </c>
      <c r="H338" s="2" t="s">
        <v>368</v>
      </c>
      <c r="I338" s="2" t="s">
        <v>1026</v>
      </c>
      <c r="J338" s="2" t="s">
        <v>100</v>
      </c>
      <c r="K338" s="2" t="s">
        <v>101</v>
      </c>
      <c r="L338" s="2" t="s">
        <v>426</v>
      </c>
      <c r="M338" s="2" t="s">
        <v>781</v>
      </c>
      <c r="N338" s="2" t="s">
        <v>164</v>
      </c>
      <c r="O338" s="2" t="s">
        <v>105</v>
      </c>
      <c r="P338" s="152">
        <v>10</v>
      </c>
      <c r="Q338" s="150">
        <v>3.681</v>
      </c>
      <c r="R338" s="150">
        <v>102524</v>
      </c>
      <c r="T338" s="150">
        <v>37.738999999999997</v>
      </c>
      <c r="U338" s="164">
        <v>1.9999999999999999E-6</v>
      </c>
      <c r="V338" s="164">
        <v>4.2639678562611201E-2</v>
      </c>
      <c r="W338" s="164">
        <v>2.6016021637970399E-2</v>
      </c>
    </row>
    <row r="339" spans="1:23">
      <c r="A339" s="2" t="s">
        <v>128</v>
      </c>
      <c r="B339" s="2">
        <v>9817</v>
      </c>
      <c r="C339" s="2" t="s">
        <v>1635</v>
      </c>
      <c r="D339" s="2" t="s">
        <v>1636</v>
      </c>
      <c r="E339" s="4" t="s">
        <v>362</v>
      </c>
      <c r="F339" s="2" t="s">
        <v>1839</v>
      </c>
      <c r="G339" s="2" t="s">
        <v>1840</v>
      </c>
      <c r="H339" s="2" t="s">
        <v>368</v>
      </c>
      <c r="I339" s="2" t="s">
        <v>1026</v>
      </c>
      <c r="J339" s="2" t="s">
        <v>100</v>
      </c>
      <c r="K339" s="2" t="s">
        <v>101</v>
      </c>
      <c r="L339" s="2" t="s">
        <v>391</v>
      </c>
      <c r="M339" s="2" t="s">
        <v>781</v>
      </c>
      <c r="N339" s="2" t="s">
        <v>164</v>
      </c>
      <c r="O339" s="2" t="s">
        <v>105</v>
      </c>
      <c r="P339" s="152">
        <v>9</v>
      </c>
      <c r="Q339" s="150">
        <v>3.681</v>
      </c>
      <c r="R339" s="150">
        <v>523.07000000000005</v>
      </c>
      <c r="S339" s="155">
        <v>0.01</v>
      </c>
      <c r="T339" s="150">
        <v>17.366</v>
      </c>
      <c r="U339" s="164">
        <v>0</v>
      </c>
      <c r="V339" s="164">
        <v>1.9621344468950801E-2</v>
      </c>
      <c r="W339" s="164">
        <v>1.19716972425281E-2</v>
      </c>
    </row>
    <row r="340" spans="1:23">
      <c r="A340" s="2" t="s">
        <v>128</v>
      </c>
      <c r="B340" s="2">
        <v>9817</v>
      </c>
      <c r="C340" s="2" t="s">
        <v>1738</v>
      </c>
      <c r="D340" s="2" t="s">
        <v>1739</v>
      </c>
      <c r="E340" s="4" t="s">
        <v>362</v>
      </c>
      <c r="F340" s="2" t="s">
        <v>1841</v>
      </c>
      <c r="G340" s="2" t="s">
        <v>1842</v>
      </c>
      <c r="H340" s="2" t="s">
        <v>368</v>
      </c>
      <c r="I340" s="2" t="s">
        <v>1026</v>
      </c>
      <c r="J340" s="2" t="s">
        <v>100</v>
      </c>
      <c r="K340" s="2" t="s">
        <v>346</v>
      </c>
      <c r="L340" s="2" t="s">
        <v>391</v>
      </c>
      <c r="M340" s="2" t="s">
        <v>781</v>
      </c>
      <c r="N340" s="2" t="s">
        <v>164</v>
      </c>
      <c r="O340" s="2" t="s">
        <v>105</v>
      </c>
      <c r="P340" s="152">
        <v>67</v>
      </c>
      <c r="Q340" s="150">
        <v>3.681</v>
      </c>
      <c r="R340" s="150">
        <v>5865</v>
      </c>
      <c r="T340" s="150">
        <v>14.465</v>
      </c>
      <c r="U340" s="164">
        <v>0</v>
      </c>
      <c r="V340" s="164">
        <v>1.63429781217772E-2</v>
      </c>
      <c r="W340" s="164">
        <v>9.9714464737511704E-3</v>
      </c>
    </row>
    <row r="341" spans="1:23">
      <c r="A341" s="2" t="s">
        <v>128</v>
      </c>
      <c r="B341" s="2">
        <v>9817</v>
      </c>
      <c r="C341" s="2" t="s">
        <v>1738</v>
      </c>
      <c r="D341" s="2" t="s">
        <v>1739</v>
      </c>
      <c r="E341" s="4" t="s">
        <v>362</v>
      </c>
      <c r="F341" s="2" t="s">
        <v>1794</v>
      </c>
      <c r="G341" s="2" t="s">
        <v>1795</v>
      </c>
      <c r="H341" s="2" t="s">
        <v>368</v>
      </c>
      <c r="I341" s="2" t="s">
        <v>1026</v>
      </c>
      <c r="J341" s="2" t="s">
        <v>100</v>
      </c>
      <c r="K341" s="2" t="s">
        <v>101</v>
      </c>
      <c r="L341" s="2" t="s">
        <v>391</v>
      </c>
      <c r="M341" s="2" t="s">
        <v>781</v>
      </c>
      <c r="N341" s="2" t="s">
        <v>164</v>
      </c>
      <c r="O341" s="2" t="s">
        <v>105</v>
      </c>
      <c r="P341" s="152">
        <v>14</v>
      </c>
      <c r="Q341" s="150">
        <v>3.681</v>
      </c>
      <c r="R341" s="150">
        <v>480.7</v>
      </c>
      <c r="T341" s="150">
        <v>24.771999999999998</v>
      </c>
      <c r="U341" s="164">
        <v>0</v>
      </c>
      <c r="V341" s="164">
        <v>2.7989203385613198E-2</v>
      </c>
      <c r="W341" s="164">
        <v>1.7077232883930898E-2</v>
      </c>
    </row>
    <row r="342" spans="1:23">
      <c r="A342" s="2" t="s">
        <v>128</v>
      </c>
      <c r="B342" s="2">
        <v>9817</v>
      </c>
      <c r="C342" s="2" t="s">
        <v>1742</v>
      </c>
      <c r="D342" s="2" t="s">
        <v>1743</v>
      </c>
      <c r="E342" s="4" t="s">
        <v>362</v>
      </c>
      <c r="F342" s="2" t="s">
        <v>1744</v>
      </c>
      <c r="G342" s="2" t="s">
        <v>1745</v>
      </c>
      <c r="H342" s="2" t="s">
        <v>368</v>
      </c>
      <c r="I342" s="2" t="s">
        <v>1026</v>
      </c>
      <c r="J342" s="2" t="s">
        <v>100</v>
      </c>
      <c r="K342" s="2" t="s">
        <v>346</v>
      </c>
      <c r="L342" s="2" t="s">
        <v>391</v>
      </c>
      <c r="M342" s="2" t="s">
        <v>781</v>
      </c>
      <c r="N342" s="2" t="s">
        <v>164</v>
      </c>
      <c r="O342" s="2" t="s">
        <v>105</v>
      </c>
      <c r="P342" s="152">
        <v>398</v>
      </c>
      <c r="Q342" s="150">
        <v>3.681</v>
      </c>
      <c r="R342" s="150">
        <v>2946</v>
      </c>
      <c r="T342" s="150">
        <v>43.16</v>
      </c>
      <c r="U342" s="164">
        <v>5.0000000000000004E-6</v>
      </c>
      <c r="V342" s="164">
        <v>4.8764547064189902E-2</v>
      </c>
      <c r="W342" s="164">
        <v>2.9753027094820101E-2</v>
      </c>
    </row>
    <row r="343" spans="1:23">
      <c r="A343" s="2" t="s">
        <v>144</v>
      </c>
      <c r="B343" s="2">
        <v>969</v>
      </c>
      <c r="C343" s="2" t="s">
        <v>1607</v>
      </c>
      <c r="D343" s="2" t="s">
        <v>1608</v>
      </c>
      <c r="E343" s="4" t="s">
        <v>1380</v>
      </c>
      <c r="F343" s="2" t="s">
        <v>1621</v>
      </c>
      <c r="G343" s="2" t="s">
        <v>1622</v>
      </c>
      <c r="H343" s="2" t="s">
        <v>368</v>
      </c>
      <c r="I343" s="2" t="s">
        <v>1026</v>
      </c>
      <c r="J343" s="2" t="s">
        <v>31</v>
      </c>
      <c r="K343" s="2" t="s">
        <v>101</v>
      </c>
      <c r="L343" s="2" t="s">
        <v>32</v>
      </c>
      <c r="M343" s="2" t="s">
        <v>1614</v>
      </c>
      <c r="N343" s="2" t="s">
        <v>164</v>
      </c>
      <c r="O343" s="2" t="s">
        <v>35</v>
      </c>
      <c r="P343" s="152">
        <v>7424</v>
      </c>
      <c r="Q343" s="150">
        <v>1</v>
      </c>
      <c r="R343" s="150">
        <v>8701</v>
      </c>
      <c r="T343" s="150">
        <v>645.96199999999999</v>
      </c>
      <c r="U343" s="164">
        <v>1.9710000000000001E-3</v>
      </c>
      <c r="V343" s="164">
        <v>2.9994486295299098E-2</v>
      </c>
      <c r="W343" s="164">
        <v>8.7949064162743795E-3</v>
      </c>
    </row>
    <row r="344" spans="1:23">
      <c r="A344" s="2" t="s">
        <v>144</v>
      </c>
      <c r="B344" s="2">
        <v>969</v>
      </c>
      <c r="C344" s="2" t="s">
        <v>1623</v>
      </c>
      <c r="D344" s="2" t="s">
        <v>1624</v>
      </c>
      <c r="E344" s="4" t="s">
        <v>1380</v>
      </c>
      <c r="F344" s="2" t="s">
        <v>1823</v>
      </c>
      <c r="G344" s="2" t="s">
        <v>1824</v>
      </c>
      <c r="H344" s="2" t="s">
        <v>368</v>
      </c>
      <c r="I344" s="2" t="s">
        <v>1027</v>
      </c>
      <c r="J344" s="2" t="s">
        <v>31</v>
      </c>
      <c r="K344" s="2" t="s">
        <v>31</v>
      </c>
      <c r="L344" s="2" t="s">
        <v>32</v>
      </c>
      <c r="M344" s="2" t="s">
        <v>1802</v>
      </c>
      <c r="N344" s="2" t="s">
        <v>164</v>
      </c>
      <c r="O344" s="2" t="s">
        <v>35</v>
      </c>
      <c r="P344" s="152">
        <v>481259</v>
      </c>
      <c r="Q344" s="150">
        <v>1</v>
      </c>
      <c r="R344" s="150">
        <v>357.86</v>
      </c>
      <c r="T344" s="150">
        <v>1722.2329999999999</v>
      </c>
      <c r="U344" s="164">
        <v>1.5579999999999999E-3</v>
      </c>
      <c r="V344" s="164">
        <v>7.9969856806629797E-2</v>
      </c>
      <c r="W344" s="164">
        <v>2.3448556505113499E-2</v>
      </c>
    </row>
    <row r="345" spans="1:23">
      <c r="A345" s="2" t="s">
        <v>144</v>
      </c>
      <c r="B345" s="2">
        <v>969</v>
      </c>
      <c r="C345" s="2" t="s">
        <v>1607</v>
      </c>
      <c r="D345" s="2" t="s">
        <v>1608</v>
      </c>
      <c r="E345" s="4" t="s">
        <v>1380</v>
      </c>
      <c r="F345" s="2" t="s">
        <v>1633</v>
      </c>
      <c r="G345" s="2" t="s">
        <v>1634</v>
      </c>
      <c r="H345" s="2" t="s">
        <v>368</v>
      </c>
      <c r="I345" s="2" t="s">
        <v>1026</v>
      </c>
      <c r="J345" s="2" t="s">
        <v>31</v>
      </c>
      <c r="K345" s="2" t="s">
        <v>101</v>
      </c>
      <c r="L345" s="2" t="s">
        <v>32</v>
      </c>
      <c r="M345" s="2" t="s">
        <v>1614</v>
      </c>
      <c r="N345" s="2" t="s">
        <v>164</v>
      </c>
      <c r="O345" s="2" t="s">
        <v>35</v>
      </c>
      <c r="P345" s="152">
        <v>4783</v>
      </c>
      <c r="Q345" s="150">
        <v>1</v>
      </c>
      <c r="R345" s="150">
        <v>3141</v>
      </c>
      <c r="T345" s="150">
        <v>150.23400000000001</v>
      </c>
      <c r="U345" s="164">
        <v>2.3900000000000001E-4</v>
      </c>
      <c r="V345" s="164">
        <v>6.9759380268458798E-3</v>
      </c>
      <c r="W345" s="164">
        <v>2.0454666737017898E-3</v>
      </c>
    </row>
    <row r="346" spans="1:23">
      <c r="A346" s="2" t="s">
        <v>144</v>
      </c>
      <c r="B346" s="2">
        <v>969</v>
      </c>
      <c r="C346" s="2" t="s">
        <v>1752</v>
      </c>
      <c r="D346" s="2" t="s">
        <v>1753</v>
      </c>
      <c r="E346" s="4" t="s">
        <v>1380</v>
      </c>
      <c r="F346" s="2" t="s">
        <v>1764</v>
      </c>
      <c r="G346" s="2" t="s">
        <v>1765</v>
      </c>
      <c r="H346" s="2" t="s">
        <v>368</v>
      </c>
      <c r="I346" s="2" t="s">
        <v>1026</v>
      </c>
      <c r="J346" s="2" t="s">
        <v>31</v>
      </c>
      <c r="K346" s="2" t="s">
        <v>101</v>
      </c>
      <c r="L346" s="2" t="s">
        <v>32</v>
      </c>
      <c r="M346" s="2" t="s">
        <v>1614</v>
      </c>
      <c r="N346" s="2" t="s">
        <v>164</v>
      </c>
      <c r="O346" s="2" t="s">
        <v>35</v>
      </c>
      <c r="P346" s="152">
        <v>2440</v>
      </c>
      <c r="Q346" s="150">
        <v>1</v>
      </c>
      <c r="R346" s="150">
        <v>21080</v>
      </c>
      <c r="T346" s="150">
        <v>514.35199999999998</v>
      </c>
      <c r="U346" s="164">
        <v>1.56E-4</v>
      </c>
      <c r="V346" s="164">
        <v>2.38833217479704E-2</v>
      </c>
      <c r="W346" s="164">
        <v>7.00300640641713E-3</v>
      </c>
    </row>
    <row r="347" spans="1:23">
      <c r="A347" s="2" t="s">
        <v>144</v>
      </c>
      <c r="B347" s="2">
        <v>969</v>
      </c>
      <c r="C347" s="2" t="s">
        <v>1635</v>
      </c>
      <c r="D347" s="2" t="s">
        <v>1636</v>
      </c>
      <c r="E347" s="4" t="s">
        <v>362</v>
      </c>
      <c r="F347" s="2" t="s">
        <v>1637</v>
      </c>
      <c r="G347" s="2" t="s">
        <v>1638</v>
      </c>
      <c r="H347" s="2" t="s">
        <v>368</v>
      </c>
      <c r="I347" s="2" t="s">
        <v>1026</v>
      </c>
      <c r="J347" s="2" t="s">
        <v>100</v>
      </c>
      <c r="K347" s="2" t="s">
        <v>101</v>
      </c>
      <c r="L347" s="2" t="s">
        <v>391</v>
      </c>
      <c r="M347" s="2" t="s">
        <v>781</v>
      </c>
      <c r="N347" s="2" t="s">
        <v>164</v>
      </c>
      <c r="O347" s="2" t="s">
        <v>105</v>
      </c>
      <c r="P347" s="152">
        <v>1107</v>
      </c>
      <c r="Q347" s="150">
        <v>3.681</v>
      </c>
      <c r="R347" s="150">
        <v>65.650000000000006</v>
      </c>
      <c r="T347" s="150">
        <v>267.51499999999999</v>
      </c>
      <c r="U347" s="164">
        <v>5.0000000000000004E-6</v>
      </c>
      <c r="V347" s="164">
        <v>1.24217408709287E-2</v>
      </c>
      <c r="W347" s="164">
        <v>3.6422710297975901E-3</v>
      </c>
    </row>
    <row r="348" spans="1:23">
      <c r="A348" s="2" t="s">
        <v>144</v>
      </c>
      <c r="B348" s="2">
        <v>969</v>
      </c>
      <c r="C348" s="2" t="s">
        <v>1579</v>
      </c>
      <c r="D348" s="2" t="s">
        <v>1580</v>
      </c>
      <c r="E348" s="4" t="s">
        <v>362</v>
      </c>
      <c r="F348" s="2" t="s">
        <v>1639</v>
      </c>
      <c r="G348" s="2" t="s">
        <v>1640</v>
      </c>
      <c r="H348" s="2" t="s">
        <v>368</v>
      </c>
      <c r="I348" s="2" t="s">
        <v>1026</v>
      </c>
      <c r="J348" s="2" t="s">
        <v>100</v>
      </c>
      <c r="K348" s="2" t="s">
        <v>101</v>
      </c>
      <c r="L348" s="2" t="s">
        <v>391</v>
      </c>
      <c r="M348" s="2" t="s">
        <v>781</v>
      </c>
      <c r="N348" s="2" t="s">
        <v>164</v>
      </c>
      <c r="O348" s="2" t="s">
        <v>105</v>
      </c>
      <c r="P348" s="152">
        <v>587</v>
      </c>
      <c r="Q348" s="150">
        <v>3.681</v>
      </c>
      <c r="R348" s="150">
        <v>10157</v>
      </c>
      <c r="T348" s="150">
        <v>219.46700000000001</v>
      </c>
      <c r="U348" s="164">
        <v>3.0000000000000001E-5</v>
      </c>
      <c r="V348" s="164">
        <v>1.0190691807417499E-2</v>
      </c>
      <c r="W348" s="164">
        <v>2.9880885400386998E-3</v>
      </c>
    </row>
    <row r="349" spans="1:23">
      <c r="A349" s="2" t="s">
        <v>144</v>
      </c>
      <c r="B349" s="2">
        <v>969</v>
      </c>
      <c r="C349" s="2" t="s">
        <v>1645</v>
      </c>
      <c r="D349" s="2" t="s">
        <v>1646</v>
      </c>
      <c r="E349" s="4" t="s">
        <v>362</v>
      </c>
      <c r="F349" s="2" t="s">
        <v>1650</v>
      </c>
      <c r="G349" s="2" t="s">
        <v>1651</v>
      </c>
      <c r="H349" s="2" t="s">
        <v>368</v>
      </c>
      <c r="I349" s="2" t="s">
        <v>1026</v>
      </c>
      <c r="J349" s="2" t="s">
        <v>100</v>
      </c>
      <c r="K349" s="2" t="s">
        <v>331</v>
      </c>
      <c r="L349" s="2" t="s">
        <v>411</v>
      </c>
      <c r="M349" s="2" t="s">
        <v>781</v>
      </c>
      <c r="N349" s="2" t="s">
        <v>164</v>
      </c>
      <c r="O349" s="2" t="s">
        <v>1224</v>
      </c>
      <c r="P349" s="152">
        <v>1130</v>
      </c>
      <c r="Q349" s="150">
        <v>3.9790000000000001</v>
      </c>
      <c r="R349" s="150">
        <v>11016</v>
      </c>
      <c r="T349" s="150">
        <v>495.322</v>
      </c>
      <c r="U349" s="164">
        <v>2.2499999999999999E-4</v>
      </c>
      <c r="V349" s="164">
        <v>2.2999665555736199E-2</v>
      </c>
      <c r="W349" s="164">
        <v>6.7439030019331402E-3</v>
      </c>
    </row>
    <row r="350" spans="1:23">
      <c r="A350" s="2" t="s">
        <v>144</v>
      </c>
      <c r="B350" s="2">
        <v>969</v>
      </c>
      <c r="C350" s="2" t="s">
        <v>1645</v>
      </c>
      <c r="D350" s="2" t="s">
        <v>1646</v>
      </c>
      <c r="E350" s="4" t="s">
        <v>362</v>
      </c>
      <c r="F350" s="2" t="s">
        <v>1652</v>
      </c>
      <c r="G350" s="2" t="s">
        <v>1653</v>
      </c>
      <c r="H350" s="2" t="s">
        <v>368</v>
      </c>
      <c r="I350" s="2" t="s">
        <v>1026</v>
      </c>
      <c r="J350" s="2" t="s">
        <v>100</v>
      </c>
      <c r="K350" s="2" t="s">
        <v>101</v>
      </c>
      <c r="L350" s="2" t="s">
        <v>426</v>
      </c>
      <c r="M350" s="2" t="s">
        <v>781</v>
      </c>
      <c r="N350" s="2" t="s">
        <v>164</v>
      </c>
      <c r="O350" s="2" t="s">
        <v>105</v>
      </c>
      <c r="P350" s="152">
        <v>1579</v>
      </c>
      <c r="Q350" s="150">
        <v>3.681</v>
      </c>
      <c r="R350" s="150">
        <v>9308</v>
      </c>
      <c r="T350" s="150">
        <v>541.00900000000001</v>
      </c>
      <c r="U350" s="164">
        <v>0</v>
      </c>
      <c r="V350" s="164">
        <v>2.51210980457406E-2</v>
      </c>
      <c r="W350" s="164">
        <v>7.3659440008802301E-3</v>
      </c>
    </row>
    <row r="351" spans="1:23">
      <c r="A351" s="2" t="s">
        <v>144</v>
      </c>
      <c r="B351" s="2">
        <v>969</v>
      </c>
      <c r="C351" s="2" t="s">
        <v>1635</v>
      </c>
      <c r="D351" s="2" t="s">
        <v>1636</v>
      </c>
      <c r="E351" s="4" t="s">
        <v>362</v>
      </c>
      <c r="F351" s="2" t="s">
        <v>1656</v>
      </c>
      <c r="G351" s="2" t="s">
        <v>1657</v>
      </c>
      <c r="H351" s="2" t="s">
        <v>368</v>
      </c>
      <c r="I351" s="2" t="s">
        <v>1026</v>
      </c>
      <c r="J351" s="2" t="s">
        <v>100</v>
      </c>
      <c r="K351" s="2" t="s">
        <v>101</v>
      </c>
      <c r="L351" s="2" t="s">
        <v>391</v>
      </c>
      <c r="M351" s="2" t="s">
        <v>781</v>
      </c>
      <c r="N351" s="2" t="s">
        <v>164</v>
      </c>
      <c r="O351" s="2" t="s">
        <v>105</v>
      </c>
      <c r="P351" s="152">
        <v>200</v>
      </c>
      <c r="Q351" s="150">
        <v>3.681</v>
      </c>
      <c r="R351" s="150">
        <v>183.89</v>
      </c>
      <c r="T351" s="150">
        <v>135.38</v>
      </c>
      <c r="U351" s="164">
        <v>1.9999999999999999E-6</v>
      </c>
      <c r="V351" s="164">
        <v>6.2862004064836398E-3</v>
      </c>
      <c r="W351" s="164">
        <v>1.8432235759821801E-3</v>
      </c>
    </row>
    <row r="352" spans="1:23">
      <c r="A352" s="2" t="s">
        <v>144</v>
      </c>
      <c r="B352" s="2">
        <v>969</v>
      </c>
      <c r="C352" s="2" t="s">
        <v>1658</v>
      </c>
      <c r="D352" s="2" t="s">
        <v>1659</v>
      </c>
      <c r="E352" s="4" t="s">
        <v>362</v>
      </c>
      <c r="F352" s="2" t="s">
        <v>1660</v>
      </c>
      <c r="G352" s="2" t="s">
        <v>1661</v>
      </c>
      <c r="H352" s="2" t="s">
        <v>368</v>
      </c>
      <c r="I352" s="2" t="s">
        <v>1026</v>
      </c>
      <c r="J352" s="2" t="s">
        <v>100</v>
      </c>
      <c r="K352" s="2" t="s">
        <v>101</v>
      </c>
      <c r="L352" s="2" t="s">
        <v>391</v>
      </c>
      <c r="M352" s="2" t="s">
        <v>781</v>
      </c>
      <c r="N352" s="2" t="s">
        <v>164</v>
      </c>
      <c r="O352" s="2" t="s">
        <v>105</v>
      </c>
      <c r="P352" s="152">
        <v>1125</v>
      </c>
      <c r="Q352" s="150">
        <v>3.681</v>
      </c>
      <c r="R352" s="150">
        <v>5454</v>
      </c>
      <c r="T352" s="150">
        <v>225.857</v>
      </c>
      <c r="U352" s="164">
        <v>1.9699999999999999E-4</v>
      </c>
      <c r="V352" s="164">
        <v>1.04873984838985E-2</v>
      </c>
      <c r="W352" s="164">
        <v>3.0750881114613802E-3</v>
      </c>
    </row>
    <row r="353" spans="1:23">
      <c r="A353" s="2" t="s">
        <v>144</v>
      </c>
      <c r="B353" s="2">
        <v>969</v>
      </c>
      <c r="C353" s="2" t="s">
        <v>1635</v>
      </c>
      <c r="D353" s="2" t="s">
        <v>1636</v>
      </c>
      <c r="E353" s="4" t="s">
        <v>362</v>
      </c>
      <c r="F353" s="2" t="s">
        <v>1662</v>
      </c>
      <c r="G353" s="2" t="s">
        <v>1663</v>
      </c>
      <c r="H353" s="2" t="s">
        <v>368</v>
      </c>
      <c r="I353" s="2" t="s">
        <v>1026</v>
      </c>
      <c r="J353" s="2" t="s">
        <v>100</v>
      </c>
      <c r="K353" s="2" t="s">
        <v>101</v>
      </c>
      <c r="L353" s="2" t="s">
        <v>391</v>
      </c>
      <c r="M353" s="2" t="s">
        <v>781</v>
      </c>
      <c r="N353" s="2" t="s">
        <v>164</v>
      </c>
      <c r="O353" s="2" t="s">
        <v>105</v>
      </c>
      <c r="P353" s="152">
        <v>10594</v>
      </c>
      <c r="Q353" s="150">
        <v>3.681</v>
      </c>
      <c r="R353" s="150">
        <v>42.12</v>
      </c>
      <c r="T353" s="150">
        <v>1642.5329999999999</v>
      </c>
      <c r="U353" s="164">
        <v>1.2E-5</v>
      </c>
      <c r="V353" s="164">
        <v>7.6269068990071104E-2</v>
      </c>
      <c r="W353" s="164">
        <v>2.2363420984115302E-2</v>
      </c>
    </row>
    <row r="354" spans="1:23">
      <c r="A354" s="2" t="s">
        <v>144</v>
      </c>
      <c r="B354" s="2">
        <v>969</v>
      </c>
      <c r="C354" s="2" t="s">
        <v>1664</v>
      </c>
      <c r="D354" s="2" t="s">
        <v>1665</v>
      </c>
      <c r="E354" s="4" t="s">
        <v>362</v>
      </c>
      <c r="F354" s="2" t="s">
        <v>1668</v>
      </c>
      <c r="G354" s="2" t="s">
        <v>1669</v>
      </c>
      <c r="H354" s="2" t="s">
        <v>368</v>
      </c>
      <c r="I354" s="2" t="s">
        <v>1026</v>
      </c>
      <c r="J354" s="2" t="s">
        <v>100</v>
      </c>
      <c r="K354" s="2" t="s">
        <v>346</v>
      </c>
      <c r="L354" s="2" t="s">
        <v>393</v>
      </c>
      <c r="M354" s="2" t="s">
        <v>781</v>
      </c>
      <c r="N354" s="2" t="s">
        <v>164</v>
      </c>
      <c r="O354" s="2" t="s">
        <v>105</v>
      </c>
      <c r="P354" s="152">
        <v>853</v>
      </c>
      <c r="Q354" s="150">
        <v>3.681</v>
      </c>
      <c r="R354" s="150">
        <v>11461</v>
      </c>
      <c r="T354" s="150">
        <v>359.863</v>
      </c>
      <c r="U354" s="164">
        <v>1.1900000000000001E-4</v>
      </c>
      <c r="V354" s="164">
        <v>1.6709815612180899E-2</v>
      </c>
      <c r="W354" s="164">
        <v>4.8996093180420303E-3</v>
      </c>
    </row>
    <row r="355" spans="1:23">
      <c r="A355" s="2" t="s">
        <v>144</v>
      </c>
      <c r="B355" s="2">
        <v>969</v>
      </c>
      <c r="C355" s="2" t="s">
        <v>1670</v>
      </c>
      <c r="D355" s="2" t="s">
        <v>1671</v>
      </c>
      <c r="E355" s="4" t="s">
        <v>362</v>
      </c>
      <c r="F355" s="2" t="s">
        <v>1672</v>
      </c>
      <c r="G355" s="2" t="s">
        <v>1673</v>
      </c>
      <c r="H355" s="2" t="s">
        <v>368</v>
      </c>
      <c r="I355" s="2" t="s">
        <v>1026</v>
      </c>
      <c r="J355" s="2" t="s">
        <v>100</v>
      </c>
      <c r="K355" s="2" t="s">
        <v>101</v>
      </c>
      <c r="L355" s="2" t="s">
        <v>391</v>
      </c>
      <c r="M355" s="2" t="s">
        <v>781</v>
      </c>
      <c r="N355" s="2" t="s">
        <v>164</v>
      </c>
      <c r="O355" s="2" t="s">
        <v>105</v>
      </c>
      <c r="P355" s="152">
        <v>957</v>
      </c>
      <c r="Q355" s="150">
        <v>3.681</v>
      </c>
      <c r="R355" s="150">
        <v>3162</v>
      </c>
      <c r="T355" s="150">
        <v>111.38800000000001</v>
      </c>
      <c r="U355" s="164">
        <v>1.9999999999999999E-6</v>
      </c>
      <c r="V355" s="164">
        <v>5.1721834142240703E-3</v>
      </c>
      <c r="W355" s="164">
        <v>1.51657436797098E-3</v>
      </c>
    </row>
    <row r="356" spans="1:23">
      <c r="A356" s="2" t="s">
        <v>144</v>
      </c>
      <c r="B356" s="2">
        <v>969</v>
      </c>
      <c r="C356" s="2" t="s">
        <v>1674</v>
      </c>
      <c r="D356" s="2" t="s">
        <v>1675</v>
      </c>
      <c r="E356" s="4" t="s">
        <v>362</v>
      </c>
      <c r="F356" s="2" t="s">
        <v>1676</v>
      </c>
      <c r="G356" s="2" t="s">
        <v>1677</v>
      </c>
      <c r="H356" s="2" t="s">
        <v>368</v>
      </c>
      <c r="I356" s="2" t="s">
        <v>1026</v>
      </c>
      <c r="J356" s="2" t="s">
        <v>100</v>
      </c>
      <c r="K356" s="2" t="s">
        <v>339</v>
      </c>
      <c r="L356" s="2" t="s">
        <v>391</v>
      </c>
      <c r="M356" s="2" t="s">
        <v>781</v>
      </c>
      <c r="N356" s="2" t="s">
        <v>164</v>
      </c>
      <c r="O356" s="2" t="s">
        <v>105</v>
      </c>
      <c r="P356" s="152">
        <v>1776</v>
      </c>
      <c r="Q356" s="150">
        <v>3.681</v>
      </c>
      <c r="R356" s="150">
        <v>3981</v>
      </c>
      <c r="T356" s="150">
        <v>260.25599999999997</v>
      </c>
      <c r="U356" s="164">
        <v>1.2E-5</v>
      </c>
      <c r="V356" s="164">
        <v>1.20846827291161E-2</v>
      </c>
      <c r="W356" s="164">
        <v>3.5434397051034498E-3</v>
      </c>
    </row>
    <row r="357" spans="1:23">
      <c r="A357" s="2" t="s">
        <v>144</v>
      </c>
      <c r="B357" s="2">
        <v>969</v>
      </c>
      <c r="C357" s="2" t="s">
        <v>1635</v>
      </c>
      <c r="D357" s="2" t="s">
        <v>1636</v>
      </c>
      <c r="E357" s="4" t="s">
        <v>362</v>
      </c>
      <c r="F357" s="2" t="s">
        <v>1678</v>
      </c>
      <c r="G357" s="2" t="s">
        <v>1679</v>
      </c>
      <c r="H357" s="2" t="s">
        <v>368</v>
      </c>
      <c r="I357" s="2" t="s">
        <v>1026</v>
      </c>
      <c r="J357" s="2" t="s">
        <v>100</v>
      </c>
      <c r="K357" s="2" t="s">
        <v>101</v>
      </c>
      <c r="L357" s="2" t="s">
        <v>391</v>
      </c>
      <c r="M357" s="2" t="s">
        <v>781</v>
      </c>
      <c r="N357" s="2" t="s">
        <v>164</v>
      </c>
      <c r="O357" s="2" t="s">
        <v>105</v>
      </c>
      <c r="P357" s="152">
        <v>2262</v>
      </c>
      <c r="Q357" s="150">
        <v>3.681</v>
      </c>
      <c r="R357" s="150">
        <v>147.72999999999999</v>
      </c>
      <c r="T357" s="150">
        <v>1230.0619999999999</v>
      </c>
      <c r="U357" s="164">
        <v>7.9999999999999996E-6</v>
      </c>
      <c r="V357" s="164">
        <v>5.7116477058151899E-2</v>
      </c>
      <c r="W357" s="164">
        <v>1.6747547052754799E-2</v>
      </c>
    </row>
    <row r="358" spans="1:23">
      <c r="A358" s="2" t="s">
        <v>144</v>
      </c>
      <c r="B358" s="2">
        <v>969</v>
      </c>
      <c r="C358" s="2" t="s">
        <v>1680</v>
      </c>
      <c r="D358" s="2" t="s">
        <v>1681</v>
      </c>
      <c r="E358" s="4" t="s">
        <v>362</v>
      </c>
      <c r="F358" s="2" t="s">
        <v>1682</v>
      </c>
      <c r="G358" s="2" t="s">
        <v>1683</v>
      </c>
      <c r="H358" s="2" t="s">
        <v>368</v>
      </c>
      <c r="I358" s="2" t="s">
        <v>1026</v>
      </c>
      <c r="J358" s="2" t="s">
        <v>100</v>
      </c>
      <c r="K358" s="2" t="s">
        <v>332</v>
      </c>
      <c r="L358" s="2" t="s">
        <v>1684</v>
      </c>
      <c r="M358" s="2" t="s">
        <v>781</v>
      </c>
      <c r="N358" s="2" t="s">
        <v>164</v>
      </c>
      <c r="O358" s="2" t="s">
        <v>1221</v>
      </c>
      <c r="P358" s="152">
        <v>880</v>
      </c>
      <c r="Q358" s="150">
        <v>2.7120000000000002</v>
      </c>
      <c r="R358" s="150">
        <v>5675</v>
      </c>
      <c r="T358" s="150">
        <v>135.447</v>
      </c>
      <c r="U358" s="164">
        <v>1.2E-5</v>
      </c>
      <c r="V358" s="164">
        <v>6.2893323667985602E-3</v>
      </c>
      <c r="W358" s="164">
        <v>1.84414192136066E-3</v>
      </c>
    </row>
    <row r="359" spans="1:23">
      <c r="A359" s="2" t="s">
        <v>144</v>
      </c>
      <c r="B359" s="2">
        <v>969</v>
      </c>
      <c r="C359" s="2" t="s">
        <v>1658</v>
      </c>
      <c r="D359" s="2" t="s">
        <v>1659</v>
      </c>
      <c r="E359" s="4" t="s">
        <v>362</v>
      </c>
      <c r="F359" s="2" t="s">
        <v>1685</v>
      </c>
      <c r="G359" s="2" t="s">
        <v>1686</v>
      </c>
      <c r="H359" s="2" t="s">
        <v>368</v>
      </c>
      <c r="I359" s="2" t="s">
        <v>1028</v>
      </c>
      <c r="J359" s="2" t="s">
        <v>100</v>
      </c>
      <c r="K359" s="2" t="s">
        <v>1649</v>
      </c>
      <c r="L359" s="2" t="s">
        <v>426</v>
      </c>
      <c r="M359" s="2" t="s">
        <v>778</v>
      </c>
      <c r="N359" s="2" t="s">
        <v>164</v>
      </c>
      <c r="O359" s="2" t="s">
        <v>105</v>
      </c>
      <c r="P359" s="152">
        <v>2091</v>
      </c>
      <c r="Q359" s="150">
        <v>3.681</v>
      </c>
      <c r="R359" s="150">
        <v>44.09</v>
      </c>
      <c r="T359" s="150">
        <v>339.35899999999998</v>
      </c>
      <c r="U359" s="164">
        <v>0</v>
      </c>
      <c r="V359" s="164">
        <v>1.5757751434352499E-2</v>
      </c>
      <c r="W359" s="164">
        <v>4.6204474993046998E-3</v>
      </c>
    </row>
    <row r="360" spans="1:23">
      <c r="A360" s="2" t="s">
        <v>144</v>
      </c>
      <c r="B360" s="2">
        <v>969</v>
      </c>
      <c r="C360" s="2" t="s">
        <v>1658</v>
      </c>
      <c r="D360" s="2" t="s">
        <v>1659</v>
      </c>
      <c r="E360" s="4" t="s">
        <v>362</v>
      </c>
      <c r="F360" s="2" t="s">
        <v>1687</v>
      </c>
      <c r="G360" s="2" t="s">
        <v>1688</v>
      </c>
      <c r="H360" s="2" t="s">
        <v>368</v>
      </c>
      <c r="I360" s="2" t="s">
        <v>1026</v>
      </c>
      <c r="J360" s="2" t="s">
        <v>100</v>
      </c>
      <c r="K360" s="2" t="s">
        <v>101</v>
      </c>
      <c r="L360" s="2" t="s">
        <v>391</v>
      </c>
      <c r="M360" s="2" t="s">
        <v>781</v>
      </c>
      <c r="N360" s="2" t="s">
        <v>164</v>
      </c>
      <c r="O360" s="2" t="s">
        <v>105</v>
      </c>
      <c r="P360" s="152">
        <v>848</v>
      </c>
      <c r="Q360" s="150">
        <v>3.681</v>
      </c>
      <c r="R360" s="150">
        <v>5859</v>
      </c>
      <c r="T360" s="150">
        <v>182.88800000000001</v>
      </c>
      <c r="U360" s="164">
        <v>6.9999999999999999E-6</v>
      </c>
      <c r="V360" s="164">
        <v>8.4921853439518993E-3</v>
      </c>
      <c r="W360" s="164">
        <v>2.4900568269248702E-3</v>
      </c>
    </row>
    <row r="361" spans="1:23">
      <c r="A361" s="2" t="s">
        <v>144</v>
      </c>
      <c r="B361" s="2">
        <v>969</v>
      </c>
      <c r="C361" s="2" t="s">
        <v>1635</v>
      </c>
      <c r="D361" s="2" t="s">
        <v>1636</v>
      </c>
      <c r="E361" s="4" t="s">
        <v>362</v>
      </c>
      <c r="F361" s="2" t="s">
        <v>1689</v>
      </c>
      <c r="G361" s="2" t="s">
        <v>1690</v>
      </c>
      <c r="H361" s="2" t="s">
        <v>368</v>
      </c>
      <c r="I361" s="2" t="s">
        <v>1026</v>
      </c>
      <c r="J361" s="2" t="s">
        <v>100</v>
      </c>
      <c r="K361" s="2" t="s">
        <v>101</v>
      </c>
      <c r="L361" s="2" t="s">
        <v>391</v>
      </c>
      <c r="M361" s="2" t="s">
        <v>781</v>
      </c>
      <c r="N361" s="2" t="s">
        <v>164</v>
      </c>
      <c r="O361" s="2" t="s">
        <v>105</v>
      </c>
      <c r="P361" s="152">
        <v>1213</v>
      </c>
      <c r="Q361" s="150">
        <v>3.681</v>
      </c>
      <c r="R361" s="150">
        <v>125.96</v>
      </c>
      <c r="T361" s="150">
        <v>562.41800000000001</v>
      </c>
      <c r="U361" s="164">
        <v>9.0000000000000002E-6</v>
      </c>
      <c r="V361" s="164">
        <v>2.6115212661983401E-2</v>
      </c>
      <c r="W361" s="164">
        <v>7.6574357414230703E-3</v>
      </c>
    </row>
    <row r="362" spans="1:23">
      <c r="A362" s="2" t="s">
        <v>144</v>
      </c>
      <c r="B362" s="2">
        <v>969</v>
      </c>
      <c r="C362" s="2" t="s">
        <v>1575</v>
      </c>
      <c r="D362" s="2" t="s">
        <v>1576</v>
      </c>
      <c r="E362" s="4" t="s">
        <v>362</v>
      </c>
      <c r="F362" s="2" t="s">
        <v>1691</v>
      </c>
      <c r="G362" s="2" t="s">
        <v>1692</v>
      </c>
      <c r="H362" s="2" t="s">
        <v>368</v>
      </c>
      <c r="I362" s="2" t="s">
        <v>1028</v>
      </c>
      <c r="J362" s="2" t="s">
        <v>100</v>
      </c>
      <c r="K362" s="2" t="s">
        <v>101</v>
      </c>
      <c r="L362" s="2" t="s">
        <v>426</v>
      </c>
      <c r="M362" s="2" t="s">
        <v>778</v>
      </c>
      <c r="N362" s="2" t="s">
        <v>164</v>
      </c>
      <c r="O362" s="2" t="s">
        <v>105</v>
      </c>
      <c r="P362" s="152">
        <v>9779</v>
      </c>
      <c r="Q362" s="150">
        <v>3.681</v>
      </c>
      <c r="R362" s="150">
        <v>2769.5</v>
      </c>
      <c r="T362" s="150">
        <v>996.923</v>
      </c>
      <c r="U362" s="164">
        <v>0</v>
      </c>
      <c r="V362" s="164">
        <v>4.62909325085301E-2</v>
      </c>
      <c r="W362" s="164">
        <v>1.35733086183378E-2</v>
      </c>
    </row>
    <row r="363" spans="1:23">
      <c r="A363" s="2" t="s">
        <v>144</v>
      </c>
      <c r="B363" s="2">
        <v>969</v>
      </c>
      <c r="C363" s="2" t="s">
        <v>1658</v>
      </c>
      <c r="D363" s="2" t="s">
        <v>1659</v>
      </c>
      <c r="E363" s="4" t="s">
        <v>362</v>
      </c>
      <c r="F363" s="2" t="s">
        <v>1693</v>
      </c>
      <c r="G363" s="2" t="s">
        <v>1694</v>
      </c>
      <c r="H363" s="2" t="s">
        <v>368</v>
      </c>
      <c r="I363" s="2" t="s">
        <v>1026</v>
      </c>
      <c r="J363" s="2" t="s">
        <v>100</v>
      </c>
      <c r="K363" s="2" t="s">
        <v>283</v>
      </c>
      <c r="L363" s="2" t="s">
        <v>426</v>
      </c>
      <c r="M363" s="2" t="s">
        <v>781</v>
      </c>
      <c r="N363" s="2" t="s">
        <v>164</v>
      </c>
      <c r="O363" s="2" t="s">
        <v>1223</v>
      </c>
      <c r="P363" s="152">
        <v>30122</v>
      </c>
      <c r="Q363" s="150">
        <v>4.6539999999999999</v>
      </c>
      <c r="R363" s="150">
        <v>777.2</v>
      </c>
      <c r="T363" s="150">
        <v>1089.422</v>
      </c>
      <c r="U363" s="164">
        <v>4.8999999999999998E-5</v>
      </c>
      <c r="V363" s="164">
        <v>5.0586031582469902E-2</v>
      </c>
      <c r="W363" s="164">
        <v>1.4832706563414301E-2</v>
      </c>
    </row>
    <row r="364" spans="1:23">
      <c r="A364" s="2" t="s">
        <v>144</v>
      </c>
      <c r="B364" s="2">
        <v>969</v>
      </c>
      <c r="C364" s="2" t="s">
        <v>1658</v>
      </c>
      <c r="D364" s="2" t="s">
        <v>1659</v>
      </c>
      <c r="E364" s="4" t="s">
        <v>362</v>
      </c>
      <c r="F364" s="2" t="s">
        <v>1695</v>
      </c>
      <c r="G364" s="2" t="s">
        <v>1696</v>
      </c>
      <c r="H364" s="2" t="s">
        <v>368</v>
      </c>
      <c r="I364" s="2" t="s">
        <v>1028</v>
      </c>
      <c r="J364" s="2" t="s">
        <v>100</v>
      </c>
      <c r="K364" s="2" t="s">
        <v>101</v>
      </c>
      <c r="L364" s="2" t="s">
        <v>426</v>
      </c>
      <c r="M364" s="2" t="s">
        <v>778</v>
      </c>
      <c r="N364" s="2" t="s">
        <v>164</v>
      </c>
      <c r="O364" s="2" t="s">
        <v>105</v>
      </c>
      <c r="P364" s="152">
        <v>3451</v>
      </c>
      <c r="Q364" s="150">
        <v>3.681</v>
      </c>
      <c r="R364" s="150">
        <v>9423</v>
      </c>
      <c r="T364" s="150">
        <v>1197.0160000000001</v>
      </c>
      <c r="U364" s="164">
        <v>1.11E-4</v>
      </c>
      <c r="V364" s="164">
        <v>5.5582012086287803E-2</v>
      </c>
      <c r="W364" s="164">
        <v>1.6297615165482799E-2</v>
      </c>
    </row>
    <row r="365" spans="1:23">
      <c r="A365" s="2" t="s">
        <v>144</v>
      </c>
      <c r="B365" s="2">
        <v>969</v>
      </c>
      <c r="C365" s="2" t="s">
        <v>1658</v>
      </c>
      <c r="D365" s="2" t="s">
        <v>1659</v>
      </c>
      <c r="E365" s="4" t="s">
        <v>362</v>
      </c>
      <c r="F365" s="2" t="s">
        <v>1697</v>
      </c>
      <c r="G365" s="2" t="s">
        <v>1698</v>
      </c>
      <c r="H365" s="2" t="s">
        <v>368</v>
      </c>
      <c r="I365" s="2" t="s">
        <v>1026</v>
      </c>
      <c r="J365" s="2" t="s">
        <v>100</v>
      </c>
      <c r="K365" s="2" t="s">
        <v>318</v>
      </c>
      <c r="L365" s="2" t="s">
        <v>391</v>
      </c>
      <c r="M365" s="2" t="s">
        <v>781</v>
      </c>
      <c r="N365" s="2" t="s">
        <v>164</v>
      </c>
      <c r="O365" s="2" t="s">
        <v>105</v>
      </c>
      <c r="P365" s="152">
        <v>780</v>
      </c>
      <c r="Q365" s="150">
        <v>3.681</v>
      </c>
      <c r="R365" s="150">
        <v>24.07</v>
      </c>
      <c r="T365" s="150">
        <v>69.108999999999995</v>
      </c>
      <c r="U365" s="164">
        <v>5.0000000000000004E-6</v>
      </c>
      <c r="V365" s="164">
        <v>3.20900805241089E-3</v>
      </c>
      <c r="W365" s="164">
        <v>9.4093711864796903E-4</v>
      </c>
    </row>
    <row r="366" spans="1:23">
      <c r="A366" s="2" t="s">
        <v>144</v>
      </c>
      <c r="B366" s="2">
        <v>969</v>
      </c>
      <c r="C366" s="2" t="s">
        <v>1658</v>
      </c>
      <c r="D366" s="2" t="s">
        <v>1659</v>
      </c>
      <c r="E366" s="4" t="s">
        <v>362</v>
      </c>
      <c r="F366" s="2" t="s">
        <v>1699</v>
      </c>
      <c r="G366" s="2" t="s">
        <v>1700</v>
      </c>
      <c r="H366" s="2" t="s">
        <v>368</v>
      </c>
      <c r="I366" s="2" t="s">
        <v>1028</v>
      </c>
      <c r="J366" s="2" t="s">
        <v>100</v>
      </c>
      <c r="K366" s="2" t="s">
        <v>271</v>
      </c>
      <c r="L366" s="2" t="s">
        <v>426</v>
      </c>
      <c r="M366" s="2" t="s">
        <v>778</v>
      </c>
      <c r="N366" s="2" t="s">
        <v>164</v>
      </c>
      <c r="O366" s="2" t="s">
        <v>105</v>
      </c>
      <c r="P366" s="152">
        <v>16611</v>
      </c>
      <c r="Q366" s="150">
        <v>3.681</v>
      </c>
      <c r="R366" s="150">
        <v>590.6</v>
      </c>
      <c r="T366" s="150">
        <v>361.12299999999999</v>
      </c>
      <c r="U366" s="164">
        <v>0</v>
      </c>
      <c r="V366" s="164">
        <v>1.67683115630839E-2</v>
      </c>
      <c r="W366" s="164">
        <v>4.9167613508809497E-3</v>
      </c>
    </row>
    <row r="367" spans="1:23">
      <c r="A367" s="2" t="s">
        <v>144</v>
      </c>
      <c r="B367" s="2">
        <v>969</v>
      </c>
      <c r="C367" s="2" t="s">
        <v>1658</v>
      </c>
      <c r="D367" s="2" t="s">
        <v>1659</v>
      </c>
      <c r="E367" s="4" t="s">
        <v>362</v>
      </c>
      <c r="F367" s="2" t="s">
        <v>1701</v>
      </c>
      <c r="G367" s="2" t="s">
        <v>1702</v>
      </c>
      <c r="H367" s="2" t="s">
        <v>368</v>
      </c>
      <c r="I367" s="2" t="s">
        <v>1026</v>
      </c>
      <c r="J367" s="2" t="s">
        <v>100</v>
      </c>
      <c r="K367" s="2" t="s">
        <v>101</v>
      </c>
      <c r="L367" s="2" t="s">
        <v>393</v>
      </c>
      <c r="M367" s="2" t="s">
        <v>781</v>
      </c>
      <c r="N367" s="2" t="s">
        <v>164</v>
      </c>
      <c r="O367" s="2" t="s">
        <v>105</v>
      </c>
      <c r="P367" s="152">
        <v>1396</v>
      </c>
      <c r="Q367" s="150">
        <v>3.681</v>
      </c>
      <c r="R367" s="150">
        <v>5757</v>
      </c>
      <c r="T367" s="150">
        <v>295.834</v>
      </c>
      <c r="U367" s="164">
        <v>0</v>
      </c>
      <c r="V367" s="164">
        <v>1.37366793771321E-2</v>
      </c>
      <c r="W367" s="164">
        <v>4.0278339293037804E-3</v>
      </c>
    </row>
    <row r="368" spans="1:23">
      <c r="A368" s="2" t="s">
        <v>144</v>
      </c>
      <c r="B368" s="2">
        <v>969</v>
      </c>
      <c r="C368" s="2" t="s">
        <v>1658</v>
      </c>
      <c r="D368" s="2" t="s">
        <v>1659</v>
      </c>
      <c r="E368" s="4" t="s">
        <v>362</v>
      </c>
      <c r="F368" s="2" t="s">
        <v>1703</v>
      </c>
      <c r="G368" s="2" t="s">
        <v>1704</v>
      </c>
      <c r="H368" s="2" t="s">
        <v>368</v>
      </c>
      <c r="I368" s="2" t="s">
        <v>1026</v>
      </c>
      <c r="J368" s="2" t="s">
        <v>100</v>
      </c>
      <c r="K368" s="2" t="s">
        <v>101</v>
      </c>
      <c r="L368" s="2" t="s">
        <v>391</v>
      </c>
      <c r="M368" s="2" t="s">
        <v>781</v>
      </c>
      <c r="N368" s="2" t="s">
        <v>164</v>
      </c>
      <c r="O368" s="2" t="s">
        <v>105</v>
      </c>
      <c r="P368" s="152">
        <v>771</v>
      </c>
      <c r="Q368" s="150">
        <v>3.681</v>
      </c>
      <c r="R368" s="150">
        <v>11601</v>
      </c>
      <c r="T368" s="150">
        <v>329.24200000000002</v>
      </c>
      <c r="U368" s="164">
        <v>1.6799999999999999E-4</v>
      </c>
      <c r="V368" s="164">
        <v>1.5287973412349901E-2</v>
      </c>
      <c r="W368" s="164">
        <v>4.4827003914109801E-3</v>
      </c>
    </row>
    <row r="369" spans="1:23">
      <c r="A369" s="2" t="s">
        <v>144</v>
      </c>
      <c r="B369" s="2">
        <v>969</v>
      </c>
      <c r="C369" s="2" t="s">
        <v>1658</v>
      </c>
      <c r="D369" s="2" t="s">
        <v>1659</v>
      </c>
      <c r="E369" s="4" t="s">
        <v>362</v>
      </c>
      <c r="F369" s="2" t="s">
        <v>1705</v>
      </c>
      <c r="G369" s="2" t="s">
        <v>1706</v>
      </c>
      <c r="H369" s="2" t="s">
        <v>368</v>
      </c>
      <c r="I369" s="2" t="s">
        <v>1028</v>
      </c>
      <c r="J369" s="2" t="s">
        <v>100</v>
      </c>
      <c r="K369" s="2" t="s">
        <v>101</v>
      </c>
      <c r="L369" s="2" t="s">
        <v>426</v>
      </c>
      <c r="M369" s="2" t="s">
        <v>778</v>
      </c>
      <c r="N369" s="2" t="s">
        <v>164</v>
      </c>
      <c r="O369" s="2" t="s">
        <v>105</v>
      </c>
      <c r="P369" s="152">
        <v>27676</v>
      </c>
      <c r="Q369" s="150">
        <v>3.681</v>
      </c>
      <c r="R369" s="150">
        <v>571.15</v>
      </c>
      <c r="T369" s="150">
        <v>581.86099999999999</v>
      </c>
      <c r="U369" s="164">
        <v>0</v>
      </c>
      <c r="V369" s="164">
        <v>2.70180261056139E-2</v>
      </c>
      <c r="W369" s="164">
        <v>7.9221563860746597E-3</v>
      </c>
    </row>
    <row r="370" spans="1:23">
      <c r="A370" s="2" t="s">
        <v>144</v>
      </c>
      <c r="B370" s="2">
        <v>969</v>
      </c>
      <c r="C370" s="2" t="s">
        <v>1707</v>
      </c>
      <c r="D370" s="2" t="s">
        <v>1708</v>
      </c>
      <c r="E370" s="4" t="s">
        <v>362</v>
      </c>
      <c r="F370" s="2" t="s">
        <v>1709</v>
      </c>
      <c r="G370" s="2" t="s">
        <v>1710</v>
      </c>
      <c r="H370" s="2" t="s">
        <v>368</v>
      </c>
      <c r="I370" s="2" t="s">
        <v>1026</v>
      </c>
      <c r="J370" s="2" t="s">
        <v>100</v>
      </c>
      <c r="K370" s="2" t="s">
        <v>331</v>
      </c>
      <c r="L370" s="2" t="s">
        <v>411</v>
      </c>
      <c r="M370" s="2" t="s">
        <v>781</v>
      </c>
      <c r="N370" s="2" t="s">
        <v>164</v>
      </c>
      <c r="O370" s="2" t="s">
        <v>1224</v>
      </c>
      <c r="P370" s="152">
        <v>1990</v>
      </c>
      <c r="Q370" s="150">
        <v>3.9790000000000001</v>
      </c>
      <c r="R370" s="150">
        <v>8097</v>
      </c>
      <c r="T370" s="150">
        <v>641.154</v>
      </c>
      <c r="U370" s="164">
        <v>3.1000000000000001E-5</v>
      </c>
      <c r="V370" s="164">
        <v>2.97712017507555E-2</v>
      </c>
      <c r="W370" s="164">
        <v>8.7294354942480008E-3</v>
      </c>
    </row>
    <row r="371" spans="1:23">
      <c r="A371" s="2" t="s">
        <v>144</v>
      </c>
      <c r="B371" s="2">
        <v>969</v>
      </c>
      <c r="C371" s="2" t="s">
        <v>1707</v>
      </c>
      <c r="D371" s="2" t="s">
        <v>1708</v>
      </c>
      <c r="E371" s="4" t="s">
        <v>362</v>
      </c>
      <c r="F371" s="2" t="s">
        <v>1711</v>
      </c>
      <c r="G371" s="2" t="s">
        <v>1712</v>
      </c>
      <c r="H371" s="2" t="s">
        <v>368</v>
      </c>
      <c r="I371" s="2" t="s">
        <v>1026</v>
      </c>
      <c r="J371" s="2" t="s">
        <v>100</v>
      </c>
      <c r="K371" s="2" t="s">
        <v>331</v>
      </c>
      <c r="L371" s="2" t="s">
        <v>411</v>
      </c>
      <c r="M371" s="2" t="s">
        <v>781</v>
      </c>
      <c r="N371" s="2" t="s">
        <v>164</v>
      </c>
      <c r="O371" s="2" t="s">
        <v>1224</v>
      </c>
      <c r="P371" s="152">
        <v>156</v>
      </c>
      <c r="Q371" s="150">
        <v>3.9790000000000001</v>
      </c>
      <c r="R371" s="150">
        <v>14783</v>
      </c>
      <c r="T371" s="150">
        <v>91.763999999999996</v>
      </c>
      <c r="U371" s="164">
        <v>4.8999999999999998E-5</v>
      </c>
      <c r="V371" s="164">
        <v>4.2609488950930601E-3</v>
      </c>
      <c r="W371" s="164">
        <v>1.2493845171385499E-3</v>
      </c>
    </row>
    <row r="372" spans="1:23">
      <c r="A372" s="2" t="s">
        <v>144</v>
      </c>
      <c r="B372" s="2">
        <v>969</v>
      </c>
      <c r="C372" s="2" t="s">
        <v>1713</v>
      </c>
      <c r="D372" s="2" t="s">
        <v>1714</v>
      </c>
      <c r="E372" s="4" t="s">
        <v>362</v>
      </c>
      <c r="F372" s="2" t="s">
        <v>1715</v>
      </c>
      <c r="G372" s="2" t="s">
        <v>1716</v>
      </c>
      <c r="H372" s="2" t="s">
        <v>368</v>
      </c>
      <c r="I372" s="2" t="s">
        <v>1026</v>
      </c>
      <c r="J372" s="2" t="s">
        <v>100</v>
      </c>
      <c r="K372" s="2" t="s">
        <v>1717</v>
      </c>
      <c r="L372" s="2" t="s">
        <v>391</v>
      </c>
      <c r="M372" s="2" t="s">
        <v>781</v>
      </c>
      <c r="N372" s="2" t="s">
        <v>164</v>
      </c>
      <c r="O372" s="2" t="s">
        <v>105</v>
      </c>
      <c r="P372" s="152">
        <v>400</v>
      </c>
      <c r="Q372" s="150">
        <v>3.681</v>
      </c>
      <c r="R372" s="150">
        <v>9289</v>
      </c>
      <c r="T372" s="150">
        <v>136.77099999999999</v>
      </c>
      <c r="U372" s="164">
        <v>5.0000000000000004E-6</v>
      </c>
      <c r="V372" s="164">
        <v>6.3508092420280103E-3</v>
      </c>
      <c r="W372" s="164">
        <v>1.8621680131925E-3</v>
      </c>
    </row>
    <row r="373" spans="1:23">
      <c r="A373" s="2" t="s">
        <v>144</v>
      </c>
      <c r="B373" s="2">
        <v>969</v>
      </c>
      <c r="C373" s="2" t="s">
        <v>1658</v>
      </c>
      <c r="D373" s="2" t="s">
        <v>1659</v>
      </c>
      <c r="E373" s="4" t="s">
        <v>362</v>
      </c>
      <c r="F373" s="2" t="s">
        <v>1718</v>
      </c>
      <c r="G373" s="2" t="s">
        <v>1719</v>
      </c>
      <c r="H373" s="2" t="s">
        <v>368</v>
      </c>
      <c r="I373" s="2" t="s">
        <v>1026</v>
      </c>
      <c r="J373" s="2" t="s">
        <v>100</v>
      </c>
      <c r="K373" s="2" t="s">
        <v>318</v>
      </c>
      <c r="L373" s="2" t="s">
        <v>393</v>
      </c>
      <c r="M373" s="2" t="s">
        <v>781</v>
      </c>
      <c r="N373" s="2" t="s">
        <v>164</v>
      </c>
      <c r="O373" s="2" t="s">
        <v>105</v>
      </c>
      <c r="P373" s="152">
        <v>2000</v>
      </c>
      <c r="Q373" s="150">
        <v>3.681</v>
      </c>
      <c r="R373" s="150">
        <v>3973</v>
      </c>
      <c r="T373" s="150">
        <v>292.49200000000002</v>
      </c>
      <c r="U373" s="164">
        <v>1.2999999999999999E-5</v>
      </c>
      <c r="V373" s="164">
        <v>1.3581529291946001E-2</v>
      </c>
      <c r="W373" s="164">
        <v>3.9823412188684498E-3</v>
      </c>
    </row>
    <row r="374" spans="1:23">
      <c r="A374" s="2" t="s">
        <v>144</v>
      </c>
      <c r="B374" s="2">
        <v>969</v>
      </c>
      <c r="C374" s="2" t="s">
        <v>1579</v>
      </c>
      <c r="D374" s="2" t="s">
        <v>1580</v>
      </c>
      <c r="E374" s="4" t="s">
        <v>362</v>
      </c>
      <c r="F374" s="2" t="s">
        <v>1722</v>
      </c>
      <c r="G374" s="2" t="s">
        <v>1723</v>
      </c>
      <c r="H374" s="2" t="s">
        <v>368</v>
      </c>
      <c r="I374" s="2" t="s">
        <v>1026</v>
      </c>
      <c r="J374" s="2" t="s">
        <v>100</v>
      </c>
      <c r="K374" s="2" t="s">
        <v>101</v>
      </c>
      <c r="L374" s="2" t="s">
        <v>393</v>
      </c>
      <c r="M374" s="2" t="s">
        <v>781</v>
      </c>
      <c r="N374" s="2" t="s">
        <v>164</v>
      </c>
      <c r="O374" s="2" t="s">
        <v>105</v>
      </c>
      <c r="P374" s="152">
        <v>251</v>
      </c>
      <c r="Q374" s="150">
        <v>3.681</v>
      </c>
      <c r="R374" s="150">
        <v>444.01</v>
      </c>
      <c r="S374" s="155">
        <v>0.10199999999999999</v>
      </c>
      <c r="T374" s="150">
        <v>410.61099999999999</v>
      </c>
      <c r="U374" s="164">
        <v>0</v>
      </c>
      <c r="V374" s="164">
        <v>1.90662155631043E-2</v>
      </c>
      <c r="W374" s="164">
        <v>5.5905468738198603E-3</v>
      </c>
    </row>
    <row r="375" spans="1:23">
      <c r="A375" s="2" t="s">
        <v>144</v>
      </c>
      <c r="B375" s="2">
        <v>969</v>
      </c>
      <c r="C375" s="2" t="s">
        <v>1635</v>
      </c>
      <c r="D375" s="2" t="s">
        <v>1636</v>
      </c>
      <c r="E375" s="4" t="s">
        <v>362</v>
      </c>
      <c r="F375" s="2" t="s">
        <v>1724</v>
      </c>
      <c r="G375" s="2" t="s">
        <v>1725</v>
      </c>
      <c r="H375" s="2" t="s">
        <v>368</v>
      </c>
      <c r="I375" s="2" t="s">
        <v>1026</v>
      </c>
      <c r="J375" s="2" t="s">
        <v>100</v>
      </c>
      <c r="K375" s="2" t="s">
        <v>101</v>
      </c>
      <c r="L375" s="2" t="s">
        <v>391</v>
      </c>
      <c r="M375" s="2" t="s">
        <v>781</v>
      </c>
      <c r="N375" s="2" t="s">
        <v>164</v>
      </c>
      <c r="O375" s="2" t="s">
        <v>105</v>
      </c>
      <c r="P375" s="152">
        <v>1268</v>
      </c>
      <c r="Q375" s="150">
        <v>3.681</v>
      </c>
      <c r="R375" s="150">
        <v>39.53</v>
      </c>
      <c r="T375" s="150">
        <v>184.50700000000001</v>
      </c>
      <c r="U375" s="164">
        <v>2.0999999999999999E-5</v>
      </c>
      <c r="V375" s="164">
        <v>8.5673435375116097E-3</v>
      </c>
      <c r="W375" s="164">
        <v>2.5120945198617E-3</v>
      </c>
    </row>
    <row r="376" spans="1:23">
      <c r="A376" s="2" t="s">
        <v>144</v>
      </c>
      <c r="B376" s="2">
        <v>969</v>
      </c>
      <c r="C376" s="2" t="s">
        <v>1784</v>
      </c>
      <c r="D376" s="2" t="s">
        <v>1785</v>
      </c>
      <c r="E376" s="4" t="s">
        <v>362</v>
      </c>
      <c r="F376" s="2" t="s">
        <v>1786</v>
      </c>
      <c r="G376" s="2" t="s">
        <v>1787</v>
      </c>
      <c r="H376" s="2" t="s">
        <v>368</v>
      </c>
      <c r="I376" s="2" t="s">
        <v>1026</v>
      </c>
      <c r="J376" s="2" t="s">
        <v>100</v>
      </c>
      <c r="K376" s="2" t="s">
        <v>101</v>
      </c>
      <c r="L376" s="2" t="s">
        <v>391</v>
      </c>
      <c r="M376" s="2" t="s">
        <v>781</v>
      </c>
      <c r="N376" s="2" t="s">
        <v>164</v>
      </c>
      <c r="O376" s="2" t="s">
        <v>105</v>
      </c>
      <c r="P376" s="152">
        <v>102</v>
      </c>
      <c r="Q376" s="150">
        <v>3.681</v>
      </c>
      <c r="R376" s="150">
        <v>16937</v>
      </c>
      <c r="T376" s="150">
        <v>63.591999999999999</v>
      </c>
      <c r="U376" s="164">
        <v>9.9999999999999995E-7</v>
      </c>
      <c r="V376" s="164">
        <v>2.9528186364213799E-3</v>
      </c>
      <c r="W376" s="164">
        <v>8.6581791452874999E-4</v>
      </c>
    </row>
    <row r="377" spans="1:23">
      <c r="A377" s="2" t="s">
        <v>144</v>
      </c>
      <c r="B377" s="2">
        <v>969</v>
      </c>
      <c r="C377" s="2" t="s">
        <v>1635</v>
      </c>
      <c r="D377" s="2" t="s">
        <v>1636</v>
      </c>
      <c r="E377" s="4" t="s">
        <v>362</v>
      </c>
      <c r="F377" s="2" t="s">
        <v>1726</v>
      </c>
      <c r="G377" s="2" t="s">
        <v>1727</v>
      </c>
      <c r="H377" s="2" t="s">
        <v>368</v>
      </c>
      <c r="I377" s="2" t="s">
        <v>1026</v>
      </c>
      <c r="J377" s="2" t="s">
        <v>100</v>
      </c>
      <c r="K377" s="2" t="s">
        <v>101</v>
      </c>
      <c r="L377" s="2" t="s">
        <v>391</v>
      </c>
      <c r="M377" s="2" t="s">
        <v>781</v>
      </c>
      <c r="N377" s="2" t="s">
        <v>164</v>
      </c>
      <c r="O377" s="2" t="s">
        <v>105</v>
      </c>
      <c r="P377" s="152">
        <v>2320</v>
      </c>
      <c r="Q377" s="150">
        <v>3.681</v>
      </c>
      <c r="R377" s="150">
        <v>208.27</v>
      </c>
      <c r="T377" s="150">
        <v>1778.6089999999999</v>
      </c>
      <c r="U377" s="164">
        <v>7.9999999999999996E-6</v>
      </c>
      <c r="V377" s="164">
        <v>8.2587594325068403E-2</v>
      </c>
      <c r="W377" s="164">
        <v>2.4216122792809699E-2</v>
      </c>
    </row>
    <row r="378" spans="1:23">
      <c r="A378" s="2" t="s">
        <v>144</v>
      </c>
      <c r="B378" s="2">
        <v>969</v>
      </c>
      <c r="C378" s="2" t="s">
        <v>1635</v>
      </c>
      <c r="D378" s="2" t="s">
        <v>1636</v>
      </c>
      <c r="E378" s="4" t="s">
        <v>362</v>
      </c>
      <c r="F378" s="2" t="s">
        <v>1728</v>
      </c>
      <c r="G378" s="2" t="s">
        <v>1729</v>
      </c>
      <c r="H378" s="2" t="s">
        <v>368</v>
      </c>
      <c r="I378" s="2" t="s">
        <v>1028</v>
      </c>
      <c r="J378" s="2" t="s">
        <v>100</v>
      </c>
      <c r="K378" s="2" t="s">
        <v>101</v>
      </c>
      <c r="L378" s="2" t="s">
        <v>393</v>
      </c>
      <c r="M378" s="2" t="s">
        <v>778</v>
      </c>
      <c r="N378" s="2" t="s">
        <v>164</v>
      </c>
      <c r="O378" s="2" t="s">
        <v>105</v>
      </c>
      <c r="P378" s="152">
        <v>3430</v>
      </c>
      <c r="Q378" s="150">
        <v>3.681</v>
      </c>
      <c r="R378" s="150">
        <v>4007.5</v>
      </c>
      <c r="T378" s="150">
        <v>505.98</v>
      </c>
      <c r="U378" s="164">
        <v>0</v>
      </c>
      <c r="V378" s="164">
        <v>2.3494584284738801E-2</v>
      </c>
      <c r="W378" s="164">
        <v>6.88902180351505E-3</v>
      </c>
    </row>
    <row r="379" spans="1:23">
      <c r="A379" s="2" t="s">
        <v>144</v>
      </c>
      <c r="B379" s="2">
        <v>969</v>
      </c>
      <c r="C379" s="2" t="s">
        <v>1730</v>
      </c>
      <c r="D379" s="2" t="s">
        <v>1731</v>
      </c>
      <c r="E379" s="4" t="s">
        <v>362</v>
      </c>
      <c r="F379" s="2" t="s">
        <v>1734</v>
      </c>
      <c r="G379" s="2" t="s">
        <v>1735</v>
      </c>
      <c r="H379" s="2" t="s">
        <v>368</v>
      </c>
      <c r="I379" s="2" t="s">
        <v>1026</v>
      </c>
      <c r="J379" s="2" t="s">
        <v>100</v>
      </c>
      <c r="K379" s="2" t="s">
        <v>343</v>
      </c>
      <c r="L379" s="2" t="s">
        <v>411</v>
      </c>
      <c r="M379" s="2" t="s">
        <v>781</v>
      </c>
      <c r="N379" s="2" t="s">
        <v>164</v>
      </c>
      <c r="O379" s="2" t="s">
        <v>1224</v>
      </c>
      <c r="P379" s="152">
        <v>300</v>
      </c>
      <c r="Q379" s="150">
        <v>3.9790000000000001</v>
      </c>
      <c r="R379" s="150">
        <v>18642</v>
      </c>
      <c r="T379" s="150">
        <v>222.535</v>
      </c>
      <c r="U379" s="164">
        <v>3.4299999999999999E-4</v>
      </c>
      <c r="V379" s="164">
        <v>1.03331541560635E-2</v>
      </c>
      <c r="W379" s="164">
        <v>3.0298609848756798E-3</v>
      </c>
    </row>
    <row r="380" spans="1:23">
      <c r="A380" s="2" t="s">
        <v>144</v>
      </c>
      <c r="B380" s="2">
        <v>969</v>
      </c>
      <c r="C380" s="2" t="s">
        <v>1670</v>
      </c>
      <c r="D380" s="2" t="s">
        <v>1671</v>
      </c>
      <c r="E380" s="4" t="s">
        <v>362</v>
      </c>
      <c r="F380" s="2" t="s">
        <v>1736</v>
      </c>
      <c r="G380" s="2" t="s">
        <v>1737</v>
      </c>
      <c r="H380" s="2" t="s">
        <v>368</v>
      </c>
      <c r="I380" s="2" t="s">
        <v>1026</v>
      </c>
      <c r="J380" s="2" t="s">
        <v>100</v>
      </c>
      <c r="K380" s="2" t="s">
        <v>101</v>
      </c>
      <c r="L380" s="2" t="s">
        <v>393</v>
      </c>
      <c r="M380" s="2" t="s">
        <v>781</v>
      </c>
      <c r="N380" s="2" t="s">
        <v>164</v>
      </c>
      <c r="O380" s="2" t="s">
        <v>105</v>
      </c>
      <c r="P380" s="152">
        <v>249</v>
      </c>
      <c r="Q380" s="150">
        <v>3.681</v>
      </c>
      <c r="R380" s="150">
        <v>22499</v>
      </c>
      <c r="T380" s="150">
        <v>206.21899999999999</v>
      </c>
      <c r="U380" s="164">
        <v>1.1E-5</v>
      </c>
      <c r="V380" s="164">
        <v>9.5755268131555195E-3</v>
      </c>
      <c r="W380" s="164">
        <v>2.8077114366658702E-3</v>
      </c>
    </row>
    <row r="381" spans="1:23">
      <c r="A381" s="2" t="s">
        <v>144</v>
      </c>
      <c r="B381" s="2">
        <v>969</v>
      </c>
      <c r="C381" s="2" t="s">
        <v>1742</v>
      </c>
      <c r="D381" s="2" t="s">
        <v>1743</v>
      </c>
      <c r="E381" s="4" t="s">
        <v>362</v>
      </c>
      <c r="F381" s="2" t="s">
        <v>1744</v>
      </c>
      <c r="G381" s="2" t="s">
        <v>1745</v>
      </c>
      <c r="H381" s="2" t="s">
        <v>368</v>
      </c>
      <c r="I381" s="2" t="s">
        <v>1026</v>
      </c>
      <c r="J381" s="2" t="s">
        <v>100</v>
      </c>
      <c r="K381" s="2" t="s">
        <v>346</v>
      </c>
      <c r="L381" s="2" t="s">
        <v>391</v>
      </c>
      <c r="M381" s="2" t="s">
        <v>781</v>
      </c>
      <c r="N381" s="2" t="s">
        <v>164</v>
      </c>
      <c r="O381" s="2" t="s">
        <v>105</v>
      </c>
      <c r="P381" s="152">
        <v>2000</v>
      </c>
      <c r="Q381" s="150">
        <v>3.681</v>
      </c>
      <c r="R381" s="150">
        <v>2946</v>
      </c>
      <c r="T381" s="150">
        <v>216.88499999999999</v>
      </c>
      <c r="U381" s="164">
        <v>2.3E-5</v>
      </c>
      <c r="V381" s="164">
        <v>1.00707740483446E-2</v>
      </c>
      <c r="W381" s="164">
        <v>2.9529265619900498E-3</v>
      </c>
    </row>
    <row r="382" spans="1:23">
      <c r="A382" s="2" t="s">
        <v>144</v>
      </c>
      <c r="B382" s="2">
        <v>969</v>
      </c>
      <c r="C382" s="2" t="s">
        <v>1742</v>
      </c>
      <c r="D382" s="2" t="s">
        <v>1743</v>
      </c>
      <c r="E382" s="4" t="s">
        <v>362</v>
      </c>
      <c r="F382" s="2" t="s">
        <v>1746</v>
      </c>
      <c r="G382" s="2" t="s">
        <v>1747</v>
      </c>
      <c r="H382" s="2" t="s">
        <v>368</v>
      </c>
      <c r="I382" s="2" t="s">
        <v>1026</v>
      </c>
      <c r="J382" s="2" t="s">
        <v>100</v>
      </c>
      <c r="K382" s="2" t="s">
        <v>294</v>
      </c>
      <c r="L382" s="2" t="s">
        <v>391</v>
      </c>
      <c r="M382" s="2" t="s">
        <v>781</v>
      </c>
      <c r="N382" s="2" t="s">
        <v>164</v>
      </c>
      <c r="O382" s="2" t="s">
        <v>105</v>
      </c>
      <c r="P382" s="152">
        <v>7231</v>
      </c>
      <c r="Q382" s="150">
        <v>3.681</v>
      </c>
      <c r="R382" s="150">
        <v>43.56</v>
      </c>
      <c r="T382" s="150">
        <v>1159.45</v>
      </c>
      <c r="U382" s="164">
        <v>3.2899999999999997E-4</v>
      </c>
      <c r="V382" s="164">
        <v>5.38376812079824E-2</v>
      </c>
      <c r="W382" s="164">
        <v>1.5786146934866099E-2</v>
      </c>
    </row>
    <row r="383" spans="1:23">
      <c r="A383" s="2" t="s">
        <v>144</v>
      </c>
      <c r="B383" s="2">
        <v>969</v>
      </c>
      <c r="C383" s="2" t="s">
        <v>1748</v>
      </c>
      <c r="D383" s="2" t="s">
        <v>1749</v>
      </c>
      <c r="E383" s="4" t="s">
        <v>362</v>
      </c>
      <c r="F383" s="2" t="s">
        <v>1750</v>
      </c>
      <c r="G383" s="2" t="s">
        <v>1751</v>
      </c>
      <c r="H383" s="2" t="s">
        <v>368</v>
      </c>
      <c r="I383" s="2" t="s">
        <v>1026</v>
      </c>
      <c r="J383" s="2" t="s">
        <v>100</v>
      </c>
      <c r="K383" s="2" t="s">
        <v>301</v>
      </c>
      <c r="L383" s="2" t="s">
        <v>110</v>
      </c>
      <c r="M383" s="2" t="s">
        <v>781</v>
      </c>
      <c r="N383" s="2" t="s">
        <v>164</v>
      </c>
      <c r="O383" s="2" t="s">
        <v>1224</v>
      </c>
      <c r="P383" s="152">
        <v>9489</v>
      </c>
      <c r="Q383" s="150">
        <v>3.9790000000000001</v>
      </c>
      <c r="R383" s="150">
        <v>2551.5</v>
      </c>
      <c r="T383" s="150">
        <v>963.38699999999994</v>
      </c>
      <c r="U383" s="164">
        <v>1.5899999999999999E-4</v>
      </c>
      <c r="V383" s="164">
        <v>4.47337359021278E-2</v>
      </c>
      <c r="W383" s="164">
        <v>1.31167114194321E-2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1155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373</v>
      </c>
      <c r="M1" s="19" t="s">
        <v>8</v>
      </c>
      <c r="N1" s="19" t="s">
        <v>615</v>
      </c>
      <c r="O1" s="19" t="s">
        <v>150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18" t="s">
        <v>26</v>
      </c>
      <c r="B2" s="18">
        <v>1182</v>
      </c>
      <c r="C2" s="18" t="s">
        <v>1570</v>
      </c>
      <c r="D2" s="18" t="s">
        <v>1571</v>
      </c>
      <c r="E2" s="18" t="s">
        <v>362</v>
      </c>
      <c r="F2" s="18" t="s">
        <v>1572</v>
      </c>
      <c r="G2" s="18" t="s">
        <v>1573</v>
      </c>
      <c r="H2" s="18" t="s">
        <v>368</v>
      </c>
      <c r="I2" s="18" t="s">
        <v>976</v>
      </c>
      <c r="J2" s="18" t="s">
        <v>100</v>
      </c>
      <c r="K2" s="18" t="s">
        <v>343</v>
      </c>
      <c r="L2" s="4" t="s">
        <v>374</v>
      </c>
      <c r="M2" s="18" t="s">
        <v>1574</v>
      </c>
      <c r="N2" s="20" t="s">
        <v>781</v>
      </c>
      <c r="O2" s="20" t="s">
        <v>164</v>
      </c>
      <c r="P2" s="18" t="s">
        <v>1224</v>
      </c>
      <c r="Q2" s="154">
        <v>5997.08</v>
      </c>
      <c r="R2" s="154">
        <v>3.9790000000000001</v>
      </c>
      <c r="S2" s="154">
        <v>5063</v>
      </c>
      <c r="T2" s="154">
        <v>1208.183</v>
      </c>
      <c r="U2" s="169">
        <v>2.2000000000000001E-4</v>
      </c>
      <c r="V2" s="169">
        <v>7.6617474888666298E-2</v>
      </c>
      <c r="W2" s="169">
        <v>3.1807490283277699E-3</v>
      </c>
    </row>
    <row r="3" spans="1:23">
      <c r="A3" s="18" t="s">
        <v>26</v>
      </c>
      <c r="B3" s="18">
        <v>1182</v>
      </c>
      <c r="C3" s="18" t="s">
        <v>1575</v>
      </c>
      <c r="D3" s="18" t="s">
        <v>1576</v>
      </c>
      <c r="E3" s="18" t="s">
        <v>362</v>
      </c>
      <c r="F3" s="18" t="s">
        <v>1577</v>
      </c>
      <c r="G3" s="18" t="s">
        <v>1578</v>
      </c>
      <c r="H3" s="18" t="s">
        <v>368</v>
      </c>
      <c r="I3" s="18" t="s">
        <v>1031</v>
      </c>
      <c r="J3" s="18" t="s">
        <v>100</v>
      </c>
      <c r="K3" s="18" t="s">
        <v>303</v>
      </c>
      <c r="L3" s="4" t="s">
        <v>374</v>
      </c>
      <c r="M3" s="18" t="s">
        <v>204</v>
      </c>
      <c r="N3" s="20" t="s">
        <v>778</v>
      </c>
      <c r="O3" s="20" t="s">
        <v>164</v>
      </c>
      <c r="P3" s="18" t="s">
        <v>105</v>
      </c>
      <c r="Q3" s="154">
        <v>6970.12</v>
      </c>
      <c r="R3" s="154">
        <v>3.681</v>
      </c>
      <c r="S3" s="154">
        <v>3303</v>
      </c>
      <c r="T3" s="154">
        <v>847.45100000000002</v>
      </c>
      <c r="U3" s="169">
        <v>1.6100000000000001E-4</v>
      </c>
      <c r="V3" s="169">
        <v>5.37415091026879E-2</v>
      </c>
      <c r="W3" s="169">
        <v>2.2310609049389198E-3</v>
      </c>
    </row>
    <row r="4" spans="1:23">
      <c r="A4" s="18" t="s">
        <v>26</v>
      </c>
      <c r="B4" s="18">
        <v>1182</v>
      </c>
      <c r="C4" s="18" t="s">
        <v>1579</v>
      </c>
      <c r="D4" s="18" t="s">
        <v>1580</v>
      </c>
      <c r="E4" s="18" t="s">
        <v>362</v>
      </c>
      <c r="F4" s="18" t="s">
        <v>1581</v>
      </c>
      <c r="G4" s="18" t="s">
        <v>1582</v>
      </c>
      <c r="H4" s="18" t="s">
        <v>368</v>
      </c>
      <c r="I4" s="18" t="s">
        <v>1031</v>
      </c>
      <c r="J4" s="18" t="s">
        <v>100</v>
      </c>
      <c r="K4" s="18" t="s">
        <v>346</v>
      </c>
      <c r="L4" s="4" t="s">
        <v>374</v>
      </c>
      <c r="M4" s="18" t="s">
        <v>1574</v>
      </c>
      <c r="N4" s="20" t="s">
        <v>778</v>
      </c>
      <c r="O4" s="20" t="s">
        <v>164</v>
      </c>
      <c r="P4" s="18" t="s">
        <v>105</v>
      </c>
      <c r="Q4" s="154">
        <v>2848.35</v>
      </c>
      <c r="R4" s="154">
        <v>3.681</v>
      </c>
      <c r="S4" s="154">
        <v>17736</v>
      </c>
      <c r="T4" s="154">
        <v>1859.58</v>
      </c>
      <c r="U4" s="169">
        <v>3.1300000000000002E-4</v>
      </c>
      <c r="V4" s="169">
        <v>0.117926134334529</v>
      </c>
      <c r="W4" s="169">
        <v>4.8956643082280699E-3</v>
      </c>
    </row>
    <row r="5" spans="1:23">
      <c r="A5" s="18" t="s">
        <v>26</v>
      </c>
      <c r="B5" s="18">
        <v>1182</v>
      </c>
      <c r="C5" s="18" t="s">
        <v>1583</v>
      </c>
      <c r="D5" s="18" t="s">
        <v>1584</v>
      </c>
      <c r="E5" s="18" t="s">
        <v>362</v>
      </c>
      <c r="F5" s="18" t="s">
        <v>1585</v>
      </c>
      <c r="G5" s="18" t="s">
        <v>1586</v>
      </c>
      <c r="H5" s="18" t="s">
        <v>368</v>
      </c>
      <c r="I5" s="18" t="s">
        <v>976</v>
      </c>
      <c r="J5" s="18" t="s">
        <v>100</v>
      </c>
      <c r="K5" s="18" t="s">
        <v>346</v>
      </c>
      <c r="L5" s="4" t="s">
        <v>374</v>
      </c>
      <c r="M5" s="18" t="s">
        <v>1574</v>
      </c>
      <c r="N5" s="20" t="s">
        <v>781</v>
      </c>
      <c r="O5" s="20" t="s">
        <v>164</v>
      </c>
      <c r="P5" s="18" t="s">
        <v>105</v>
      </c>
      <c r="Q5" s="154">
        <v>40605.74</v>
      </c>
      <c r="R5" s="154">
        <v>3.681</v>
      </c>
      <c r="S5" s="154">
        <v>978.2</v>
      </c>
      <c r="T5" s="154">
        <v>1462.1130000000001</v>
      </c>
      <c r="U5" s="169">
        <v>3.2139999999999998E-3</v>
      </c>
      <c r="V5" s="169">
        <v>9.2720575114971004E-2</v>
      </c>
      <c r="W5" s="169">
        <v>3.8492638870112799E-3</v>
      </c>
    </row>
    <row r="6" spans="1:23">
      <c r="A6" s="18" t="s">
        <v>26</v>
      </c>
      <c r="B6" s="18">
        <v>1182</v>
      </c>
      <c r="C6" s="18" t="s">
        <v>1587</v>
      </c>
      <c r="D6" s="18" t="s">
        <v>1588</v>
      </c>
      <c r="E6" s="18" t="s">
        <v>362</v>
      </c>
      <c r="F6" s="18" t="s">
        <v>1589</v>
      </c>
      <c r="G6" s="18" t="s">
        <v>1590</v>
      </c>
      <c r="H6" s="18" t="s">
        <v>368</v>
      </c>
      <c r="I6" s="18" t="s">
        <v>976</v>
      </c>
      <c r="J6" s="18" t="s">
        <v>100</v>
      </c>
      <c r="K6" s="18" t="s">
        <v>303</v>
      </c>
      <c r="L6" s="4" t="s">
        <v>374</v>
      </c>
      <c r="M6" s="18" t="s">
        <v>204</v>
      </c>
      <c r="N6" s="20" t="s">
        <v>781</v>
      </c>
      <c r="O6" s="20" t="s">
        <v>164</v>
      </c>
      <c r="P6" s="18" t="s">
        <v>105</v>
      </c>
      <c r="Q6" s="154">
        <v>28772.31</v>
      </c>
      <c r="R6" s="154">
        <v>3.681</v>
      </c>
      <c r="S6" s="154">
        <v>1294.8900000000001</v>
      </c>
      <c r="T6" s="154">
        <v>1371.4290000000001</v>
      </c>
      <c r="U6" s="169">
        <v>0</v>
      </c>
      <c r="V6" s="169">
        <v>8.6969833090738205E-2</v>
      </c>
      <c r="W6" s="169">
        <v>3.61052374147239E-3</v>
      </c>
    </row>
    <row r="7" spans="1:23">
      <c r="A7" s="18" t="s">
        <v>26</v>
      </c>
      <c r="B7" s="18">
        <v>1182</v>
      </c>
      <c r="C7" s="18" t="s">
        <v>1591</v>
      </c>
      <c r="D7" s="18" t="s">
        <v>1592</v>
      </c>
      <c r="E7" s="18" t="s">
        <v>362</v>
      </c>
      <c r="F7" s="18" t="s">
        <v>1593</v>
      </c>
      <c r="G7" s="18" t="s">
        <v>1594</v>
      </c>
      <c r="H7" s="18" t="s">
        <v>368</v>
      </c>
      <c r="I7" s="18" t="s">
        <v>976</v>
      </c>
      <c r="J7" s="18" t="s">
        <v>100</v>
      </c>
      <c r="K7" s="18" t="s">
        <v>339</v>
      </c>
      <c r="L7" s="4" t="s">
        <v>374</v>
      </c>
      <c r="M7" s="18" t="s">
        <v>204</v>
      </c>
      <c r="N7" s="20" t="s">
        <v>781</v>
      </c>
      <c r="O7" s="20" t="s">
        <v>164</v>
      </c>
      <c r="P7" s="18" t="s">
        <v>105</v>
      </c>
      <c r="Q7" s="154">
        <v>29128.48</v>
      </c>
      <c r="R7" s="154">
        <v>3.681</v>
      </c>
      <c r="S7" s="154">
        <v>1045.75</v>
      </c>
      <c r="T7" s="154">
        <v>1121.2729999999999</v>
      </c>
      <c r="U7" s="169">
        <v>0</v>
      </c>
      <c r="V7" s="169">
        <v>7.1106077953794505E-2</v>
      </c>
      <c r="W7" s="169">
        <v>2.9519452146965401E-3</v>
      </c>
    </row>
    <row r="8" spans="1:23">
      <c r="A8" s="18" t="s">
        <v>26</v>
      </c>
      <c r="B8" s="18">
        <v>1182</v>
      </c>
      <c r="C8" s="18" t="s">
        <v>1595</v>
      </c>
      <c r="D8" s="18" t="s">
        <v>1596</v>
      </c>
      <c r="E8" s="18" t="s">
        <v>34</v>
      </c>
      <c r="F8" s="18" t="s">
        <v>1595</v>
      </c>
      <c r="G8" s="18" t="s">
        <v>1597</v>
      </c>
      <c r="H8" s="18" t="s">
        <v>368</v>
      </c>
      <c r="I8" s="18" t="s">
        <v>976</v>
      </c>
      <c r="J8" s="18" t="s">
        <v>100</v>
      </c>
      <c r="K8" s="18" t="s">
        <v>101</v>
      </c>
      <c r="L8" s="4" t="s">
        <v>374</v>
      </c>
      <c r="M8" s="18" t="s">
        <v>204</v>
      </c>
      <c r="N8" s="20" t="s">
        <v>781</v>
      </c>
      <c r="O8" s="20" t="s">
        <v>164</v>
      </c>
      <c r="P8" s="18" t="s">
        <v>105</v>
      </c>
      <c r="Q8" s="154">
        <v>4000</v>
      </c>
      <c r="R8" s="154">
        <v>3.681</v>
      </c>
      <c r="S8" s="154">
        <v>11473</v>
      </c>
      <c r="T8" s="154">
        <v>1689.2850000000001</v>
      </c>
      <c r="U8" s="169">
        <v>0</v>
      </c>
      <c r="V8" s="169">
        <v>0.10712677075766899</v>
      </c>
      <c r="W8" s="169">
        <v>4.44733231538219E-3</v>
      </c>
    </row>
    <row r="9" spans="1:23">
      <c r="A9" s="18" t="s">
        <v>26</v>
      </c>
      <c r="B9" s="18">
        <v>1182</v>
      </c>
      <c r="C9" s="18"/>
      <c r="D9" s="18" t="s">
        <v>1598</v>
      </c>
      <c r="E9" s="18" t="s">
        <v>362</v>
      </c>
      <c r="F9" s="18" t="s">
        <v>1599</v>
      </c>
      <c r="G9" s="18" t="s">
        <v>1600</v>
      </c>
      <c r="H9" s="18" t="s">
        <v>368</v>
      </c>
      <c r="I9" s="18" t="s">
        <v>204</v>
      </c>
      <c r="J9" s="18" t="s">
        <v>100</v>
      </c>
      <c r="K9" s="18" t="s">
        <v>346</v>
      </c>
      <c r="L9" s="4" t="s">
        <v>374</v>
      </c>
      <c r="M9" s="18" t="s">
        <v>204</v>
      </c>
      <c r="N9" s="20" t="s">
        <v>614</v>
      </c>
      <c r="O9" s="20" t="s">
        <v>164</v>
      </c>
      <c r="P9" s="18" t="s">
        <v>105</v>
      </c>
      <c r="Q9" s="154">
        <v>59547.05</v>
      </c>
      <c r="R9" s="154">
        <v>3.681</v>
      </c>
      <c r="S9" s="154">
        <v>1199.6600000000001</v>
      </c>
      <c r="T9" s="154">
        <v>2629.567</v>
      </c>
      <c r="U9" s="169">
        <v>0</v>
      </c>
      <c r="V9" s="169">
        <v>0.166755227954659</v>
      </c>
      <c r="W9" s="169">
        <v>6.9227879156301703E-3</v>
      </c>
    </row>
    <row r="10" spans="1:23">
      <c r="A10" s="18" t="s">
        <v>26</v>
      </c>
      <c r="B10" s="18">
        <v>1182</v>
      </c>
      <c r="C10" s="18" t="s">
        <v>1601</v>
      </c>
      <c r="D10" s="18" t="s">
        <v>1602</v>
      </c>
      <c r="E10" s="18" t="s">
        <v>362</v>
      </c>
      <c r="F10" s="18" t="s">
        <v>1603</v>
      </c>
      <c r="G10" s="18" t="s">
        <v>1604</v>
      </c>
      <c r="H10" s="18" t="s">
        <v>368</v>
      </c>
      <c r="I10" s="18" t="s">
        <v>1031</v>
      </c>
      <c r="J10" s="18" t="s">
        <v>100</v>
      </c>
      <c r="K10" s="18" t="s">
        <v>271</v>
      </c>
      <c r="L10" s="4" t="s">
        <v>374</v>
      </c>
      <c r="M10" s="18" t="s">
        <v>1574</v>
      </c>
      <c r="N10" s="20" t="s">
        <v>778</v>
      </c>
      <c r="O10" s="20" t="s">
        <v>164</v>
      </c>
      <c r="P10" s="18" t="s">
        <v>105</v>
      </c>
      <c r="Q10" s="154">
        <v>85932.43</v>
      </c>
      <c r="R10" s="154">
        <v>3.681</v>
      </c>
      <c r="S10" s="154">
        <v>1131.82</v>
      </c>
      <c r="T10" s="154">
        <v>3580.1419999999998</v>
      </c>
      <c r="U10" s="169">
        <v>3.48E-3</v>
      </c>
      <c r="V10" s="169">
        <v>0.22703639680228499</v>
      </c>
      <c r="W10" s="169">
        <v>9.4253406233142604E-3</v>
      </c>
    </row>
    <row r="11" spans="1:23">
      <c r="A11" s="18" t="s">
        <v>26</v>
      </c>
      <c r="B11" s="18">
        <v>14769</v>
      </c>
      <c r="C11" s="18" t="s">
        <v>1579</v>
      </c>
      <c r="D11" s="18" t="s">
        <v>1580</v>
      </c>
      <c r="E11" s="18" t="s">
        <v>362</v>
      </c>
      <c r="F11" s="18" t="s">
        <v>1581</v>
      </c>
      <c r="G11" s="18" t="s">
        <v>1582</v>
      </c>
      <c r="H11" s="18" t="s">
        <v>368</v>
      </c>
      <c r="I11" s="18" t="s">
        <v>1031</v>
      </c>
      <c r="J11" s="18" t="s">
        <v>100</v>
      </c>
      <c r="K11" s="18" t="s">
        <v>346</v>
      </c>
      <c r="L11" s="4" t="s">
        <v>374</v>
      </c>
      <c r="M11" s="18" t="s">
        <v>1574</v>
      </c>
      <c r="N11" s="20" t="s">
        <v>778</v>
      </c>
      <c r="O11" s="20" t="s">
        <v>164</v>
      </c>
      <c r="P11" s="18" t="s">
        <v>105</v>
      </c>
      <c r="Q11" s="154">
        <v>17.09</v>
      </c>
      <c r="R11" s="154">
        <v>3.681</v>
      </c>
      <c r="S11" s="154">
        <v>17736</v>
      </c>
      <c r="T11" s="154">
        <v>11.157</v>
      </c>
      <c r="U11" s="169">
        <v>1.9999999999999999E-6</v>
      </c>
      <c r="V11" s="169">
        <v>0.113351875874755</v>
      </c>
      <c r="W11" s="169">
        <v>1.43021759423924E-3</v>
      </c>
    </row>
    <row r="12" spans="1:23">
      <c r="A12" s="18" t="s">
        <v>26</v>
      </c>
      <c r="B12" s="18">
        <v>14769</v>
      </c>
      <c r="C12" s="18" t="s">
        <v>1583</v>
      </c>
      <c r="D12" s="18" t="s">
        <v>1584</v>
      </c>
      <c r="E12" s="18" t="s">
        <v>362</v>
      </c>
      <c r="F12" s="18" t="s">
        <v>1585</v>
      </c>
      <c r="G12" s="18" t="s">
        <v>1586</v>
      </c>
      <c r="H12" s="18" t="s">
        <v>368</v>
      </c>
      <c r="I12" s="18" t="s">
        <v>976</v>
      </c>
      <c r="J12" s="18" t="s">
        <v>100</v>
      </c>
      <c r="K12" s="18" t="s">
        <v>346</v>
      </c>
      <c r="L12" s="4" t="s">
        <v>374</v>
      </c>
      <c r="M12" s="18" t="s">
        <v>1574</v>
      </c>
      <c r="N12" s="20" t="s">
        <v>781</v>
      </c>
      <c r="O12" s="20" t="s">
        <v>164</v>
      </c>
      <c r="P12" s="18" t="s">
        <v>105</v>
      </c>
      <c r="Q12" s="154">
        <v>999.43</v>
      </c>
      <c r="R12" s="154">
        <v>3.681</v>
      </c>
      <c r="S12" s="154">
        <v>978.2</v>
      </c>
      <c r="T12" s="154">
        <v>35.987000000000002</v>
      </c>
      <c r="U12" s="169">
        <v>7.8999999999999996E-5</v>
      </c>
      <c r="V12" s="169">
        <v>0.36560405920289701</v>
      </c>
      <c r="W12" s="169">
        <v>4.6130101858660403E-3</v>
      </c>
    </row>
    <row r="13" spans="1:23">
      <c r="A13" s="18" t="s">
        <v>26</v>
      </c>
      <c r="B13" s="18">
        <v>14769</v>
      </c>
      <c r="C13" s="18" t="s">
        <v>1587</v>
      </c>
      <c r="D13" s="18" t="s">
        <v>1588</v>
      </c>
      <c r="E13" s="18" t="s">
        <v>362</v>
      </c>
      <c r="F13" s="18" t="s">
        <v>1589</v>
      </c>
      <c r="G13" s="18" t="s">
        <v>1590</v>
      </c>
      <c r="H13" s="18" t="s">
        <v>368</v>
      </c>
      <c r="I13" s="18" t="s">
        <v>976</v>
      </c>
      <c r="J13" s="18" t="s">
        <v>100</v>
      </c>
      <c r="K13" s="18" t="s">
        <v>303</v>
      </c>
      <c r="L13" s="4" t="s">
        <v>374</v>
      </c>
      <c r="M13" s="18" t="s">
        <v>204</v>
      </c>
      <c r="N13" s="20" t="s">
        <v>781</v>
      </c>
      <c r="O13" s="20" t="s">
        <v>164</v>
      </c>
      <c r="P13" s="18" t="s">
        <v>105</v>
      </c>
      <c r="Q13" s="154">
        <v>801.55</v>
      </c>
      <c r="R13" s="154">
        <v>3.681</v>
      </c>
      <c r="S13" s="154">
        <v>1294.8900000000001</v>
      </c>
      <c r="T13" s="154">
        <v>38.206000000000003</v>
      </c>
      <c r="U13" s="169">
        <v>0</v>
      </c>
      <c r="V13" s="169">
        <v>0.38814541850635098</v>
      </c>
      <c r="W13" s="169">
        <v>4.8974258466133796E-3</v>
      </c>
    </row>
    <row r="14" spans="1:23">
      <c r="A14" s="18" t="s">
        <v>26</v>
      </c>
      <c r="B14" s="18">
        <v>14769</v>
      </c>
      <c r="C14" s="18" t="s">
        <v>1591</v>
      </c>
      <c r="D14" s="18" t="s">
        <v>1592</v>
      </c>
      <c r="E14" s="18" t="s">
        <v>362</v>
      </c>
      <c r="F14" s="18" t="s">
        <v>1593</v>
      </c>
      <c r="G14" s="18" t="s">
        <v>1594</v>
      </c>
      <c r="H14" s="18" t="s">
        <v>368</v>
      </c>
      <c r="I14" s="18" t="s">
        <v>976</v>
      </c>
      <c r="J14" s="18" t="s">
        <v>100</v>
      </c>
      <c r="K14" s="18" t="s">
        <v>339</v>
      </c>
      <c r="L14" s="4" t="s">
        <v>374</v>
      </c>
      <c r="M14" s="18" t="s">
        <v>204</v>
      </c>
      <c r="N14" s="20" t="s">
        <v>781</v>
      </c>
      <c r="O14" s="20" t="s">
        <v>164</v>
      </c>
      <c r="P14" s="18" t="s">
        <v>105</v>
      </c>
      <c r="Q14" s="154">
        <v>339.83</v>
      </c>
      <c r="R14" s="154">
        <v>3.681</v>
      </c>
      <c r="S14" s="154">
        <v>1045.75</v>
      </c>
      <c r="T14" s="154">
        <v>13.081</v>
      </c>
      <c r="U14" s="169">
        <v>0</v>
      </c>
      <c r="V14" s="169">
        <v>0.132898646415997</v>
      </c>
      <c r="W14" s="169">
        <v>1.6768490233435101E-3</v>
      </c>
    </row>
    <row r="15" spans="1:23">
      <c r="A15" s="18" t="s">
        <v>119</v>
      </c>
      <c r="B15" s="18">
        <v>12905</v>
      </c>
      <c r="C15" s="18" t="s">
        <v>1579</v>
      </c>
      <c r="D15" s="18" t="s">
        <v>1580</v>
      </c>
      <c r="E15" s="18" t="s">
        <v>362</v>
      </c>
      <c r="F15" s="18" t="s">
        <v>1605</v>
      </c>
      <c r="G15" s="18" t="s">
        <v>1606</v>
      </c>
      <c r="H15" s="18" t="s">
        <v>368</v>
      </c>
      <c r="I15" s="18" t="s">
        <v>1031</v>
      </c>
      <c r="J15" s="18" t="s">
        <v>100</v>
      </c>
      <c r="K15" s="18" t="s">
        <v>346</v>
      </c>
      <c r="L15" s="4" t="s">
        <v>374</v>
      </c>
      <c r="M15" s="18" t="s">
        <v>204</v>
      </c>
      <c r="N15" s="20" t="s">
        <v>778</v>
      </c>
      <c r="O15" s="20" t="s">
        <v>164</v>
      </c>
      <c r="P15" s="18" t="s">
        <v>105</v>
      </c>
      <c r="Q15" s="154">
        <v>2821.86</v>
      </c>
      <c r="R15" s="154">
        <v>3.681</v>
      </c>
      <c r="S15" s="154">
        <v>1242.53</v>
      </c>
      <c r="T15" s="154">
        <v>129.065</v>
      </c>
      <c r="U15" s="169">
        <v>0</v>
      </c>
      <c r="V15" s="169">
        <v>0.14267373294413899</v>
      </c>
      <c r="W15" s="169">
        <v>4.4578972899807501E-3</v>
      </c>
    </row>
    <row r="16" spans="1:23">
      <c r="A16" s="18" t="s">
        <v>119</v>
      </c>
      <c r="B16" s="18">
        <v>12905</v>
      </c>
      <c r="C16" s="18" t="s">
        <v>1579</v>
      </c>
      <c r="D16" s="18" t="s">
        <v>1580</v>
      </c>
      <c r="E16" s="18" t="s">
        <v>362</v>
      </c>
      <c r="F16" s="18" t="s">
        <v>1581</v>
      </c>
      <c r="G16" s="18" t="s">
        <v>1582</v>
      </c>
      <c r="H16" s="18" t="s">
        <v>368</v>
      </c>
      <c r="I16" s="18" t="s">
        <v>1031</v>
      </c>
      <c r="J16" s="18" t="s">
        <v>100</v>
      </c>
      <c r="K16" s="18" t="s">
        <v>346</v>
      </c>
      <c r="L16" s="4" t="s">
        <v>374</v>
      </c>
      <c r="M16" s="18" t="s">
        <v>1574</v>
      </c>
      <c r="N16" s="20" t="s">
        <v>778</v>
      </c>
      <c r="O16" s="20" t="s">
        <v>164</v>
      </c>
      <c r="P16" s="18" t="s">
        <v>105</v>
      </c>
      <c r="Q16" s="154">
        <v>210.78</v>
      </c>
      <c r="R16" s="154">
        <v>3.681</v>
      </c>
      <c r="S16" s="154">
        <v>17736</v>
      </c>
      <c r="T16" s="154">
        <v>137.61000000000001</v>
      </c>
      <c r="U16" s="169">
        <v>2.3E-5</v>
      </c>
      <c r="V16" s="169">
        <v>0.15212015453668101</v>
      </c>
      <c r="W16" s="169">
        <v>4.75305447377643E-3</v>
      </c>
    </row>
    <row r="17" spans="1:23">
      <c r="A17" s="18" t="s">
        <v>119</v>
      </c>
      <c r="B17" s="18">
        <v>12905</v>
      </c>
      <c r="C17" s="18" t="s">
        <v>1583</v>
      </c>
      <c r="D17" s="18" t="s">
        <v>1584</v>
      </c>
      <c r="E17" s="18" t="s">
        <v>362</v>
      </c>
      <c r="F17" s="18" t="s">
        <v>1585</v>
      </c>
      <c r="G17" s="18" t="s">
        <v>1586</v>
      </c>
      <c r="H17" s="18" t="s">
        <v>368</v>
      </c>
      <c r="I17" s="18" t="s">
        <v>976</v>
      </c>
      <c r="J17" s="18" t="s">
        <v>100</v>
      </c>
      <c r="K17" s="18" t="s">
        <v>346</v>
      </c>
      <c r="L17" s="4" t="s">
        <v>374</v>
      </c>
      <c r="M17" s="18" t="s">
        <v>1574</v>
      </c>
      <c r="N17" s="20" t="s">
        <v>781</v>
      </c>
      <c r="O17" s="20" t="s">
        <v>164</v>
      </c>
      <c r="P17" s="18" t="s">
        <v>105</v>
      </c>
      <c r="Q17" s="154">
        <v>3284.78</v>
      </c>
      <c r="R17" s="154">
        <v>3.681</v>
      </c>
      <c r="S17" s="154">
        <v>978.2</v>
      </c>
      <c r="T17" s="154">
        <v>118.277</v>
      </c>
      <c r="U17" s="169">
        <v>2.5999999999999998E-4</v>
      </c>
      <c r="V17" s="169">
        <v>0.130748171460946</v>
      </c>
      <c r="W17" s="169">
        <v>4.0852783984694401E-3</v>
      </c>
    </row>
    <row r="18" spans="1:23">
      <c r="A18" s="18" t="s">
        <v>119</v>
      </c>
      <c r="B18" s="18">
        <v>12905</v>
      </c>
      <c r="C18" s="18" t="s">
        <v>1587</v>
      </c>
      <c r="D18" s="18" t="s">
        <v>1588</v>
      </c>
      <c r="E18" s="18" t="s">
        <v>362</v>
      </c>
      <c r="F18" s="18" t="s">
        <v>1589</v>
      </c>
      <c r="G18" s="18" t="s">
        <v>1590</v>
      </c>
      <c r="H18" s="18" t="s">
        <v>368</v>
      </c>
      <c r="I18" s="18" t="s">
        <v>976</v>
      </c>
      <c r="J18" s="18" t="s">
        <v>100</v>
      </c>
      <c r="K18" s="18" t="s">
        <v>303</v>
      </c>
      <c r="L18" s="4" t="s">
        <v>374</v>
      </c>
      <c r="M18" s="18" t="s">
        <v>204</v>
      </c>
      <c r="N18" s="20" t="s">
        <v>781</v>
      </c>
      <c r="O18" s="20" t="s">
        <v>164</v>
      </c>
      <c r="P18" s="18" t="s">
        <v>105</v>
      </c>
      <c r="Q18" s="154">
        <v>837.01</v>
      </c>
      <c r="R18" s="154">
        <v>3.681</v>
      </c>
      <c r="S18" s="154">
        <v>1294.8900000000001</v>
      </c>
      <c r="T18" s="154">
        <v>39.896000000000001</v>
      </c>
      <c r="U18" s="169">
        <v>0</v>
      </c>
      <c r="V18" s="169">
        <v>4.4102702353591303E-2</v>
      </c>
      <c r="W18" s="169">
        <v>1.3780064013596599E-3</v>
      </c>
    </row>
    <row r="19" spans="1:23">
      <c r="A19" s="18" t="s">
        <v>119</v>
      </c>
      <c r="B19" s="18">
        <v>12905</v>
      </c>
      <c r="C19" s="18" t="s">
        <v>1591</v>
      </c>
      <c r="D19" s="18" t="s">
        <v>1592</v>
      </c>
      <c r="E19" s="18" t="s">
        <v>362</v>
      </c>
      <c r="F19" s="18" t="s">
        <v>1593</v>
      </c>
      <c r="G19" s="18" t="s">
        <v>1594</v>
      </c>
      <c r="H19" s="18" t="s">
        <v>368</v>
      </c>
      <c r="I19" s="18" t="s">
        <v>976</v>
      </c>
      <c r="J19" s="18" t="s">
        <v>100</v>
      </c>
      <c r="K19" s="18" t="s">
        <v>339</v>
      </c>
      <c r="L19" s="4" t="s">
        <v>374</v>
      </c>
      <c r="M19" s="18" t="s">
        <v>204</v>
      </c>
      <c r="N19" s="20" t="s">
        <v>781</v>
      </c>
      <c r="O19" s="20" t="s">
        <v>164</v>
      </c>
      <c r="P19" s="18" t="s">
        <v>105</v>
      </c>
      <c r="Q19" s="154">
        <v>2233.1799999999998</v>
      </c>
      <c r="R19" s="154">
        <v>3.681</v>
      </c>
      <c r="S19" s="154">
        <v>1045.75</v>
      </c>
      <c r="T19" s="154">
        <v>85.963999999999999</v>
      </c>
      <c r="U19" s="169">
        <v>0</v>
      </c>
      <c r="V19" s="169">
        <v>9.5028370143130397E-2</v>
      </c>
      <c r="W19" s="169">
        <v>2.9691990599153301E-3</v>
      </c>
    </row>
    <row r="20" spans="1:23">
      <c r="A20" s="4" t="s">
        <v>119</v>
      </c>
      <c r="B20" s="4">
        <v>12905</v>
      </c>
      <c r="D20" s="4" t="s">
        <v>1598</v>
      </c>
      <c r="E20" s="18" t="s">
        <v>362</v>
      </c>
      <c r="F20" s="4" t="s">
        <v>1599</v>
      </c>
      <c r="G20" s="4" t="s">
        <v>1600</v>
      </c>
      <c r="H20" s="18" t="s">
        <v>368</v>
      </c>
      <c r="I20" s="18" t="s">
        <v>204</v>
      </c>
      <c r="J20" s="18" t="s">
        <v>100</v>
      </c>
      <c r="K20" s="18" t="s">
        <v>346</v>
      </c>
      <c r="L20" s="4" t="s">
        <v>374</v>
      </c>
      <c r="M20" s="18" t="s">
        <v>204</v>
      </c>
      <c r="N20" s="20" t="s">
        <v>614</v>
      </c>
      <c r="O20" s="20" t="s">
        <v>164</v>
      </c>
      <c r="P20" s="4" t="s">
        <v>105</v>
      </c>
      <c r="Q20" s="152">
        <v>4425.79</v>
      </c>
      <c r="R20" s="152">
        <v>3.681</v>
      </c>
      <c r="S20" s="152">
        <v>1199.6600000000001</v>
      </c>
      <c r="T20" s="152">
        <v>195.441</v>
      </c>
      <c r="U20" s="166">
        <v>0</v>
      </c>
      <c r="V20" s="166">
        <v>0.21604820347466</v>
      </c>
      <c r="W20" s="166">
        <v>6.7505116807449403E-3</v>
      </c>
    </row>
    <row r="21" spans="1:23">
      <c r="A21" s="4" t="s">
        <v>119</v>
      </c>
      <c r="B21" s="4">
        <v>12905</v>
      </c>
      <c r="C21" s="4" t="s">
        <v>1601</v>
      </c>
      <c r="D21" s="4" t="s">
        <v>1602</v>
      </c>
      <c r="E21" s="4" t="s">
        <v>362</v>
      </c>
      <c r="F21" s="4" t="s">
        <v>1603</v>
      </c>
      <c r="G21" s="4" t="s">
        <v>1604</v>
      </c>
      <c r="H21" s="4" t="s">
        <v>368</v>
      </c>
      <c r="I21" s="4" t="s">
        <v>1031</v>
      </c>
      <c r="J21" s="4" t="s">
        <v>100</v>
      </c>
      <c r="K21" s="4" t="s">
        <v>271</v>
      </c>
      <c r="L21" s="4" t="s">
        <v>374</v>
      </c>
      <c r="M21" s="4" t="s">
        <v>1574</v>
      </c>
      <c r="N21" s="4" t="s">
        <v>778</v>
      </c>
      <c r="O21" s="4" t="s">
        <v>164</v>
      </c>
      <c r="P21" s="4" t="s">
        <v>105</v>
      </c>
      <c r="Q21" s="152">
        <v>4761.21</v>
      </c>
      <c r="R21" s="152">
        <v>3.681</v>
      </c>
      <c r="S21" s="152">
        <v>1131.82</v>
      </c>
      <c r="T21" s="152">
        <v>198.363</v>
      </c>
      <c r="U21" s="166">
        <v>1.93E-4</v>
      </c>
      <c r="V21" s="166">
        <v>0.21927866508685101</v>
      </c>
      <c r="W21" s="166">
        <v>6.8514487332016196E-3</v>
      </c>
    </row>
    <row r="22" spans="1:23">
      <c r="A22" s="4" t="s">
        <v>119</v>
      </c>
      <c r="B22" s="4">
        <v>13680</v>
      </c>
      <c r="C22" s="4" t="s">
        <v>1579</v>
      </c>
      <c r="D22" s="4" t="s">
        <v>1580</v>
      </c>
      <c r="E22" s="4" t="s">
        <v>362</v>
      </c>
      <c r="F22" s="4" t="s">
        <v>1581</v>
      </c>
      <c r="G22" s="4" t="s">
        <v>1582</v>
      </c>
      <c r="H22" s="2" t="s">
        <v>368</v>
      </c>
      <c r="I22" s="4" t="s">
        <v>1031</v>
      </c>
      <c r="J22" s="4" t="s">
        <v>100</v>
      </c>
      <c r="K22" s="4" t="s">
        <v>346</v>
      </c>
      <c r="L22" s="4" t="s">
        <v>374</v>
      </c>
      <c r="M22" s="4" t="s">
        <v>1574</v>
      </c>
      <c r="N22" s="4" t="s">
        <v>778</v>
      </c>
      <c r="O22" s="4" t="s">
        <v>164</v>
      </c>
      <c r="P22" s="4" t="s">
        <v>105</v>
      </c>
      <c r="Q22" s="152">
        <v>96.84</v>
      </c>
      <c r="R22" s="152">
        <v>3.681</v>
      </c>
      <c r="S22" s="152">
        <v>17736</v>
      </c>
      <c r="T22" s="152">
        <v>63.222999999999999</v>
      </c>
      <c r="U22" s="166">
        <v>1.1E-5</v>
      </c>
      <c r="V22" s="166">
        <v>0.149423085958311</v>
      </c>
      <c r="W22" s="166">
        <v>2.1614618937258502E-3</v>
      </c>
    </row>
    <row r="23" spans="1:23">
      <c r="A23" s="4" t="s">
        <v>119</v>
      </c>
      <c r="B23" s="4">
        <v>13680</v>
      </c>
      <c r="C23" s="4" t="s">
        <v>1583</v>
      </c>
      <c r="D23" s="4" t="s">
        <v>1584</v>
      </c>
      <c r="E23" s="4" t="s">
        <v>362</v>
      </c>
      <c r="F23" s="4" t="s">
        <v>1585</v>
      </c>
      <c r="G23" s="4" t="s">
        <v>1586</v>
      </c>
      <c r="H23" s="2" t="s">
        <v>368</v>
      </c>
      <c r="I23" s="4" t="s">
        <v>976</v>
      </c>
      <c r="J23" s="4" t="s">
        <v>100</v>
      </c>
      <c r="K23" s="4" t="s">
        <v>346</v>
      </c>
      <c r="L23" s="4" t="s">
        <v>374</v>
      </c>
      <c r="M23" s="2" t="s">
        <v>1574</v>
      </c>
      <c r="N23" s="4" t="s">
        <v>781</v>
      </c>
      <c r="O23" s="4" t="s">
        <v>164</v>
      </c>
      <c r="P23" s="4" t="s">
        <v>105</v>
      </c>
      <c r="Q23" s="152">
        <v>4112.51</v>
      </c>
      <c r="R23" s="152">
        <v>3.681</v>
      </c>
      <c r="S23" s="152">
        <v>978.2</v>
      </c>
      <c r="T23" s="152">
        <v>148.08099999999999</v>
      </c>
      <c r="U23" s="166">
        <v>3.2600000000000001E-4</v>
      </c>
      <c r="V23" s="166">
        <v>0.34997890340062998</v>
      </c>
      <c r="W23" s="166">
        <v>5.0625782385425797E-3</v>
      </c>
    </row>
    <row r="24" spans="1:23">
      <c r="A24" s="4" t="s">
        <v>119</v>
      </c>
      <c r="B24" s="4">
        <v>13680</v>
      </c>
      <c r="C24" s="4" t="s">
        <v>1587</v>
      </c>
      <c r="D24" s="4" t="s">
        <v>1588</v>
      </c>
      <c r="E24" s="4" t="s">
        <v>362</v>
      </c>
      <c r="F24" s="4" t="s">
        <v>1589</v>
      </c>
      <c r="G24" s="4" t="s">
        <v>1590</v>
      </c>
      <c r="H24" s="2" t="s">
        <v>368</v>
      </c>
      <c r="I24" s="4" t="s">
        <v>976</v>
      </c>
      <c r="J24" s="4" t="s">
        <v>100</v>
      </c>
      <c r="K24" s="4" t="s">
        <v>303</v>
      </c>
      <c r="L24" s="4" t="s">
        <v>374</v>
      </c>
      <c r="M24" s="2" t="s">
        <v>204</v>
      </c>
      <c r="N24" s="4" t="s">
        <v>781</v>
      </c>
      <c r="O24" s="4" t="s">
        <v>164</v>
      </c>
      <c r="P24" s="4" t="s">
        <v>105</v>
      </c>
      <c r="Q24" s="152">
        <v>2875.47</v>
      </c>
      <c r="R24" s="152">
        <v>3.681</v>
      </c>
      <c r="S24" s="152">
        <v>1294.8900000000001</v>
      </c>
      <c r="T24" s="152">
        <v>137.059</v>
      </c>
      <c r="U24" s="166">
        <v>0</v>
      </c>
      <c r="V24" s="166">
        <v>0.32392834970597301</v>
      </c>
      <c r="W24" s="166">
        <v>4.6857470497049299E-3</v>
      </c>
    </row>
    <row r="25" spans="1:23">
      <c r="A25" s="4" t="s">
        <v>119</v>
      </c>
      <c r="B25" s="4">
        <v>13680</v>
      </c>
      <c r="C25" s="4" t="s">
        <v>1591</v>
      </c>
      <c r="D25" s="4" t="s">
        <v>1592</v>
      </c>
      <c r="E25" s="4" t="s">
        <v>362</v>
      </c>
      <c r="F25" s="4" t="s">
        <v>1593</v>
      </c>
      <c r="G25" s="4" t="s">
        <v>1594</v>
      </c>
      <c r="H25" s="2" t="s">
        <v>368</v>
      </c>
      <c r="I25" s="4" t="s">
        <v>976</v>
      </c>
      <c r="J25" s="4" t="s">
        <v>100</v>
      </c>
      <c r="K25" s="4" t="s">
        <v>339</v>
      </c>
      <c r="L25" s="4" t="s">
        <v>374</v>
      </c>
      <c r="M25" s="2" t="s">
        <v>204</v>
      </c>
      <c r="N25" s="4" t="s">
        <v>781</v>
      </c>
      <c r="O25" s="4" t="s">
        <v>164</v>
      </c>
      <c r="P25" s="4" t="s">
        <v>105</v>
      </c>
      <c r="Q25" s="152">
        <v>1941.9</v>
      </c>
      <c r="R25" s="152">
        <v>3.681</v>
      </c>
      <c r="S25" s="152">
        <v>1045.75</v>
      </c>
      <c r="T25" s="152">
        <v>74.751999999999995</v>
      </c>
      <c r="U25" s="166">
        <v>0</v>
      </c>
      <c r="V25" s="166">
        <v>0.17666966093508699</v>
      </c>
      <c r="W25" s="166">
        <v>2.5555939862947101E-3</v>
      </c>
    </row>
    <row r="26" spans="1:23">
      <c r="A26" s="4" t="s">
        <v>128</v>
      </c>
      <c r="B26" s="4">
        <v>7228</v>
      </c>
      <c r="C26" s="4" t="s">
        <v>1570</v>
      </c>
      <c r="D26" s="4" t="s">
        <v>1571</v>
      </c>
      <c r="E26" s="4" t="s">
        <v>362</v>
      </c>
      <c r="F26" s="4" t="s">
        <v>1572</v>
      </c>
      <c r="G26" s="4" t="s">
        <v>1573</v>
      </c>
      <c r="H26" s="2" t="s">
        <v>368</v>
      </c>
      <c r="I26" s="4" t="s">
        <v>976</v>
      </c>
      <c r="J26" s="4" t="s">
        <v>100</v>
      </c>
      <c r="K26" s="4" t="s">
        <v>343</v>
      </c>
      <c r="L26" s="4" t="s">
        <v>374</v>
      </c>
      <c r="M26" s="2" t="s">
        <v>1574</v>
      </c>
      <c r="N26" s="4" t="s">
        <v>781</v>
      </c>
      <c r="O26" s="4" t="s">
        <v>164</v>
      </c>
      <c r="P26" s="4" t="s">
        <v>1224</v>
      </c>
      <c r="Q26" s="152">
        <v>54973.29</v>
      </c>
      <c r="R26" s="152">
        <v>3.9790000000000001</v>
      </c>
      <c r="S26" s="152">
        <v>5063</v>
      </c>
      <c r="T26" s="152">
        <v>11075.02</v>
      </c>
      <c r="U26" s="166">
        <v>2.0119999999999999E-3</v>
      </c>
      <c r="V26" s="166">
        <v>0.116447317948882</v>
      </c>
      <c r="W26" s="166">
        <v>4.7789113223275096E-3</v>
      </c>
    </row>
    <row r="27" spans="1:23">
      <c r="A27" s="4" t="s">
        <v>128</v>
      </c>
      <c r="B27" s="4">
        <v>7228</v>
      </c>
      <c r="C27" s="4" t="s">
        <v>1575</v>
      </c>
      <c r="D27" s="4" t="s">
        <v>1576</v>
      </c>
      <c r="E27" s="4" t="s">
        <v>362</v>
      </c>
      <c r="F27" s="4" t="s">
        <v>1577</v>
      </c>
      <c r="G27" s="4" t="s">
        <v>1578</v>
      </c>
      <c r="H27" s="2" t="s">
        <v>368</v>
      </c>
      <c r="I27" s="4" t="s">
        <v>1031</v>
      </c>
      <c r="J27" s="4" t="s">
        <v>100</v>
      </c>
      <c r="K27" s="4" t="s">
        <v>303</v>
      </c>
      <c r="L27" s="4" t="s">
        <v>374</v>
      </c>
      <c r="M27" s="2" t="s">
        <v>204</v>
      </c>
      <c r="N27" s="4" t="s">
        <v>778</v>
      </c>
      <c r="O27" s="4" t="s">
        <v>164</v>
      </c>
      <c r="P27" s="4" t="s">
        <v>105</v>
      </c>
      <c r="Q27" s="152">
        <v>71123.75</v>
      </c>
      <c r="R27" s="152">
        <v>3.681</v>
      </c>
      <c r="S27" s="152">
        <v>3303</v>
      </c>
      <c r="T27" s="152">
        <v>8647.4689999999991</v>
      </c>
      <c r="U27" s="166">
        <v>1.6410000000000001E-3</v>
      </c>
      <c r="V27" s="166">
        <v>9.0923054666392195E-2</v>
      </c>
      <c r="W27" s="166">
        <v>3.7314145405785001E-3</v>
      </c>
    </row>
    <row r="28" spans="1:23">
      <c r="A28" s="4" t="s">
        <v>128</v>
      </c>
      <c r="B28" s="4">
        <v>7228</v>
      </c>
      <c r="C28" s="4" t="s">
        <v>1579</v>
      </c>
      <c r="D28" s="4" t="s">
        <v>1580</v>
      </c>
      <c r="E28" s="4" t="s">
        <v>362</v>
      </c>
      <c r="F28" s="4" t="s">
        <v>1581</v>
      </c>
      <c r="G28" s="4" t="s">
        <v>1582</v>
      </c>
      <c r="H28" s="2" t="s">
        <v>368</v>
      </c>
      <c r="I28" s="4" t="s">
        <v>1031</v>
      </c>
      <c r="J28" s="4" t="s">
        <v>100</v>
      </c>
      <c r="K28" s="4" t="s">
        <v>346</v>
      </c>
      <c r="L28" s="4" t="s">
        <v>374</v>
      </c>
      <c r="M28" s="2" t="s">
        <v>1574</v>
      </c>
      <c r="N28" s="4" t="s">
        <v>778</v>
      </c>
      <c r="O28" s="4" t="s">
        <v>164</v>
      </c>
      <c r="P28" s="4" t="s">
        <v>105</v>
      </c>
      <c r="Q28" s="152">
        <v>17090.12</v>
      </c>
      <c r="R28" s="152">
        <v>3.681</v>
      </c>
      <c r="S28" s="152">
        <v>17736</v>
      </c>
      <c r="T28" s="152">
        <v>11157.493</v>
      </c>
      <c r="U28" s="166">
        <v>1.8749999999999999E-3</v>
      </c>
      <c r="V28" s="166">
        <v>0.117314471855581</v>
      </c>
      <c r="W28" s="166">
        <v>4.8144986737231601E-3</v>
      </c>
    </row>
    <row r="29" spans="1:23">
      <c r="A29" s="4" t="s">
        <v>128</v>
      </c>
      <c r="B29" s="4">
        <v>7228</v>
      </c>
      <c r="C29" s="4" t="s">
        <v>1583</v>
      </c>
      <c r="D29" s="4" t="s">
        <v>1584</v>
      </c>
      <c r="E29" s="4" t="s">
        <v>362</v>
      </c>
      <c r="F29" s="4" t="s">
        <v>1585</v>
      </c>
      <c r="G29" s="4" t="s">
        <v>1586</v>
      </c>
      <c r="H29" s="4" t="s">
        <v>368</v>
      </c>
      <c r="I29" s="4" t="s">
        <v>976</v>
      </c>
      <c r="J29" s="4" t="s">
        <v>100</v>
      </c>
      <c r="K29" s="4" t="s">
        <v>346</v>
      </c>
      <c r="L29" s="4" t="s">
        <v>374</v>
      </c>
      <c r="M29" s="2" t="s">
        <v>1574</v>
      </c>
      <c r="N29" s="4" t="s">
        <v>781</v>
      </c>
      <c r="O29" s="4" t="s">
        <v>164</v>
      </c>
      <c r="P29" s="4" t="s">
        <v>105</v>
      </c>
      <c r="Q29" s="152">
        <v>349645.04</v>
      </c>
      <c r="R29" s="152">
        <v>3.681</v>
      </c>
      <c r="S29" s="152">
        <v>978.2</v>
      </c>
      <c r="T29" s="152">
        <v>12589.858</v>
      </c>
      <c r="U29" s="166">
        <v>2.7677E-2</v>
      </c>
      <c r="V29" s="166">
        <v>0.13237495570031099</v>
      </c>
      <c r="W29" s="166">
        <v>5.4325697296568297E-3</v>
      </c>
    </row>
    <row r="30" spans="1:23">
      <c r="A30" s="4" t="s">
        <v>128</v>
      </c>
      <c r="B30" s="4">
        <v>7228</v>
      </c>
      <c r="C30" s="4" t="s">
        <v>1587</v>
      </c>
      <c r="D30" s="4" t="s">
        <v>1588</v>
      </c>
      <c r="E30" s="4" t="s">
        <v>362</v>
      </c>
      <c r="F30" s="4" t="s">
        <v>1589</v>
      </c>
      <c r="G30" s="4" t="s">
        <v>1590</v>
      </c>
      <c r="H30" s="4" t="s">
        <v>368</v>
      </c>
      <c r="I30" s="4" t="s">
        <v>976</v>
      </c>
      <c r="J30" s="4" t="s">
        <v>100</v>
      </c>
      <c r="K30" s="4" t="s">
        <v>303</v>
      </c>
      <c r="L30" s="4" t="s">
        <v>374</v>
      </c>
      <c r="M30" s="2" t="s">
        <v>204</v>
      </c>
      <c r="N30" s="4" t="s">
        <v>781</v>
      </c>
      <c r="O30" s="4" t="s">
        <v>164</v>
      </c>
      <c r="P30" s="4" t="s">
        <v>105</v>
      </c>
      <c r="Q30" s="152">
        <v>262821.98</v>
      </c>
      <c r="R30" s="152">
        <v>3.681</v>
      </c>
      <c r="S30" s="152">
        <v>1294.8900000000001</v>
      </c>
      <c r="T30" s="152">
        <v>12527.384</v>
      </c>
      <c r="U30" s="166">
        <v>0</v>
      </c>
      <c r="V30" s="166">
        <v>0.13171806959449101</v>
      </c>
      <c r="W30" s="166">
        <v>5.40561161242513E-3</v>
      </c>
    </row>
    <row r="31" spans="1:23">
      <c r="A31" s="4" t="s">
        <v>128</v>
      </c>
      <c r="B31" s="4">
        <v>7228</v>
      </c>
      <c r="C31" s="4" t="s">
        <v>1591</v>
      </c>
      <c r="D31" s="4" t="s">
        <v>1592</v>
      </c>
      <c r="E31" s="4" t="s">
        <v>362</v>
      </c>
      <c r="F31" s="4" t="s">
        <v>1593</v>
      </c>
      <c r="G31" s="4" t="s">
        <v>1594</v>
      </c>
      <c r="H31" s="4" t="s">
        <v>368</v>
      </c>
      <c r="I31" s="4" t="s">
        <v>976</v>
      </c>
      <c r="J31" s="4" t="s">
        <v>100</v>
      </c>
      <c r="K31" s="4" t="s">
        <v>339</v>
      </c>
      <c r="L31" s="4" t="s">
        <v>374</v>
      </c>
      <c r="M31" s="2" t="s">
        <v>204</v>
      </c>
      <c r="N31" s="4" t="s">
        <v>781</v>
      </c>
      <c r="O31" s="4" t="s">
        <v>164</v>
      </c>
      <c r="P31" s="4" t="s">
        <v>105</v>
      </c>
      <c r="Q31" s="152">
        <v>174770.86</v>
      </c>
      <c r="R31" s="152">
        <v>3.681</v>
      </c>
      <c r="S31" s="152">
        <v>1045.75</v>
      </c>
      <c r="T31" s="152">
        <v>6727.64</v>
      </c>
      <c r="U31" s="166">
        <v>0</v>
      </c>
      <c r="V31" s="166">
        <v>7.0737172139593005E-2</v>
      </c>
      <c r="W31" s="166">
        <v>2.90300093468643E-3</v>
      </c>
    </row>
    <row r="32" spans="1:23">
      <c r="A32" s="4" t="s">
        <v>128</v>
      </c>
      <c r="B32" s="4">
        <v>7228</v>
      </c>
      <c r="C32" s="4" t="s">
        <v>1595</v>
      </c>
      <c r="D32" s="4" t="s">
        <v>1596</v>
      </c>
      <c r="E32" s="4" t="s">
        <v>34</v>
      </c>
      <c r="F32" s="4" t="s">
        <v>1595</v>
      </c>
      <c r="G32" s="4" t="s">
        <v>1597</v>
      </c>
      <c r="H32" s="4" t="s">
        <v>368</v>
      </c>
      <c r="I32" s="4" t="s">
        <v>976</v>
      </c>
      <c r="J32" s="4" t="s">
        <v>100</v>
      </c>
      <c r="K32" s="4" t="s">
        <v>101</v>
      </c>
      <c r="L32" s="4" t="s">
        <v>374</v>
      </c>
      <c r="M32" s="2" t="s">
        <v>204</v>
      </c>
      <c r="N32" s="4" t="s">
        <v>781</v>
      </c>
      <c r="O32" s="4" t="s">
        <v>164</v>
      </c>
      <c r="P32" s="4" t="s">
        <v>105</v>
      </c>
      <c r="Q32" s="152">
        <v>10000</v>
      </c>
      <c r="R32" s="152">
        <v>3.681</v>
      </c>
      <c r="S32" s="152">
        <v>11473</v>
      </c>
      <c r="T32" s="152">
        <v>4223.2110000000002</v>
      </c>
      <c r="U32" s="166">
        <v>0</v>
      </c>
      <c r="V32" s="166">
        <v>4.4404582497756598E-2</v>
      </c>
      <c r="W32" s="166">
        <v>1.8223310403328501E-3</v>
      </c>
    </row>
    <row r="33" spans="1:23">
      <c r="A33" s="4" t="s">
        <v>128</v>
      </c>
      <c r="B33" s="4">
        <v>7228</v>
      </c>
      <c r="D33" s="4" t="s">
        <v>1598</v>
      </c>
      <c r="E33" s="4" t="s">
        <v>362</v>
      </c>
      <c r="F33" s="4" t="s">
        <v>1599</v>
      </c>
      <c r="G33" s="4" t="s">
        <v>1600</v>
      </c>
      <c r="H33" s="4" t="s">
        <v>368</v>
      </c>
      <c r="I33" s="4" t="s">
        <v>204</v>
      </c>
      <c r="J33" s="4" t="s">
        <v>100</v>
      </c>
      <c r="K33" s="4" t="s">
        <v>346</v>
      </c>
      <c r="L33" s="4" t="s">
        <v>374</v>
      </c>
      <c r="M33" s="2" t="s">
        <v>204</v>
      </c>
      <c r="N33" s="4" t="s">
        <v>614</v>
      </c>
      <c r="O33" s="4" t="s">
        <v>164</v>
      </c>
      <c r="P33" s="4" t="s">
        <v>105</v>
      </c>
      <c r="Q33" s="152">
        <v>211763.91</v>
      </c>
      <c r="R33" s="152">
        <v>3.681</v>
      </c>
      <c r="S33" s="152">
        <v>1199.6600000000001</v>
      </c>
      <c r="T33" s="152">
        <v>9351.3850000000002</v>
      </c>
      <c r="U33" s="166">
        <v>0</v>
      </c>
      <c r="V33" s="166">
        <v>9.8324313571402894E-2</v>
      </c>
      <c r="W33" s="166">
        <v>4.0351567014426997E-3</v>
      </c>
    </row>
    <row r="34" spans="1:23">
      <c r="A34" s="4" t="s">
        <v>128</v>
      </c>
      <c r="B34" s="4">
        <v>7228</v>
      </c>
      <c r="C34" s="4" t="s">
        <v>1601</v>
      </c>
      <c r="D34" s="4" t="s">
        <v>1602</v>
      </c>
      <c r="E34" s="4" t="s">
        <v>362</v>
      </c>
      <c r="F34" s="4" t="s">
        <v>1603</v>
      </c>
      <c r="G34" s="4" t="s">
        <v>1604</v>
      </c>
      <c r="H34" s="4" t="s">
        <v>368</v>
      </c>
      <c r="I34" s="4" t="s">
        <v>1031</v>
      </c>
      <c r="J34" s="4" t="s">
        <v>100</v>
      </c>
      <c r="K34" s="4" t="s">
        <v>271</v>
      </c>
      <c r="L34" s="4" t="s">
        <v>374</v>
      </c>
      <c r="M34" s="2" t="s">
        <v>1574</v>
      </c>
      <c r="N34" s="4" t="s">
        <v>778</v>
      </c>
      <c r="O34" s="4" t="s">
        <v>164</v>
      </c>
      <c r="P34" s="4" t="s">
        <v>105</v>
      </c>
      <c r="Q34" s="152">
        <v>451441.67</v>
      </c>
      <c r="R34" s="152">
        <v>3.681</v>
      </c>
      <c r="S34" s="152">
        <v>1131.82</v>
      </c>
      <c r="T34" s="152">
        <v>18808.096000000001</v>
      </c>
      <c r="U34" s="166">
        <v>1.8280999999999999E-2</v>
      </c>
      <c r="V34" s="166">
        <v>0.19775606202559001</v>
      </c>
      <c r="W34" s="166">
        <v>8.1157617068334693E-3</v>
      </c>
    </row>
    <row r="35" spans="1:23">
      <c r="A35" s="4" t="s">
        <v>128</v>
      </c>
      <c r="B35" s="4">
        <v>7229</v>
      </c>
      <c r="C35" s="4" t="s">
        <v>1575</v>
      </c>
      <c r="D35" s="4" t="s">
        <v>1576</v>
      </c>
      <c r="E35" s="4" t="s">
        <v>362</v>
      </c>
      <c r="F35" s="4" t="s">
        <v>1577</v>
      </c>
      <c r="G35" s="4" t="s">
        <v>1578</v>
      </c>
      <c r="H35" s="4" t="s">
        <v>368</v>
      </c>
      <c r="I35" s="4" t="s">
        <v>1031</v>
      </c>
      <c r="J35" s="4" t="s">
        <v>100</v>
      </c>
      <c r="K35" s="4" t="s">
        <v>303</v>
      </c>
      <c r="L35" s="4" t="s">
        <v>374</v>
      </c>
      <c r="M35" s="2" t="s">
        <v>204</v>
      </c>
      <c r="N35" s="4" t="s">
        <v>778</v>
      </c>
      <c r="O35" s="4" t="s">
        <v>164</v>
      </c>
      <c r="P35" s="4" t="s">
        <v>105</v>
      </c>
      <c r="Q35" s="152">
        <v>6543.38</v>
      </c>
      <c r="R35" s="152">
        <v>3.681</v>
      </c>
      <c r="S35" s="152">
        <v>3303</v>
      </c>
      <c r="T35" s="152">
        <v>795.56700000000001</v>
      </c>
      <c r="U35" s="166">
        <v>1.5100000000000001E-4</v>
      </c>
      <c r="V35" s="166">
        <v>0.135399622804732</v>
      </c>
      <c r="W35" s="166">
        <v>5.54966099014994E-3</v>
      </c>
    </row>
    <row r="36" spans="1:23">
      <c r="A36" s="4" t="s">
        <v>128</v>
      </c>
      <c r="B36" s="4">
        <v>7229</v>
      </c>
      <c r="C36" s="4" t="s">
        <v>1579</v>
      </c>
      <c r="D36" s="4" t="s">
        <v>1580</v>
      </c>
      <c r="E36" s="4" t="s">
        <v>362</v>
      </c>
      <c r="F36" s="4" t="s">
        <v>1581</v>
      </c>
      <c r="G36" s="4" t="s">
        <v>1582</v>
      </c>
      <c r="H36" s="4" t="s">
        <v>368</v>
      </c>
      <c r="I36" s="4" t="s">
        <v>1031</v>
      </c>
      <c r="J36" s="4" t="s">
        <v>100</v>
      </c>
      <c r="K36" s="4" t="s">
        <v>346</v>
      </c>
      <c r="L36" s="4" t="s">
        <v>374</v>
      </c>
      <c r="M36" s="2" t="s">
        <v>1574</v>
      </c>
      <c r="N36" s="4" t="s">
        <v>778</v>
      </c>
      <c r="O36" s="4" t="s">
        <v>164</v>
      </c>
      <c r="P36" s="4" t="s">
        <v>105</v>
      </c>
      <c r="Q36" s="152">
        <v>541.19000000000005</v>
      </c>
      <c r="R36" s="152">
        <v>3.681</v>
      </c>
      <c r="S36" s="152">
        <v>17736</v>
      </c>
      <c r="T36" s="152">
        <v>353.322</v>
      </c>
      <c r="U36" s="166">
        <v>5.8999999999999998E-5</v>
      </c>
      <c r="V36" s="166">
        <v>6.0132904571262899E-2</v>
      </c>
      <c r="W36" s="166">
        <v>2.46468363656243E-3</v>
      </c>
    </row>
    <row r="37" spans="1:23">
      <c r="A37" s="4" t="s">
        <v>128</v>
      </c>
      <c r="B37" s="4">
        <v>7229</v>
      </c>
      <c r="C37" s="4" t="s">
        <v>1583</v>
      </c>
      <c r="D37" s="4" t="s">
        <v>1584</v>
      </c>
      <c r="E37" s="4" t="s">
        <v>362</v>
      </c>
      <c r="F37" s="4" t="s">
        <v>1585</v>
      </c>
      <c r="G37" s="4" t="s">
        <v>1586</v>
      </c>
      <c r="H37" s="4" t="s">
        <v>368</v>
      </c>
      <c r="I37" s="4" t="s">
        <v>976</v>
      </c>
      <c r="J37" s="4" t="s">
        <v>100</v>
      </c>
      <c r="K37" s="4" t="s">
        <v>346</v>
      </c>
      <c r="L37" s="4" t="s">
        <v>374</v>
      </c>
      <c r="M37" s="2" t="s">
        <v>1574</v>
      </c>
      <c r="N37" s="4" t="s">
        <v>781</v>
      </c>
      <c r="O37" s="4" t="s">
        <v>164</v>
      </c>
      <c r="P37" s="4" t="s">
        <v>105</v>
      </c>
      <c r="Q37" s="152">
        <v>28821.46</v>
      </c>
      <c r="R37" s="152">
        <v>3.681</v>
      </c>
      <c r="S37" s="152">
        <v>978.2</v>
      </c>
      <c r="T37" s="152">
        <v>1037.79</v>
      </c>
      <c r="U37" s="166">
        <v>2.281E-3</v>
      </c>
      <c r="V37" s="166">
        <v>0.176624267611142</v>
      </c>
      <c r="W37" s="166">
        <v>7.2393466656031401E-3</v>
      </c>
    </row>
    <row r="38" spans="1:23">
      <c r="A38" s="4" t="s">
        <v>128</v>
      </c>
      <c r="B38" s="4">
        <v>7229</v>
      </c>
      <c r="C38" s="4" t="s">
        <v>1587</v>
      </c>
      <c r="D38" s="4" t="s">
        <v>1588</v>
      </c>
      <c r="E38" s="4" t="s">
        <v>362</v>
      </c>
      <c r="F38" s="4" t="s">
        <v>1589</v>
      </c>
      <c r="G38" s="4" t="s">
        <v>1590</v>
      </c>
      <c r="H38" s="4" t="s">
        <v>368</v>
      </c>
      <c r="I38" s="4" t="s">
        <v>976</v>
      </c>
      <c r="J38" s="4" t="s">
        <v>100</v>
      </c>
      <c r="K38" s="4" t="s">
        <v>303</v>
      </c>
      <c r="L38" s="4" t="s">
        <v>374</v>
      </c>
      <c r="M38" s="2" t="s">
        <v>204</v>
      </c>
      <c r="N38" s="4" t="s">
        <v>781</v>
      </c>
      <c r="O38" s="4" t="s">
        <v>164</v>
      </c>
      <c r="P38" s="4" t="s">
        <v>105</v>
      </c>
      <c r="Q38" s="152">
        <v>1177.04</v>
      </c>
      <c r="R38" s="152">
        <v>3.681</v>
      </c>
      <c r="S38" s="152">
        <v>1294.8900000000001</v>
      </c>
      <c r="T38" s="152">
        <v>56.103000000000002</v>
      </c>
      <c r="U38" s="166">
        <v>0</v>
      </c>
      <c r="V38" s="166">
        <v>9.5484051315219507E-3</v>
      </c>
      <c r="W38" s="166">
        <v>3.9136306570791398E-4</v>
      </c>
    </row>
    <row r="39" spans="1:23">
      <c r="A39" s="4" t="s">
        <v>128</v>
      </c>
      <c r="B39" s="4">
        <v>7229</v>
      </c>
      <c r="C39" s="4" t="s">
        <v>1591</v>
      </c>
      <c r="D39" s="4" t="s">
        <v>1592</v>
      </c>
      <c r="E39" s="4" t="s">
        <v>362</v>
      </c>
      <c r="F39" s="4" t="s">
        <v>1593</v>
      </c>
      <c r="G39" s="4" t="s">
        <v>1594</v>
      </c>
      <c r="H39" s="4" t="s">
        <v>368</v>
      </c>
      <c r="I39" s="4" t="s">
        <v>976</v>
      </c>
      <c r="J39" s="4" t="s">
        <v>100</v>
      </c>
      <c r="K39" s="4" t="s">
        <v>339</v>
      </c>
      <c r="L39" s="4" t="s">
        <v>374</v>
      </c>
      <c r="M39" s="2" t="s">
        <v>204</v>
      </c>
      <c r="N39" s="4" t="s">
        <v>781</v>
      </c>
      <c r="O39" s="4" t="s">
        <v>164</v>
      </c>
      <c r="P39" s="4" t="s">
        <v>105</v>
      </c>
      <c r="Q39" s="152">
        <v>11165.92</v>
      </c>
      <c r="R39" s="152">
        <v>3.681</v>
      </c>
      <c r="S39" s="152">
        <v>1045.75</v>
      </c>
      <c r="T39" s="152">
        <v>429.822</v>
      </c>
      <c r="U39" s="166">
        <v>0</v>
      </c>
      <c r="V39" s="166">
        <v>7.3152491741726194E-2</v>
      </c>
      <c r="W39" s="166">
        <v>2.9983209800872202E-3</v>
      </c>
    </row>
    <row r="40" spans="1:23">
      <c r="A40" s="4" t="s">
        <v>128</v>
      </c>
      <c r="B40" s="4">
        <v>7229</v>
      </c>
      <c r="D40" s="4" t="s">
        <v>1598</v>
      </c>
      <c r="E40" s="4" t="s">
        <v>362</v>
      </c>
      <c r="F40" s="4" t="s">
        <v>1599</v>
      </c>
      <c r="G40" s="4" t="s">
        <v>1600</v>
      </c>
      <c r="H40" s="4" t="s">
        <v>368</v>
      </c>
      <c r="I40" s="4" t="s">
        <v>204</v>
      </c>
      <c r="J40" s="4" t="s">
        <v>100</v>
      </c>
      <c r="K40" s="4" t="s">
        <v>346</v>
      </c>
      <c r="L40" s="4" t="s">
        <v>374</v>
      </c>
      <c r="M40" s="2" t="s">
        <v>204</v>
      </c>
      <c r="N40" s="4" t="s">
        <v>614</v>
      </c>
      <c r="O40" s="4" t="s">
        <v>164</v>
      </c>
      <c r="P40" s="4" t="s">
        <v>105</v>
      </c>
      <c r="Q40" s="152">
        <v>26395.85</v>
      </c>
      <c r="R40" s="152">
        <v>3.681</v>
      </c>
      <c r="S40" s="152">
        <v>1199.6600000000001</v>
      </c>
      <c r="T40" s="152">
        <v>1165.627</v>
      </c>
      <c r="U40" s="166">
        <v>0</v>
      </c>
      <c r="V40" s="166">
        <v>0.198381225509565</v>
      </c>
      <c r="W40" s="166">
        <v>8.1311049882045894E-3</v>
      </c>
    </row>
    <row r="41" spans="1:23">
      <c r="A41" s="4" t="s">
        <v>128</v>
      </c>
      <c r="B41" s="4">
        <v>7229</v>
      </c>
      <c r="C41" s="4" t="s">
        <v>1601</v>
      </c>
      <c r="D41" s="4" t="s">
        <v>1602</v>
      </c>
      <c r="E41" s="4" t="s">
        <v>362</v>
      </c>
      <c r="F41" s="4" t="s">
        <v>1603</v>
      </c>
      <c r="G41" s="4" t="s">
        <v>1604</v>
      </c>
      <c r="H41" s="4" t="s">
        <v>368</v>
      </c>
      <c r="I41" s="4" t="s">
        <v>1031</v>
      </c>
      <c r="J41" s="4" t="s">
        <v>100</v>
      </c>
      <c r="K41" s="4" t="s">
        <v>271</v>
      </c>
      <c r="L41" s="4" t="s">
        <v>374</v>
      </c>
      <c r="M41" s="2" t="s">
        <v>1574</v>
      </c>
      <c r="N41" s="4" t="s">
        <v>778</v>
      </c>
      <c r="O41" s="4" t="s">
        <v>164</v>
      </c>
      <c r="P41" s="4" t="s">
        <v>105</v>
      </c>
      <c r="Q41" s="152">
        <v>48904.21</v>
      </c>
      <c r="R41" s="152">
        <v>3.681</v>
      </c>
      <c r="S41" s="152">
        <v>1131.82</v>
      </c>
      <c r="T41" s="152">
        <v>2037.462</v>
      </c>
      <c r="U41" s="166">
        <v>1.98E-3</v>
      </c>
      <c r="V41" s="166">
        <v>0.34676108263005001</v>
      </c>
      <c r="W41" s="166">
        <v>1.42127903557712E-2</v>
      </c>
    </row>
    <row r="42" spans="1:23">
      <c r="A42" s="4" t="s">
        <v>128</v>
      </c>
      <c r="B42" s="4">
        <v>9817</v>
      </c>
      <c r="C42" s="4" t="s">
        <v>1607</v>
      </c>
      <c r="D42" s="4" t="s">
        <v>1608</v>
      </c>
      <c r="E42" s="4" t="s">
        <v>1380</v>
      </c>
      <c r="F42" s="4" t="s">
        <v>1609</v>
      </c>
      <c r="G42" s="4" t="s">
        <v>1610</v>
      </c>
      <c r="H42" s="4" t="s">
        <v>368</v>
      </c>
      <c r="I42" s="4" t="s">
        <v>976</v>
      </c>
      <c r="J42" s="4" t="s">
        <v>31</v>
      </c>
      <c r="K42" s="4" t="s">
        <v>31</v>
      </c>
      <c r="L42" s="4" t="s">
        <v>374</v>
      </c>
      <c r="M42" s="2" t="s">
        <v>32</v>
      </c>
      <c r="N42" s="4" t="s">
        <v>1611</v>
      </c>
      <c r="O42" s="4" t="s">
        <v>164</v>
      </c>
      <c r="P42" s="4" t="s">
        <v>35</v>
      </c>
      <c r="Q42" s="152">
        <v>590</v>
      </c>
      <c r="R42" s="152">
        <v>1</v>
      </c>
      <c r="S42" s="152">
        <v>2914.49</v>
      </c>
      <c r="T42" s="152">
        <v>17.195</v>
      </c>
      <c r="U42" s="166">
        <v>0</v>
      </c>
      <c r="V42" s="166">
        <v>1</v>
      </c>
      <c r="W42" s="166">
        <v>1.1853977727438601E-2</v>
      </c>
    </row>
    <row r="43" spans="1:23">
      <c r="A43" s="4" t="s">
        <v>144</v>
      </c>
      <c r="B43" s="4">
        <v>969</v>
      </c>
      <c r="C43" s="4" t="s">
        <v>1575</v>
      </c>
      <c r="D43" s="4" t="s">
        <v>1576</v>
      </c>
      <c r="E43" s="4" t="s">
        <v>362</v>
      </c>
      <c r="F43" s="4" t="s">
        <v>1577</v>
      </c>
      <c r="G43" s="4" t="s">
        <v>1578</v>
      </c>
      <c r="H43" s="4" t="s">
        <v>368</v>
      </c>
      <c r="I43" s="4" t="s">
        <v>1031</v>
      </c>
      <c r="J43" s="4" t="s">
        <v>100</v>
      </c>
      <c r="K43" s="4" t="s">
        <v>303</v>
      </c>
      <c r="L43" s="4" t="s">
        <v>374</v>
      </c>
      <c r="M43" s="2" t="s">
        <v>204</v>
      </c>
      <c r="N43" s="4" t="s">
        <v>778</v>
      </c>
      <c r="O43" s="4" t="s">
        <v>164</v>
      </c>
      <c r="P43" s="4" t="s">
        <v>105</v>
      </c>
      <c r="Q43" s="152">
        <v>3129.44</v>
      </c>
      <c r="R43" s="152">
        <v>3.681</v>
      </c>
      <c r="S43" s="152">
        <v>3303</v>
      </c>
      <c r="T43" s="152">
        <v>380.488</v>
      </c>
      <c r="U43" s="166">
        <v>7.2000000000000002E-5</v>
      </c>
      <c r="V43" s="166">
        <v>0.112148706733624</v>
      </c>
      <c r="W43" s="166">
        <v>5.18042166836543E-3</v>
      </c>
    </row>
    <row r="44" spans="1:23">
      <c r="A44" s="4" t="s">
        <v>144</v>
      </c>
      <c r="B44" s="4">
        <v>969</v>
      </c>
      <c r="C44" s="4" t="s">
        <v>1579</v>
      </c>
      <c r="D44" s="4" t="s">
        <v>1580</v>
      </c>
      <c r="E44" s="4" t="s">
        <v>362</v>
      </c>
      <c r="F44" s="4" t="s">
        <v>1581</v>
      </c>
      <c r="G44" s="4" t="s">
        <v>1582</v>
      </c>
      <c r="H44" s="4" t="s">
        <v>368</v>
      </c>
      <c r="I44" s="4" t="s">
        <v>1031</v>
      </c>
      <c r="J44" s="4" t="s">
        <v>100</v>
      </c>
      <c r="K44" s="4" t="s">
        <v>346</v>
      </c>
      <c r="L44" s="4" t="s">
        <v>374</v>
      </c>
      <c r="M44" s="2" t="s">
        <v>1574</v>
      </c>
      <c r="N44" s="4" t="s">
        <v>778</v>
      </c>
      <c r="O44" s="4" t="s">
        <v>164</v>
      </c>
      <c r="P44" s="4" t="s">
        <v>105</v>
      </c>
      <c r="Q44" s="152">
        <v>552.58000000000004</v>
      </c>
      <c r="R44" s="152">
        <v>3.681</v>
      </c>
      <c r="S44" s="152">
        <v>17736</v>
      </c>
      <c r="T44" s="152">
        <v>360.75900000000001</v>
      </c>
      <c r="U44" s="166">
        <v>6.0999999999999999E-5</v>
      </c>
      <c r="V44" s="166">
        <v>0.106333451003143</v>
      </c>
      <c r="W44" s="166">
        <v>4.9118008552442999E-3</v>
      </c>
    </row>
    <row r="45" spans="1:23">
      <c r="A45" s="4" t="s">
        <v>144</v>
      </c>
      <c r="B45" s="4">
        <v>969</v>
      </c>
      <c r="C45" s="4" t="s">
        <v>1583</v>
      </c>
      <c r="D45" s="4" t="s">
        <v>1584</v>
      </c>
      <c r="E45" s="4" t="s">
        <v>362</v>
      </c>
      <c r="F45" s="4" t="s">
        <v>1585</v>
      </c>
      <c r="G45" s="4" t="s">
        <v>1586</v>
      </c>
      <c r="H45" s="4" t="s">
        <v>368</v>
      </c>
      <c r="I45" s="4" t="s">
        <v>976</v>
      </c>
      <c r="J45" s="4" t="s">
        <v>100</v>
      </c>
      <c r="K45" s="4" t="s">
        <v>346</v>
      </c>
      <c r="L45" s="4" t="s">
        <v>374</v>
      </c>
      <c r="M45" s="2" t="s">
        <v>1574</v>
      </c>
      <c r="N45" s="4" t="s">
        <v>781</v>
      </c>
      <c r="O45" s="4" t="s">
        <v>164</v>
      </c>
      <c r="P45" s="4" t="s">
        <v>105</v>
      </c>
      <c r="Q45" s="152">
        <v>13191.1</v>
      </c>
      <c r="R45" s="152">
        <v>3.681</v>
      </c>
      <c r="S45" s="152">
        <v>978.2</v>
      </c>
      <c r="T45" s="152">
        <v>474.97899999999998</v>
      </c>
      <c r="U45" s="166">
        <v>1.044E-3</v>
      </c>
      <c r="V45" s="166">
        <v>0.13999990401394899</v>
      </c>
      <c r="W45" s="166">
        <v>6.4669362442634501E-3</v>
      </c>
    </row>
    <row r="46" spans="1:23">
      <c r="A46" s="4" t="s">
        <v>144</v>
      </c>
      <c r="B46" s="4">
        <v>969</v>
      </c>
      <c r="C46" s="4" t="s">
        <v>1587</v>
      </c>
      <c r="D46" s="4" t="s">
        <v>1588</v>
      </c>
      <c r="E46" s="4" t="s">
        <v>362</v>
      </c>
      <c r="F46" s="4" t="s">
        <v>1589</v>
      </c>
      <c r="G46" s="4" t="s">
        <v>1590</v>
      </c>
      <c r="H46" s="4" t="s">
        <v>368</v>
      </c>
      <c r="I46" s="4" t="s">
        <v>976</v>
      </c>
      <c r="J46" s="4" t="s">
        <v>100</v>
      </c>
      <c r="K46" s="4" t="s">
        <v>303</v>
      </c>
      <c r="L46" s="4" t="s">
        <v>374</v>
      </c>
      <c r="M46" s="2" t="s">
        <v>204</v>
      </c>
      <c r="N46" s="4" t="s">
        <v>781</v>
      </c>
      <c r="O46" s="4" t="s">
        <v>164</v>
      </c>
      <c r="P46" s="4" t="s">
        <v>105</v>
      </c>
      <c r="Q46" s="152">
        <v>10462.65</v>
      </c>
      <c r="R46" s="152">
        <v>3.681</v>
      </c>
      <c r="S46" s="152">
        <v>1294.8900000000001</v>
      </c>
      <c r="T46" s="152">
        <v>498.70100000000002</v>
      </c>
      <c r="U46" s="166">
        <v>0</v>
      </c>
      <c r="V46" s="166">
        <v>0.14699198040110401</v>
      </c>
      <c r="W46" s="166">
        <v>6.7899172672093297E-3</v>
      </c>
    </row>
    <row r="47" spans="1:23">
      <c r="A47" s="4" t="s">
        <v>144</v>
      </c>
      <c r="B47" s="4">
        <v>969</v>
      </c>
      <c r="C47" s="4" t="s">
        <v>1591</v>
      </c>
      <c r="D47" s="4" t="s">
        <v>1592</v>
      </c>
      <c r="E47" s="4" t="s">
        <v>362</v>
      </c>
      <c r="F47" s="4" t="s">
        <v>1593</v>
      </c>
      <c r="G47" s="4" t="s">
        <v>1594</v>
      </c>
      <c r="H47" s="4" t="s">
        <v>368</v>
      </c>
      <c r="I47" s="4" t="s">
        <v>976</v>
      </c>
      <c r="J47" s="4" t="s">
        <v>100</v>
      </c>
      <c r="K47" s="4" t="s">
        <v>339</v>
      </c>
      <c r="L47" s="4" t="s">
        <v>374</v>
      </c>
      <c r="M47" s="2" t="s">
        <v>204</v>
      </c>
      <c r="N47" s="4" t="s">
        <v>781</v>
      </c>
      <c r="O47" s="4" t="s">
        <v>164</v>
      </c>
      <c r="P47" s="4" t="s">
        <v>105</v>
      </c>
      <c r="Q47" s="152">
        <v>5825.7</v>
      </c>
      <c r="R47" s="152">
        <v>3.681</v>
      </c>
      <c r="S47" s="152">
        <v>1045.75</v>
      </c>
      <c r="T47" s="152">
        <v>224.255</v>
      </c>
      <c r="U47" s="166">
        <v>0</v>
      </c>
      <c r="V47" s="166">
        <v>6.6099025461499705E-2</v>
      </c>
      <c r="W47" s="166">
        <v>3.05327483242327E-3</v>
      </c>
    </row>
    <row r="48" spans="1:23">
      <c r="A48" s="4" t="s">
        <v>144</v>
      </c>
      <c r="B48" s="4">
        <v>969</v>
      </c>
      <c r="D48" s="4" t="s">
        <v>1598</v>
      </c>
      <c r="E48" s="4" t="s">
        <v>362</v>
      </c>
      <c r="F48" s="4" t="s">
        <v>1599</v>
      </c>
      <c r="G48" s="4" t="s">
        <v>1600</v>
      </c>
      <c r="H48" s="4" t="s">
        <v>368</v>
      </c>
      <c r="I48" s="4" t="s">
        <v>204</v>
      </c>
      <c r="J48" s="4" t="s">
        <v>100</v>
      </c>
      <c r="K48" s="4" t="s">
        <v>346</v>
      </c>
      <c r="L48" s="4" t="s">
        <v>374</v>
      </c>
      <c r="M48" s="2" t="s">
        <v>204</v>
      </c>
      <c r="N48" s="4" t="s">
        <v>614</v>
      </c>
      <c r="O48" s="4" t="s">
        <v>164</v>
      </c>
      <c r="P48" s="4" t="s">
        <v>105</v>
      </c>
      <c r="Q48" s="152">
        <v>11740</v>
      </c>
      <c r="R48" s="152">
        <v>3.681</v>
      </c>
      <c r="S48" s="152">
        <v>1199.6600000000001</v>
      </c>
      <c r="T48" s="152">
        <v>518.43200000000002</v>
      </c>
      <c r="U48" s="166">
        <v>0</v>
      </c>
      <c r="V48" s="166">
        <v>0.15280773632056899</v>
      </c>
      <c r="W48" s="166">
        <v>7.05856118527681E-3</v>
      </c>
    </row>
    <row r="49" spans="1:23">
      <c r="A49" s="4" t="s">
        <v>144</v>
      </c>
      <c r="B49" s="4">
        <v>969</v>
      </c>
      <c r="C49" s="4" t="s">
        <v>1601</v>
      </c>
      <c r="D49" s="4" t="s">
        <v>1602</v>
      </c>
      <c r="E49" s="4" t="s">
        <v>362</v>
      </c>
      <c r="F49" s="4" t="s">
        <v>1603</v>
      </c>
      <c r="G49" s="4" t="s">
        <v>1604</v>
      </c>
      <c r="H49" s="4" t="s">
        <v>368</v>
      </c>
      <c r="I49" s="4" t="s">
        <v>1031</v>
      </c>
      <c r="J49" s="4" t="s">
        <v>100</v>
      </c>
      <c r="K49" s="4" t="s">
        <v>271</v>
      </c>
      <c r="L49" s="4" t="s">
        <v>374</v>
      </c>
      <c r="M49" s="2" t="s">
        <v>1574</v>
      </c>
      <c r="N49" s="4" t="s">
        <v>778</v>
      </c>
      <c r="O49" s="4" t="s">
        <v>164</v>
      </c>
      <c r="P49" s="4" t="s">
        <v>105</v>
      </c>
      <c r="Q49" s="152">
        <v>22444.66</v>
      </c>
      <c r="R49" s="152">
        <v>3.681</v>
      </c>
      <c r="S49" s="152">
        <v>1131.82</v>
      </c>
      <c r="T49" s="152">
        <v>935.096</v>
      </c>
      <c r="U49" s="166">
        <v>9.0899999999999998E-4</v>
      </c>
      <c r="V49" s="166">
        <v>0.27561919606611102</v>
      </c>
      <c r="W49" s="166">
        <v>1.27315213621653E-2</v>
      </c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6</v>
      </c>
      <c r="J1" s="19" t="s">
        <v>7</v>
      </c>
      <c r="K1" s="19" t="s">
        <v>373</v>
      </c>
      <c r="L1" s="19" t="s">
        <v>8</v>
      </c>
      <c r="M1" s="19" t="s">
        <v>1161</v>
      </c>
      <c r="N1" s="19" t="s">
        <v>186</v>
      </c>
      <c r="O1" s="19" t="s">
        <v>1162</v>
      </c>
      <c r="P1" s="19" t="s">
        <v>150</v>
      </c>
      <c r="Q1" s="19" t="s">
        <v>11</v>
      </c>
      <c r="R1" s="19" t="s">
        <v>1163</v>
      </c>
      <c r="S1" s="19" t="s">
        <v>1164</v>
      </c>
      <c r="T1" s="19" t="s">
        <v>17</v>
      </c>
      <c r="U1" s="19" t="s">
        <v>18</v>
      </c>
      <c r="V1" s="19" t="s">
        <v>19</v>
      </c>
      <c r="W1" s="19" t="s">
        <v>20</v>
      </c>
      <c r="X1" s="163" t="s">
        <v>24</v>
      </c>
      <c r="Y1" s="163" t="s">
        <v>25</v>
      </c>
    </row>
    <row r="2" spans="1:25">
      <c r="A2" s="27" t="s">
        <v>26</v>
      </c>
      <c r="B2" s="20">
        <v>1182</v>
      </c>
      <c r="C2" s="20" t="s">
        <v>1997</v>
      </c>
      <c r="D2" s="20" t="s">
        <v>1998</v>
      </c>
      <c r="E2" s="18" t="s">
        <v>1380</v>
      </c>
      <c r="F2" s="20" t="s">
        <v>2651</v>
      </c>
      <c r="G2" s="20" t="s">
        <v>2652</v>
      </c>
      <c r="H2" s="18" t="s">
        <v>368</v>
      </c>
      <c r="I2" s="18" t="s">
        <v>31</v>
      </c>
      <c r="J2" s="18" t="s">
        <v>31</v>
      </c>
      <c r="K2" s="20" t="s">
        <v>374</v>
      </c>
      <c r="L2" s="18" t="s">
        <v>32</v>
      </c>
      <c r="M2" s="20" t="s">
        <v>204</v>
      </c>
      <c r="N2" s="20" t="s">
        <v>525</v>
      </c>
      <c r="O2" s="20" t="s">
        <v>2653</v>
      </c>
      <c r="P2" s="20" t="s">
        <v>164</v>
      </c>
      <c r="Q2" s="18" t="s">
        <v>35</v>
      </c>
      <c r="R2" s="154">
        <v>0</v>
      </c>
      <c r="S2" s="154">
        <v>0</v>
      </c>
      <c r="T2" s="153">
        <v>18000</v>
      </c>
      <c r="U2" s="153">
        <v>1</v>
      </c>
      <c r="V2" s="153">
        <v>12.5</v>
      </c>
      <c r="W2" s="153">
        <v>2.25</v>
      </c>
      <c r="X2" s="168">
        <v>0.66276600886992998</v>
      </c>
      <c r="Y2" s="168">
        <v>5.9235123456940998E-6</v>
      </c>
    </row>
    <row r="3" spans="1:25">
      <c r="A3" s="20" t="s">
        <v>26</v>
      </c>
      <c r="B3" s="20">
        <v>1182</v>
      </c>
      <c r="C3" s="20" t="s">
        <v>2033</v>
      </c>
      <c r="D3" s="20" t="s">
        <v>2034</v>
      </c>
      <c r="E3" s="18" t="s">
        <v>1380</v>
      </c>
      <c r="F3" s="20" t="s">
        <v>2654</v>
      </c>
      <c r="G3" s="20" t="s">
        <v>2655</v>
      </c>
      <c r="H3" s="18" t="s">
        <v>368</v>
      </c>
      <c r="I3" s="18" t="s">
        <v>31</v>
      </c>
      <c r="J3" s="18" t="s">
        <v>31</v>
      </c>
      <c r="K3" s="20" t="s">
        <v>374</v>
      </c>
      <c r="L3" s="18" t="s">
        <v>32</v>
      </c>
      <c r="M3" s="20" t="s">
        <v>793</v>
      </c>
      <c r="N3" s="20" t="s">
        <v>508</v>
      </c>
      <c r="O3" s="20" t="s">
        <v>2656</v>
      </c>
      <c r="P3" s="20" t="s">
        <v>164</v>
      </c>
      <c r="Q3" s="18" t="s">
        <v>35</v>
      </c>
      <c r="R3" s="154">
        <v>550</v>
      </c>
      <c r="S3" s="154">
        <v>0</v>
      </c>
      <c r="T3" s="153">
        <v>4489.66</v>
      </c>
      <c r="U3" s="153">
        <v>1</v>
      </c>
      <c r="V3" s="153">
        <v>25.5</v>
      </c>
      <c r="W3" s="153">
        <v>1.145</v>
      </c>
      <c r="X3" s="168">
        <v>0.33723399113007002</v>
      </c>
      <c r="Y3" s="168">
        <v>3.0140497296364802E-6</v>
      </c>
    </row>
    <row r="4" spans="1:25">
      <c r="A4" s="20" t="s">
        <v>128</v>
      </c>
      <c r="B4" s="20">
        <v>7228</v>
      </c>
      <c r="C4" s="20" t="s">
        <v>1997</v>
      </c>
      <c r="D4" s="20" t="s">
        <v>1998</v>
      </c>
      <c r="E4" s="18" t="s">
        <v>1380</v>
      </c>
      <c r="F4" s="20" t="s">
        <v>2651</v>
      </c>
      <c r="G4" s="20" t="s">
        <v>2652</v>
      </c>
      <c r="H4" s="18" t="s">
        <v>368</v>
      </c>
      <c r="I4" s="18" t="s">
        <v>31</v>
      </c>
      <c r="J4" s="18" t="s">
        <v>31</v>
      </c>
      <c r="K4" s="20" t="s">
        <v>374</v>
      </c>
      <c r="L4" s="18" t="s">
        <v>32</v>
      </c>
      <c r="M4" s="20" t="s">
        <v>204</v>
      </c>
      <c r="N4" s="20" t="s">
        <v>525</v>
      </c>
      <c r="O4" s="20" t="s">
        <v>2653</v>
      </c>
      <c r="P4" s="20" t="s">
        <v>164</v>
      </c>
      <c r="Q4" s="18" t="s">
        <v>35</v>
      </c>
      <c r="R4" s="154">
        <v>0</v>
      </c>
      <c r="S4" s="154">
        <v>0</v>
      </c>
      <c r="T4" s="153">
        <v>162225</v>
      </c>
      <c r="U4" s="153">
        <v>1</v>
      </c>
      <c r="V4" s="153">
        <v>12.5</v>
      </c>
      <c r="W4" s="153">
        <v>20.277999999999999</v>
      </c>
      <c r="X4" s="168">
        <v>0.66003845089240398</v>
      </c>
      <c r="Y4" s="168">
        <v>8.7500847109519499E-6</v>
      </c>
    </row>
    <row r="5" spans="1:25">
      <c r="A5" s="20" t="s">
        <v>128</v>
      </c>
      <c r="B5" s="20">
        <v>7228</v>
      </c>
      <c r="C5" s="20" t="s">
        <v>2033</v>
      </c>
      <c r="D5" s="20" t="s">
        <v>2034</v>
      </c>
      <c r="E5" s="18" t="s">
        <v>1380</v>
      </c>
      <c r="F5" s="20" t="s">
        <v>2654</v>
      </c>
      <c r="G5" s="20" t="s">
        <v>2655</v>
      </c>
      <c r="H5" s="18" t="s">
        <v>368</v>
      </c>
      <c r="I5" s="18" t="s">
        <v>31</v>
      </c>
      <c r="J5" s="18" t="s">
        <v>31</v>
      </c>
      <c r="K5" s="20" t="s">
        <v>374</v>
      </c>
      <c r="L5" s="18" t="s">
        <v>32</v>
      </c>
      <c r="M5" s="20" t="s">
        <v>793</v>
      </c>
      <c r="N5" s="20" t="s">
        <v>508</v>
      </c>
      <c r="O5" s="20" t="s">
        <v>2656</v>
      </c>
      <c r="P5" s="20" t="s">
        <v>164</v>
      </c>
      <c r="Q5" s="18" t="s">
        <v>35</v>
      </c>
      <c r="R5" s="154">
        <v>550</v>
      </c>
      <c r="S5" s="154">
        <v>0</v>
      </c>
      <c r="T5" s="153">
        <v>40958.89</v>
      </c>
      <c r="U5" s="153">
        <v>1</v>
      </c>
      <c r="V5" s="153">
        <v>25.5</v>
      </c>
      <c r="W5" s="153">
        <v>10.445</v>
      </c>
      <c r="X5" s="168">
        <v>0.33996154910759602</v>
      </c>
      <c r="Y5" s="168">
        <v>4.5068470619188598E-6</v>
      </c>
    </row>
    <row r="6" spans="1:25">
      <c r="A6" s="20" t="s">
        <v>128</v>
      </c>
      <c r="B6" s="20">
        <v>7229</v>
      </c>
      <c r="C6" s="20" t="s">
        <v>1997</v>
      </c>
      <c r="D6" s="20" t="s">
        <v>1998</v>
      </c>
      <c r="E6" s="18" t="s">
        <v>1380</v>
      </c>
      <c r="F6" s="20" t="s">
        <v>2651</v>
      </c>
      <c r="G6" s="20" t="s">
        <v>2652</v>
      </c>
      <c r="H6" s="18" t="s">
        <v>368</v>
      </c>
      <c r="I6" s="18" t="s">
        <v>31</v>
      </c>
      <c r="J6" s="18" t="s">
        <v>31</v>
      </c>
      <c r="K6" s="20" t="s">
        <v>374</v>
      </c>
      <c r="L6" s="18" t="s">
        <v>32</v>
      </c>
      <c r="M6" s="20" t="s">
        <v>204</v>
      </c>
      <c r="N6" s="20" t="s">
        <v>525</v>
      </c>
      <c r="O6" s="20" t="s">
        <v>2653</v>
      </c>
      <c r="P6" s="20" t="s">
        <v>164</v>
      </c>
      <c r="Q6" s="18" t="s">
        <v>35</v>
      </c>
      <c r="R6" s="154">
        <v>0</v>
      </c>
      <c r="S6" s="154">
        <v>0</v>
      </c>
      <c r="T6" s="153">
        <v>7200</v>
      </c>
      <c r="U6" s="153">
        <v>1</v>
      </c>
      <c r="V6" s="153">
        <v>12.5</v>
      </c>
      <c r="W6" s="153">
        <v>0.9</v>
      </c>
      <c r="X6" s="168">
        <v>1</v>
      </c>
      <c r="Y6" s="168">
        <v>6.2781607352185403E-6</v>
      </c>
    </row>
    <row r="7" spans="1:25">
      <c r="A7" s="20" t="s">
        <v>128</v>
      </c>
      <c r="B7" s="20">
        <v>9817</v>
      </c>
      <c r="C7" s="20" t="s">
        <v>2033</v>
      </c>
      <c r="D7" s="20" t="s">
        <v>2034</v>
      </c>
      <c r="E7" s="18" t="s">
        <v>1380</v>
      </c>
      <c r="F7" s="20" t="s">
        <v>2654</v>
      </c>
      <c r="G7" s="20" t="s">
        <v>2655</v>
      </c>
      <c r="H7" s="18" t="s">
        <v>368</v>
      </c>
      <c r="I7" s="18" t="s">
        <v>31</v>
      </c>
      <c r="J7" s="18" t="s">
        <v>31</v>
      </c>
      <c r="K7" s="20" t="s">
        <v>374</v>
      </c>
      <c r="L7" s="18" t="s">
        <v>32</v>
      </c>
      <c r="M7" s="20" t="s">
        <v>793</v>
      </c>
      <c r="N7" s="20" t="s">
        <v>508</v>
      </c>
      <c r="O7" s="20" t="s">
        <v>2656</v>
      </c>
      <c r="P7" s="20" t="s">
        <v>164</v>
      </c>
      <c r="Q7" s="18" t="s">
        <v>35</v>
      </c>
      <c r="R7" s="154">
        <v>550</v>
      </c>
      <c r="S7" s="154">
        <v>0</v>
      </c>
      <c r="T7" s="153">
        <v>40.81</v>
      </c>
      <c r="U7" s="153">
        <v>1</v>
      </c>
      <c r="V7" s="153">
        <v>25.5</v>
      </c>
      <c r="W7" s="153">
        <v>0.01</v>
      </c>
      <c r="X7" s="168">
        <v>1</v>
      </c>
      <c r="Y7" s="168">
        <v>7.1739162271944404E-6</v>
      </c>
    </row>
    <row r="8" spans="1:25">
      <c r="A8" s="20" t="s">
        <v>144</v>
      </c>
      <c r="B8" s="20">
        <v>969</v>
      </c>
      <c r="C8" s="20" t="s">
        <v>1997</v>
      </c>
      <c r="D8" s="20" t="s">
        <v>1998</v>
      </c>
      <c r="E8" s="18" t="s">
        <v>1380</v>
      </c>
      <c r="F8" s="20" t="s">
        <v>2651</v>
      </c>
      <c r="G8" s="20" t="s">
        <v>2652</v>
      </c>
      <c r="H8" s="18" t="s">
        <v>368</v>
      </c>
      <c r="I8" s="18" t="s">
        <v>31</v>
      </c>
      <c r="J8" s="18" t="s">
        <v>31</v>
      </c>
      <c r="K8" s="20" t="s">
        <v>374</v>
      </c>
      <c r="L8" s="18" t="s">
        <v>32</v>
      </c>
      <c r="M8" s="20" t="s">
        <v>204</v>
      </c>
      <c r="N8" s="20" t="s">
        <v>525</v>
      </c>
      <c r="O8" s="20" t="s">
        <v>2653</v>
      </c>
      <c r="P8" s="20" t="s">
        <v>164</v>
      </c>
      <c r="Q8" s="18" t="s">
        <v>35</v>
      </c>
      <c r="R8" s="154">
        <v>0</v>
      </c>
      <c r="S8" s="154">
        <v>0</v>
      </c>
      <c r="T8" s="153">
        <v>7200</v>
      </c>
      <c r="U8" s="153">
        <v>1</v>
      </c>
      <c r="V8" s="153">
        <v>12.5</v>
      </c>
      <c r="W8" s="153">
        <v>0.9</v>
      </c>
      <c r="X8" s="168">
        <v>0.59530636648409296</v>
      </c>
      <c r="Y8" s="168">
        <v>1.22536818477918E-5</v>
      </c>
    </row>
    <row r="9" spans="1:25">
      <c r="A9" s="20" t="s">
        <v>144</v>
      </c>
      <c r="B9" s="20">
        <v>969</v>
      </c>
      <c r="C9" s="20" t="s">
        <v>2033</v>
      </c>
      <c r="D9" s="20" t="s">
        <v>2034</v>
      </c>
      <c r="E9" s="18" t="s">
        <v>1380</v>
      </c>
      <c r="F9" s="20" t="s">
        <v>2654</v>
      </c>
      <c r="G9" s="20" t="s">
        <v>2655</v>
      </c>
      <c r="H9" s="18" t="s">
        <v>368</v>
      </c>
      <c r="I9" s="18" t="s">
        <v>31</v>
      </c>
      <c r="J9" s="18" t="s">
        <v>31</v>
      </c>
      <c r="K9" s="20" t="s">
        <v>374</v>
      </c>
      <c r="L9" s="18" t="s">
        <v>32</v>
      </c>
      <c r="M9" s="20" t="s">
        <v>793</v>
      </c>
      <c r="N9" s="20" t="s">
        <v>508</v>
      </c>
      <c r="O9" s="20" t="s">
        <v>2656</v>
      </c>
      <c r="P9" s="20" t="s">
        <v>164</v>
      </c>
      <c r="Q9" s="18" t="s">
        <v>35</v>
      </c>
      <c r="R9" s="154">
        <v>550</v>
      </c>
      <c r="S9" s="154">
        <v>0</v>
      </c>
      <c r="T9" s="153">
        <v>2399.3200000000002</v>
      </c>
      <c r="U9" s="153">
        <v>1</v>
      </c>
      <c r="V9" s="153">
        <v>25.5</v>
      </c>
      <c r="W9" s="153">
        <v>0.61199999999999999</v>
      </c>
      <c r="X9" s="168">
        <v>0.40469363351590698</v>
      </c>
      <c r="Y9" s="168">
        <v>8.3301427804624392E-6</v>
      </c>
    </row>
    <row r="10" spans="1:25">
      <c r="A10" s="20"/>
      <c r="B10" s="20"/>
      <c r="C10" s="20"/>
      <c r="D10" s="20"/>
      <c r="E10" s="18"/>
      <c r="F10" s="20"/>
      <c r="G10" s="20"/>
      <c r="H10" s="18"/>
      <c r="I10" s="18"/>
      <c r="J10" s="18"/>
      <c r="K10" s="20"/>
      <c r="L10" s="18"/>
      <c r="M10" s="20"/>
      <c r="N10" s="20"/>
      <c r="O10" s="20"/>
      <c r="P10" s="20"/>
      <c r="Q10" s="18"/>
      <c r="R10" s="18"/>
      <c r="S10" s="18"/>
      <c r="T10" s="20"/>
      <c r="U10" s="20"/>
      <c r="V10" s="20"/>
      <c r="W10" s="20"/>
      <c r="X10" s="20"/>
      <c r="Y10" s="20"/>
    </row>
    <row r="11" spans="1:25">
      <c r="A11" s="27"/>
      <c r="B11" s="20"/>
      <c r="C11" s="20"/>
      <c r="D11" s="20"/>
      <c r="E11" s="18"/>
      <c r="F11" s="20"/>
      <c r="G11" s="20"/>
      <c r="H11" s="18"/>
      <c r="I11" s="18"/>
      <c r="J11" s="18"/>
      <c r="K11" s="20"/>
      <c r="L11" s="18"/>
      <c r="M11" s="20"/>
      <c r="N11" s="20"/>
      <c r="O11" s="20"/>
      <c r="P11" s="20"/>
      <c r="Q11" s="18"/>
      <c r="R11" s="18"/>
      <c r="S11" s="18"/>
      <c r="T11" s="20"/>
      <c r="U11" s="20"/>
      <c r="V11" s="20"/>
      <c r="W11" s="20"/>
      <c r="X11" s="20"/>
      <c r="Y11" s="20"/>
    </row>
    <row r="12" spans="1:25">
      <c r="A12" s="20"/>
      <c r="B12" s="20"/>
      <c r="C12" s="20"/>
      <c r="D12" s="20"/>
      <c r="E12" s="18"/>
      <c r="F12" s="20"/>
      <c r="G12" s="20"/>
      <c r="H12" s="18"/>
      <c r="I12" s="18"/>
      <c r="J12" s="18"/>
      <c r="K12" s="20"/>
      <c r="L12" s="18"/>
      <c r="M12" s="20"/>
      <c r="N12" s="20"/>
      <c r="O12" s="20"/>
      <c r="P12" s="20"/>
      <c r="Q12" s="18"/>
      <c r="R12" s="18"/>
      <c r="S12" s="18"/>
      <c r="T12" s="20"/>
      <c r="U12" s="20"/>
      <c r="V12" s="20"/>
      <c r="W12" s="20"/>
      <c r="X12" s="20"/>
      <c r="Y12" s="20"/>
    </row>
    <row r="13" spans="1:25">
      <c r="A13" s="20"/>
      <c r="B13" s="20"/>
      <c r="C13" s="20"/>
      <c r="D13" s="20"/>
      <c r="E13" s="18"/>
      <c r="F13" s="20"/>
      <c r="G13" s="20"/>
      <c r="H13" s="18"/>
      <c r="I13" s="18"/>
      <c r="J13" s="18"/>
      <c r="K13" s="20"/>
      <c r="L13" s="18"/>
      <c r="M13" s="20"/>
      <c r="N13" s="20"/>
      <c r="O13" s="20"/>
      <c r="P13" s="20"/>
      <c r="Q13" s="18"/>
      <c r="R13" s="18"/>
      <c r="S13" s="18"/>
      <c r="T13" s="20"/>
      <c r="U13" s="20"/>
      <c r="V13" s="20"/>
      <c r="W13" s="20"/>
      <c r="X13" s="20"/>
      <c r="Y13" s="20"/>
    </row>
    <row r="14" spans="1:25">
      <c r="A14" s="20"/>
      <c r="B14" s="20"/>
      <c r="C14" s="20"/>
      <c r="D14" s="20"/>
      <c r="E14" s="18"/>
      <c r="F14" s="20"/>
      <c r="G14" s="20"/>
      <c r="H14" s="18"/>
      <c r="I14" s="18"/>
      <c r="J14" s="18"/>
      <c r="K14" s="20"/>
      <c r="L14" s="18"/>
      <c r="M14" s="20"/>
      <c r="N14" s="20"/>
      <c r="O14" s="20"/>
      <c r="P14" s="20"/>
      <c r="Q14" s="18"/>
      <c r="R14" s="18"/>
      <c r="S14" s="18"/>
      <c r="T14" s="20"/>
      <c r="U14" s="20"/>
      <c r="V14" s="20"/>
      <c r="W14" s="20"/>
      <c r="X14" s="20"/>
      <c r="Y14" s="20"/>
    </row>
    <row r="15" spans="1:25">
      <c r="A15" s="20"/>
      <c r="B15" s="20"/>
      <c r="C15" s="20"/>
      <c r="D15" s="20"/>
      <c r="E15" s="18"/>
      <c r="F15" s="20"/>
      <c r="G15" s="20"/>
      <c r="H15" s="18"/>
      <c r="I15" s="18"/>
      <c r="J15" s="18"/>
      <c r="K15" s="20"/>
      <c r="L15" s="18"/>
      <c r="M15" s="20"/>
      <c r="N15" s="20"/>
      <c r="O15" s="20"/>
      <c r="P15" s="20"/>
      <c r="Q15" s="18"/>
      <c r="R15" s="18"/>
      <c r="S15" s="18"/>
      <c r="T15" s="20"/>
      <c r="U15" s="20"/>
      <c r="V15" s="20"/>
      <c r="W15" s="20"/>
      <c r="X15" s="20"/>
      <c r="Y15" s="20"/>
    </row>
    <row r="16" spans="1:25">
      <c r="A16" s="20"/>
      <c r="B16" s="20"/>
      <c r="C16" s="20"/>
      <c r="D16" s="20"/>
      <c r="E16" s="18"/>
      <c r="F16" s="20"/>
      <c r="G16" s="20"/>
      <c r="H16" s="18"/>
      <c r="I16" s="18"/>
      <c r="J16" s="18"/>
      <c r="K16" s="20"/>
      <c r="L16" s="18"/>
      <c r="M16" s="20"/>
      <c r="N16" s="20"/>
      <c r="O16" s="20"/>
      <c r="P16" s="20"/>
      <c r="Q16" s="18"/>
      <c r="R16" s="18"/>
      <c r="S16" s="18"/>
      <c r="T16" s="20"/>
      <c r="U16" s="20"/>
      <c r="V16" s="20"/>
      <c r="W16" s="20"/>
      <c r="X16" s="20"/>
      <c r="Y16" s="20"/>
    </row>
    <row r="17" spans="1:25">
      <c r="A17" s="20"/>
      <c r="B17" s="20"/>
      <c r="C17" s="20"/>
      <c r="D17" s="20"/>
      <c r="E17" s="18"/>
      <c r="F17" s="20"/>
      <c r="G17" s="20"/>
      <c r="H17" s="18"/>
      <c r="I17" s="18"/>
      <c r="J17" s="18"/>
      <c r="K17" s="20"/>
      <c r="L17" s="18"/>
      <c r="M17" s="20"/>
      <c r="N17" s="20"/>
      <c r="O17" s="20"/>
      <c r="P17" s="20"/>
      <c r="Q17" s="18"/>
      <c r="R17" s="18"/>
      <c r="S17" s="18"/>
      <c r="T17" s="20"/>
      <c r="U17" s="20"/>
      <c r="V17" s="20"/>
      <c r="W17" s="20"/>
      <c r="X17" s="20"/>
      <c r="Y17" s="20"/>
    </row>
    <row r="18" spans="1:25">
      <c r="A18" s="20"/>
      <c r="B18" s="20"/>
      <c r="C18" s="20"/>
      <c r="D18" s="20"/>
      <c r="E18" s="18"/>
      <c r="F18" s="20"/>
      <c r="G18" s="20"/>
      <c r="H18" s="18"/>
      <c r="I18" s="18"/>
      <c r="J18" s="18"/>
      <c r="K18" s="20"/>
      <c r="L18" s="18"/>
      <c r="M18" s="20"/>
      <c r="N18" s="20"/>
      <c r="O18" s="20"/>
      <c r="P18" s="20"/>
      <c r="Q18" s="18"/>
      <c r="R18" s="18"/>
      <c r="S18" s="18"/>
      <c r="T18" s="20"/>
      <c r="U18" s="20"/>
      <c r="V18" s="20"/>
      <c r="W18" s="20"/>
      <c r="X18" s="20"/>
      <c r="Y18" s="20"/>
    </row>
    <row r="19" spans="1:25">
      <c r="A19" s="20"/>
      <c r="B19" s="20"/>
      <c r="C19" s="20"/>
      <c r="D19" s="20"/>
      <c r="E19" s="18"/>
      <c r="F19" s="20"/>
      <c r="G19" s="20"/>
      <c r="H19" s="18"/>
      <c r="I19" s="18"/>
      <c r="J19" s="18"/>
      <c r="K19" s="20"/>
      <c r="L19" s="18"/>
      <c r="M19" s="20"/>
      <c r="N19" s="20"/>
      <c r="O19" s="20"/>
      <c r="P19" s="20"/>
      <c r="Q19" s="18"/>
      <c r="R19" s="18"/>
      <c r="S19" s="18"/>
      <c r="T19" s="20"/>
      <c r="U19" s="20"/>
      <c r="V19" s="20"/>
      <c r="W19" s="20"/>
      <c r="X19" s="20"/>
      <c r="Y19" s="20"/>
    </row>
    <row r="20" spans="1:25">
      <c r="E20" s="18"/>
      <c r="H20" s="18"/>
      <c r="I20" s="18"/>
      <c r="J20" s="18"/>
      <c r="K20" s="20"/>
      <c r="L20" s="18"/>
      <c r="N20" s="20"/>
      <c r="P20" s="20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186</v>
      </c>
      <c r="N1" s="19" t="s">
        <v>222</v>
      </c>
      <c r="O1" s="19" t="s">
        <v>1162</v>
      </c>
      <c r="P1" s="19" t="s">
        <v>150</v>
      </c>
      <c r="Q1" s="19" t="s">
        <v>11</v>
      </c>
      <c r="R1" s="19" t="s">
        <v>1163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6</v>
      </c>
      <c r="J1" s="19" t="s">
        <v>7</v>
      </c>
      <c r="K1" s="19" t="s">
        <v>8</v>
      </c>
      <c r="L1" s="19" t="s">
        <v>222</v>
      </c>
      <c r="M1" s="19" t="s">
        <v>150</v>
      </c>
      <c r="N1" s="19" t="s">
        <v>11</v>
      </c>
      <c r="O1" s="19" t="s">
        <v>17</v>
      </c>
      <c r="P1" s="19" t="s">
        <v>18</v>
      </c>
      <c r="Q1" s="19" t="s">
        <v>19</v>
      </c>
      <c r="R1" s="19" t="s">
        <v>20</v>
      </c>
      <c r="S1" s="163" t="s">
        <v>24</v>
      </c>
      <c r="T1" s="163" t="s">
        <v>25</v>
      </c>
    </row>
    <row r="2" spans="1:20">
      <c r="A2" s="20" t="s">
        <v>26</v>
      </c>
      <c r="B2" s="20">
        <v>1182</v>
      </c>
      <c r="C2" s="2" t="s">
        <v>2642</v>
      </c>
      <c r="D2" s="2" t="s">
        <v>2643</v>
      </c>
      <c r="E2" s="18" t="s">
        <v>34</v>
      </c>
      <c r="F2" s="20" t="s">
        <v>2644</v>
      </c>
      <c r="G2" s="20" t="s">
        <v>2645</v>
      </c>
      <c r="H2" s="18" t="s">
        <v>204</v>
      </c>
      <c r="I2" s="18" t="s">
        <v>100</v>
      </c>
      <c r="J2" s="18" t="s">
        <v>101</v>
      </c>
      <c r="K2" s="18" t="s">
        <v>2646</v>
      </c>
      <c r="L2" s="20" t="s">
        <v>793</v>
      </c>
      <c r="M2" s="20" t="s">
        <v>164</v>
      </c>
      <c r="N2" s="18" t="s">
        <v>105</v>
      </c>
      <c r="O2" s="153">
        <v>35</v>
      </c>
      <c r="P2" s="153">
        <v>3.681</v>
      </c>
      <c r="Q2" s="153">
        <v>5308.5</v>
      </c>
      <c r="R2" s="153">
        <v>744.66600000000005</v>
      </c>
      <c r="S2" s="168">
        <v>0.96666482858590896</v>
      </c>
      <c r="T2" s="168">
        <v>1.9604622317654901E-3</v>
      </c>
    </row>
    <row r="3" spans="1:20">
      <c r="A3" s="20" t="s">
        <v>26</v>
      </c>
      <c r="B3" s="20">
        <v>1182</v>
      </c>
      <c r="C3" s="2" t="s">
        <v>2642</v>
      </c>
      <c r="D3" s="2" t="s">
        <v>2643</v>
      </c>
      <c r="E3" s="18" t="s">
        <v>34</v>
      </c>
      <c r="F3" s="20" t="s">
        <v>2647</v>
      </c>
      <c r="G3" s="20" t="s">
        <v>2648</v>
      </c>
      <c r="H3" s="18" t="s">
        <v>204</v>
      </c>
      <c r="I3" s="18" t="s">
        <v>100</v>
      </c>
      <c r="J3" s="18" t="s">
        <v>101</v>
      </c>
      <c r="K3" s="18" t="s">
        <v>2646</v>
      </c>
      <c r="L3" s="20" t="s">
        <v>793</v>
      </c>
      <c r="M3" s="20" t="s">
        <v>164</v>
      </c>
      <c r="N3" s="18" t="s">
        <v>105</v>
      </c>
      <c r="O3" s="153">
        <v>2</v>
      </c>
      <c r="P3" s="153">
        <v>3.681</v>
      </c>
      <c r="Q3" s="153">
        <v>18475</v>
      </c>
      <c r="R3" s="153">
        <v>25.68</v>
      </c>
      <c r="S3" s="168">
        <v>3.3335171414091397E-2</v>
      </c>
      <c r="T3" s="168">
        <v>6.7606002219358503E-5</v>
      </c>
    </row>
    <row r="4" spans="1:20">
      <c r="A4" s="20" t="s">
        <v>26</v>
      </c>
      <c r="B4" s="20">
        <v>14769</v>
      </c>
      <c r="C4" s="2" t="s">
        <v>2642</v>
      </c>
      <c r="D4" s="2" t="s">
        <v>2643</v>
      </c>
      <c r="E4" s="18" t="s">
        <v>34</v>
      </c>
      <c r="F4" s="20" t="s">
        <v>2644</v>
      </c>
      <c r="G4" s="20" t="s">
        <v>2645</v>
      </c>
      <c r="H4" s="18" t="s">
        <v>204</v>
      </c>
      <c r="I4" s="18" t="s">
        <v>100</v>
      </c>
      <c r="J4" s="18" t="s">
        <v>101</v>
      </c>
      <c r="K4" s="18" t="s">
        <v>2646</v>
      </c>
      <c r="L4" s="20" t="s">
        <v>793</v>
      </c>
      <c r="M4" s="20" t="s">
        <v>164</v>
      </c>
      <c r="N4" s="18" t="s">
        <v>105</v>
      </c>
      <c r="O4" s="153">
        <v>1</v>
      </c>
      <c r="P4" s="153">
        <v>3.681</v>
      </c>
      <c r="Q4" s="153">
        <v>5308.5</v>
      </c>
      <c r="R4" s="153">
        <v>21.276</v>
      </c>
      <c r="S4" s="168">
        <v>1</v>
      </c>
      <c r="T4" s="168">
        <v>2.7272956006418E-3</v>
      </c>
    </row>
    <row r="5" spans="1:20">
      <c r="A5" s="20" t="s">
        <v>119</v>
      </c>
      <c r="B5" s="20">
        <v>12905</v>
      </c>
      <c r="C5" s="2" t="s">
        <v>2642</v>
      </c>
      <c r="D5" s="2" t="s">
        <v>2643</v>
      </c>
      <c r="E5" s="18" t="s">
        <v>34</v>
      </c>
      <c r="F5" s="20" t="s">
        <v>2644</v>
      </c>
      <c r="G5" s="20" t="s">
        <v>2645</v>
      </c>
      <c r="H5" s="18" t="s">
        <v>204</v>
      </c>
      <c r="I5" s="18" t="s">
        <v>100</v>
      </c>
      <c r="J5" s="18" t="s">
        <v>101</v>
      </c>
      <c r="K5" s="18" t="s">
        <v>2646</v>
      </c>
      <c r="L5" s="20" t="s">
        <v>793</v>
      </c>
      <c r="M5" s="20" t="s">
        <v>164</v>
      </c>
      <c r="N5" s="18" t="s">
        <v>105</v>
      </c>
      <c r="O5" s="153">
        <v>1</v>
      </c>
      <c r="P5" s="153">
        <v>3.681</v>
      </c>
      <c r="Q5" s="153">
        <v>5308.5</v>
      </c>
      <c r="R5" s="153">
        <v>21.276</v>
      </c>
      <c r="S5" s="168">
        <v>1</v>
      </c>
      <c r="T5" s="168">
        <v>7.3487851388925299E-4</v>
      </c>
    </row>
    <row r="6" spans="1:20">
      <c r="A6" s="20" t="s">
        <v>119</v>
      </c>
      <c r="B6" s="20">
        <v>13680</v>
      </c>
      <c r="C6" s="2" t="s">
        <v>2642</v>
      </c>
      <c r="D6" s="2" t="s">
        <v>2643</v>
      </c>
      <c r="E6" s="18" t="s">
        <v>34</v>
      </c>
      <c r="F6" s="20" t="s">
        <v>2644</v>
      </c>
      <c r="G6" s="20" t="s">
        <v>2645</v>
      </c>
      <c r="H6" s="18" t="s">
        <v>204</v>
      </c>
      <c r="I6" s="18" t="s">
        <v>100</v>
      </c>
      <c r="J6" s="18" t="s">
        <v>101</v>
      </c>
      <c r="K6" s="18" t="s">
        <v>2646</v>
      </c>
      <c r="L6" s="20" t="s">
        <v>793</v>
      </c>
      <c r="M6" s="20" t="s">
        <v>164</v>
      </c>
      <c r="N6" s="18" t="s">
        <v>105</v>
      </c>
      <c r="O6" s="153">
        <v>2</v>
      </c>
      <c r="P6" s="153">
        <v>3.681</v>
      </c>
      <c r="Q6" s="153">
        <v>5308.5</v>
      </c>
      <c r="R6" s="153">
        <v>42.552</v>
      </c>
      <c r="S6" s="168">
        <v>0.76820176327557099</v>
      </c>
      <c r="T6" s="168">
        <v>1.45477207703617E-3</v>
      </c>
    </row>
    <row r="7" spans="1:20">
      <c r="A7" s="20" t="s">
        <v>119</v>
      </c>
      <c r="B7" s="20">
        <v>13680</v>
      </c>
      <c r="C7" s="2" t="s">
        <v>2642</v>
      </c>
      <c r="D7" s="2" t="s">
        <v>2643</v>
      </c>
      <c r="E7" s="18" t="s">
        <v>34</v>
      </c>
      <c r="F7" s="20" t="s">
        <v>2647</v>
      </c>
      <c r="G7" s="20" t="s">
        <v>2648</v>
      </c>
      <c r="H7" s="18" t="s">
        <v>204</v>
      </c>
      <c r="I7" s="18" t="s">
        <v>100</v>
      </c>
      <c r="J7" s="18" t="s">
        <v>101</v>
      </c>
      <c r="K7" s="18" t="s">
        <v>2646</v>
      </c>
      <c r="L7" s="20" t="s">
        <v>793</v>
      </c>
      <c r="M7" s="20" t="s">
        <v>164</v>
      </c>
      <c r="N7" s="18" t="s">
        <v>105</v>
      </c>
      <c r="O7" s="153">
        <v>1</v>
      </c>
      <c r="P7" s="153">
        <v>3.681</v>
      </c>
      <c r="Q7" s="153">
        <v>18475</v>
      </c>
      <c r="R7" s="153">
        <v>12.84</v>
      </c>
      <c r="S7" s="168">
        <v>0.23179823672442901</v>
      </c>
      <c r="T7" s="168">
        <v>4.3896488971212398E-4</v>
      </c>
    </row>
    <row r="8" spans="1:20">
      <c r="A8" s="20" t="s">
        <v>128</v>
      </c>
      <c r="B8" s="20">
        <v>7228</v>
      </c>
      <c r="C8" s="2" t="s">
        <v>2642</v>
      </c>
      <c r="D8" s="2" t="s">
        <v>2643</v>
      </c>
      <c r="E8" s="18" t="s">
        <v>34</v>
      </c>
      <c r="F8" s="20" t="s">
        <v>2644</v>
      </c>
      <c r="G8" s="20" t="s">
        <v>2645</v>
      </c>
      <c r="H8" s="18" t="s">
        <v>204</v>
      </c>
      <c r="I8" s="18" t="s">
        <v>100</v>
      </c>
      <c r="J8" s="18" t="s">
        <v>101</v>
      </c>
      <c r="K8" s="18" t="s">
        <v>2646</v>
      </c>
      <c r="L8" s="20" t="s">
        <v>793</v>
      </c>
      <c r="M8" s="20" t="s">
        <v>164</v>
      </c>
      <c r="N8" s="18" t="s">
        <v>105</v>
      </c>
      <c r="O8" s="153">
        <v>257</v>
      </c>
      <c r="P8" s="153">
        <v>3.681</v>
      </c>
      <c r="Q8" s="153">
        <v>5308.5</v>
      </c>
      <c r="R8" s="153">
        <v>5467.9780000000001</v>
      </c>
      <c r="S8" s="168">
        <v>0.96213617262624296</v>
      </c>
      <c r="T8" s="168">
        <v>2.35945251213531E-3</v>
      </c>
    </row>
    <row r="9" spans="1:20">
      <c r="A9" s="20" t="s">
        <v>128</v>
      </c>
      <c r="B9" s="20">
        <v>7228</v>
      </c>
      <c r="C9" s="2" t="s">
        <v>2642</v>
      </c>
      <c r="D9" s="2" t="s">
        <v>2643</v>
      </c>
      <c r="E9" s="18" t="s">
        <v>34</v>
      </c>
      <c r="F9" s="20" t="s">
        <v>2647</v>
      </c>
      <c r="G9" s="20" t="s">
        <v>2648</v>
      </c>
      <c r="H9" s="18" t="s">
        <v>204</v>
      </c>
      <c r="I9" s="18" t="s">
        <v>100</v>
      </c>
      <c r="J9" s="18" t="s">
        <v>101</v>
      </c>
      <c r="K9" s="18" t="s">
        <v>2646</v>
      </c>
      <c r="L9" s="20" t="s">
        <v>793</v>
      </c>
      <c r="M9" s="20" t="s">
        <v>164</v>
      </c>
      <c r="N9" s="18" t="s">
        <v>105</v>
      </c>
      <c r="O9" s="153">
        <v>9</v>
      </c>
      <c r="P9" s="153">
        <v>3.681</v>
      </c>
      <c r="Q9" s="153">
        <v>18475</v>
      </c>
      <c r="R9" s="153">
        <v>115.55800000000001</v>
      </c>
      <c r="S9" s="168">
        <v>2.0333435050694699E-2</v>
      </c>
      <c r="T9" s="168">
        <v>4.9863809069507503E-5</v>
      </c>
    </row>
    <row r="10" spans="1:20">
      <c r="A10" s="20" t="s">
        <v>128</v>
      </c>
      <c r="B10" s="20">
        <v>7228</v>
      </c>
      <c r="C10" s="2" t="s">
        <v>2642</v>
      </c>
      <c r="D10" s="2" t="s">
        <v>2643</v>
      </c>
      <c r="E10" s="18" t="s">
        <v>34</v>
      </c>
      <c r="F10" s="20" t="s">
        <v>2649</v>
      </c>
      <c r="G10" s="20" t="s">
        <v>2650</v>
      </c>
      <c r="H10" s="18" t="s">
        <v>204</v>
      </c>
      <c r="I10" s="18" t="s">
        <v>100</v>
      </c>
      <c r="J10" s="18" t="s">
        <v>101</v>
      </c>
      <c r="K10" s="18" t="s">
        <v>204</v>
      </c>
      <c r="L10" s="20" t="s">
        <v>793</v>
      </c>
      <c r="M10" s="20" t="s">
        <v>164</v>
      </c>
      <c r="N10" s="18" t="s">
        <v>105</v>
      </c>
      <c r="O10" s="153">
        <v>55</v>
      </c>
      <c r="P10" s="153">
        <v>3.681</v>
      </c>
      <c r="Q10" s="153">
        <v>114.60899999999999</v>
      </c>
      <c r="R10" s="153">
        <v>99.628</v>
      </c>
      <c r="S10" s="168">
        <v>1.75303923230621E-2</v>
      </c>
      <c r="T10" s="168">
        <v>4.2989889978322502E-5</v>
      </c>
    </row>
    <row r="11" spans="1:20">
      <c r="A11" s="20" t="s">
        <v>128</v>
      </c>
      <c r="B11" s="20">
        <v>7229</v>
      </c>
      <c r="C11" s="2" t="s">
        <v>2642</v>
      </c>
      <c r="D11" s="2" t="s">
        <v>2643</v>
      </c>
      <c r="E11" s="18" t="s">
        <v>34</v>
      </c>
      <c r="F11" s="20" t="s">
        <v>2644</v>
      </c>
      <c r="G11" s="20" t="s">
        <v>2645</v>
      </c>
      <c r="H11" s="18" t="s">
        <v>204</v>
      </c>
      <c r="I11" s="18" t="s">
        <v>100</v>
      </c>
      <c r="J11" s="18" t="s">
        <v>101</v>
      </c>
      <c r="K11" s="18" t="s">
        <v>2646</v>
      </c>
      <c r="L11" s="20" t="s">
        <v>793</v>
      </c>
      <c r="M11" s="20" t="s">
        <v>164</v>
      </c>
      <c r="N11" s="18" t="s">
        <v>105</v>
      </c>
      <c r="O11" s="153">
        <v>6</v>
      </c>
      <c r="P11" s="153">
        <v>3.681</v>
      </c>
      <c r="Q11" s="153">
        <v>5308.5</v>
      </c>
      <c r="R11" s="153">
        <v>127.657</v>
      </c>
      <c r="S11" s="168">
        <v>1</v>
      </c>
      <c r="T11" s="168">
        <v>8.90501852476281E-4</v>
      </c>
    </row>
    <row r="12" spans="1:20">
      <c r="A12" s="20" t="s">
        <v>144</v>
      </c>
      <c r="B12" s="20">
        <v>969</v>
      </c>
      <c r="C12" s="2" t="s">
        <v>2642</v>
      </c>
      <c r="D12" s="2" t="s">
        <v>2643</v>
      </c>
      <c r="E12" s="18" t="s">
        <v>34</v>
      </c>
      <c r="F12" s="20" t="s">
        <v>2644</v>
      </c>
      <c r="G12" s="20" t="s">
        <v>2645</v>
      </c>
      <c r="H12" s="18" t="s">
        <v>204</v>
      </c>
      <c r="I12" s="18" t="s">
        <v>100</v>
      </c>
      <c r="J12" s="18" t="s">
        <v>101</v>
      </c>
      <c r="K12" s="18" t="s">
        <v>2646</v>
      </c>
      <c r="L12" s="20" t="s">
        <v>793</v>
      </c>
      <c r="M12" s="20" t="s">
        <v>164</v>
      </c>
      <c r="N12" s="18" t="s">
        <v>105</v>
      </c>
      <c r="O12" s="153">
        <v>7</v>
      </c>
      <c r="P12" s="153">
        <v>3.681</v>
      </c>
      <c r="Q12" s="153">
        <v>5308.5</v>
      </c>
      <c r="R12" s="153">
        <v>148.93299999999999</v>
      </c>
      <c r="S12" s="168">
        <v>1</v>
      </c>
      <c r="T12" s="168">
        <v>2.0277564273271701E-3</v>
      </c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0"/>
      <c r="M20" s="20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5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373</v>
      </c>
      <c r="M1" s="19" t="s">
        <v>8</v>
      </c>
      <c r="N1" s="19" t="s">
        <v>222</v>
      </c>
      <c r="O1" s="19" t="s">
        <v>150</v>
      </c>
      <c r="P1" s="19" t="s">
        <v>12</v>
      </c>
      <c r="Q1" s="143" t="s">
        <v>14</v>
      </c>
      <c r="R1" s="19" t="s">
        <v>15</v>
      </c>
      <c r="S1" s="19" t="s">
        <v>9</v>
      </c>
      <c r="T1" s="19" t="s">
        <v>10</v>
      </c>
      <c r="U1" s="19" t="s">
        <v>223</v>
      </c>
      <c r="V1" s="19" t="s">
        <v>11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18"/>
      <c r="N2" s="20"/>
      <c r="O2" s="20"/>
      <c r="P2" s="20"/>
      <c r="Q2" s="148"/>
      <c r="R2" s="20"/>
      <c r="S2" s="20"/>
      <c r="T2" s="20"/>
      <c r="U2" s="20"/>
      <c r="V2" s="18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18"/>
      <c r="N3" s="20"/>
      <c r="O3" s="20"/>
      <c r="P3" s="20"/>
      <c r="Q3" s="148"/>
      <c r="R3" s="20"/>
      <c r="S3" s="20"/>
      <c r="T3" s="20"/>
      <c r="U3" s="20"/>
      <c r="V3" s="18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18"/>
      <c r="N4" s="20"/>
      <c r="O4" s="20"/>
      <c r="P4" s="20"/>
      <c r="Q4" s="148"/>
      <c r="R4" s="20"/>
      <c r="S4" s="20"/>
      <c r="T4" s="20"/>
      <c r="U4" s="20"/>
      <c r="V4" s="18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18"/>
      <c r="N5" s="20"/>
      <c r="O5" s="20"/>
      <c r="P5" s="20"/>
      <c r="Q5" s="148"/>
      <c r="R5" s="20"/>
      <c r="S5" s="20"/>
      <c r="T5" s="20"/>
      <c r="U5" s="20"/>
      <c r="V5" s="18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18"/>
      <c r="N6" s="20"/>
      <c r="O6" s="20"/>
      <c r="P6" s="20"/>
      <c r="Q6" s="148"/>
      <c r="R6" s="20"/>
      <c r="S6" s="20"/>
      <c r="T6" s="20"/>
      <c r="U6" s="20"/>
      <c r="V6" s="18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18"/>
      <c r="N7" s="20"/>
      <c r="O7" s="20"/>
      <c r="P7" s="20"/>
      <c r="Q7" s="148"/>
      <c r="R7" s="20"/>
      <c r="S7" s="20"/>
      <c r="T7" s="20"/>
      <c r="U7" s="20"/>
      <c r="V7" s="18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18"/>
      <c r="N8" s="20"/>
      <c r="O8" s="20"/>
      <c r="P8" s="20"/>
      <c r="Q8" s="148"/>
      <c r="R8" s="20"/>
      <c r="S8" s="20"/>
      <c r="T8" s="20"/>
      <c r="U8" s="20"/>
      <c r="V8" s="18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0"/>
      <c r="O9" s="20"/>
      <c r="P9" s="20"/>
      <c r="Q9" s="148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0"/>
      <c r="O10" s="20"/>
      <c r="P10" s="20"/>
      <c r="Q10" s="148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0"/>
      <c r="O11" s="20"/>
      <c r="P11" s="20"/>
      <c r="Q11" s="148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0"/>
      <c r="O12" s="20"/>
      <c r="P12" s="20"/>
      <c r="Q12" s="148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0"/>
      <c r="O13" s="20"/>
      <c r="P13" s="20"/>
      <c r="Q13" s="148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8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8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8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8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8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8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>
      <c r="H21" s="4"/>
      <c r="M21" s="4"/>
      <c r="N21" s="20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4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185</v>
      </c>
      <c r="G1" s="19" t="s">
        <v>5</v>
      </c>
      <c r="H1" s="19" t="s">
        <v>6</v>
      </c>
      <c r="I1" s="19" t="s">
        <v>7</v>
      </c>
      <c r="J1" s="19" t="s">
        <v>194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3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>
      <c r="A2" s="20"/>
      <c r="B2" s="20"/>
      <c r="C2" s="20"/>
      <c r="D2" s="20"/>
      <c r="E2" s="20"/>
      <c r="F2" s="20"/>
      <c r="G2" s="20"/>
      <c r="H2" s="18"/>
      <c r="I2" s="18"/>
      <c r="J2" s="20"/>
      <c r="K2" s="27"/>
      <c r="L2" s="20"/>
      <c r="M2" s="18"/>
      <c r="N2" s="20"/>
      <c r="O2" s="20"/>
      <c r="P2" s="148"/>
      <c r="Q2" s="20"/>
      <c r="R2" s="20"/>
      <c r="S2" s="20"/>
      <c r="T2" s="20"/>
      <c r="U2" s="20"/>
      <c r="V2" s="20"/>
      <c r="W2" s="18"/>
      <c r="X2" s="20"/>
      <c r="Y2" s="20"/>
    </row>
    <row r="3" spans="1:27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8"/>
      <c r="Q3" s="20"/>
      <c r="R3" s="20"/>
      <c r="S3" s="20"/>
      <c r="T3" s="20"/>
      <c r="U3" s="20"/>
      <c r="V3" s="20"/>
      <c r="W3" s="18"/>
      <c r="X3" s="20"/>
      <c r="Y3" s="20"/>
    </row>
    <row r="4" spans="1:27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8"/>
      <c r="Q4" s="20"/>
      <c r="R4" s="20"/>
      <c r="S4" s="20"/>
      <c r="T4" s="20"/>
      <c r="U4" s="20"/>
      <c r="V4" s="20"/>
      <c r="W4" s="18"/>
      <c r="X4" s="20"/>
      <c r="Y4" s="20"/>
    </row>
    <row r="5" spans="1:27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7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8"/>
      <c r="Q6" s="20"/>
      <c r="R6" s="20"/>
      <c r="S6" s="20"/>
      <c r="T6" s="20"/>
      <c r="U6" s="20"/>
      <c r="V6" s="20"/>
      <c r="W6" s="18"/>
      <c r="X6" s="20"/>
      <c r="Y6" s="20"/>
    </row>
    <row r="7" spans="1:27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8"/>
      <c r="Q7" s="20"/>
      <c r="R7" s="20"/>
      <c r="S7" s="20"/>
      <c r="T7" s="20"/>
      <c r="U7" s="20"/>
      <c r="V7" s="20"/>
      <c r="W7" s="18"/>
      <c r="X7" s="20"/>
      <c r="Y7" s="20"/>
    </row>
    <row r="8" spans="1:27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8"/>
      <c r="Q8" s="20"/>
      <c r="R8" s="20"/>
      <c r="S8" s="20"/>
      <c r="T8" s="20"/>
      <c r="U8" s="20"/>
      <c r="V8" s="20"/>
      <c r="W8" s="18"/>
      <c r="X8" s="20"/>
      <c r="Y8" s="20"/>
    </row>
    <row r="9" spans="1:27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8"/>
      <c r="Q9" s="20"/>
      <c r="R9" s="20"/>
      <c r="S9" s="20"/>
      <c r="T9" s="20"/>
      <c r="U9" s="20"/>
      <c r="V9" s="20"/>
      <c r="W9" s="18"/>
      <c r="X9" s="20"/>
      <c r="Y9" s="20"/>
    </row>
    <row r="10" spans="1:27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8"/>
      <c r="Q10" s="20"/>
      <c r="R10" s="20"/>
      <c r="S10" s="20"/>
      <c r="T10" s="20"/>
      <c r="U10" s="20"/>
      <c r="V10" s="20"/>
      <c r="W10" s="18"/>
      <c r="X10" s="20"/>
      <c r="Y10" s="20"/>
    </row>
    <row r="11" spans="1:27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8"/>
      <c r="Q11" s="20"/>
      <c r="R11" s="20"/>
      <c r="S11" s="20"/>
      <c r="T11" s="20"/>
      <c r="U11" s="20"/>
      <c r="V11" s="20"/>
      <c r="W11" s="18"/>
      <c r="X11" s="20"/>
      <c r="Y11" s="20"/>
    </row>
    <row r="12" spans="1:27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8"/>
      <c r="Q12" s="20"/>
      <c r="R12" s="20"/>
      <c r="S12" s="20"/>
      <c r="T12" s="20"/>
      <c r="U12" s="20"/>
      <c r="V12" s="20"/>
      <c r="W12" s="18"/>
      <c r="X12" s="20"/>
      <c r="Y12" s="20"/>
    </row>
    <row r="13" spans="1:27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8"/>
      <c r="Q13" s="20"/>
      <c r="R13" s="20"/>
      <c r="S13" s="20"/>
      <c r="T13" s="20"/>
      <c r="U13" s="20"/>
      <c r="V13" s="20"/>
      <c r="W13" s="18"/>
      <c r="X13" s="20"/>
      <c r="Y13" s="20"/>
    </row>
    <row r="14" spans="1:27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8"/>
      <c r="Q14" s="20"/>
      <c r="R14" s="20"/>
      <c r="S14" s="20"/>
      <c r="T14" s="20"/>
      <c r="U14" s="20"/>
      <c r="V14" s="20"/>
      <c r="W14" s="18"/>
      <c r="X14" s="20"/>
      <c r="Y14" s="20"/>
    </row>
    <row r="15" spans="1:27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8"/>
      <c r="Q15" s="20"/>
      <c r="R15" s="20"/>
      <c r="S15" s="20"/>
      <c r="T15" s="20"/>
      <c r="U15" s="20"/>
      <c r="V15" s="20"/>
      <c r="W15" s="18"/>
      <c r="X15" s="20"/>
      <c r="Y15" s="20"/>
    </row>
    <row r="16" spans="1:27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8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8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8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8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5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194</v>
      </c>
      <c r="G1" s="19" t="s">
        <v>12</v>
      </c>
      <c r="H1" s="19" t="s">
        <v>799</v>
      </c>
      <c r="I1" s="19" t="s">
        <v>13</v>
      </c>
      <c r="J1" s="143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>
      <c r="A2" s="20"/>
      <c r="B2" s="20"/>
      <c r="C2" s="20"/>
      <c r="D2" s="20"/>
      <c r="E2" s="20"/>
      <c r="F2" s="20"/>
      <c r="G2" s="20"/>
      <c r="H2" s="20"/>
      <c r="I2" s="20"/>
      <c r="J2" s="148"/>
      <c r="K2" s="20"/>
      <c r="L2" s="20"/>
      <c r="M2" s="20"/>
      <c r="N2" s="20"/>
      <c r="O2" s="20"/>
      <c r="P2" s="18"/>
      <c r="Q2" s="20"/>
      <c r="R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148"/>
      <c r="K3" s="20"/>
      <c r="L3" s="20"/>
      <c r="M3" s="20"/>
      <c r="N3" s="20"/>
      <c r="O3" s="20"/>
      <c r="P3" s="18"/>
      <c r="Q3" s="20"/>
      <c r="R3" s="20"/>
    </row>
    <row r="4" spans="1:19">
      <c r="A4" s="20"/>
      <c r="B4" s="20"/>
      <c r="C4" s="20"/>
      <c r="D4" s="20"/>
      <c r="E4" s="20"/>
      <c r="F4" s="20"/>
      <c r="G4" s="20"/>
      <c r="H4" s="20"/>
      <c r="I4" s="20"/>
      <c r="J4" s="148"/>
      <c r="K4" s="20"/>
      <c r="L4" s="20"/>
      <c r="M4" s="20"/>
      <c r="N4" s="20"/>
      <c r="O4" s="20"/>
      <c r="P4" s="18"/>
      <c r="Q4" s="20"/>
      <c r="R4" s="20"/>
    </row>
    <row r="5" spans="1:19">
      <c r="A5" s="20"/>
      <c r="B5" s="20"/>
      <c r="C5" s="20"/>
      <c r="D5" s="20"/>
      <c r="E5" s="20"/>
      <c r="F5" s="20"/>
      <c r="G5" s="20"/>
      <c r="H5" s="20"/>
      <c r="I5" s="20"/>
      <c r="J5" s="148"/>
      <c r="K5" s="20"/>
      <c r="L5" s="20"/>
      <c r="M5" s="20"/>
      <c r="N5" s="20"/>
      <c r="O5" s="20"/>
      <c r="P5" s="20"/>
      <c r="Q5" s="20"/>
      <c r="R5" s="20"/>
    </row>
    <row r="6" spans="1:19">
      <c r="A6" s="20"/>
      <c r="B6" s="20"/>
      <c r="C6" s="20"/>
      <c r="D6" s="20"/>
      <c r="E6" s="20"/>
      <c r="F6" s="20"/>
      <c r="G6" s="20"/>
      <c r="H6" s="20"/>
      <c r="I6" s="20"/>
      <c r="J6" s="148"/>
      <c r="K6" s="20"/>
      <c r="L6" s="20"/>
      <c r="M6" s="20"/>
      <c r="N6" s="20"/>
      <c r="O6" s="20"/>
      <c r="P6" s="18"/>
      <c r="Q6" s="20"/>
      <c r="R6" s="20"/>
    </row>
    <row r="7" spans="1:19">
      <c r="A7" s="20"/>
      <c r="B7" s="20"/>
      <c r="C7" s="20"/>
      <c r="D7" s="20"/>
      <c r="E7" s="20"/>
      <c r="F7" s="20"/>
      <c r="G7" s="20"/>
      <c r="H7" s="20"/>
      <c r="I7" s="20"/>
      <c r="J7" s="148"/>
      <c r="K7" s="20"/>
      <c r="L7" s="20"/>
      <c r="M7" s="20"/>
      <c r="N7" s="20"/>
      <c r="O7" s="20"/>
      <c r="P7" s="18"/>
      <c r="Q7" s="20"/>
      <c r="R7" s="20"/>
    </row>
    <row r="8" spans="1:19">
      <c r="A8" s="20"/>
      <c r="B8" s="20"/>
      <c r="C8" s="20"/>
      <c r="D8" s="20"/>
      <c r="E8" s="20"/>
      <c r="F8" s="20"/>
      <c r="G8" s="20"/>
      <c r="H8" s="20"/>
      <c r="I8" s="20"/>
      <c r="J8" s="148"/>
      <c r="K8" s="20"/>
      <c r="L8" s="20"/>
      <c r="M8" s="20"/>
      <c r="N8" s="20"/>
      <c r="O8" s="20"/>
      <c r="P8" s="18"/>
      <c r="Q8" s="20"/>
      <c r="R8" s="20"/>
    </row>
    <row r="9" spans="1:19">
      <c r="A9" s="20"/>
      <c r="B9" s="20"/>
      <c r="C9" s="20"/>
      <c r="D9" s="20"/>
      <c r="E9" s="20"/>
      <c r="F9" s="20"/>
      <c r="G9" s="20"/>
      <c r="H9" s="20"/>
      <c r="I9" s="20"/>
      <c r="J9" s="148"/>
      <c r="K9" s="20"/>
      <c r="L9" s="20"/>
      <c r="M9" s="20"/>
      <c r="N9" s="20"/>
      <c r="O9" s="20"/>
      <c r="P9" s="18"/>
      <c r="Q9" s="20"/>
      <c r="R9" s="20"/>
    </row>
    <row r="10" spans="1:19">
      <c r="A10" s="20"/>
      <c r="B10" s="20"/>
      <c r="C10" s="20"/>
      <c r="D10" s="20"/>
      <c r="E10" s="20"/>
      <c r="F10" s="20"/>
      <c r="G10" s="20"/>
      <c r="H10" s="20"/>
      <c r="I10" s="20"/>
      <c r="J10" s="148"/>
      <c r="K10" s="20"/>
      <c r="L10" s="20"/>
      <c r="M10" s="20"/>
      <c r="N10" s="20"/>
      <c r="O10" s="20"/>
      <c r="P10" s="18"/>
      <c r="Q10" s="20"/>
      <c r="R10" s="20"/>
    </row>
    <row r="11" spans="1:19">
      <c r="A11" s="20"/>
      <c r="B11" s="20"/>
      <c r="C11" s="20"/>
      <c r="D11" s="20"/>
      <c r="E11" s="20"/>
      <c r="F11" s="20"/>
      <c r="G11" s="20"/>
      <c r="H11" s="20"/>
      <c r="I11" s="20"/>
      <c r="J11" s="148"/>
      <c r="K11" s="20"/>
      <c r="L11" s="20"/>
      <c r="M11" s="20"/>
      <c r="N11" s="20"/>
      <c r="O11" s="20"/>
      <c r="P11" s="18"/>
      <c r="Q11" s="20"/>
      <c r="R11" s="20"/>
    </row>
    <row r="12" spans="1:19">
      <c r="A12" s="20"/>
      <c r="B12" s="20"/>
      <c r="C12" s="20"/>
      <c r="D12" s="20"/>
      <c r="E12" s="20"/>
      <c r="F12" s="20"/>
      <c r="G12" s="20"/>
      <c r="H12" s="20"/>
      <c r="I12" s="20"/>
      <c r="J12" s="148"/>
      <c r="K12" s="20"/>
      <c r="L12" s="20"/>
      <c r="M12" s="20"/>
      <c r="N12" s="20"/>
      <c r="O12" s="20"/>
      <c r="P12" s="18"/>
      <c r="Q12" s="20"/>
      <c r="R12" s="20"/>
    </row>
    <row r="13" spans="1:19">
      <c r="A13" s="20"/>
      <c r="B13" s="20"/>
      <c r="C13" s="20"/>
      <c r="D13" s="20"/>
      <c r="E13" s="20"/>
      <c r="F13" s="20"/>
      <c r="G13" s="20"/>
      <c r="H13" s="20"/>
      <c r="I13" s="20"/>
      <c r="J13" s="148"/>
      <c r="K13" s="20"/>
      <c r="L13" s="20"/>
      <c r="M13" s="20"/>
      <c r="N13" s="20"/>
      <c r="O13" s="20"/>
      <c r="P13" s="18"/>
      <c r="Q13" s="20"/>
      <c r="R13" s="20"/>
    </row>
    <row r="14" spans="1:19">
      <c r="A14" s="20"/>
      <c r="B14" s="20"/>
      <c r="C14" s="20"/>
      <c r="D14" s="20"/>
      <c r="E14" s="20"/>
      <c r="F14" s="20"/>
      <c r="G14" s="20"/>
      <c r="H14" s="20"/>
      <c r="I14" s="20"/>
      <c r="J14" s="148"/>
      <c r="K14" s="20"/>
      <c r="L14" s="20"/>
      <c r="M14" s="20"/>
      <c r="N14" s="20"/>
      <c r="O14" s="20"/>
      <c r="P14" s="18"/>
      <c r="Q14" s="20"/>
      <c r="R14" s="20"/>
    </row>
    <row r="15" spans="1:19">
      <c r="A15" s="20"/>
      <c r="B15" s="20"/>
      <c r="C15" s="20"/>
      <c r="D15" s="20"/>
      <c r="E15" s="20"/>
      <c r="F15" s="20"/>
      <c r="G15" s="20"/>
      <c r="H15" s="20"/>
      <c r="I15" s="20"/>
      <c r="J15" s="148"/>
      <c r="K15" s="20"/>
      <c r="L15" s="20"/>
      <c r="M15" s="20"/>
      <c r="N15" s="20"/>
      <c r="O15" s="20"/>
      <c r="P15" s="18"/>
      <c r="Q15" s="20"/>
      <c r="R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148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148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148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148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19" t="s">
        <v>1166</v>
      </c>
      <c r="B1" s="19" t="s">
        <v>1</v>
      </c>
      <c r="C1" s="19" t="s">
        <v>5</v>
      </c>
      <c r="D1" s="19" t="s">
        <v>1167</v>
      </c>
      <c r="E1" s="19" t="s">
        <v>1168</v>
      </c>
      <c r="F1" s="19" t="s">
        <v>1169</v>
      </c>
      <c r="G1" s="19" t="s">
        <v>25</v>
      </c>
      <c r="H1" s="11"/>
    </row>
    <row r="2" spans="1:8">
      <c r="A2" s="20"/>
      <c r="B2" s="20"/>
      <c r="C2" s="20"/>
      <c r="D2" s="125"/>
      <c r="G2" s="27"/>
    </row>
    <row r="3" spans="1:8">
      <c r="A3" s="20"/>
      <c r="B3" s="20"/>
      <c r="C3" s="20"/>
      <c r="G3" s="20"/>
    </row>
    <row r="4" spans="1:8">
      <c r="A4" s="20"/>
      <c r="B4" s="20"/>
      <c r="C4" s="20"/>
      <c r="G4" s="20"/>
    </row>
    <row r="5" spans="1:8">
      <c r="A5" s="20"/>
      <c r="B5" s="20"/>
      <c r="C5" s="20"/>
      <c r="G5" s="20"/>
    </row>
    <row r="6" spans="1:8">
      <c r="A6" s="20"/>
      <c r="B6" s="20"/>
      <c r="C6" s="20"/>
      <c r="G6" s="20"/>
    </row>
    <row r="7" spans="1:8">
      <c r="A7" s="20"/>
      <c r="B7" s="20"/>
      <c r="C7" s="20"/>
      <c r="G7" s="20"/>
    </row>
    <row r="8" spans="1:8">
      <c r="A8" s="20"/>
      <c r="B8" s="20"/>
      <c r="C8" s="20"/>
      <c r="G8" s="20"/>
    </row>
    <row r="9" spans="1:8">
      <c r="A9" s="20"/>
      <c r="B9" s="20"/>
      <c r="C9" s="20"/>
      <c r="G9" s="20"/>
    </row>
    <row r="10" spans="1:8">
      <c r="A10" s="20"/>
      <c r="B10" s="20"/>
      <c r="C10" s="20"/>
      <c r="G10" s="20"/>
    </row>
    <row r="11" spans="1:8">
      <c r="A11" s="20"/>
      <c r="B11" s="20"/>
      <c r="C11" s="20"/>
      <c r="G11" s="20"/>
    </row>
    <row r="12" spans="1:8">
      <c r="A12" s="20"/>
      <c r="B12" s="20"/>
      <c r="C12" s="20"/>
      <c r="G12" s="20"/>
    </row>
    <row r="13" spans="1:8">
      <c r="A13" s="20"/>
      <c r="B13" s="20"/>
      <c r="C13" s="20"/>
      <c r="G13" s="20"/>
    </row>
    <row r="14" spans="1:8">
      <c r="A14" s="20"/>
      <c r="B14" s="20"/>
      <c r="C14" s="20"/>
      <c r="G14" s="20"/>
    </row>
    <row r="15" spans="1:8">
      <c r="A15" s="20"/>
      <c r="B15" s="20"/>
      <c r="C15" s="20"/>
      <c r="G15" s="20"/>
    </row>
    <row r="16" spans="1:8">
      <c r="A16" s="20"/>
      <c r="B16" s="20"/>
      <c r="C16" s="20"/>
      <c r="G16" s="20"/>
    </row>
    <row r="17" spans="1:7">
      <c r="A17" s="20"/>
      <c r="B17" s="20"/>
      <c r="C17" s="20"/>
      <c r="G17" s="20"/>
    </row>
    <row r="18" spans="1:7">
      <c r="A18" s="20"/>
      <c r="B18" s="20"/>
      <c r="C18" s="20"/>
      <c r="G18" s="20"/>
    </row>
    <row r="19" spans="1:7">
      <c r="A19" s="20"/>
      <c r="B19" s="20"/>
      <c r="C19" s="20"/>
      <c r="G19" s="20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186</v>
      </c>
      <c r="M1" s="19" t="s">
        <v>150</v>
      </c>
      <c r="N1" s="19" t="s">
        <v>194</v>
      </c>
      <c r="O1" s="19" t="s">
        <v>9</v>
      </c>
      <c r="P1" s="19" t="s">
        <v>10</v>
      </c>
      <c r="Q1" s="19" t="s">
        <v>223</v>
      </c>
      <c r="R1" s="19" t="s">
        <v>11</v>
      </c>
      <c r="S1" s="19" t="s">
        <v>12</v>
      </c>
      <c r="T1" s="19" t="s">
        <v>799</v>
      </c>
      <c r="U1" s="19" t="s">
        <v>954</v>
      </c>
      <c r="V1" s="19" t="s">
        <v>13</v>
      </c>
      <c r="W1" s="19" t="s">
        <v>14</v>
      </c>
      <c r="X1" s="19" t="s">
        <v>15</v>
      </c>
      <c r="Y1" s="19" t="s">
        <v>457</v>
      </c>
      <c r="Z1" s="19" t="s">
        <v>875</v>
      </c>
      <c r="AA1" s="19" t="s">
        <v>187</v>
      </c>
      <c r="AB1" s="19" t="s">
        <v>188</v>
      </c>
      <c r="AC1" s="19" t="s">
        <v>200</v>
      </c>
      <c r="AD1" s="19" t="s">
        <v>159</v>
      </c>
      <c r="AE1" s="19" t="s">
        <v>189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202</v>
      </c>
      <c r="AL1" s="19" t="s">
        <v>22</v>
      </c>
      <c r="AM1" s="19" t="s">
        <v>24</v>
      </c>
      <c r="AN1" s="19" t="s">
        <v>25</v>
      </c>
    </row>
    <row r="2" spans="1:40">
      <c r="A2" s="27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0"/>
      <c r="AA2" s="20"/>
      <c r="AB2" s="20"/>
      <c r="AC2" s="20"/>
      <c r="AD2" s="20"/>
      <c r="AE2" s="20"/>
      <c r="AF2" s="20"/>
      <c r="AG2" s="20"/>
      <c r="AH2" s="20"/>
      <c r="AI2" s="20"/>
      <c r="AK2" s="27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F3" s="20"/>
      <c r="AG3" s="20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0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0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0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1"/>
  <sheetViews>
    <sheetView rightToLeft="1" tabSelected="1" topLeftCell="O19" zoomScale="70" zoomScaleNormal="70" workbookViewId="0">
      <selection activeCell="AF2" sqref="AF2:AF41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373</v>
      </c>
      <c r="M1" s="19" t="s">
        <v>186</v>
      </c>
      <c r="N1" s="19" t="s">
        <v>150</v>
      </c>
      <c r="O1" s="19" t="s">
        <v>194</v>
      </c>
      <c r="P1" s="19" t="s">
        <v>9</v>
      </c>
      <c r="Q1" s="19" t="s">
        <v>10</v>
      </c>
      <c r="R1" s="19" t="s">
        <v>223</v>
      </c>
      <c r="S1" s="19" t="s">
        <v>11</v>
      </c>
      <c r="T1" s="19" t="s">
        <v>12</v>
      </c>
      <c r="U1" s="19" t="s">
        <v>13</v>
      </c>
      <c r="V1" s="163" t="s">
        <v>15</v>
      </c>
      <c r="W1" s="163" t="s">
        <v>14</v>
      </c>
      <c r="X1" s="19" t="s">
        <v>457</v>
      </c>
      <c r="Y1" s="19" t="s">
        <v>875</v>
      </c>
      <c r="Z1" s="19" t="s">
        <v>187</v>
      </c>
      <c r="AA1" s="19" t="s">
        <v>188</v>
      </c>
      <c r="AB1" s="19" t="s">
        <v>159</v>
      </c>
      <c r="AC1" s="19" t="s">
        <v>189</v>
      </c>
      <c r="AD1" s="19" t="s">
        <v>17</v>
      </c>
      <c r="AE1" s="19" t="s">
        <v>18</v>
      </c>
      <c r="AF1" s="19" t="s">
        <v>19</v>
      </c>
      <c r="AG1" s="19" t="s">
        <v>20</v>
      </c>
      <c r="AH1" s="19" t="s">
        <v>21</v>
      </c>
      <c r="AI1" s="19" t="s">
        <v>202</v>
      </c>
      <c r="AJ1" s="19" t="s">
        <v>22</v>
      </c>
      <c r="AK1" s="163" t="s">
        <v>24</v>
      </c>
      <c r="AL1" s="163" t="s">
        <v>25</v>
      </c>
    </row>
    <row r="2" spans="1:38">
      <c r="A2" s="2" t="s">
        <v>26</v>
      </c>
      <c r="B2" s="20">
        <v>1182</v>
      </c>
      <c r="C2" s="20" t="s">
        <v>3127</v>
      </c>
      <c r="D2" s="20" t="s">
        <v>3128</v>
      </c>
      <c r="E2" s="18" t="s">
        <v>1380</v>
      </c>
      <c r="F2" s="20" t="s">
        <v>3129</v>
      </c>
      <c r="G2" s="20" t="s">
        <v>3130</v>
      </c>
      <c r="H2" s="20" t="s">
        <v>368</v>
      </c>
      <c r="I2" s="20" t="s">
        <v>219</v>
      </c>
      <c r="J2" s="18" t="s">
        <v>31</v>
      </c>
      <c r="K2" s="18" t="s">
        <v>31</v>
      </c>
      <c r="L2" s="20" t="s">
        <v>204</v>
      </c>
      <c r="M2" s="20" t="s">
        <v>491</v>
      </c>
      <c r="N2" s="20" t="s">
        <v>164</v>
      </c>
      <c r="O2" s="20"/>
      <c r="P2" s="20" t="s">
        <v>1527</v>
      </c>
      <c r="Q2" s="20" t="s">
        <v>204</v>
      </c>
      <c r="R2" s="20" t="s">
        <v>455</v>
      </c>
      <c r="S2" s="18" t="s">
        <v>35</v>
      </c>
      <c r="T2" s="153">
        <v>0.01</v>
      </c>
      <c r="U2" s="20" t="s">
        <v>3131</v>
      </c>
      <c r="V2" s="168">
        <v>0</v>
      </c>
      <c r="W2" s="164">
        <v>5.1499999999999997E-2</v>
      </c>
      <c r="X2" s="18" t="s">
        <v>459</v>
      </c>
      <c r="Y2" s="18" t="s">
        <v>164</v>
      </c>
      <c r="Z2" s="20" t="s">
        <v>204</v>
      </c>
      <c r="AA2" s="20"/>
      <c r="AB2" s="2" t="s">
        <v>3132</v>
      </c>
      <c r="AC2" s="20"/>
      <c r="AD2" s="153">
        <v>13377</v>
      </c>
      <c r="AE2" s="153">
        <v>1</v>
      </c>
      <c r="AF2" s="190">
        <v>0</v>
      </c>
      <c r="AG2" s="153">
        <v>0</v>
      </c>
      <c r="AH2" s="20"/>
      <c r="AI2" s="27"/>
      <c r="AJ2" s="20" t="s">
        <v>37</v>
      </c>
      <c r="AK2" s="164">
        <v>1.9232378315811401E-8</v>
      </c>
      <c r="AL2" s="164">
        <v>3.5217255399266596E-11</v>
      </c>
    </row>
    <row r="3" spans="1:38">
      <c r="A3" s="20" t="s">
        <v>26</v>
      </c>
      <c r="B3" s="20">
        <v>1182</v>
      </c>
      <c r="C3" s="20" t="s">
        <v>3133</v>
      </c>
      <c r="D3" s="20" t="s">
        <v>3134</v>
      </c>
      <c r="E3" s="18" t="s">
        <v>1380</v>
      </c>
      <c r="F3" s="20" t="s">
        <v>3135</v>
      </c>
      <c r="G3" s="20" t="s">
        <v>3136</v>
      </c>
      <c r="H3" s="20" t="s">
        <v>368</v>
      </c>
      <c r="I3" s="20" t="s">
        <v>219</v>
      </c>
      <c r="J3" s="18" t="s">
        <v>31</v>
      </c>
      <c r="K3" s="18" t="s">
        <v>31</v>
      </c>
      <c r="L3" s="20" t="s">
        <v>204</v>
      </c>
      <c r="M3" s="20" t="s">
        <v>491</v>
      </c>
      <c r="N3" s="20" t="s">
        <v>164</v>
      </c>
      <c r="O3" s="20" t="s">
        <v>3137</v>
      </c>
      <c r="P3" s="20" t="s">
        <v>2530</v>
      </c>
      <c r="Q3" s="20" t="s">
        <v>217</v>
      </c>
      <c r="R3" s="20" t="s">
        <v>453</v>
      </c>
      <c r="S3" s="18" t="s">
        <v>35</v>
      </c>
      <c r="T3" s="153">
        <v>0.01</v>
      </c>
      <c r="U3" s="20" t="s">
        <v>3138</v>
      </c>
      <c r="V3" s="168">
        <v>1.9E-3</v>
      </c>
      <c r="W3" s="164">
        <v>0.02</v>
      </c>
      <c r="X3" s="18" t="s">
        <v>459</v>
      </c>
      <c r="Y3" s="18" t="s">
        <v>164</v>
      </c>
      <c r="Z3" s="20" t="s">
        <v>204</v>
      </c>
      <c r="AA3" s="20"/>
      <c r="AB3" s="2" t="s">
        <v>1378</v>
      </c>
      <c r="AC3" s="20"/>
      <c r="AD3" s="153">
        <v>3767.71</v>
      </c>
      <c r="AE3" s="153">
        <v>1</v>
      </c>
      <c r="AF3" s="190">
        <v>13</v>
      </c>
      <c r="AG3" s="153">
        <v>0.49</v>
      </c>
      <c r="AH3" s="20"/>
      <c r="AI3" s="20"/>
      <c r="AJ3" s="20" t="s">
        <v>37</v>
      </c>
      <c r="AK3" s="164">
        <v>7.0419848497828795E-4</v>
      </c>
      <c r="AL3" s="164">
        <v>1.28948887599972E-6</v>
      </c>
    </row>
    <row r="4" spans="1:38">
      <c r="A4" s="20" t="s">
        <v>26</v>
      </c>
      <c r="B4" s="20">
        <v>1182</v>
      </c>
      <c r="C4" s="20" t="s">
        <v>3139</v>
      </c>
      <c r="D4" s="20" t="s">
        <v>3140</v>
      </c>
      <c r="E4" s="18" t="s">
        <v>1380</v>
      </c>
      <c r="F4" s="20" t="s">
        <v>3141</v>
      </c>
      <c r="G4" s="20" t="s">
        <v>3142</v>
      </c>
      <c r="H4" s="20" t="s">
        <v>368</v>
      </c>
      <c r="I4" s="20" t="s">
        <v>1013</v>
      </c>
      <c r="J4" s="18" t="s">
        <v>31</v>
      </c>
      <c r="K4" s="18" t="s">
        <v>31</v>
      </c>
      <c r="L4" s="20" t="s">
        <v>204</v>
      </c>
      <c r="M4" s="20" t="s">
        <v>491</v>
      </c>
      <c r="N4" s="20" t="s">
        <v>164</v>
      </c>
      <c r="O4" s="2" t="s">
        <v>2704</v>
      </c>
      <c r="P4" s="20" t="s">
        <v>1527</v>
      </c>
      <c r="Q4" s="20" t="s">
        <v>204</v>
      </c>
      <c r="R4" s="20" t="s">
        <v>455</v>
      </c>
      <c r="S4" s="20" t="s">
        <v>35</v>
      </c>
      <c r="T4" s="153">
        <v>0.01</v>
      </c>
      <c r="U4" s="20" t="s">
        <v>3143</v>
      </c>
      <c r="V4" s="168">
        <v>0</v>
      </c>
      <c r="W4" s="164">
        <v>5.7000000000000002E-2</v>
      </c>
      <c r="X4" s="18" t="s">
        <v>458</v>
      </c>
      <c r="Y4" s="18" t="s">
        <v>387</v>
      </c>
      <c r="Z4" s="20" t="s">
        <v>936</v>
      </c>
      <c r="AA4" s="20"/>
      <c r="AB4" s="2" t="s">
        <v>3144</v>
      </c>
      <c r="AD4" s="150">
        <v>1380.01</v>
      </c>
      <c r="AE4" s="153">
        <v>1</v>
      </c>
      <c r="AF4" s="190">
        <v>0.01</v>
      </c>
      <c r="AG4" s="153">
        <v>0</v>
      </c>
      <c r="AH4" s="20"/>
      <c r="AI4" s="20"/>
      <c r="AJ4" s="20" t="s">
        <v>37</v>
      </c>
      <c r="AK4" s="164">
        <v>1.98406775806256E-7</v>
      </c>
      <c r="AL4" s="164">
        <v>3.6331138987472499E-10</v>
      </c>
    </row>
    <row r="5" spans="1:38">
      <c r="A5" s="20" t="s">
        <v>26</v>
      </c>
      <c r="B5" s="20">
        <v>1182</v>
      </c>
      <c r="C5" s="20" t="s">
        <v>3145</v>
      </c>
      <c r="D5" s="20" t="s">
        <v>3146</v>
      </c>
      <c r="E5" s="18" t="s">
        <v>1380</v>
      </c>
      <c r="F5" s="20" t="s">
        <v>3147</v>
      </c>
      <c r="G5" s="20" t="s">
        <v>3148</v>
      </c>
      <c r="H5" s="20" t="s">
        <v>368</v>
      </c>
      <c r="I5" s="20" t="s">
        <v>1013</v>
      </c>
      <c r="J5" s="18" t="s">
        <v>31</v>
      </c>
      <c r="K5" s="18" t="s">
        <v>31</v>
      </c>
      <c r="L5" s="20" t="s">
        <v>204</v>
      </c>
      <c r="M5" s="20" t="s">
        <v>491</v>
      </c>
      <c r="N5" s="20" t="s">
        <v>164</v>
      </c>
      <c r="O5" s="20" t="s">
        <v>2704</v>
      </c>
      <c r="P5" s="20" t="s">
        <v>1527</v>
      </c>
      <c r="Q5" s="20" t="s">
        <v>204</v>
      </c>
      <c r="R5" s="20" t="s">
        <v>453</v>
      </c>
      <c r="S5" s="18" t="s">
        <v>35</v>
      </c>
      <c r="T5" s="153">
        <v>2.92</v>
      </c>
      <c r="U5" s="20" t="s">
        <v>3149</v>
      </c>
      <c r="V5" s="168">
        <v>1E-4</v>
      </c>
      <c r="W5" s="164">
        <v>6.5000000000000002E-2</v>
      </c>
      <c r="X5" s="18" t="s">
        <v>458</v>
      </c>
      <c r="Y5" s="18" t="s">
        <v>387</v>
      </c>
      <c r="Z5" s="20" t="s">
        <v>936</v>
      </c>
      <c r="AA5" s="20"/>
      <c r="AB5" s="2" t="s">
        <v>3150</v>
      </c>
      <c r="AC5" s="20"/>
      <c r="AD5" s="153">
        <v>39.99</v>
      </c>
      <c r="AE5" s="153">
        <v>1</v>
      </c>
      <c r="AF5" s="190">
        <v>73</v>
      </c>
      <c r="AG5" s="150">
        <v>2.9000000000000001E-2</v>
      </c>
      <c r="AJ5" s="20" t="s">
        <v>37</v>
      </c>
      <c r="AK5" s="164">
        <v>4.1970924008371702E-5</v>
      </c>
      <c r="AL5" s="164">
        <v>7.6854808379619601E-8</v>
      </c>
    </row>
    <row r="6" spans="1:38">
      <c r="A6" s="20" t="s">
        <v>26</v>
      </c>
      <c r="B6" s="20">
        <v>1182</v>
      </c>
      <c r="C6" s="20" t="s">
        <v>3151</v>
      </c>
      <c r="D6" s="20" t="s">
        <v>3152</v>
      </c>
      <c r="E6" s="18" t="s">
        <v>1380</v>
      </c>
      <c r="F6" s="20" t="s">
        <v>3153</v>
      </c>
      <c r="G6" s="20" t="s">
        <v>3154</v>
      </c>
      <c r="H6" s="20" t="s">
        <v>368</v>
      </c>
      <c r="I6" s="20" t="s">
        <v>1011</v>
      </c>
      <c r="J6" s="18" t="s">
        <v>31</v>
      </c>
      <c r="K6" s="18" t="s">
        <v>31</v>
      </c>
      <c r="L6" s="20" t="s">
        <v>204</v>
      </c>
      <c r="M6" s="20" t="s">
        <v>508</v>
      </c>
      <c r="N6" s="20" t="s">
        <v>164</v>
      </c>
      <c r="O6" s="20" t="s">
        <v>3155</v>
      </c>
      <c r="P6" s="20" t="s">
        <v>2285</v>
      </c>
      <c r="Q6" s="20" t="s">
        <v>217</v>
      </c>
      <c r="R6" s="20" t="s">
        <v>453</v>
      </c>
      <c r="S6" s="18" t="s">
        <v>35</v>
      </c>
      <c r="T6" s="153">
        <v>0.74</v>
      </c>
      <c r="U6" s="20" t="s">
        <v>3156</v>
      </c>
      <c r="V6" s="168">
        <v>5.2999999999999999E-2</v>
      </c>
      <c r="W6" s="164">
        <v>3.5499999999999997E-2</v>
      </c>
      <c r="X6" s="18" t="s">
        <v>459</v>
      </c>
      <c r="Y6" s="18" t="s">
        <v>164</v>
      </c>
      <c r="Z6" s="20" t="s">
        <v>938</v>
      </c>
      <c r="AA6" s="20" t="s">
        <v>3157</v>
      </c>
      <c r="AB6" s="2" t="s">
        <v>1378</v>
      </c>
      <c r="AC6" s="20"/>
      <c r="AD6" s="153">
        <v>240000</v>
      </c>
      <c r="AE6" s="153">
        <v>1</v>
      </c>
      <c r="AF6" s="190">
        <v>99.64</v>
      </c>
      <c r="AG6" s="150">
        <v>239.136</v>
      </c>
      <c r="AJ6" s="20" t="s">
        <v>37</v>
      </c>
      <c r="AK6" s="164">
        <v>0.34381057194661602</v>
      </c>
      <c r="AL6" s="164">
        <v>6.2956668813328996E-4</v>
      </c>
    </row>
    <row r="7" spans="1:38">
      <c r="A7" s="20" t="s">
        <v>26</v>
      </c>
      <c r="B7" s="20">
        <v>1182</v>
      </c>
      <c r="C7" s="20" t="s">
        <v>3127</v>
      </c>
      <c r="D7" s="20" t="s">
        <v>3128</v>
      </c>
      <c r="E7" s="18" t="s">
        <v>1380</v>
      </c>
      <c r="F7" s="20" t="s">
        <v>3158</v>
      </c>
      <c r="G7" s="20" t="s">
        <v>3159</v>
      </c>
      <c r="H7" s="20" t="s">
        <v>368</v>
      </c>
      <c r="I7" s="20" t="s">
        <v>219</v>
      </c>
      <c r="J7" s="18" t="s">
        <v>31</v>
      </c>
      <c r="K7" s="18" t="s">
        <v>31</v>
      </c>
      <c r="L7" s="20" t="s">
        <v>204</v>
      </c>
      <c r="M7" s="20" t="s">
        <v>491</v>
      </c>
      <c r="N7" s="20" t="s">
        <v>164</v>
      </c>
      <c r="O7" s="20" t="s">
        <v>3160</v>
      </c>
      <c r="P7" s="20" t="s">
        <v>1527</v>
      </c>
      <c r="Q7" s="20" t="s">
        <v>204</v>
      </c>
      <c r="R7" s="20" t="s">
        <v>455</v>
      </c>
      <c r="S7" s="18" t="s">
        <v>35</v>
      </c>
      <c r="T7" s="153">
        <v>0.01</v>
      </c>
      <c r="U7" s="20" t="s">
        <v>3161</v>
      </c>
      <c r="V7" s="168">
        <v>0</v>
      </c>
      <c r="W7" s="164">
        <v>4.9000000000000002E-2</v>
      </c>
      <c r="X7" s="18" t="s">
        <v>459</v>
      </c>
      <c r="Y7" s="18" t="s">
        <v>164</v>
      </c>
      <c r="Z7" s="20" t="s">
        <v>204</v>
      </c>
      <c r="AA7" s="20"/>
      <c r="AB7" s="2" t="s">
        <v>175</v>
      </c>
      <c r="AC7" s="20"/>
      <c r="AD7" s="153">
        <v>3992.61</v>
      </c>
      <c r="AE7" s="153">
        <v>1</v>
      </c>
      <c r="AF7" s="190">
        <v>6.4</v>
      </c>
      <c r="AG7" s="153">
        <v>0.25600000000000001</v>
      </c>
      <c r="AH7" s="20"/>
      <c r="AI7" s="20"/>
      <c r="AJ7" s="20" t="s">
        <v>37</v>
      </c>
      <c r="AK7" s="164">
        <v>3.67376295372616E-4</v>
      </c>
      <c r="AL7" s="164">
        <v>6.7271892271051999E-7</v>
      </c>
    </row>
    <row r="8" spans="1:38">
      <c r="A8" s="20" t="s">
        <v>26</v>
      </c>
      <c r="B8" s="20">
        <v>1182</v>
      </c>
      <c r="C8" s="20" t="s">
        <v>3162</v>
      </c>
      <c r="D8" s="20" t="s">
        <v>3163</v>
      </c>
      <c r="E8" s="18" t="s">
        <v>1380</v>
      </c>
      <c r="F8" s="20" t="s">
        <v>3164</v>
      </c>
      <c r="G8" s="20" t="s">
        <v>3165</v>
      </c>
      <c r="H8" s="20" t="s">
        <v>368</v>
      </c>
      <c r="I8" s="20" t="s">
        <v>1013</v>
      </c>
      <c r="J8" s="18" t="s">
        <v>31</v>
      </c>
      <c r="K8" s="18" t="s">
        <v>31</v>
      </c>
      <c r="L8" s="20" t="s">
        <v>204</v>
      </c>
      <c r="M8" s="20" t="s">
        <v>491</v>
      </c>
      <c r="N8" s="20" t="s">
        <v>164</v>
      </c>
      <c r="O8" s="20" t="s">
        <v>3166</v>
      </c>
      <c r="P8" s="20" t="s">
        <v>1527</v>
      </c>
      <c r="Q8" s="20" t="s">
        <v>204</v>
      </c>
      <c r="R8" s="20" t="s">
        <v>453</v>
      </c>
      <c r="S8" s="18" t="s">
        <v>35</v>
      </c>
      <c r="T8" s="153">
        <v>0.01</v>
      </c>
      <c r="U8" s="20" t="s">
        <v>3167</v>
      </c>
      <c r="V8" s="168">
        <v>1E-4</v>
      </c>
      <c r="W8" s="164">
        <v>5.5E-2</v>
      </c>
      <c r="X8" s="18" t="s">
        <v>458</v>
      </c>
      <c r="Y8" s="18" t="s">
        <v>387</v>
      </c>
      <c r="Z8" s="20" t="s">
        <v>936</v>
      </c>
      <c r="AA8" s="20"/>
      <c r="AB8" s="2" t="s">
        <v>1547</v>
      </c>
      <c r="AC8" s="20"/>
      <c r="AD8" s="153">
        <v>1000</v>
      </c>
      <c r="AE8" s="153">
        <v>1</v>
      </c>
      <c r="AF8" s="190">
        <v>1</v>
      </c>
      <c r="AG8" s="153">
        <v>0.01</v>
      </c>
      <c r="AH8" s="20"/>
      <c r="AI8" s="20"/>
      <c r="AJ8" s="20" t="s">
        <v>37</v>
      </c>
      <c r="AK8" s="164">
        <v>1.4377198412059101E-5</v>
      </c>
      <c r="AL8" s="164">
        <v>2.6326721536418198E-8</v>
      </c>
    </row>
    <row r="9" spans="1:38">
      <c r="A9" s="20" t="s">
        <v>26</v>
      </c>
      <c r="B9" s="20">
        <v>1182</v>
      </c>
      <c r="C9" s="20" t="s">
        <v>3168</v>
      </c>
      <c r="D9" s="20" t="s">
        <v>1544</v>
      </c>
      <c r="E9" s="18" t="s">
        <v>1380</v>
      </c>
      <c r="F9" s="20" t="s">
        <v>3169</v>
      </c>
      <c r="G9" s="20" t="s">
        <v>3170</v>
      </c>
      <c r="H9" s="20" t="s">
        <v>368</v>
      </c>
      <c r="I9" s="20" t="s">
        <v>1011</v>
      </c>
      <c r="J9" s="18" t="s">
        <v>31</v>
      </c>
      <c r="K9" s="18" t="s">
        <v>31</v>
      </c>
      <c r="L9" s="20" t="s">
        <v>204</v>
      </c>
      <c r="M9" s="20" t="s">
        <v>523</v>
      </c>
      <c r="N9" s="20" t="s">
        <v>164</v>
      </c>
      <c r="O9" s="20" t="s">
        <v>3171</v>
      </c>
      <c r="P9" s="20" t="s">
        <v>1527</v>
      </c>
      <c r="Q9" s="20" t="s">
        <v>204</v>
      </c>
      <c r="R9" s="20" t="s">
        <v>455</v>
      </c>
      <c r="S9" s="18" t="s">
        <v>35</v>
      </c>
      <c r="T9" s="153">
        <v>2.46</v>
      </c>
      <c r="U9" s="20" t="s">
        <v>3172</v>
      </c>
      <c r="V9" s="168">
        <v>7.7399999999999997E-2</v>
      </c>
      <c r="W9" s="164">
        <v>0</v>
      </c>
      <c r="X9" s="18" t="s">
        <v>459</v>
      </c>
      <c r="Y9" s="18" t="s">
        <v>164</v>
      </c>
      <c r="Z9" s="20" t="s">
        <v>938</v>
      </c>
      <c r="AA9" s="20"/>
      <c r="AB9" s="2" t="s">
        <v>1378</v>
      </c>
      <c r="AC9" s="20"/>
      <c r="AD9" s="153">
        <v>450000</v>
      </c>
      <c r="AE9" s="153">
        <v>1</v>
      </c>
      <c r="AF9" s="190">
        <v>101.25</v>
      </c>
      <c r="AG9" s="153">
        <v>455.625</v>
      </c>
      <c r="AH9" s="20"/>
      <c r="AI9" s="20"/>
      <c r="AJ9" s="20" t="s">
        <v>37</v>
      </c>
      <c r="AK9" s="164">
        <v>0.65506110264944195</v>
      </c>
      <c r="AL9" s="164">
        <v>1.1995112500030501E-3</v>
      </c>
    </row>
    <row r="10" spans="1:38">
      <c r="A10" s="20" t="s">
        <v>26</v>
      </c>
      <c r="B10" s="20">
        <v>1182</v>
      </c>
      <c r="C10" s="20" t="s">
        <v>3173</v>
      </c>
      <c r="D10" s="20" t="s">
        <v>3174</v>
      </c>
      <c r="E10" s="18" t="s">
        <v>1380</v>
      </c>
      <c r="F10" s="20" t="s">
        <v>3175</v>
      </c>
      <c r="G10" s="20" t="s">
        <v>3176</v>
      </c>
      <c r="H10" s="20" t="s">
        <v>368</v>
      </c>
      <c r="I10" s="20" t="s">
        <v>219</v>
      </c>
      <c r="J10" s="18" t="s">
        <v>31</v>
      </c>
      <c r="K10" s="18" t="s">
        <v>31</v>
      </c>
      <c r="L10" s="20" t="s">
        <v>204</v>
      </c>
      <c r="M10" s="20" t="s">
        <v>495</v>
      </c>
      <c r="N10" s="20" t="s">
        <v>164</v>
      </c>
      <c r="O10" s="20"/>
      <c r="P10" s="20" t="s">
        <v>3177</v>
      </c>
      <c r="Q10" s="20" t="s">
        <v>477</v>
      </c>
      <c r="R10" s="20" t="s">
        <v>453</v>
      </c>
      <c r="S10" s="18" t="s">
        <v>35</v>
      </c>
      <c r="T10" s="153">
        <v>0.01</v>
      </c>
      <c r="U10" s="20" t="s">
        <v>3178</v>
      </c>
      <c r="V10" s="168">
        <v>0</v>
      </c>
      <c r="W10" s="164">
        <v>5.5E-2</v>
      </c>
      <c r="X10" s="18" t="s">
        <v>459</v>
      </c>
      <c r="Y10" s="18" t="s">
        <v>164</v>
      </c>
      <c r="Z10" s="20" t="s">
        <v>204</v>
      </c>
      <c r="AA10" s="20"/>
      <c r="AB10" s="2" t="s">
        <v>3179</v>
      </c>
      <c r="AC10" s="20"/>
      <c r="AD10" s="153">
        <v>1285.8</v>
      </c>
      <c r="AE10" s="153">
        <v>1</v>
      </c>
      <c r="AF10" s="190">
        <v>0.01</v>
      </c>
      <c r="AG10" s="153">
        <v>0</v>
      </c>
      <c r="AH10" s="20"/>
      <c r="AI10" s="20"/>
      <c r="AJ10" s="20" t="s">
        <v>37</v>
      </c>
      <c r="AK10" s="164">
        <v>1.8486201718225601E-7</v>
      </c>
      <c r="AL10" s="164">
        <v>3.38508985515265E-10</v>
      </c>
    </row>
    <row r="11" spans="1:38">
      <c r="A11" s="20" t="s">
        <v>119</v>
      </c>
      <c r="B11" s="20">
        <v>12905</v>
      </c>
      <c r="C11" s="20" t="s">
        <v>3168</v>
      </c>
      <c r="D11" s="20" t="s">
        <v>1544</v>
      </c>
      <c r="E11" s="18" t="s">
        <v>1380</v>
      </c>
      <c r="F11" s="20" t="s">
        <v>3169</v>
      </c>
      <c r="G11" s="20" t="s">
        <v>3170</v>
      </c>
      <c r="H11" s="20" t="s">
        <v>368</v>
      </c>
      <c r="I11" s="20" t="s">
        <v>1011</v>
      </c>
      <c r="J11" s="18" t="s">
        <v>31</v>
      </c>
      <c r="K11" s="18" t="s">
        <v>31</v>
      </c>
      <c r="L11" s="20" t="s">
        <v>204</v>
      </c>
      <c r="M11" s="20" t="s">
        <v>523</v>
      </c>
      <c r="N11" s="20" t="s">
        <v>164</v>
      </c>
      <c r="O11" s="20" t="s">
        <v>3171</v>
      </c>
      <c r="P11" s="20" t="s">
        <v>1527</v>
      </c>
      <c r="Q11" s="20" t="s">
        <v>204</v>
      </c>
      <c r="R11" s="20" t="s">
        <v>455</v>
      </c>
      <c r="S11" s="18" t="s">
        <v>35</v>
      </c>
      <c r="T11" s="153">
        <v>2.46</v>
      </c>
      <c r="U11" s="20" t="s">
        <v>3172</v>
      </c>
      <c r="V11" s="168">
        <v>7.7399999999999997E-2</v>
      </c>
      <c r="W11" s="164">
        <v>0</v>
      </c>
      <c r="X11" s="18" t="s">
        <v>459</v>
      </c>
      <c r="Y11" s="18" t="s">
        <v>164</v>
      </c>
      <c r="Z11" s="20" t="s">
        <v>938</v>
      </c>
      <c r="AA11" s="20"/>
      <c r="AB11" s="2" t="s">
        <v>1378</v>
      </c>
      <c r="AC11" s="20"/>
      <c r="AD11" s="153">
        <v>25000</v>
      </c>
      <c r="AE11" s="153">
        <v>1</v>
      </c>
      <c r="AF11" s="190">
        <v>101.25</v>
      </c>
      <c r="AG11" s="153">
        <v>25.312999999999999</v>
      </c>
      <c r="AH11" s="20"/>
      <c r="AI11" s="20"/>
      <c r="AJ11" s="20" t="s">
        <v>37</v>
      </c>
      <c r="AK11" s="164">
        <v>1</v>
      </c>
      <c r="AL11" s="164">
        <v>8.7429286567521395E-4</v>
      </c>
    </row>
    <row r="12" spans="1:38">
      <c r="A12" s="20" t="s">
        <v>128</v>
      </c>
      <c r="B12" s="20">
        <v>7228</v>
      </c>
      <c r="C12" s="20" t="s">
        <v>3127</v>
      </c>
      <c r="D12" s="20" t="s">
        <v>3128</v>
      </c>
      <c r="E12" s="18" t="s">
        <v>1380</v>
      </c>
      <c r="F12" s="20" t="s">
        <v>3129</v>
      </c>
      <c r="G12" s="20" t="s">
        <v>3130</v>
      </c>
      <c r="H12" s="20" t="s">
        <v>368</v>
      </c>
      <c r="I12" s="20" t="s">
        <v>219</v>
      </c>
      <c r="J12" s="18" t="s">
        <v>31</v>
      </c>
      <c r="K12" s="18" t="s">
        <v>31</v>
      </c>
      <c r="L12" s="20" t="s">
        <v>204</v>
      </c>
      <c r="M12" s="20" t="s">
        <v>491</v>
      </c>
      <c r="N12" s="20" t="s">
        <v>164</v>
      </c>
      <c r="O12" s="20" t="s">
        <v>3160</v>
      </c>
      <c r="P12" s="20" t="s">
        <v>1527</v>
      </c>
      <c r="Q12" s="20" t="s">
        <v>204</v>
      </c>
      <c r="R12" s="20" t="s">
        <v>455</v>
      </c>
      <c r="S12" s="18" t="s">
        <v>35</v>
      </c>
      <c r="T12" s="153">
        <v>0.01</v>
      </c>
      <c r="U12" s="20" t="s">
        <v>3131</v>
      </c>
      <c r="V12" s="168">
        <v>0</v>
      </c>
      <c r="W12" s="164">
        <v>5.1499999999999997E-2</v>
      </c>
      <c r="X12" s="18" t="s">
        <v>459</v>
      </c>
      <c r="Y12" s="18" t="s">
        <v>164</v>
      </c>
      <c r="Z12" s="20" t="s">
        <v>204</v>
      </c>
      <c r="AA12" s="20"/>
      <c r="AB12" s="2" t="s">
        <v>3132</v>
      </c>
      <c r="AC12" s="20"/>
      <c r="AD12" s="153">
        <v>70023.45</v>
      </c>
      <c r="AE12" s="153">
        <v>1</v>
      </c>
      <c r="AF12" s="190">
        <v>0</v>
      </c>
      <c r="AG12" s="153">
        <v>0</v>
      </c>
      <c r="AH12" s="20"/>
      <c r="AI12" s="20"/>
      <c r="AJ12" s="20" t="s">
        <v>37</v>
      </c>
      <c r="AK12" s="164">
        <v>1.02681823611859E-8</v>
      </c>
      <c r="AL12" s="164">
        <v>3.02153734259508E-11</v>
      </c>
    </row>
    <row r="13" spans="1:38">
      <c r="A13" s="20" t="s">
        <v>128</v>
      </c>
      <c r="B13" s="20">
        <v>7228</v>
      </c>
      <c r="C13" s="20" t="s">
        <v>3180</v>
      </c>
      <c r="D13" s="20" t="s">
        <v>3181</v>
      </c>
      <c r="E13" s="18" t="s">
        <v>1380</v>
      </c>
      <c r="F13" s="20" t="s">
        <v>3182</v>
      </c>
      <c r="G13" s="20" t="s">
        <v>3183</v>
      </c>
      <c r="H13" s="20" t="s">
        <v>368</v>
      </c>
      <c r="I13" s="20" t="s">
        <v>1013</v>
      </c>
      <c r="J13" s="18" t="s">
        <v>31</v>
      </c>
      <c r="K13" s="18" t="s">
        <v>31</v>
      </c>
      <c r="L13" s="20" t="s">
        <v>204</v>
      </c>
      <c r="M13" s="20" t="s">
        <v>495</v>
      </c>
      <c r="N13" s="20" t="s">
        <v>164</v>
      </c>
      <c r="O13" s="20" t="s">
        <v>3184</v>
      </c>
      <c r="P13" s="20" t="s">
        <v>1527</v>
      </c>
      <c r="Q13" s="20" t="s">
        <v>204</v>
      </c>
      <c r="R13" s="20" t="s">
        <v>455</v>
      </c>
      <c r="S13" s="18" t="s">
        <v>35</v>
      </c>
      <c r="T13" s="153">
        <v>0.01</v>
      </c>
      <c r="U13" s="20" t="s">
        <v>3185</v>
      </c>
      <c r="V13" s="168">
        <v>6.7999999999999996E-3</v>
      </c>
      <c r="W13" s="164">
        <v>7.9000000000000001E-2</v>
      </c>
      <c r="X13" s="18" t="s">
        <v>458</v>
      </c>
      <c r="Y13" s="18" t="s">
        <v>387</v>
      </c>
      <c r="Z13" s="20" t="s">
        <v>936</v>
      </c>
      <c r="AA13" s="20"/>
      <c r="AB13" s="2" t="s">
        <v>3186</v>
      </c>
      <c r="AC13" s="20"/>
      <c r="AD13" s="153">
        <v>10168.469999999999</v>
      </c>
      <c r="AE13" s="153">
        <v>1</v>
      </c>
      <c r="AF13" s="190">
        <v>0</v>
      </c>
      <c r="AG13" s="153">
        <v>0</v>
      </c>
      <c r="AH13" s="20"/>
      <c r="AI13" s="20"/>
      <c r="AJ13" s="20" t="s">
        <v>37</v>
      </c>
      <c r="AK13" s="164">
        <v>1.4910962583855501E-9</v>
      </c>
      <c r="AL13" s="164">
        <v>4.38773179871283E-12</v>
      </c>
    </row>
    <row r="14" spans="1:38">
      <c r="A14" s="20" t="s">
        <v>128</v>
      </c>
      <c r="B14" s="20">
        <v>7228</v>
      </c>
      <c r="C14" s="20" t="s">
        <v>3145</v>
      </c>
      <c r="D14" s="20" t="s">
        <v>3146</v>
      </c>
      <c r="E14" s="18" t="s">
        <v>1380</v>
      </c>
      <c r="F14" s="20" t="s">
        <v>3147</v>
      </c>
      <c r="G14" s="20" t="s">
        <v>3148</v>
      </c>
      <c r="H14" s="20" t="s">
        <v>368</v>
      </c>
      <c r="I14" s="20" t="s">
        <v>1013</v>
      </c>
      <c r="J14" s="18" t="s">
        <v>31</v>
      </c>
      <c r="K14" s="18" t="s">
        <v>31</v>
      </c>
      <c r="L14" s="20" t="s">
        <v>204</v>
      </c>
      <c r="M14" s="20" t="s">
        <v>491</v>
      </c>
      <c r="N14" s="20" t="s">
        <v>164</v>
      </c>
      <c r="O14" s="20" t="s">
        <v>2704</v>
      </c>
      <c r="P14" s="20" t="s">
        <v>1527</v>
      </c>
      <c r="Q14" s="20" t="s">
        <v>204</v>
      </c>
      <c r="R14" s="20" t="s">
        <v>453</v>
      </c>
      <c r="S14" s="18" t="s">
        <v>35</v>
      </c>
      <c r="T14" s="153">
        <v>2.92</v>
      </c>
      <c r="U14" s="20" t="s">
        <v>3149</v>
      </c>
      <c r="V14" s="168">
        <v>1E-4</v>
      </c>
      <c r="W14" s="164">
        <v>6.5000000000000002E-2</v>
      </c>
      <c r="X14" s="18" t="s">
        <v>458</v>
      </c>
      <c r="Y14" s="18" t="s">
        <v>387</v>
      </c>
      <c r="Z14" s="20" t="s">
        <v>936</v>
      </c>
      <c r="AA14" s="20"/>
      <c r="AB14" s="2" t="s">
        <v>3150</v>
      </c>
      <c r="AC14" s="20"/>
      <c r="AD14" s="153">
        <v>363.29</v>
      </c>
      <c r="AE14" s="153">
        <v>1</v>
      </c>
      <c r="AF14" s="190">
        <v>73</v>
      </c>
      <c r="AG14" s="153">
        <v>0.26500000000000001</v>
      </c>
      <c r="AH14" s="20"/>
      <c r="AI14" s="20"/>
      <c r="AJ14" s="20" t="s">
        <v>37</v>
      </c>
      <c r="AK14" s="164">
        <v>3.8888963884191699E-5</v>
      </c>
      <c r="AL14" s="164">
        <v>1.14435498375144E-7</v>
      </c>
    </row>
    <row r="15" spans="1:38">
      <c r="A15" s="20" t="s">
        <v>128</v>
      </c>
      <c r="B15" s="20">
        <v>7228</v>
      </c>
      <c r="C15" s="20" t="s">
        <v>3151</v>
      </c>
      <c r="D15" s="20" t="s">
        <v>3152</v>
      </c>
      <c r="E15" s="18" t="s">
        <v>1380</v>
      </c>
      <c r="F15" s="20" t="s">
        <v>3153</v>
      </c>
      <c r="G15" s="20" t="s">
        <v>3154</v>
      </c>
      <c r="H15" s="20" t="s">
        <v>368</v>
      </c>
      <c r="I15" s="20" t="s">
        <v>1011</v>
      </c>
      <c r="J15" s="18" t="s">
        <v>31</v>
      </c>
      <c r="K15" s="18" t="s">
        <v>31</v>
      </c>
      <c r="L15" s="20" t="s">
        <v>204</v>
      </c>
      <c r="M15" s="20" t="s">
        <v>508</v>
      </c>
      <c r="N15" s="20" t="s">
        <v>164</v>
      </c>
      <c r="O15" s="20" t="s">
        <v>3155</v>
      </c>
      <c r="P15" s="20" t="s">
        <v>2285</v>
      </c>
      <c r="Q15" s="20" t="s">
        <v>217</v>
      </c>
      <c r="R15" s="20" t="s">
        <v>453</v>
      </c>
      <c r="S15" s="18" t="s">
        <v>35</v>
      </c>
      <c r="T15" s="153">
        <v>0.74</v>
      </c>
      <c r="U15" s="20" t="s">
        <v>3156</v>
      </c>
      <c r="V15" s="168">
        <v>5.2999999999999999E-2</v>
      </c>
      <c r="W15" s="164">
        <v>3.5499999999999997E-2</v>
      </c>
      <c r="X15" s="18" t="s">
        <v>459</v>
      </c>
      <c r="Y15" s="18" t="s">
        <v>164</v>
      </c>
      <c r="Z15" s="20" t="s">
        <v>938</v>
      </c>
      <c r="AA15" s="20" t="s">
        <v>3157</v>
      </c>
      <c r="AB15" s="2" t="s">
        <v>1378</v>
      </c>
      <c r="AC15" s="20"/>
      <c r="AD15" s="153">
        <v>2200000</v>
      </c>
      <c r="AE15" s="153">
        <v>1</v>
      </c>
      <c r="AF15" s="190">
        <v>99.64</v>
      </c>
      <c r="AG15" s="153">
        <v>2192.08</v>
      </c>
      <c r="AH15" s="20"/>
      <c r="AI15" s="20"/>
      <c r="AJ15" s="20" t="s">
        <v>37</v>
      </c>
      <c r="AK15" s="164">
        <v>0.32144484726628397</v>
      </c>
      <c r="AL15" s="164">
        <v>9.4589049496358998E-4</v>
      </c>
    </row>
    <row r="16" spans="1:38">
      <c r="A16" s="20" t="s">
        <v>128</v>
      </c>
      <c r="B16" s="20">
        <v>7228</v>
      </c>
      <c r="C16" s="20" t="s">
        <v>3187</v>
      </c>
      <c r="D16" s="20" t="s">
        <v>3188</v>
      </c>
      <c r="E16" s="18" t="s">
        <v>1380</v>
      </c>
      <c r="F16" s="20" t="s">
        <v>3189</v>
      </c>
      <c r="G16" s="20" t="s">
        <v>3190</v>
      </c>
      <c r="H16" s="20" t="s">
        <v>368</v>
      </c>
      <c r="I16" s="20" t="s">
        <v>1013</v>
      </c>
      <c r="J16" s="18" t="s">
        <v>31</v>
      </c>
      <c r="K16" s="18" t="s">
        <v>31</v>
      </c>
      <c r="L16" s="20" t="s">
        <v>204</v>
      </c>
      <c r="M16" s="20" t="s">
        <v>495</v>
      </c>
      <c r="N16" s="20" t="s">
        <v>164</v>
      </c>
      <c r="O16" s="20" t="s">
        <v>3191</v>
      </c>
      <c r="P16" s="20" t="s">
        <v>1527</v>
      </c>
      <c r="Q16" s="20" t="s">
        <v>204</v>
      </c>
      <c r="R16" s="20" t="s">
        <v>455</v>
      </c>
      <c r="S16" s="18" t="s">
        <v>35</v>
      </c>
      <c r="T16" s="153">
        <v>0.01</v>
      </c>
      <c r="U16" s="20" t="s">
        <v>3192</v>
      </c>
      <c r="V16" s="168">
        <v>8.9999999999999993E-3</v>
      </c>
      <c r="W16" s="164">
        <v>4.4999999999999998E-2</v>
      </c>
      <c r="X16" s="18" t="s">
        <v>459</v>
      </c>
      <c r="Y16" s="18" t="s">
        <v>164</v>
      </c>
      <c r="Z16" s="20" t="s">
        <v>204</v>
      </c>
      <c r="AA16" s="20"/>
      <c r="AB16" s="2" t="s">
        <v>3179</v>
      </c>
      <c r="AC16" s="20"/>
      <c r="AD16" s="153">
        <v>1792.17</v>
      </c>
      <c r="AE16" s="153">
        <v>1</v>
      </c>
      <c r="AF16" s="190">
        <v>0.82</v>
      </c>
      <c r="AG16" s="153">
        <v>1.4999999999999999E-2</v>
      </c>
      <c r="AH16" s="20"/>
      <c r="AI16" s="20"/>
      <c r="AJ16" s="20" t="s">
        <v>37</v>
      </c>
      <c r="AK16" s="164">
        <v>2.1549794066762001E-6</v>
      </c>
      <c r="AL16" s="164">
        <v>6.3412885754821703E-9</v>
      </c>
    </row>
    <row r="17" spans="1:38">
      <c r="A17" s="20" t="s">
        <v>128</v>
      </c>
      <c r="B17" s="20">
        <v>7228</v>
      </c>
      <c r="C17" s="20" t="s">
        <v>3193</v>
      </c>
      <c r="D17" s="20" t="s">
        <v>3194</v>
      </c>
      <c r="E17" s="18" t="s">
        <v>1380</v>
      </c>
      <c r="F17" s="20" t="s">
        <v>3195</v>
      </c>
      <c r="G17" s="20" t="s">
        <v>3196</v>
      </c>
      <c r="H17" s="20" t="s">
        <v>368</v>
      </c>
      <c r="I17" s="20" t="s">
        <v>219</v>
      </c>
      <c r="J17" s="18" t="s">
        <v>31</v>
      </c>
      <c r="K17" s="18" t="s">
        <v>31</v>
      </c>
      <c r="L17" s="20" t="s">
        <v>204</v>
      </c>
      <c r="M17" s="20" t="s">
        <v>523</v>
      </c>
      <c r="N17" s="20" t="s">
        <v>164</v>
      </c>
      <c r="O17" s="20" t="s">
        <v>2704</v>
      </c>
      <c r="P17" s="20" t="s">
        <v>2274</v>
      </c>
      <c r="Q17" s="20" t="s">
        <v>217</v>
      </c>
      <c r="R17" s="20" t="s">
        <v>453</v>
      </c>
      <c r="S17" s="18" t="s">
        <v>35</v>
      </c>
      <c r="T17" s="153">
        <v>0.79</v>
      </c>
      <c r="U17" s="20" t="s">
        <v>3197</v>
      </c>
      <c r="V17" s="168">
        <v>2.0199999999999999E-2</v>
      </c>
      <c r="W17" s="164">
        <v>7.7499999999999999E-2</v>
      </c>
      <c r="X17" s="18" t="s">
        <v>459</v>
      </c>
      <c r="Y17" s="18" t="s">
        <v>164</v>
      </c>
      <c r="Z17" s="20" t="s">
        <v>938</v>
      </c>
      <c r="AA17" s="20" t="s">
        <v>3157</v>
      </c>
      <c r="AB17" s="2" t="s">
        <v>1378</v>
      </c>
      <c r="AC17" s="20"/>
      <c r="AD17" s="153">
        <v>287576.65999999997</v>
      </c>
      <c r="AE17" s="153">
        <v>1</v>
      </c>
      <c r="AF17" s="190">
        <v>145.41</v>
      </c>
      <c r="AG17" s="153">
        <v>418.16500000000002</v>
      </c>
      <c r="AH17" s="20"/>
      <c r="AI17" s="20"/>
      <c r="AJ17" s="20" t="s">
        <v>37</v>
      </c>
      <c r="AK17" s="164">
        <v>6.13194115610649E-2</v>
      </c>
      <c r="AL17" s="164">
        <v>1.8043981431229301E-4</v>
      </c>
    </row>
    <row r="18" spans="1:38">
      <c r="A18" s="20" t="s">
        <v>128</v>
      </c>
      <c r="B18" s="20">
        <v>7228</v>
      </c>
      <c r="C18" s="20" t="s">
        <v>3198</v>
      </c>
      <c r="D18" s="20" t="s">
        <v>3199</v>
      </c>
      <c r="E18" s="18" t="s">
        <v>1380</v>
      </c>
      <c r="F18" s="20" t="s">
        <v>3200</v>
      </c>
      <c r="G18" s="20" t="s">
        <v>3201</v>
      </c>
      <c r="H18" s="20" t="s">
        <v>368</v>
      </c>
      <c r="I18" s="20" t="s">
        <v>219</v>
      </c>
      <c r="J18" s="18" t="s">
        <v>31</v>
      </c>
      <c r="K18" s="18" t="s">
        <v>31</v>
      </c>
      <c r="L18" s="20" t="s">
        <v>204</v>
      </c>
      <c r="M18" s="20" t="s">
        <v>495</v>
      </c>
      <c r="N18" s="20" t="s">
        <v>164</v>
      </c>
      <c r="O18" s="20" t="s">
        <v>3166</v>
      </c>
      <c r="P18" s="20" t="s">
        <v>1527</v>
      </c>
      <c r="Q18" s="20" t="s">
        <v>204</v>
      </c>
      <c r="R18" s="20" t="s">
        <v>453</v>
      </c>
      <c r="S18" s="18" t="s">
        <v>35</v>
      </c>
      <c r="T18" s="153">
        <v>0.01</v>
      </c>
      <c r="U18" s="20" t="s">
        <v>3202</v>
      </c>
      <c r="V18" s="168">
        <v>1E-4</v>
      </c>
      <c r="W18" s="164">
        <v>0.08</v>
      </c>
      <c r="X18" s="18" t="s">
        <v>459</v>
      </c>
      <c r="Y18" s="18" t="s">
        <v>387</v>
      </c>
      <c r="Z18" s="20" t="s">
        <v>936</v>
      </c>
      <c r="AA18" s="20"/>
      <c r="AB18" s="2" t="s">
        <v>3203</v>
      </c>
      <c r="AC18" s="20"/>
      <c r="AD18" s="153">
        <v>0.01</v>
      </c>
      <c r="AE18" s="153">
        <v>1</v>
      </c>
      <c r="AF18" s="190">
        <v>352.5</v>
      </c>
      <c r="AG18" s="153">
        <v>0</v>
      </c>
      <c r="AH18" s="20"/>
      <c r="AI18" s="20"/>
      <c r="AJ18" s="20" t="s">
        <v>37</v>
      </c>
      <c r="AK18" s="164">
        <v>5.1690316348566308E-9</v>
      </c>
      <c r="AL18" s="164">
        <v>1.5210503242339002E-11</v>
      </c>
    </row>
    <row r="19" spans="1:38">
      <c r="A19" s="20" t="s">
        <v>128</v>
      </c>
      <c r="B19" s="20">
        <v>7228</v>
      </c>
      <c r="C19" s="20" t="s">
        <v>3162</v>
      </c>
      <c r="D19" s="20" t="s">
        <v>3163</v>
      </c>
      <c r="E19" s="18" t="s">
        <v>1380</v>
      </c>
      <c r="F19" s="20" t="s">
        <v>3164</v>
      </c>
      <c r="G19" s="20" t="s">
        <v>3165</v>
      </c>
      <c r="H19" s="20" t="s">
        <v>368</v>
      </c>
      <c r="I19" s="20" t="s">
        <v>1013</v>
      </c>
      <c r="J19" s="18" t="s">
        <v>31</v>
      </c>
      <c r="K19" s="18" t="s">
        <v>31</v>
      </c>
      <c r="L19" s="20" t="s">
        <v>204</v>
      </c>
      <c r="M19" s="20" t="s">
        <v>491</v>
      </c>
      <c r="N19" s="20" t="s">
        <v>164</v>
      </c>
      <c r="O19" s="20" t="s">
        <v>3166</v>
      </c>
      <c r="P19" s="20" t="s">
        <v>1527</v>
      </c>
      <c r="Q19" s="20" t="s">
        <v>204</v>
      </c>
      <c r="R19" s="20" t="s">
        <v>453</v>
      </c>
      <c r="S19" s="18" t="s">
        <v>35</v>
      </c>
      <c r="T19" s="153">
        <v>0.01</v>
      </c>
      <c r="U19" s="20" t="s">
        <v>3167</v>
      </c>
      <c r="V19" s="168">
        <v>1E-4</v>
      </c>
      <c r="W19" s="164">
        <v>5.5E-2</v>
      </c>
      <c r="X19" s="18" t="s">
        <v>458</v>
      </c>
      <c r="Y19" s="18" t="s">
        <v>387</v>
      </c>
      <c r="Z19" s="20" t="s">
        <v>936</v>
      </c>
      <c r="AA19" s="20"/>
      <c r="AB19" s="2" t="s">
        <v>1547</v>
      </c>
      <c r="AC19" s="20"/>
      <c r="AD19" s="153">
        <v>22175.01</v>
      </c>
      <c r="AE19" s="153">
        <v>1</v>
      </c>
      <c r="AF19" s="190">
        <v>1</v>
      </c>
      <c r="AG19" s="153">
        <v>0.222</v>
      </c>
      <c r="AH19" s="20"/>
      <c r="AI19" s="20"/>
      <c r="AJ19" s="20" t="s">
        <v>37</v>
      </c>
      <c r="AK19" s="164">
        <v>3.2517256225038901E-5</v>
      </c>
      <c r="AL19" s="164">
        <v>9.5685974894723495E-8</v>
      </c>
    </row>
    <row r="20" spans="1:38">
      <c r="A20" s="2" t="s">
        <v>128</v>
      </c>
      <c r="B20" s="2">
        <v>7228</v>
      </c>
      <c r="C20" s="2" t="s">
        <v>3204</v>
      </c>
      <c r="D20" s="2" t="s">
        <v>3205</v>
      </c>
      <c r="E20" s="18" t="s">
        <v>1380</v>
      </c>
      <c r="F20" s="2" t="s">
        <v>3206</v>
      </c>
      <c r="G20" s="2" t="s">
        <v>3207</v>
      </c>
      <c r="H20" s="20" t="s">
        <v>368</v>
      </c>
      <c r="I20" s="20" t="s">
        <v>219</v>
      </c>
      <c r="J20" s="18" t="s">
        <v>31</v>
      </c>
      <c r="K20" s="18" t="s">
        <v>31</v>
      </c>
      <c r="L20" s="20" t="s">
        <v>204</v>
      </c>
      <c r="M20" s="20" t="s">
        <v>491</v>
      </c>
      <c r="N20" s="20" t="s">
        <v>164</v>
      </c>
      <c r="O20" s="2" t="s">
        <v>3166</v>
      </c>
      <c r="P20" s="2" t="s">
        <v>1527</v>
      </c>
      <c r="Q20" s="20" t="s">
        <v>204</v>
      </c>
      <c r="R20" s="20" t="s">
        <v>455</v>
      </c>
      <c r="S20" s="2" t="s">
        <v>35</v>
      </c>
      <c r="T20" s="150">
        <v>0.01</v>
      </c>
      <c r="U20" s="2" t="s">
        <v>3208</v>
      </c>
      <c r="V20" s="164">
        <v>1E-4</v>
      </c>
      <c r="W20" s="164">
        <v>5.7500000000000002E-2</v>
      </c>
      <c r="X20" s="18" t="s">
        <v>458</v>
      </c>
      <c r="Y20" s="18" t="s">
        <v>387</v>
      </c>
      <c r="Z20" s="2" t="s">
        <v>936</v>
      </c>
      <c r="AA20" s="20"/>
      <c r="AB20" s="2" t="s">
        <v>3209</v>
      </c>
      <c r="AD20" s="150">
        <v>683.67</v>
      </c>
      <c r="AE20" s="150">
        <v>1</v>
      </c>
      <c r="AF20" s="191">
        <v>43.1</v>
      </c>
      <c r="AG20" s="150">
        <v>0.29499999999999998</v>
      </c>
      <c r="AJ20" s="20" t="s">
        <v>37</v>
      </c>
      <c r="AK20" s="164">
        <v>4.3208964842917703E-5</v>
      </c>
      <c r="AL20" s="164">
        <v>1.2714762575825099E-7</v>
      </c>
    </row>
    <row r="21" spans="1:38">
      <c r="A21" s="2" t="s">
        <v>128</v>
      </c>
      <c r="B21" s="2">
        <v>7228</v>
      </c>
      <c r="C21" s="2" t="s">
        <v>3204</v>
      </c>
      <c r="D21" s="2" t="s">
        <v>3205</v>
      </c>
      <c r="E21" s="4" t="s">
        <v>1380</v>
      </c>
      <c r="F21" s="2" t="s">
        <v>3210</v>
      </c>
      <c r="G21" s="2" t="s">
        <v>3211</v>
      </c>
      <c r="H21" s="2" t="s">
        <v>368</v>
      </c>
      <c r="I21" s="2" t="s">
        <v>1013</v>
      </c>
      <c r="J21" s="2" t="s">
        <v>31</v>
      </c>
      <c r="K21" s="2" t="s">
        <v>31</v>
      </c>
      <c r="L21" s="2" t="s">
        <v>204</v>
      </c>
      <c r="M21" s="2" t="s">
        <v>491</v>
      </c>
      <c r="N21" s="2" t="s">
        <v>164</v>
      </c>
      <c r="O21" s="2" t="s">
        <v>3166</v>
      </c>
      <c r="P21" s="2" t="s">
        <v>1527</v>
      </c>
      <c r="Q21" s="2" t="s">
        <v>204</v>
      </c>
      <c r="R21" s="2" t="s">
        <v>455</v>
      </c>
      <c r="S21" s="2" t="s">
        <v>35</v>
      </c>
      <c r="T21" s="150">
        <v>0.01</v>
      </c>
      <c r="U21" s="2" t="s">
        <v>3212</v>
      </c>
      <c r="V21" s="164">
        <v>1E-4</v>
      </c>
      <c r="W21" s="164">
        <v>7.4999999999999997E-2</v>
      </c>
      <c r="X21" s="4" t="s">
        <v>458</v>
      </c>
      <c r="Y21" s="4" t="s">
        <v>387</v>
      </c>
      <c r="Z21" s="2" t="s">
        <v>936</v>
      </c>
      <c r="AB21" s="2" t="s">
        <v>3209</v>
      </c>
      <c r="AD21" s="150">
        <v>6593.35</v>
      </c>
      <c r="AE21" s="150">
        <v>1</v>
      </c>
      <c r="AF21" s="191">
        <v>31.9</v>
      </c>
      <c r="AG21" s="150">
        <v>2.1030000000000002</v>
      </c>
      <c r="AJ21" s="2" t="s">
        <v>37</v>
      </c>
      <c r="AK21" s="164">
        <v>3.08423088759391E-4</v>
      </c>
      <c r="AL21" s="164">
        <v>9.0757238937212699E-7</v>
      </c>
    </row>
    <row r="22" spans="1:38">
      <c r="A22" s="2" t="s">
        <v>128</v>
      </c>
      <c r="B22" s="2">
        <v>7228</v>
      </c>
      <c r="C22" s="2" t="s">
        <v>3204</v>
      </c>
      <c r="D22" s="2" t="s">
        <v>3205</v>
      </c>
      <c r="E22" s="4" t="s">
        <v>1380</v>
      </c>
      <c r="F22" s="2" t="s">
        <v>3213</v>
      </c>
      <c r="G22" s="2" t="s">
        <v>3214</v>
      </c>
      <c r="H22" s="2" t="s">
        <v>368</v>
      </c>
      <c r="I22" s="2" t="s">
        <v>219</v>
      </c>
      <c r="J22" s="2" t="s">
        <v>31</v>
      </c>
      <c r="K22" s="2" t="s">
        <v>31</v>
      </c>
      <c r="L22" s="2" t="s">
        <v>204</v>
      </c>
      <c r="M22" s="2" t="s">
        <v>491</v>
      </c>
      <c r="N22" s="2" t="s">
        <v>164</v>
      </c>
      <c r="O22" s="2" t="s">
        <v>3166</v>
      </c>
      <c r="P22" s="2" t="s">
        <v>1527</v>
      </c>
      <c r="Q22" s="2" t="s">
        <v>204</v>
      </c>
      <c r="R22" s="2" t="s">
        <v>455</v>
      </c>
      <c r="S22" s="2" t="s">
        <v>35</v>
      </c>
      <c r="T22" s="150">
        <v>0.01</v>
      </c>
      <c r="U22" s="2" t="s">
        <v>3215</v>
      </c>
      <c r="V22" s="164">
        <v>1E-4</v>
      </c>
      <c r="W22" s="164">
        <v>7.4999999999999997E-2</v>
      </c>
      <c r="X22" s="4" t="s">
        <v>458</v>
      </c>
      <c r="Y22" s="4" t="s">
        <v>387</v>
      </c>
      <c r="Z22" s="2" t="s">
        <v>936</v>
      </c>
      <c r="AB22" s="2" t="s">
        <v>3209</v>
      </c>
      <c r="AD22" s="150">
        <v>6692.34</v>
      </c>
      <c r="AE22" s="150">
        <v>1</v>
      </c>
      <c r="AF22" s="191">
        <v>33.6</v>
      </c>
      <c r="AG22" s="150">
        <v>2.2490000000000001</v>
      </c>
      <c r="AJ22" s="2" t="s">
        <v>37</v>
      </c>
      <c r="AK22" s="164">
        <v>3.2973674239797802E-4</v>
      </c>
      <c r="AL22" s="164">
        <v>9.7029040324336492E-7</v>
      </c>
    </row>
    <row r="23" spans="1:38">
      <c r="A23" s="2" t="s">
        <v>128</v>
      </c>
      <c r="B23" s="2">
        <v>7228</v>
      </c>
      <c r="C23" s="2" t="s">
        <v>3216</v>
      </c>
      <c r="D23" s="2" t="s">
        <v>3217</v>
      </c>
      <c r="E23" s="4" t="s">
        <v>1380</v>
      </c>
      <c r="F23" s="2" t="s">
        <v>3218</v>
      </c>
      <c r="G23" s="2" t="s">
        <v>3219</v>
      </c>
      <c r="H23" s="2" t="s">
        <v>34</v>
      </c>
      <c r="I23" s="2" t="s">
        <v>219</v>
      </c>
      <c r="J23" s="2" t="s">
        <v>31</v>
      </c>
      <c r="K23" s="2" t="s">
        <v>31</v>
      </c>
      <c r="L23" s="2" t="s">
        <v>204</v>
      </c>
      <c r="M23" s="2" t="s">
        <v>491</v>
      </c>
      <c r="N23" s="2" t="s">
        <v>164</v>
      </c>
      <c r="O23" s="2" t="s">
        <v>3220</v>
      </c>
      <c r="P23" s="2" t="s">
        <v>1527</v>
      </c>
      <c r="Q23" s="2" t="s">
        <v>204</v>
      </c>
      <c r="R23" s="2" t="s">
        <v>455</v>
      </c>
      <c r="S23" s="2" t="s">
        <v>35</v>
      </c>
      <c r="T23" s="150">
        <v>0.01</v>
      </c>
      <c r="U23" s="2" t="s">
        <v>3221</v>
      </c>
      <c r="V23" s="164">
        <v>0</v>
      </c>
      <c r="W23" s="164">
        <v>0.06</v>
      </c>
      <c r="X23" s="4" t="s">
        <v>459</v>
      </c>
      <c r="Y23" s="4" t="s">
        <v>164</v>
      </c>
      <c r="Z23" s="2" t="s">
        <v>204</v>
      </c>
      <c r="AB23" s="2" t="s">
        <v>3222</v>
      </c>
      <c r="AD23" s="150">
        <v>2301.19</v>
      </c>
      <c r="AE23" s="150">
        <v>1</v>
      </c>
      <c r="AF23" s="191">
        <v>0</v>
      </c>
      <c r="AG23" s="150">
        <v>0</v>
      </c>
      <c r="AJ23" s="2" t="s">
        <v>37</v>
      </c>
      <c r="AK23" s="164">
        <v>3.3744464986711303E-10</v>
      </c>
      <c r="AL23" s="164">
        <v>9.9297185691455806E-13</v>
      </c>
    </row>
    <row r="24" spans="1:38">
      <c r="A24" s="2" t="s">
        <v>128</v>
      </c>
      <c r="B24" s="2">
        <v>7228</v>
      </c>
      <c r="C24" s="2" t="s">
        <v>3216</v>
      </c>
      <c r="D24" s="2" t="s">
        <v>3217</v>
      </c>
      <c r="E24" s="4" t="s">
        <v>1380</v>
      </c>
      <c r="F24" s="2" t="s">
        <v>3223</v>
      </c>
      <c r="G24" s="2" t="s">
        <v>3224</v>
      </c>
      <c r="H24" s="2" t="s">
        <v>368</v>
      </c>
      <c r="I24" s="2" t="s">
        <v>219</v>
      </c>
      <c r="J24" s="2" t="s">
        <v>31</v>
      </c>
      <c r="K24" s="2" t="s">
        <v>31</v>
      </c>
      <c r="L24" s="2" t="s">
        <v>204</v>
      </c>
      <c r="M24" s="2" t="s">
        <v>491</v>
      </c>
      <c r="N24" s="2" t="s">
        <v>164</v>
      </c>
      <c r="O24" s="2" t="s">
        <v>3225</v>
      </c>
      <c r="P24" s="2" t="s">
        <v>1527</v>
      </c>
      <c r="Q24" s="2" t="s">
        <v>204</v>
      </c>
      <c r="R24" s="2" t="s">
        <v>455</v>
      </c>
      <c r="S24" s="2" t="s">
        <v>35</v>
      </c>
      <c r="T24" s="150">
        <v>0.01</v>
      </c>
      <c r="U24" s="2" t="s">
        <v>3221</v>
      </c>
      <c r="V24" s="164">
        <v>0</v>
      </c>
      <c r="W24" s="164">
        <v>0.06</v>
      </c>
      <c r="X24" s="4" t="s">
        <v>459</v>
      </c>
      <c r="Y24" s="4" t="s">
        <v>164</v>
      </c>
      <c r="Z24" s="2" t="s">
        <v>204</v>
      </c>
      <c r="AB24" s="2" t="s">
        <v>3222</v>
      </c>
      <c r="AD24" s="150">
        <v>13807.08</v>
      </c>
      <c r="AE24" s="150">
        <v>1</v>
      </c>
      <c r="AF24" s="191">
        <v>0</v>
      </c>
      <c r="AG24" s="150">
        <v>0</v>
      </c>
      <c r="AJ24" s="2" t="s">
        <v>37</v>
      </c>
      <c r="AK24" s="164">
        <v>2.02465910085096E-9</v>
      </c>
      <c r="AL24" s="164">
        <v>5.95780525126906E-12</v>
      </c>
    </row>
    <row r="25" spans="1:38">
      <c r="A25" s="2" t="s">
        <v>128</v>
      </c>
      <c r="B25" s="2">
        <v>7228</v>
      </c>
      <c r="C25" s="2" t="s">
        <v>3226</v>
      </c>
      <c r="D25" s="2" t="s">
        <v>3227</v>
      </c>
      <c r="E25" s="4" t="s">
        <v>1380</v>
      </c>
      <c r="F25" s="2" t="s">
        <v>3228</v>
      </c>
      <c r="G25" s="2" t="s">
        <v>3229</v>
      </c>
      <c r="H25" s="2" t="s">
        <v>368</v>
      </c>
      <c r="I25" s="2" t="s">
        <v>214</v>
      </c>
      <c r="J25" s="2" t="s">
        <v>31</v>
      </c>
      <c r="K25" s="2" t="s">
        <v>31</v>
      </c>
      <c r="L25" s="2" t="s">
        <v>204</v>
      </c>
      <c r="M25" s="2" t="s">
        <v>480</v>
      </c>
      <c r="N25" s="2" t="s">
        <v>164</v>
      </c>
      <c r="O25" s="2" t="s">
        <v>2704</v>
      </c>
      <c r="P25" s="2" t="s">
        <v>2460</v>
      </c>
      <c r="Q25" s="2" t="s">
        <v>104</v>
      </c>
      <c r="R25" s="2" t="s">
        <v>453</v>
      </c>
      <c r="S25" s="2" t="s">
        <v>105</v>
      </c>
      <c r="T25" s="150">
        <v>1.7</v>
      </c>
      <c r="U25" s="2" t="s">
        <v>3230</v>
      </c>
      <c r="V25" s="164">
        <v>6.1899999999999997E-2</v>
      </c>
      <c r="W25" s="164">
        <v>7.9699999999999993E-2</v>
      </c>
      <c r="X25" s="4" t="s">
        <v>459</v>
      </c>
      <c r="Y25" s="4" t="s">
        <v>164</v>
      </c>
      <c r="Z25" s="2" t="s">
        <v>938</v>
      </c>
      <c r="AA25" s="2" t="s">
        <v>3157</v>
      </c>
      <c r="AB25" s="2" t="s">
        <v>1378</v>
      </c>
      <c r="AD25" s="150">
        <v>72563.399999999994</v>
      </c>
      <c r="AE25" s="150">
        <v>3.681</v>
      </c>
      <c r="AF25" s="191">
        <v>105.06</v>
      </c>
      <c r="AG25" s="150">
        <v>280.62099999999998</v>
      </c>
      <c r="AJ25" s="2" t="s">
        <v>37</v>
      </c>
      <c r="AK25" s="164">
        <v>4.1150101078595298E-2</v>
      </c>
      <c r="AL25" s="164">
        <v>1.21089169131369E-4</v>
      </c>
    </row>
    <row r="26" spans="1:38">
      <c r="A26" s="2" t="s">
        <v>128</v>
      </c>
      <c r="B26" s="2">
        <v>7228</v>
      </c>
      <c r="C26" s="2" t="s">
        <v>3231</v>
      </c>
      <c r="D26" s="2" t="s">
        <v>3232</v>
      </c>
      <c r="E26" s="4" t="s">
        <v>1380</v>
      </c>
      <c r="F26" s="2" t="s">
        <v>3233</v>
      </c>
      <c r="G26" s="2" t="s">
        <v>3234</v>
      </c>
      <c r="H26" s="2" t="s">
        <v>368</v>
      </c>
      <c r="I26" s="2" t="s">
        <v>219</v>
      </c>
      <c r="J26" s="2" t="s">
        <v>31</v>
      </c>
      <c r="K26" s="2" t="s">
        <v>31</v>
      </c>
      <c r="L26" s="4" t="s">
        <v>204</v>
      </c>
      <c r="M26" s="2" t="s">
        <v>508</v>
      </c>
      <c r="N26" s="2" t="s">
        <v>164</v>
      </c>
      <c r="O26" s="2" t="s">
        <v>3166</v>
      </c>
      <c r="P26" s="2" t="s">
        <v>1527</v>
      </c>
      <c r="Q26" s="2" t="s">
        <v>204</v>
      </c>
      <c r="R26" s="2" t="s">
        <v>453</v>
      </c>
      <c r="S26" s="2" t="s">
        <v>35</v>
      </c>
      <c r="T26" s="150">
        <v>7.36</v>
      </c>
      <c r="U26" s="2" t="s">
        <v>3235</v>
      </c>
      <c r="V26" s="164">
        <v>1E-4</v>
      </c>
      <c r="W26" s="164">
        <v>7.0000000000000007E-2</v>
      </c>
      <c r="X26" s="4" t="s">
        <v>458</v>
      </c>
      <c r="Y26" s="4" t="s">
        <v>387</v>
      </c>
      <c r="Z26" s="2" t="s">
        <v>936</v>
      </c>
      <c r="AB26" s="2" t="s">
        <v>1547</v>
      </c>
      <c r="AD26" s="150">
        <v>120350</v>
      </c>
      <c r="AE26" s="150">
        <v>1</v>
      </c>
      <c r="AF26" s="191">
        <v>0</v>
      </c>
      <c r="AG26" s="150">
        <v>0</v>
      </c>
      <c r="AJ26" s="2" t="s">
        <v>37</v>
      </c>
      <c r="AK26" s="164">
        <v>1.76480271561701E-10</v>
      </c>
      <c r="AL26" s="164">
        <v>5.1931462842992994E-13</v>
      </c>
    </row>
    <row r="27" spans="1:38">
      <c r="A27" s="2" t="s">
        <v>128</v>
      </c>
      <c r="B27" s="2">
        <v>7228</v>
      </c>
      <c r="C27" s="2" t="s">
        <v>3236</v>
      </c>
      <c r="D27" s="2" t="s">
        <v>1538</v>
      </c>
      <c r="E27" s="4" t="s">
        <v>1380</v>
      </c>
      <c r="F27" s="2" t="s">
        <v>3237</v>
      </c>
      <c r="G27" s="2" t="s">
        <v>3238</v>
      </c>
      <c r="H27" s="2" t="s">
        <v>368</v>
      </c>
      <c r="I27" s="2" t="s">
        <v>219</v>
      </c>
      <c r="J27" s="2" t="s">
        <v>31</v>
      </c>
      <c r="K27" s="2" t="s">
        <v>31</v>
      </c>
      <c r="L27" s="4" t="s">
        <v>204</v>
      </c>
      <c r="M27" s="2" t="s">
        <v>507</v>
      </c>
      <c r="N27" s="2" t="s">
        <v>164</v>
      </c>
      <c r="O27" s="2" t="s">
        <v>3138</v>
      </c>
      <c r="P27" s="2" t="s">
        <v>1527</v>
      </c>
      <c r="Q27" s="2" t="s">
        <v>204</v>
      </c>
      <c r="R27" s="2" t="s">
        <v>455</v>
      </c>
      <c r="S27" s="2" t="s">
        <v>35</v>
      </c>
      <c r="T27" s="150">
        <v>1.06</v>
      </c>
      <c r="U27" s="2" t="s">
        <v>3239</v>
      </c>
      <c r="V27" s="164">
        <v>0.22520000000000001</v>
      </c>
      <c r="W27" s="164">
        <v>0.06</v>
      </c>
      <c r="X27" s="4" t="s">
        <v>458</v>
      </c>
      <c r="Y27" s="4" t="s">
        <v>387</v>
      </c>
      <c r="Z27" s="2" t="s">
        <v>936</v>
      </c>
      <c r="AB27" s="2" t="s">
        <v>1378</v>
      </c>
      <c r="AD27" s="150">
        <v>56725.01</v>
      </c>
      <c r="AE27" s="150">
        <v>1</v>
      </c>
      <c r="AF27" s="191">
        <v>0.01</v>
      </c>
      <c r="AG27" s="150">
        <v>6.0000000000000001E-3</v>
      </c>
      <c r="AJ27" s="2" t="s">
        <v>37</v>
      </c>
      <c r="AK27" s="164">
        <v>8.3181098206399604E-7</v>
      </c>
      <c r="AL27" s="164">
        <v>2.4477048185155E-9</v>
      </c>
    </row>
    <row r="28" spans="1:38">
      <c r="A28" s="2" t="s">
        <v>128</v>
      </c>
      <c r="B28" s="2">
        <v>7228</v>
      </c>
      <c r="C28" s="2" t="s">
        <v>3168</v>
      </c>
      <c r="D28" s="2" t="s">
        <v>1544</v>
      </c>
      <c r="E28" s="4" t="s">
        <v>1380</v>
      </c>
      <c r="F28" s="2" t="s">
        <v>3169</v>
      </c>
      <c r="G28" s="2" t="s">
        <v>3170</v>
      </c>
      <c r="H28" s="2" t="s">
        <v>368</v>
      </c>
      <c r="I28" s="2" t="s">
        <v>1011</v>
      </c>
      <c r="J28" s="2" t="s">
        <v>31</v>
      </c>
      <c r="K28" s="2" t="s">
        <v>31</v>
      </c>
      <c r="L28" s="4" t="s">
        <v>204</v>
      </c>
      <c r="M28" s="2" t="s">
        <v>523</v>
      </c>
      <c r="N28" s="2" t="s">
        <v>164</v>
      </c>
      <c r="O28" s="2" t="s">
        <v>3171</v>
      </c>
      <c r="P28" s="2" t="s">
        <v>1527</v>
      </c>
      <c r="Q28" s="2" t="s">
        <v>204</v>
      </c>
      <c r="R28" s="2" t="s">
        <v>455</v>
      </c>
      <c r="S28" s="2" t="s">
        <v>35</v>
      </c>
      <c r="T28" s="150">
        <v>2.46</v>
      </c>
      <c r="U28" s="2" t="s">
        <v>3172</v>
      </c>
      <c r="V28" s="164">
        <v>7.7399999999999997E-2</v>
      </c>
      <c r="W28" s="164">
        <v>0</v>
      </c>
      <c r="X28" s="4" t="s">
        <v>459</v>
      </c>
      <c r="Y28" s="4" t="s">
        <v>164</v>
      </c>
      <c r="Z28" s="2" t="s">
        <v>938</v>
      </c>
      <c r="AB28" s="2" t="s">
        <v>1378</v>
      </c>
      <c r="AD28" s="150">
        <v>3875000</v>
      </c>
      <c r="AE28" s="150">
        <v>1</v>
      </c>
      <c r="AF28" s="191">
        <v>101.25</v>
      </c>
      <c r="AG28" s="150">
        <v>3923.4380000000001</v>
      </c>
      <c r="AJ28" s="2" t="s">
        <v>37</v>
      </c>
      <c r="AK28" s="164">
        <v>0.57532971786901599</v>
      </c>
      <c r="AL28" s="164">
        <v>1.6929775550316201E-3</v>
      </c>
    </row>
    <row r="29" spans="1:38">
      <c r="A29" s="2" t="s">
        <v>128</v>
      </c>
      <c r="B29" s="2">
        <v>7228</v>
      </c>
      <c r="C29" s="2" t="s">
        <v>3173</v>
      </c>
      <c r="D29" s="2" t="s">
        <v>3174</v>
      </c>
      <c r="E29" s="4" t="s">
        <v>1380</v>
      </c>
      <c r="F29" s="2" t="s">
        <v>3175</v>
      </c>
      <c r="G29" s="2" t="s">
        <v>3176</v>
      </c>
      <c r="H29" s="2" t="s">
        <v>368</v>
      </c>
      <c r="I29" s="2" t="s">
        <v>219</v>
      </c>
      <c r="J29" s="2" t="s">
        <v>31</v>
      </c>
      <c r="K29" s="2" t="s">
        <v>31</v>
      </c>
      <c r="L29" s="4" t="s">
        <v>204</v>
      </c>
      <c r="M29" s="2" t="s">
        <v>495</v>
      </c>
      <c r="N29" s="2" t="s">
        <v>164</v>
      </c>
      <c r="O29" s="2" t="s">
        <v>3240</v>
      </c>
      <c r="P29" s="2" t="s">
        <v>3177</v>
      </c>
      <c r="Q29" s="2" t="s">
        <v>477</v>
      </c>
      <c r="R29" s="2" t="s">
        <v>453</v>
      </c>
      <c r="S29" s="2" t="s">
        <v>35</v>
      </c>
      <c r="T29" s="150">
        <v>0.01</v>
      </c>
      <c r="U29" s="2" t="s">
        <v>3178</v>
      </c>
      <c r="V29" s="164">
        <v>0</v>
      </c>
      <c r="W29" s="164">
        <v>5.5E-2</v>
      </c>
      <c r="X29" s="4" t="s">
        <v>459</v>
      </c>
      <c r="Y29" s="4" t="s">
        <v>164</v>
      </c>
      <c r="Z29" s="2" t="s">
        <v>204</v>
      </c>
      <c r="AB29" s="2" t="s">
        <v>3179</v>
      </c>
      <c r="AD29" s="150">
        <v>9612.14</v>
      </c>
      <c r="AE29" s="150">
        <v>1</v>
      </c>
      <c r="AF29" s="191">
        <v>0.01</v>
      </c>
      <c r="AG29" s="150">
        <v>1E-3</v>
      </c>
      <c r="AJ29" s="2" t="s">
        <v>37</v>
      </c>
      <c r="AK29" s="164">
        <v>1.4095164748559101E-7</v>
      </c>
      <c r="AL29" s="164">
        <v>4.1476733797394801E-10</v>
      </c>
    </row>
    <row r="30" spans="1:38">
      <c r="A30" s="2" t="s">
        <v>128</v>
      </c>
      <c r="B30" s="2">
        <v>7229</v>
      </c>
      <c r="C30" s="2" t="s">
        <v>3241</v>
      </c>
      <c r="D30" s="2" t="s">
        <v>3242</v>
      </c>
      <c r="E30" s="4" t="s">
        <v>361</v>
      </c>
      <c r="F30" s="2" t="s">
        <v>3243</v>
      </c>
      <c r="G30" s="2" t="s">
        <v>3244</v>
      </c>
      <c r="H30" s="2" t="s">
        <v>34</v>
      </c>
      <c r="I30" s="2" t="s">
        <v>219</v>
      </c>
      <c r="J30" s="2" t="s">
        <v>31</v>
      </c>
      <c r="K30" s="2" t="s">
        <v>31</v>
      </c>
      <c r="L30" s="4" t="s">
        <v>204</v>
      </c>
      <c r="M30" s="2" t="s">
        <v>495</v>
      </c>
      <c r="N30" s="2" t="s">
        <v>164</v>
      </c>
      <c r="O30" s="2" t="s">
        <v>3137</v>
      </c>
      <c r="P30" s="2" t="s">
        <v>1527</v>
      </c>
      <c r="Q30" s="2" t="s">
        <v>204</v>
      </c>
      <c r="R30" s="2" t="s">
        <v>453</v>
      </c>
      <c r="S30" s="2" t="s">
        <v>35</v>
      </c>
      <c r="T30" s="150">
        <v>0.01</v>
      </c>
      <c r="U30" s="2" t="s">
        <v>3245</v>
      </c>
      <c r="V30" s="164">
        <v>1E-4</v>
      </c>
      <c r="W30" s="164">
        <v>6.6000000000000003E-2</v>
      </c>
      <c r="X30" s="4" t="s">
        <v>459</v>
      </c>
      <c r="Y30" s="4" t="s">
        <v>164</v>
      </c>
      <c r="Z30" s="2" t="s">
        <v>204</v>
      </c>
      <c r="AB30" s="2" t="s">
        <v>3246</v>
      </c>
      <c r="AD30" s="150">
        <v>750</v>
      </c>
      <c r="AE30" s="150">
        <v>1</v>
      </c>
      <c r="AF30" s="191">
        <v>0</v>
      </c>
      <c r="AG30" s="150">
        <v>0</v>
      </c>
      <c r="AJ30" s="2" t="s">
        <v>37</v>
      </c>
      <c r="AK30" s="164">
        <v>8.7473247757407E-11</v>
      </c>
      <c r="AL30" s="164">
        <v>5.2318006126821198E-13</v>
      </c>
    </row>
    <row r="31" spans="1:38">
      <c r="A31" s="2" t="s">
        <v>128</v>
      </c>
      <c r="B31" s="2">
        <v>7229</v>
      </c>
      <c r="C31" s="2" t="s">
        <v>3151</v>
      </c>
      <c r="D31" s="2" t="s">
        <v>3152</v>
      </c>
      <c r="E31" s="4" t="s">
        <v>1380</v>
      </c>
      <c r="F31" s="2" t="s">
        <v>3153</v>
      </c>
      <c r="G31" s="2" t="s">
        <v>3154</v>
      </c>
      <c r="H31" s="2" t="s">
        <v>368</v>
      </c>
      <c r="I31" s="2" t="s">
        <v>1011</v>
      </c>
      <c r="J31" s="2" t="s">
        <v>31</v>
      </c>
      <c r="K31" s="2" t="s">
        <v>31</v>
      </c>
      <c r="L31" s="4" t="s">
        <v>204</v>
      </c>
      <c r="M31" s="2" t="s">
        <v>508</v>
      </c>
      <c r="N31" s="2" t="s">
        <v>164</v>
      </c>
      <c r="O31" s="2" t="s">
        <v>3155</v>
      </c>
      <c r="P31" s="2" t="s">
        <v>2285</v>
      </c>
      <c r="Q31" s="2" t="s">
        <v>217</v>
      </c>
      <c r="R31" s="2" t="s">
        <v>453</v>
      </c>
      <c r="S31" s="2" t="s">
        <v>35</v>
      </c>
      <c r="T31" s="150">
        <v>0.74</v>
      </c>
      <c r="U31" s="2" t="s">
        <v>3156</v>
      </c>
      <c r="V31" s="164">
        <v>5.2999999999999999E-2</v>
      </c>
      <c r="W31" s="164">
        <v>3.5499999999999997E-2</v>
      </c>
      <c r="X31" s="4" t="s">
        <v>459</v>
      </c>
      <c r="Y31" s="4" t="s">
        <v>164</v>
      </c>
      <c r="Z31" s="2" t="s">
        <v>938</v>
      </c>
      <c r="AA31" s="2" t="s">
        <v>3157</v>
      </c>
      <c r="AB31" s="2" t="s">
        <v>1378</v>
      </c>
      <c r="AD31" s="150">
        <v>200000</v>
      </c>
      <c r="AE31" s="150">
        <v>1</v>
      </c>
      <c r="AF31" s="191">
        <v>99.64</v>
      </c>
      <c r="AG31" s="150">
        <v>199.28</v>
      </c>
      <c r="AJ31" s="2" t="s">
        <v>37</v>
      </c>
      <c r="AK31" s="164">
        <v>0.23242225084128099</v>
      </c>
      <c r="AL31" s="164">
        <v>1.39012430146039E-3</v>
      </c>
    </row>
    <row r="32" spans="1:38">
      <c r="A32" s="2" t="s">
        <v>128</v>
      </c>
      <c r="B32" s="2">
        <v>7229</v>
      </c>
      <c r="C32" s="2" t="s">
        <v>3168</v>
      </c>
      <c r="D32" s="2" t="s">
        <v>1544</v>
      </c>
      <c r="E32" s="4" t="s">
        <v>1380</v>
      </c>
      <c r="F32" s="2" t="s">
        <v>3169</v>
      </c>
      <c r="G32" s="2" t="s">
        <v>3170</v>
      </c>
      <c r="H32" s="2" t="s">
        <v>368</v>
      </c>
      <c r="I32" s="2" t="s">
        <v>1011</v>
      </c>
      <c r="J32" s="2" t="s">
        <v>31</v>
      </c>
      <c r="K32" s="2" t="s">
        <v>31</v>
      </c>
      <c r="L32" s="4" t="s">
        <v>204</v>
      </c>
      <c r="M32" s="2" t="s">
        <v>523</v>
      </c>
      <c r="N32" s="2" t="s">
        <v>164</v>
      </c>
      <c r="O32" s="2" t="s">
        <v>3171</v>
      </c>
      <c r="P32" s="2" t="s">
        <v>1527</v>
      </c>
      <c r="Q32" s="2" t="s">
        <v>204</v>
      </c>
      <c r="R32" s="2" t="s">
        <v>455</v>
      </c>
      <c r="S32" s="2" t="s">
        <v>35</v>
      </c>
      <c r="T32" s="150">
        <v>2.46</v>
      </c>
      <c r="U32" s="2" t="s">
        <v>3172</v>
      </c>
      <c r="V32" s="164">
        <v>7.7399999999999997E-2</v>
      </c>
      <c r="W32" s="164">
        <v>0</v>
      </c>
      <c r="X32" s="4" t="s">
        <v>459</v>
      </c>
      <c r="Y32" s="4" t="s">
        <v>164</v>
      </c>
      <c r="Z32" s="2" t="s">
        <v>938</v>
      </c>
      <c r="AB32" s="2" t="s">
        <v>1378</v>
      </c>
      <c r="AD32" s="150">
        <v>650000</v>
      </c>
      <c r="AE32" s="150">
        <v>1</v>
      </c>
      <c r="AF32" s="191">
        <v>101.25</v>
      </c>
      <c r="AG32" s="150">
        <v>658.125</v>
      </c>
      <c r="AJ32" s="2" t="s">
        <v>37</v>
      </c>
      <c r="AK32" s="164">
        <v>0.76757774907124598</v>
      </c>
      <c r="AL32" s="164">
        <v>4.5909050376285601E-3</v>
      </c>
    </row>
    <row r="33" spans="1:38">
      <c r="A33" s="2" t="s">
        <v>128</v>
      </c>
      <c r="B33" s="2">
        <v>9817</v>
      </c>
      <c r="C33" s="2" t="s">
        <v>3151</v>
      </c>
      <c r="D33" s="2" t="s">
        <v>3152</v>
      </c>
      <c r="E33" s="4" t="s">
        <v>1380</v>
      </c>
      <c r="F33" s="2" t="s">
        <v>3153</v>
      </c>
      <c r="G33" s="2" t="s">
        <v>3154</v>
      </c>
      <c r="H33" s="2" t="s">
        <v>368</v>
      </c>
      <c r="I33" s="2" t="s">
        <v>1011</v>
      </c>
      <c r="J33" s="2" t="s">
        <v>31</v>
      </c>
      <c r="K33" s="2" t="s">
        <v>31</v>
      </c>
      <c r="L33" s="4" t="s">
        <v>204</v>
      </c>
      <c r="M33" s="2" t="s">
        <v>508</v>
      </c>
      <c r="N33" s="2" t="s">
        <v>164</v>
      </c>
      <c r="O33" s="2" t="s">
        <v>3155</v>
      </c>
      <c r="P33" s="2" t="s">
        <v>2285</v>
      </c>
      <c r="Q33" s="2" t="s">
        <v>217</v>
      </c>
      <c r="R33" s="2" t="s">
        <v>453</v>
      </c>
      <c r="S33" s="2" t="s">
        <v>35</v>
      </c>
      <c r="T33" s="150">
        <v>0.74</v>
      </c>
      <c r="U33" s="2" t="s">
        <v>3156</v>
      </c>
      <c r="V33" s="164">
        <v>5.2999999999999999E-2</v>
      </c>
      <c r="W33" s="164">
        <v>3.5499999999999997E-2</v>
      </c>
      <c r="X33" s="4" t="s">
        <v>459</v>
      </c>
      <c r="Y33" s="4" t="s">
        <v>164</v>
      </c>
      <c r="Z33" s="2" t="s">
        <v>938</v>
      </c>
      <c r="AA33" s="2" t="s">
        <v>3157</v>
      </c>
      <c r="AB33" s="2" t="s">
        <v>1378</v>
      </c>
      <c r="AD33" s="150">
        <v>4000</v>
      </c>
      <c r="AE33" s="150">
        <v>1</v>
      </c>
      <c r="AF33" s="191">
        <v>99.64</v>
      </c>
      <c r="AG33" s="150">
        <v>3.9860000000000002</v>
      </c>
      <c r="AJ33" s="2" t="s">
        <v>37</v>
      </c>
      <c r="AK33" s="164">
        <v>1</v>
      </c>
      <c r="AL33" s="164">
        <v>2.7475350154571999E-3</v>
      </c>
    </row>
    <row r="34" spans="1:38">
      <c r="A34" s="2" t="s">
        <v>144</v>
      </c>
      <c r="B34" s="2">
        <v>969</v>
      </c>
      <c r="C34" s="2" t="s">
        <v>3127</v>
      </c>
      <c r="D34" s="2" t="s">
        <v>3128</v>
      </c>
      <c r="E34" s="4" t="s">
        <v>1380</v>
      </c>
      <c r="F34" s="2" t="s">
        <v>3129</v>
      </c>
      <c r="G34" s="2" t="s">
        <v>3130</v>
      </c>
      <c r="H34" s="2" t="s">
        <v>368</v>
      </c>
      <c r="I34" s="2" t="s">
        <v>219</v>
      </c>
      <c r="J34" s="2" t="s">
        <v>31</v>
      </c>
      <c r="K34" s="2" t="s">
        <v>31</v>
      </c>
      <c r="L34" s="4" t="s">
        <v>204</v>
      </c>
      <c r="M34" s="2" t="s">
        <v>491</v>
      </c>
      <c r="N34" s="2" t="s">
        <v>164</v>
      </c>
      <c r="O34" s="2" t="s">
        <v>3160</v>
      </c>
      <c r="P34" s="2" t="s">
        <v>1527</v>
      </c>
      <c r="Q34" s="2" t="s">
        <v>204</v>
      </c>
      <c r="R34" s="2" t="s">
        <v>455</v>
      </c>
      <c r="S34" s="2" t="s">
        <v>35</v>
      </c>
      <c r="T34" s="150">
        <v>0.01</v>
      </c>
      <c r="U34" s="2" t="s">
        <v>3131</v>
      </c>
      <c r="V34" s="164">
        <v>0</v>
      </c>
      <c r="W34" s="164">
        <v>5.1499999999999997E-2</v>
      </c>
      <c r="X34" s="4" t="s">
        <v>459</v>
      </c>
      <c r="Y34" s="4" t="s">
        <v>164</v>
      </c>
      <c r="Z34" s="2" t="s">
        <v>204</v>
      </c>
      <c r="AB34" s="2" t="s">
        <v>3132</v>
      </c>
      <c r="AD34" s="150">
        <v>5145</v>
      </c>
      <c r="AE34" s="150">
        <v>1</v>
      </c>
      <c r="AF34" s="191">
        <v>0</v>
      </c>
      <c r="AG34" s="150">
        <v>0</v>
      </c>
      <c r="AJ34" s="2" t="s">
        <v>37</v>
      </c>
      <c r="AK34" s="164">
        <v>4.60899177530846E-8</v>
      </c>
      <c r="AL34" s="164">
        <v>7.0050214563209896E-11</v>
      </c>
    </row>
    <row r="35" spans="1:38">
      <c r="A35" s="2" t="s">
        <v>144</v>
      </c>
      <c r="B35" s="2">
        <v>969</v>
      </c>
      <c r="C35" s="2" t="s">
        <v>3139</v>
      </c>
      <c r="D35" s="2" t="s">
        <v>3140</v>
      </c>
      <c r="E35" s="4" t="s">
        <v>1380</v>
      </c>
      <c r="F35" s="2" t="s">
        <v>3141</v>
      </c>
      <c r="G35" s="2" t="s">
        <v>3142</v>
      </c>
      <c r="H35" s="2" t="s">
        <v>368</v>
      </c>
      <c r="I35" s="2" t="s">
        <v>1013</v>
      </c>
      <c r="J35" s="2" t="s">
        <v>31</v>
      </c>
      <c r="K35" s="2" t="s">
        <v>31</v>
      </c>
      <c r="L35" s="4" t="s">
        <v>204</v>
      </c>
      <c r="M35" s="2" t="s">
        <v>491</v>
      </c>
      <c r="N35" s="2" t="s">
        <v>164</v>
      </c>
      <c r="O35" s="2" t="s">
        <v>2704</v>
      </c>
      <c r="P35" s="2" t="s">
        <v>1527</v>
      </c>
      <c r="Q35" s="2" t="s">
        <v>204</v>
      </c>
      <c r="R35" s="2" t="s">
        <v>455</v>
      </c>
      <c r="S35" s="2" t="s">
        <v>35</v>
      </c>
      <c r="T35" s="150">
        <v>0.01</v>
      </c>
      <c r="U35" s="2" t="s">
        <v>3143</v>
      </c>
      <c r="V35" s="164">
        <v>0</v>
      </c>
      <c r="W35" s="164">
        <v>5.7000000000000002E-2</v>
      </c>
      <c r="X35" s="4" t="s">
        <v>458</v>
      </c>
      <c r="Y35" s="4" t="s">
        <v>387</v>
      </c>
      <c r="Z35" s="2" t="s">
        <v>936</v>
      </c>
      <c r="AB35" s="2" t="s">
        <v>3144</v>
      </c>
      <c r="AD35" s="150">
        <v>1200.01</v>
      </c>
      <c r="AE35" s="150">
        <v>1</v>
      </c>
      <c r="AF35" s="191">
        <v>0.01</v>
      </c>
      <c r="AG35" s="150">
        <v>0</v>
      </c>
      <c r="AJ35" s="2" t="s">
        <v>37</v>
      </c>
      <c r="AK35" s="164">
        <v>1.0749924626409899E-6</v>
      </c>
      <c r="AL35" s="164">
        <v>1.6338378615743001E-9</v>
      </c>
    </row>
    <row r="36" spans="1:38">
      <c r="A36" s="2" t="s">
        <v>144</v>
      </c>
      <c r="B36" s="2">
        <v>969</v>
      </c>
      <c r="C36" s="2" t="s">
        <v>3139</v>
      </c>
      <c r="D36" s="2" t="s">
        <v>3140</v>
      </c>
      <c r="E36" s="4" t="s">
        <v>1380</v>
      </c>
      <c r="F36" s="2" t="s">
        <v>3247</v>
      </c>
      <c r="G36" s="2" t="s">
        <v>3248</v>
      </c>
      <c r="H36" s="2" t="s">
        <v>368</v>
      </c>
      <c r="I36" s="2" t="s">
        <v>219</v>
      </c>
      <c r="J36" s="2" t="s">
        <v>31</v>
      </c>
      <c r="K36" s="2" t="s">
        <v>31</v>
      </c>
      <c r="L36" s="4" t="s">
        <v>204</v>
      </c>
      <c r="M36" s="2" t="s">
        <v>491</v>
      </c>
      <c r="N36" s="2" t="s">
        <v>164</v>
      </c>
      <c r="O36" s="2" t="s">
        <v>3249</v>
      </c>
      <c r="P36" s="2" t="s">
        <v>1527</v>
      </c>
      <c r="Q36" s="2" t="s">
        <v>204</v>
      </c>
      <c r="R36" s="2" t="s">
        <v>453</v>
      </c>
      <c r="S36" s="2" t="s">
        <v>35</v>
      </c>
      <c r="T36" s="150">
        <v>0.01</v>
      </c>
      <c r="U36" s="2" t="s">
        <v>3250</v>
      </c>
      <c r="V36" s="164">
        <v>4.4999999999999997E-3</v>
      </c>
      <c r="W36" s="164">
        <v>5.8999999999999997E-2</v>
      </c>
      <c r="X36" s="4" t="s">
        <v>458</v>
      </c>
      <c r="Y36" s="4" t="s">
        <v>387</v>
      </c>
      <c r="Z36" s="2" t="s">
        <v>936</v>
      </c>
      <c r="AB36" s="2" t="s">
        <v>3251</v>
      </c>
      <c r="AD36" s="150">
        <v>1300</v>
      </c>
      <c r="AE36" s="150">
        <v>1</v>
      </c>
      <c r="AF36" s="191">
        <v>0.01</v>
      </c>
      <c r="AG36" s="150">
        <v>0</v>
      </c>
      <c r="AJ36" s="2" t="s">
        <v>37</v>
      </c>
      <c r="AK36" s="164">
        <v>1.16456546314888E-6</v>
      </c>
      <c r="AL36" s="164">
        <v>1.7699762669032602E-9</v>
      </c>
    </row>
    <row r="37" spans="1:38">
      <c r="A37" s="2" t="s">
        <v>144</v>
      </c>
      <c r="B37" s="2">
        <v>969</v>
      </c>
      <c r="C37" s="2" t="s">
        <v>3241</v>
      </c>
      <c r="D37" s="2" t="s">
        <v>3242</v>
      </c>
      <c r="E37" s="4" t="s">
        <v>361</v>
      </c>
      <c r="F37" s="2" t="s">
        <v>3243</v>
      </c>
      <c r="G37" s="2" t="s">
        <v>3244</v>
      </c>
      <c r="H37" s="2" t="s">
        <v>34</v>
      </c>
      <c r="I37" s="2" t="s">
        <v>219</v>
      </c>
      <c r="J37" s="2" t="s">
        <v>31</v>
      </c>
      <c r="K37" s="2" t="s">
        <v>31</v>
      </c>
      <c r="L37" s="4" t="s">
        <v>204</v>
      </c>
      <c r="M37" s="2" t="s">
        <v>495</v>
      </c>
      <c r="N37" s="2" t="s">
        <v>164</v>
      </c>
      <c r="O37" s="2" t="s">
        <v>3137</v>
      </c>
      <c r="P37" s="2" t="s">
        <v>1527</v>
      </c>
      <c r="Q37" s="2" t="s">
        <v>204</v>
      </c>
      <c r="R37" s="2" t="s">
        <v>453</v>
      </c>
      <c r="S37" s="2" t="s">
        <v>35</v>
      </c>
      <c r="T37" s="150">
        <v>0.01</v>
      </c>
      <c r="U37" s="2" t="s">
        <v>3245</v>
      </c>
      <c r="V37" s="164">
        <v>1E-4</v>
      </c>
      <c r="W37" s="164">
        <v>6.6000000000000003E-2</v>
      </c>
      <c r="X37" s="4" t="s">
        <v>459</v>
      </c>
      <c r="Y37" s="4" t="s">
        <v>164</v>
      </c>
      <c r="Z37" s="2" t="s">
        <v>204</v>
      </c>
      <c r="AB37" s="2" t="s">
        <v>3246</v>
      </c>
      <c r="AD37" s="150">
        <v>4500</v>
      </c>
      <c r="AE37" s="150">
        <v>1</v>
      </c>
      <c r="AF37" s="191">
        <v>0</v>
      </c>
      <c r="AG37" s="150">
        <v>0</v>
      </c>
      <c r="AJ37" s="2" t="s">
        <v>37</v>
      </c>
      <c r="AK37" s="164">
        <v>4.0311881416692104E-9</v>
      </c>
      <c r="AL37" s="164">
        <v>6.1268409238959097E-12</v>
      </c>
    </row>
    <row r="38" spans="1:38">
      <c r="A38" s="2" t="s">
        <v>144</v>
      </c>
      <c r="B38" s="2">
        <v>969</v>
      </c>
      <c r="C38" s="2" t="s">
        <v>3151</v>
      </c>
      <c r="D38" s="2" t="s">
        <v>3152</v>
      </c>
      <c r="E38" s="4" t="s">
        <v>1380</v>
      </c>
      <c r="F38" s="2" t="s">
        <v>3153</v>
      </c>
      <c r="G38" s="2" t="s">
        <v>3154</v>
      </c>
      <c r="H38" s="2" t="s">
        <v>368</v>
      </c>
      <c r="I38" s="2" t="s">
        <v>1011</v>
      </c>
      <c r="J38" s="2" t="s">
        <v>31</v>
      </c>
      <c r="K38" s="2" t="s">
        <v>31</v>
      </c>
      <c r="L38" s="4" t="s">
        <v>204</v>
      </c>
      <c r="M38" s="2" t="s">
        <v>508</v>
      </c>
      <c r="N38" s="2" t="s">
        <v>164</v>
      </c>
      <c r="O38" s="2" t="s">
        <v>3155</v>
      </c>
      <c r="P38" s="2" t="s">
        <v>2285</v>
      </c>
      <c r="Q38" s="2" t="s">
        <v>217</v>
      </c>
      <c r="R38" s="2" t="s">
        <v>453</v>
      </c>
      <c r="S38" s="2" t="s">
        <v>35</v>
      </c>
      <c r="T38" s="150">
        <v>0.74</v>
      </c>
      <c r="U38" s="2" t="s">
        <v>3156</v>
      </c>
      <c r="V38" s="164">
        <v>5.2999999999999999E-2</v>
      </c>
      <c r="W38" s="164">
        <v>3.5499999999999997E-2</v>
      </c>
      <c r="X38" s="4" t="s">
        <v>459</v>
      </c>
      <c r="Y38" s="4" t="s">
        <v>164</v>
      </c>
      <c r="Z38" s="2" t="s">
        <v>938</v>
      </c>
      <c r="AA38" s="2" t="s">
        <v>3157</v>
      </c>
      <c r="AB38" s="2" t="s">
        <v>1378</v>
      </c>
      <c r="AD38" s="150">
        <v>112000</v>
      </c>
      <c r="AE38" s="150">
        <v>1</v>
      </c>
      <c r="AF38" s="191">
        <v>99.64</v>
      </c>
      <c r="AG38" s="150">
        <v>111.59699999999999</v>
      </c>
      <c r="AJ38" s="2" t="s">
        <v>37</v>
      </c>
      <c r="AK38" s="164">
        <v>0.99970599290717899</v>
      </c>
      <c r="AL38" s="164">
        <v>1.51941298047962E-3</v>
      </c>
    </row>
    <row r="39" spans="1:38">
      <c r="A39" s="2" t="s">
        <v>144</v>
      </c>
      <c r="B39" s="2">
        <v>969</v>
      </c>
      <c r="C39" s="2" t="s">
        <v>3127</v>
      </c>
      <c r="D39" s="2" t="s">
        <v>3128</v>
      </c>
      <c r="E39" s="4" t="s">
        <v>1380</v>
      </c>
      <c r="F39" s="2" t="s">
        <v>3252</v>
      </c>
      <c r="G39" s="2" t="s">
        <v>3253</v>
      </c>
      <c r="H39" s="2" t="s">
        <v>368</v>
      </c>
      <c r="I39" s="2" t="s">
        <v>219</v>
      </c>
      <c r="J39" s="2" t="s">
        <v>31</v>
      </c>
      <c r="K39" s="2" t="s">
        <v>31</v>
      </c>
      <c r="L39" s="4" t="s">
        <v>204</v>
      </c>
      <c r="M39" s="2" t="s">
        <v>508</v>
      </c>
      <c r="N39" s="2" t="s">
        <v>164</v>
      </c>
      <c r="O39" s="2" t="s">
        <v>3254</v>
      </c>
      <c r="P39" s="2" t="s">
        <v>1527</v>
      </c>
      <c r="Q39" s="2" t="s">
        <v>204</v>
      </c>
      <c r="R39" s="2" t="s">
        <v>455</v>
      </c>
      <c r="S39" s="2" t="s">
        <v>35</v>
      </c>
      <c r="T39" s="150">
        <v>2.27</v>
      </c>
      <c r="U39" s="2" t="s">
        <v>3255</v>
      </c>
      <c r="V39" s="164">
        <v>0.24740000000000001</v>
      </c>
      <c r="W39" s="164">
        <v>0.04</v>
      </c>
      <c r="X39" s="4" t="s">
        <v>459</v>
      </c>
      <c r="Y39" s="4" t="s">
        <v>164</v>
      </c>
      <c r="Z39" s="2" t="s">
        <v>204</v>
      </c>
      <c r="AB39" s="2" t="s">
        <v>3256</v>
      </c>
      <c r="AD39" s="150">
        <v>1401.95</v>
      </c>
      <c r="AE39" s="150">
        <v>1</v>
      </c>
      <c r="AF39" s="191">
        <v>0</v>
      </c>
      <c r="AG39" s="150">
        <v>0</v>
      </c>
      <c r="AJ39" s="2" t="s">
        <v>37</v>
      </c>
      <c r="AK39" s="164">
        <v>1.2558942700473699E-10</v>
      </c>
      <c r="AL39" s="164">
        <v>1.9087832518346399E-13</v>
      </c>
    </row>
    <row r="40" spans="1:38">
      <c r="A40" s="2" t="s">
        <v>144</v>
      </c>
      <c r="B40" s="2">
        <v>969</v>
      </c>
      <c r="C40" s="2" t="s">
        <v>3162</v>
      </c>
      <c r="D40" s="2" t="s">
        <v>3163</v>
      </c>
      <c r="E40" s="4" t="s">
        <v>1380</v>
      </c>
      <c r="F40" s="2" t="s">
        <v>3164</v>
      </c>
      <c r="G40" s="2" t="s">
        <v>3165</v>
      </c>
      <c r="H40" s="2" t="s">
        <v>368</v>
      </c>
      <c r="I40" s="2" t="s">
        <v>1013</v>
      </c>
      <c r="J40" s="2" t="s">
        <v>31</v>
      </c>
      <c r="K40" s="2" t="s">
        <v>31</v>
      </c>
      <c r="L40" s="4" t="s">
        <v>204</v>
      </c>
      <c r="M40" s="2" t="s">
        <v>491</v>
      </c>
      <c r="N40" s="2" t="s">
        <v>164</v>
      </c>
      <c r="O40" s="2" t="s">
        <v>3166</v>
      </c>
      <c r="P40" s="2" t="s">
        <v>1527</v>
      </c>
      <c r="Q40" s="2" t="s">
        <v>204</v>
      </c>
      <c r="R40" s="2" t="s">
        <v>453</v>
      </c>
      <c r="S40" s="2" t="s">
        <v>35</v>
      </c>
      <c r="T40" s="150">
        <v>0.01</v>
      </c>
      <c r="U40" s="2" t="s">
        <v>3167</v>
      </c>
      <c r="V40" s="164">
        <v>1E-4</v>
      </c>
      <c r="W40" s="164">
        <v>5.5E-2</v>
      </c>
      <c r="X40" s="4" t="s">
        <v>458</v>
      </c>
      <c r="Y40" s="4" t="s">
        <v>387</v>
      </c>
      <c r="Z40" s="2" t="s">
        <v>936</v>
      </c>
      <c r="AB40" s="2" t="s">
        <v>1547</v>
      </c>
      <c r="AD40" s="150">
        <v>3250</v>
      </c>
      <c r="AE40" s="150">
        <v>1</v>
      </c>
      <c r="AF40" s="191">
        <v>1</v>
      </c>
      <c r="AG40" s="150">
        <v>3.3000000000000002E-2</v>
      </c>
      <c r="AJ40" s="2" t="s">
        <v>37</v>
      </c>
      <c r="AK40" s="164">
        <v>2.9114136578722101E-4</v>
      </c>
      <c r="AL40" s="164">
        <v>4.4249406672581599E-7</v>
      </c>
    </row>
    <row r="41" spans="1:38">
      <c r="A41" s="2" t="s">
        <v>144</v>
      </c>
      <c r="B41" s="2">
        <v>969</v>
      </c>
      <c r="C41" s="2" t="s">
        <v>3173</v>
      </c>
      <c r="D41" s="2" t="s">
        <v>3174</v>
      </c>
      <c r="E41" s="4" t="s">
        <v>1380</v>
      </c>
      <c r="F41" s="2" t="s">
        <v>3175</v>
      </c>
      <c r="G41" s="2" t="s">
        <v>3176</v>
      </c>
      <c r="H41" s="2" t="s">
        <v>368</v>
      </c>
      <c r="I41" s="2" t="s">
        <v>219</v>
      </c>
      <c r="J41" s="2" t="s">
        <v>31</v>
      </c>
      <c r="K41" s="2" t="s">
        <v>31</v>
      </c>
      <c r="L41" s="4" t="s">
        <v>204</v>
      </c>
      <c r="M41" s="2" t="s">
        <v>495</v>
      </c>
      <c r="N41" s="2" t="s">
        <v>164</v>
      </c>
      <c r="P41" s="2" t="s">
        <v>3177</v>
      </c>
      <c r="Q41" s="2" t="s">
        <v>477</v>
      </c>
      <c r="R41" s="2" t="s">
        <v>453</v>
      </c>
      <c r="S41" s="2" t="s">
        <v>35</v>
      </c>
      <c r="T41" s="150">
        <v>0.01</v>
      </c>
      <c r="U41" s="2" t="s">
        <v>3178</v>
      </c>
      <c r="V41" s="164">
        <v>0</v>
      </c>
      <c r="W41" s="164">
        <v>5.5E-2</v>
      </c>
      <c r="X41" s="4" t="s">
        <v>459</v>
      </c>
      <c r="Y41" s="4" t="s">
        <v>164</v>
      </c>
      <c r="Z41" s="2" t="s">
        <v>204</v>
      </c>
      <c r="AB41" s="2" t="s">
        <v>3179</v>
      </c>
      <c r="AD41" s="150">
        <v>642.9</v>
      </c>
      <c r="AE41" s="150">
        <v>1</v>
      </c>
      <c r="AF41" s="191">
        <v>0.01</v>
      </c>
      <c r="AG41" s="150">
        <v>0</v>
      </c>
      <c r="AJ41" s="2" t="s">
        <v>37</v>
      </c>
      <c r="AK41" s="164">
        <v>5.7592241250647504E-7</v>
      </c>
      <c r="AL41" s="164">
        <v>8.7532133999392902E-10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7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373</v>
      </c>
      <c r="M1" s="19" t="s">
        <v>186</v>
      </c>
      <c r="N1" s="19" t="s">
        <v>150</v>
      </c>
      <c r="O1" s="19" t="s">
        <v>194</v>
      </c>
      <c r="P1" s="19" t="s">
        <v>11</v>
      </c>
      <c r="Q1" s="19" t="s">
        <v>187</v>
      </c>
      <c r="R1" s="19" t="s">
        <v>188</v>
      </c>
      <c r="S1" s="19" t="s">
        <v>159</v>
      </c>
      <c r="T1" s="19" t="s">
        <v>189</v>
      </c>
      <c r="U1" s="19" t="s">
        <v>17</v>
      </c>
      <c r="V1" s="19" t="s">
        <v>18</v>
      </c>
      <c r="W1" s="19" t="s">
        <v>19</v>
      </c>
      <c r="X1" s="19" t="s">
        <v>20</v>
      </c>
      <c r="Y1" s="163" t="s">
        <v>24</v>
      </c>
      <c r="Z1" s="163" t="s">
        <v>25</v>
      </c>
    </row>
    <row r="2" spans="1:26">
      <c r="A2" s="20" t="s">
        <v>26</v>
      </c>
      <c r="B2" s="20">
        <v>1182</v>
      </c>
      <c r="C2" s="20" t="s">
        <v>3014</v>
      </c>
      <c r="D2" s="20" t="s">
        <v>3015</v>
      </c>
      <c r="E2" s="18" t="s">
        <v>34</v>
      </c>
      <c r="F2" s="20" t="s">
        <v>3014</v>
      </c>
      <c r="G2" s="20" t="s">
        <v>3016</v>
      </c>
      <c r="H2" s="18" t="s">
        <v>34</v>
      </c>
      <c r="I2" s="20" t="s">
        <v>811</v>
      </c>
      <c r="J2" s="18" t="s">
        <v>31</v>
      </c>
      <c r="K2" s="18" t="s">
        <v>31</v>
      </c>
      <c r="L2" s="20" t="s">
        <v>204</v>
      </c>
      <c r="M2" s="20" t="s">
        <v>589</v>
      </c>
      <c r="N2" s="20" t="s">
        <v>164</v>
      </c>
      <c r="O2" s="20" t="s">
        <v>3017</v>
      </c>
      <c r="P2" s="18" t="s">
        <v>105</v>
      </c>
      <c r="Q2" s="20" t="s">
        <v>204</v>
      </c>
      <c r="R2" s="20"/>
      <c r="S2" s="20" t="s">
        <v>1378</v>
      </c>
      <c r="T2" s="20"/>
      <c r="U2" s="153">
        <v>5306</v>
      </c>
      <c r="V2" s="153">
        <v>3.681</v>
      </c>
      <c r="W2" s="153">
        <v>6792</v>
      </c>
      <c r="X2" s="153">
        <v>1326.5719999999999</v>
      </c>
      <c r="Y2" s="168">
        <v>0.14496003282292</v>
      </c>
      <c r="Z2" s="168">
        <v>3.49242847212408E-3</v>
      </c>
    </row>
    <row r="3" spans="1:26">
      <c r="A3" s="20" t="s">
        <v>26</v>
      </c>
      <c r="B3" s="20">
        <v>1182</v>
      </c>
      <c r="C3" s="20" t="s">
        <v>3018</v>
      </c>
      <c r="D3" s="20"/>
      <c r="E3" s="18" t="s">
        <v>204</v>
      </c>
      <c r="F3" s="20" t="s">
        <v>3018</v>
      </c>
      <c r="G3" s="20" t="s">
        <v>3019</v>
      </c>
      <c r="H3" s="18" t="s">
        <v>34</v>
      </c>
      <c r="I3" s="20" t="s">
        <v>811</v>
      </c>
      <c r="J3" s="18" t="s">
        <v>31</v>
      </c>
      <c r="K3" s="18" t="s">
        <v>346</v>
      </c>
      <c r="L3" s="20" t="s">
        <v>204</v>
      </c>
      <c r="M3" s="20" t="s">
        <v>591</v>
      </c>
      <c r="N3" s="20" t="s">
        <v>164</v>
      </c>
      <c r="O3" s="20" t="s">
        <v>3020</v>
      </c>
      <c r="P3" s="18" t="s">
        <v>105</v>
      </c>
      <c r="Q3" s="20" t="s">
        <v>204</v>
      </c>
      <c r="R3" s="20"/>
      <c r="S3" s="20" t="s">
        <v>1378</v>
      </c>
      <c r="T3" s="20"/>
      <c r="U3" s="153">
        <v>332.99</v>
      </c>
      <c r="V3" s="153">
        <v>3.681</v>
      </c>
      <c r="W3" s="153">
        <v>90093.3</v>
      </c>
      <c r="X3" s="153">
        <v>1104.306</v>
      </c>
      <c r="Y3" s="168">
        <v>0.120672147638422</v>
      </c>
      <c r="Z3" s="168">
        <v>2.9072761367238899E-3</v>
      </c>
    </row>
    <row r="4" spans="1:26">
      <c r="A4" s="20" t="s">
        <v>26</v>
      </c>
      <c r="B4" s="20">
        <v>1182</v>
      </c>
      <c r="C4" s="20" t="s">
        <v>3021</v>
      </c>
      <c r="D4" s="20" t="s">
        <v>3022</v>
      </c>
      <c r="E4" s="18" t="s">
        <v>34</v>
      </c>
      <c r="F4" s="20" t="s">
        <v>3021</v>
      </c>
      <c r="G4" s="20" t="s">
        <v>3023</v>
      </c>
      <c r="H4" s="18" t="s">
        <v>34</v>
      </c>
      <c r="I4" s="20" t="s">
        <v>811</v>
      </c>
      <c r="J4" s="18" t="s">
        <v>31</v>
      </c>
      <c r="K4" s="18" t="s">
        <v>31</v>
      </c>
      <c r="L4" s="20" t="s">
        <v>204</v>
      </c>
      <c r="M4" s="20" t="s">
        <v>575</v>
      </c>
      <c r="N4" s="20" t="s">
        <v>164</v>
      </c>
      <c r="O4" s="2" t="s">
        <v>3024</v>
      </c>
      <c r="P4" s="18" t="s">
        <v>105</v>
      </c>
      <c r="Q4" s="20" t="s">
        <v>204</v>
      </c>
      <c r="R4" s="20"/>
      <c r="S4" s="20" t="s">
        <v>1378</v>
      </c>
      <c r="T4" s="20"/>
      <c r="U4" s="153">
        <v>26572</v>
      </c>
      <c r="V4" s="153">
        <v>3.681</v>
      </c>
      <c r="W4" s="153">
        <v>0</v>
      </c>
      <c r="X4" s="153">
        <v>0</v>
      </c>
      <c r="Y4" s="168">
        <v>1.0688274514246999E-8</v>
      </c>
      <c r="Z4" s="168">
        <v>2.5750569660144599E-10</v>
      </c>
    </row>
    <row r="5" spans="1:26">
      <c r="A5" s="20" t="s">
        <v>26</v>
      </c>
      <c r="B5" s="20">
        <v>1182</v>
      </c>
      <c r="C5" s="20" t="s">
        <v>3025</v>
      </c>
      <c r="D5" s="20" t="s">
        <v>3026</v>
      </c>
      <c r="E5" s="18" t="s">
        <v>34</v>
      </c>
      <c r="F5" s="20" t="s">
        <v>3025</v>
      </c>
      <c r="G5" s="20" t="s">
        <v>3027</v>
      </c>
      <c r="H5" s="18" t="s">
        <v>34</v>
      </c>
      <c r="I5" s="20" t="s">
        <v>811</v>
      </c>
      <c r="J5" s="18" t="s">
        <v>31</v>
      </c>
      <c r="K5" s="18" t="s">
        <v>101</v>
      </c>
      <c r="L5" s="20" t="s">
        <v>204</v>
      </c>
      <c r="M5" s="20" t="s">
        <v>589</v>
      </c>
      <c r="N5" s="20" t="s">
        <v>164</v>
      </c>
      <c r="O5" s="20" t="s">
        <v>3028</v>
      </c>
      <c r="P5" s="18" t="s">
        <v>105</v>
      </c>
      <c r="Q5" s="20" t="s">
        <v>937</v>
      </c>
      <c r="R5" s="20"/>
      <c r="S5" s="20" t="s">
        <v>1378</v>
      </c>
      <c r="T5" s="20"/>
      <c r="U5" s="153">
        <v>50000</v>
      </c>
      <c r="V5" s="153">
        <v>3.681</v>
      </c>
      <c r="W5" s="153">
        <v>75</v>
      </c>
      <c r="X5" s="153">
        <v>138.03700000000001</v>
      </c>
      <c r="Y5" s="168">
        <v>1.50839340013647E-2</v>
      </c>
      <c r="Z5" s="168">
        <v>3.6340748240833301E-4</v>
      </c>
    </row>
    <row r="6" spans="1:26">
      <c r="A6" s="20" t="s">
        <v>26</v>
      </c>
      <c r="B6" s="20">
        <v>1182</v>
      </c>
      <c r="C6" s="20" t="s">
        <v>3029</v>
      </c>
      <c r="D6" s="20" t="s">
        <v>3030</v>
      </c>
      <c r="E6" s="18" t="s">
        <v>1380</v>
      </c>
      <c r="F6" s="20" t="s">
        <v>3031</v>
      </c>
      <c r="G6" s="20" t="s">
        <v>3032</v>
      </c>
      <c r="H6" s="18" t="s">
        <v>34</v>
      </c>
      <c r="I6" s="20" t="s">
        <v>811</v>
      </c>
      <c r="J6" s="18" t="s">
        <v>31</v>
      </c>
      <c r="K6" s="18" t="s">
        <v>101</v>
      </c>
      <c r="L6" s="20" t="s">
        <v>204</v>
      </c>
      <c r="M6" s="20" t="s">
        <v>492</v>
      </c>
      <c r="N6" s="20" t="s">
        <v>164</v>
      </c>
      <c r="O6" s="20" t="s">
        <v>3033</v>
      </c>
      <c r="P6" s="18" t="s">
        <v>105</v>
      </c>
      <c r="Q6" s="20" t="s">
        <v>204</v>
      </c>
      <c r="R6" s="20"/>
      <c r="S6" s="20" t="s">
        <v>1378</v>
      </c>
      <c r="T6" s="20"/>
      <c r="U6" s="153">
        <v>244820</v>
      </c>
      <c r="V6" s="153">
        <v>3.681</v>
      </c>
      <c r="W6" s="153">
        <v>374.80799999999999</v>
      </c>
      <c r="X6" s="153">
        <v>3377.7049999999999</v>
      </c>
      <c r="Y6" s="168">
        <v>0.36909589684279798</v>
      </c>
      <c r="Z6" s="168">
        <v>8.8923891225427005E-3</v>
      </c>
    </row>
    <row r="7" spans="1:26">
      <c r="A7" s="20" t="s">
        <v>26</v>
      </c>
      <c r="B7" s="20">
        <v>1182</v>
      </c>
      <c r="C7" s="20" t="s">
        <v>3031</v>
      </c>
      <c r="D7" s="20" t="s">
        <v>3034</v>
      </c>
      <c r="E7" s="18" t="s">
        <v>34</v>
      </c>
      <c r="F7" s="20" t="s">
        <v>3035</v>
      </c>
      <c r="G7" s="20" t="s">
        <v>3036</v>
      </c>
      <c r="H7" s="18" t="s">
        <v>34</v>
      </c>
      <c r="I7" s="20" t="s">
        <v>811</v>
      </c>
      <c r="J7" s="18" t="s">
        <v>31</v>
      </c>
      <c r="K7" s="18" t="s">
        <v>101</v>
      </c>
      <c r="L7" s="20" t="s">
        <v>204</v>
      </c>
      <c r="M7" s="20" t="s">
        <v>492</v>
      </c>
      <c r="N7" s="20" t="s">
        <v>164</v>
      </c>
      <c r="O7" s="20" t="s">
        <v>3037</v>
      </c>
      <c r="P7" s="18" t="s">
        <v>105</v>
      </c>
      <c r="Q7" s="20" t="s">
        <v>204</v>
      </c>
      <c r="R7" s="20"/>
      <c r="S7" s="20" t="s">
        <v>1378</v>
      </c>
      <c r="T7" s="20"/>
      <c r="U7" s="153">
        <v>400000</v>
      </c>
      <c r="V7" s="153">
        <v>3.681</v>
      </c>
      <c r="W7" s="153">
        <v>100</v>
      </c>
      <c r="X7" s="153">
        <v>1472.4</v>
      </c>
      <c r="Y7" s="168">
        <v>0.16089529601455599</v>
      </c>
      <c r="Z7" s="168">
        <v>3.87634647902222E-3</v>
      </c>
    </row>
    <row r="8" spans="1:26">
      <c r="A8" s="20" t="s">
        <v>26</v>
      </c>
      <c r="B8" s="20">
        <v>1182</v>
      </c>
      <c r="C8" s="20" t="s">
        <v>3038</v>
      </c>
      <c r="D8" s="20" t="s">
        <v>3039</v>
      </c>
      <c r="E8" s="18" t="s">
        <v>34</v>
      </c>
      <c r="F8" s="20" t="s">
        <v>3040</v>
      </c>
      <c r="G8" s="20" t="s">
        <v>3041</v>
      </c>
      <c r="H8" s="18" t="s">
        <v>34</v>
      </c>
      <c r="I8" s="20" t="s">
        <v>811</v>
      </c>
      <c r="J8" s="18" t="s">
        <v>100</v>
      </c>
      <c r="K8" s="18" t="s">
        <v>101</v>
      </c>
      <c r="L8" s="20" t="s">
        <v>204</v>
      </c>
      <c r="M8" s="20" t="s">
        <v>493</v>
      </c>
      <c r="N8" s="20" t="s">
        <v>164</v>
      </c>
      <c r="O8" s="20" t="s">
        <v>3042</v>
      </c>
      <c r="P8" s="18" t="s">
        <v>105</v>
      </c>
      <c r="Q8" s="20" t="s">
        <v>939</v>
      </c>
      <c r="R8" s="20"/>
      <c r="S8" s="20" t="s">
        <v>1378</v>
      </c>
      <c r="T8" s="20"/>
      <c r="U8" s="153">
        <v>9829</v>
      </c>
      <c r="V8" s="153">
        <v>3.681</v>
      </c>
      <c r="W8" s="153">
        <v>610.43799999999999</v>
      </c>
      <c r="X8" s="153">
        <v>220.86</v>
      </c>
      <c r="Y8" s="168">
        <v>2.4134294468552801E-2</v>
      </c>
      <c r="Z8" s="168">
        <v>5.8145197345232599E-4</v>
      </c>
    </row>
    <row r="9" spans="1:26">
      <c r="A9" s="20" t="s">
        <v>26</v>
      </c>
      <c r="B9" s="20">
        <v>1182</v>
      </c>
      <c r="C9" s="20" t="s">
        <v>3043</v>
      </c>
      <c r="D9" s="20" t="s">
        <v>3044</v>
      </c>
      <c r="E9" s="18" t="s">
        <v>34</v>
      </c>
      <c r="F9" s="20" t="s">
        <v>3043</v>
      </c>
      <c r="G9" s="20" t="s">
        <v>3045</v>
      </c>
      <c r="H9" s="18" t="s">
        <v>34</v>
      </c>
      <c r="I9" s="20" t="s">
        <v>811</v>
      </c>
      <c r="J9" s="18" t="s">
        <v>31</v>
      </c>
      <c r="K9" s="18" t="s">
        <v>101</v>
      </c>
      <c r="L9" s="20" t="s">
        <v>204</v>
      </c>
      <c r="M9" s="20" t="s">
        <v>591</v>
      </c>
      <c r="N9" s="20" t="s">
        <v>164</v>
      </c>
      <c r="O9" s="20" t="s">
        <v>3046</v>
      </c>
      <c r="P9" s="18" t="s">
        <v>105</v>
      </c>
      <c r="Q9" s="20" t="s">
        <v>939</v>
      </c>
      <c r="R9" s="20"/>
      <c r="S9" s="20" t="s">
        <v>1378</v>
      </c>
      <c r="T9" s="20"/>
      <c r="U9" s="153">
        <v>60000</v>
      </c>
      <c r="V9" s="153">
        <v>3.681</v>
      </c>
      <c r="W9" s="153">
        <v>67</v>
      </c>
      <c r="X9" s="153">
        <v>147.976</v>
      </c>
      <c r="Y9" s="168">
        <v>1.61699772494629E-2</v>
      </c>
      <c r="Z9" s="168">
        <v>3.8957282114173298E-4</v>
      </c>
    </row>
    <row r="10" spans="1:26">
      <c r="A10" s="20" t="s">
        <v>26</v>
      </c>
      <c r="B10" s="20">
        <v>1182</v>
      </c>
      <c r="C10" s="20" t="s">
        <v>3047</v>
      </c>
      <c r="D10" s="20" t="s">
        <v>3048</v>
      </c>
      <c r="E10" s="18" t="s">
        <v>34</v>
      </c>
      <c r="F10" s="20" t="s">
        <v>3047</v>
      </c>
      <c r="G10" s="20" t="s">
        <v>3049</v>
      </c>
      <c r="H10" s="18" t="s">
        <v>34</v>
      </c>
      <c r="I10" s="20" t="s">
        <v>811</v>
      </c>
      <c r="J10" s="18" t="s">
        <v>31</v>
      </c>
      <c r="K10" s="18" t="s">
        <v>101</v>
      </c>
      <c r="L10" s="20" t="s">
        <v>204</v>
      </c>
      <c r="M10" s="20" t="s">
        <v>523</v>
      </c>
      <c r="N10" s="20" t="s">
        <v>164</v>
      </c>
      <c r="O10" s="20" t="s">
        <v>3033</v>
      </c>
      <c r="P10" s="18" t="s">
        <v>105</v>
      </c>
      <c r="Q10" s="20" t="s">
        <v>204</v>
      </c>
      <c r="R10" s="20"/>
      <c r="S10" s="20" t="s">
        <v>1378</v>
      </c>
      <c r="T10" s="20"/>
      <c r="U10" s="153">
        <v>3735.95</v>
      </c>
      <c r="V10" s="153">
        <v>3.681</v>
      </c>
      <c r="W10" s="153">
        <v>1272.98</v>
      </c>
      <c r="X10" s="153">
        <v>175.06100000000001</v>
      </c>
      <c r="Y10" s="168">
        <v>1.9129604511567599E-2</v>
      </c>
      <c r="Z10" s="168">
        <v>4.6087720977743002E-4</v>
      </c>
    </row>
    <row r="11" spans="1:26">
      <c r="A11" s="20" t="s">
        <v>26</v>
      </c>
      <c r="B11" s="20">
        <v>1182</v>
      </c>
      <c r="C11" s="20" t="s">
        <v>3050</v>
      </c>
      <c r="D11" s="20" t="s">
        <v>3051</v>
      </c>
      <c r="E11" s="18" t="s">
        <v>34</v>
      </c>
      <c r="F11" s="20" t="s">
        <v>3052</v>
      </c>
      <c r="G11" s="20" t="s">
        <v>3053</v>
      </c>
      <c r="H11" s="18" t="s">
        <v>34</v>
      </c>
      <c r="I11" s="20" t="s">
        <v>811</v>
      </c>
      <c r="J11" s="18" t="s">
        <v>31</v>
      </c>
      <c r="K11" s="18" t="s">
        <v>101</v>
      </c>
      <c r="L11" s="20" t="s">
        <v>204</v>
      </c>
      <c r="M11" s="20" t="s">
        <v>493</v>
      </c>
      <c r="N11" s="20" t="s">
        <v>164</v>
      </c>
      <c r="O11" s="20" t="s">
        <v>3054</v>
      </c>
      <c r="P11" s="18" t="s">
        <v>105</v>
      </c>
      <c r="Q11" s="20" t="s">
        <v>939</v>
      </c>
      <c r="R11" s="20"/>
      <c r="S11" s="20" t="s">
        <v>1378</v>
      </c>
      <c r="T11" s="20"/>
      <c r="U11" s="153">
        <v>562517</v>
      </c>
      <c r="V11" s="153">
        <v>3.681</v>
      </c>
      <c r="W11" s="153">
        <v>6.1139999999999999</v>
      </c>
      <c r="X11" s="153">
        <v>126.6</v>
      </c>
      <c r="Y11" s="168">
        <v>1.3834120216881501E-2</v>
      </c>
      <c r="Z11" s="168">
        <v>3.33296525886171E-4</v>
      </c>
    </row>
    <row r="12" spans="1:26">
      <c r="A12" s="20" t="s">
        <v>26</v>
      </c>
      <c r="B12" s="20">
        <v>1182</v>
      </c>
      <c r="C12" s="20" t="s">
        <v>3055</v>
      </c>
      <c r="D12" s="20" t="s">
        <v>3056</v>
      </c>
      <c r="E12" s="18" t="s">
        <v>1380</v>
      </c>
      <c r="F12" s="20" t="s">
        <v>3055</v>
      </c>
      <c r="G12" s="20" t="s">
        <v>3057</v>
      </c>
      <c r="H12" s="18" t="s">
        <v>34</v>
      </c>
      <c r="I12" s="20" t="s">
        <v>811</v>
      </c>
      <c r="J12" s="18" t="s">
        <v>31</v>
      </c>
      <c r="K12" s="18" t="s">
        <v>101</v>
      </c>
      <c r="L12" s="20" t="s">
        <v>204</v>
      </c>
      <c r="M12" s="20" t="s">
        <v>591</v>
      </c>
      <c r="N12" s="20" t="s">
        <v>164</v>
      </c>
      <c r="O12" s="20" t="s">
        <v>3058</v>
      </c>
      <c r="P12" s="18" t="s">
        <v>105</v>
      </c>
      <c r="Q12" s="20" t="s">
        <v>939</v>
      </c>
      <c r="R12" s="20"/>
      <c r="S12" s="20" t="s">
        <v>1378</v>
      </c>
      <c r="T12" s="20"/>
      <c r="U12" s="153">
        <v>3605</v>
      </c>
      <c r="V12" s="153">
        <v>3.681</v>
      </c>
      <c r="W12" s="153">
        <v>1387.07</v>
      </c>
      <c r="X12" s="153">
        <v>184.06399999999999</v>
      </c>
      <c r="Y12" s="168">
        <v>2.0113470071642301E-2</v>
      </c>
      <c r="Z12" s="168">
        <v>4.8458084744799299E-4</v>
      </c>
    </row>
    <row r="13" spans="1:26">
      <c r="A13" s="20" t="s">
        <v>26</v>
      </c>
      <c r="B13" s="20">
        <v>1182</v>
      </c>
      <c r="C13" s="20" t="s">
        <v>3059</v>
      </c>
      <c r="D13" s="20" t="s">
        <v>3060</v>
      </c>
      <c r="E13" s="18" t="s">
        <v>34</v>
      </c>
      <c r="F13" s="20" t="s">
        <v>3061</v>
      </c>
      <c r="G13" s="20" t="s">
        <v>3062</v>
      </c>
      <c r="H13" s="18" t="s">
        <v>34</v>
      </c>
      <c r="I13" s="20" t="s">
        <v>811</v>
      </c>
      <c r="J13" s="18" t="s">
        <v>31</v>
      </c>
      <c r="K13" s="18" t="s">
        <v>101</v>
      </c>
      <c r="L13" s="20" t="s">
        <v>204</v>
      </c>
      <c r="M13" s="20" t="s">
        <v>589</v>
      </c>
      <c r="N13" s="20" t="s">
        <v>164</v>
      </c>
      <c r="O13" s="20" t="s">
        <v>3063</v>
      </c>
      <c r="P13" s="18" t="s">
        <v>105</v>
      </c>
      <c r="Q13" s="20" t="s">
        <v>939</v>
      </c>
      <c r="R13" s="20"/>
      <c r="S13" s="20" t="s">
        <v>1378</v>
      </c>
      <c r="T13" s="20"/>
      <c r="U13" s="153">
        <v>8020</v>
      </c>
      <c r="V13" s="153">
        <v>3.681</v>
      </c>
      <c r="W13" s="153">
        <v>0</v>
      </c>
      <c r="X13" s="153">
        <v>0</v>
      </c>
      <c r="Y13" s="168">
        <v>3.2259506850918601E-9</v>
      </c>
      <c r="Z13" s="168">
        <v>7.7720746904395488E-11</v>
      </c>
    </row>
    <row r="14" spans="1:26">
      <c r="A14" s="20" t="s">
        <v>26</v>
      </c>
      <c r="B14" s="20">
        <v>1182</v>
      </c>
      <c r="C14" s="20" t="s">
        <v>3064</v>
      </c>
      <c r="D14" s="20" t="s">
        <v>3065</v>
      </c>
      <c r="E14" s="18" t="s">
        <v>1380</v>
      </c>
      <c r="F14" s="20" t="s">
        <v>3064</v>
      </c>
      <c r="G14" s="20" t="s">
        <v>3066</v>
      </c>
      <c r="H14" s="18" t="s">
        <v>34</v>
      </c>
      <c r="I14" s="20" t="s">
        <v>811</v>
      </c>
      <c r="J14" s="18" t="s">
        <v>31</v>
      </c>
      <c r="K14" s="18" t="s">
        <v>101</v>
      </c>
      <c r="L14" s="20" t="s">
        <v>204</v>
      </c>
      <c r="M14" s="20" t="s">
        <v>589</v>
      </c>
      <c r="N14" s="20" t="s">
        <v>164</v>
      </c>
      <c r="O14" s="20" t="s">
        <v>3063</v>
      </c>
      <c r="P14" s="18" t="s">
        <v>105</v>
      </c>
      <c r="Q14" s="20" t="s">
        <v>939</v>
      </c>
      <c r="R14" s="20"/>
      <c r="S14" s="20" t="s">
        <v>1378</v>
      </c>
      <c r="T14" s="20"/>
      <c r="U14" s="153">
        <v>13988</v>
      </c>
      <c r="V14" s="153">
        <v>3.681</v>
      </c>
      <c r="W14" s="153">
        <v>830.053</v>
      </c>
      <c r="X14" s="153">
        <v>427.39299999999997</v>
      </c>
      <c r="Y14" s="168">
        <v>4.6702991360009903E-2</v>
      </c>
      <c r="Z14" s="168">
        <v>1.1251850153642801E-3</v>
      </c>
    </row>
    <row r="15" spans="1:26">
      <c r="A15" s="20" t="s">
        <v>26</v>
      </c>
      <c r="B15" s="20">
        <v>1182</v>
      </c>
      <c r="C15" s="20" t="s">
        <v>2340</v>
      </c>
      <c r="D15" s="20" t="s">
        <v>2341</v>
      </c>
      <c r="E15" s="18" t="s">
        <v>1380</v>
      </c>
      <c r="F15" s="20" t="s">
        <v>3067</v>
      </c>
      <c r="G15" s="20" t="s">
        <v>3068</v>
      </c>
      <c r="H15" s="18" t="s">
        <v>34</v>
      </c>
      <c r="I15" s="20" t="s">
        <v>811</v>
      </c>
      <c r="J15" s="18" t="s">
        <v>31</v>
      </c>
      <c r="K15" s="18" t="s">
        <v>31</v>
      </c>
      <c r="L15" s="20" t="s">
        <v>204</v>
      </c>
      <c r="M15" s="20" t="s">
        <v>523</v>
      </c>
      <c r="N15" s="20" t="s">
        <v>164</v>
      </c>
      <c r="O15" s="20" t="s">
        <v>3069</v>
      </c>
      <c r="P15" s="18" t="s">
        <v>35</v>
      </c>
      <c r="Q15" s="20" t="s">
        <v>204</v>
      </c>
      <c r="R15" s="20"/>
      <c r="S15" s="20" t="s">
        <v>1378</v>
      </c>
      <c r="T15" s="20"/>
      <c r="U15" s="153">
        <v>127</v>
      </c>
      <c r="V15" s="153">
        <v>1</v>
      </c>
      <c r="W15" s="153">
        <v>195840.641</v>
      </c>
      <c r="X15" s="153">
        <v>248.71799999999999</v>
      </c>
      <c r="Y15" s="168">
        <v>2.7178412183482398E-2</v>
      </c>
      <c r="Z15" s="168">
        <v>6.54791936013623E-4</v>
      </c>
    </row>
    <row r="16" spans="1:26">
      <c r="A16" s="20" t="s">
        <v>26</v>
      </c>
      <c r="B16" s="20">
        <v>1182</v>
      </c>
      <c r="C16" s="20" t="s">
        <v>3070</v>
      </c>
      <c r="D16" s="20" t="s">
        <v>3071</v>
      </c>
      <c r="E16" s="18" t="s">
        <v>1380</v>
      </c>
      <c r="F16" s="20" t="s">
        <v>3070</v>
      </c>
      <c r="G16" s="20" t="s">
        <v>3072</v>
      </c>
      <c r="H16" s="18" t="s">
        <v>34</v>
      </c>
      <c r="I16" s="20" t="s">
        <v>811</v>
      </c>
      <c r="J16" s="18" t="s">
        <v>31</v>
      </c>
      <c r="K16" s="18" t="s">
        <v>31</v>
      </c>
      <c r="L16" s="20" t="s">
        <v>204</v>
      </c>
      <c r="M16" s="20" t="s">
        <v>488</v>
      </c>
      <c r="N16" s="20" t="s">
        <v>164</v>
      </c>
      <c r="O16" s="20" t="s">
        <v>3073</v>
      </c>
      <c r="P16" s="18" t="s">
        <v>105</v>
      </c>
      <c r="Q16" s="20" t="s">
        <v>204</v>
      </c>
      <c r="R16" s="20"/>
      <c r="S16" s="20" t="s">
        <v>1378</v>
      </c>
      <c r="T16" s="20"/>
      <c r="U16" s="153">
        <v>41131.24</v>
      </c>
      <c r="V16" s="153">
        <v>3.681</v>
      </c>
      <c r="W16" s="153">
        <v>0</v>
      </c>
      <c r="X16" s="153">
        <v>0</v>
      </c>
      <c r="Y16" s="168">
        <v>1.6544557588114399E-8</v>
      </c>
      <c r="Z16" s="168">
        <v>3.9859734337954399E-10</v>
      </c>
    </row>
    <row r="17" spans="1:26">
      <c r="A17" s="20" t="s">
        <v>26</v>
      </c>
      <c r="B17" s="20">
        <v>1182</v>
      </c>
      <c r="C17" s="20" t="s">
        <v>3074</v>
      </c>
      <c r="D17" s="20" t="s">
        <v>3075</v>
      </c>
      <c r="E17" s="18" t="s">
        <v>34</v>
      </c>
      <c r="F17" s="20" t="s">
        <v>3076</v>
      </c>
      <c r="G17" s="20" t="s">
        <v>3077</v>
      </c>
      <c r="H17" s="18" t="s">
        <v>368</v>
      </c>
      <c r="I17" s="20" t="s">
        <v>811</v>
      </c>
      <c r="J17" s="18" t="s">
        <v>100</v>
      </c>
      <c r="K17" s="18" t="s">
        <v>346</v>
      </c>
      <c r="L17" s="20" t="s">
        <v>204</v>
      </c>
      <c r="M17" s="20" t="s">
        <v>2053</v>
      </c>
      <c r="N17" s="20" t="s">
        <v>164</v>
      </c>
      <c r="O17" s="20"/>
      <c r="P17" s="18" t="s">
        <v>105</v>
      </c>
      <c r="Q17" s="20" t="s">
        <v>204</v>
      </c>
      <c r="R17" s="20"/>
      <c r="S17" s="20" t="s">
        <v>3078</v>
      </c>
      <c r="T17" s="20"/>
      <c r="U17" s="153">
        <v>14.84</v>
      </c>
      <c r="V17" s="153">
        <v>3.681</v>
      </c>
      <c r="W17" s="153">
        <v>0</v>
      </c>
      <c r="X17" s="153">
        <v>0</v>
      </c>
      <c r="Y17" s="168">
        <v>5.9692154821400495E-12</v>
      </c>
      <c r="Z17" s="168">
        <v>1.43812454371724E-13</v>
      </c>
    </row>
    <row r="18" spans="1:26">
      <c r="A18" s="20" t="s">
        <v>26</v>
      </c>
      <c r="B18" s="20">
        <v>1182</v>
      </c>
      <c r="C18" s="20" t="s">
        <v>3079</v>
      </c>
      <c r="D18" s="20" t="s">
        <v>3080</v>
      </c>
      <c r="E18" s="18" t="s">
        <v>34</v>
      </c>
      <c r="F18" s="20" t="s">
        <v>3079</v>
      </c>
      <c r="G18" s="20" t="s">
        <v>3081</v>
      </c>
      <c r="H18" s="18" t="s">
        <v>368</v>
      </c>
      <c r="I18" s="20" t="s">
        <v>811</v>
      </c>
      <c r="J18" s="18" t="s">
        <v>100</v>
      </c>
      <c r="K18" s="18" t="s">
        <v>101</v>
      </c>
      <c r="L18" s="20" t="s">
        <v>204</v>
      </c>
      <c r="M18" s="20" t="s">
        <v>2066</v>
      </c>
      <c r="N18" s="20" t="s">
        <v>164</v>
      </c>
      <c r="O18" s="20"/>
      <c r="P18" s="18" t="s">
        <v>105</v>
      </c>
      <c r="Q18" s="20" t="s">
        <v>204</v>
      </c>
      <c r="R18" s="20"/>
      <c r="S18" s="20" t="s">
        <v>3078</v>
      </c>
      <c r="T18" s="20"/>
      <c r="U18" s="153">
        <v>43.79</v>
      </c>
      <c r="V18" s="153">
        <v>3.681</v>
      </c>
      <c r="W18" s="153">
        <v>0</v>
      </c>
      <c r="X18" s="153">
        <v>0</v>
      </c>
      <c r="Y18" s="168">
        <v>1.7614012531193599E-11</v>
      </c>
      <c r="Z18" s="168">
        <v>4.2436303079095697E-13</v>
      </c>
    </row>
    <row r="19" spans="1:26">
      <c r="A19" s="4" t="s">
        <v>26</v>
      </c>
      <c r="B19" s="20">
        <v>1182</v>
      </c>
      <c r="C19" s="20" t="s">
        <v>3082</v>
      </c>
      <c r="D19" s="20" t="s">
        <v>3083</v>
      </c>
      <c r="E19" s="18" t="s">
        <v>34</v>
      </c>
      <c r="F19" s="20" t="s">
        <v>3084</v>
      </c>
      <c r="G19" s="20" t="s">
        <v>3085</v>
      </c>
      <c r="H19" s="18" t="s">
        <v>34</v>
      </c>
      <c r="I19" s="20" t="s">
        <v>811</v>
      </c>
      <c r="J19" s="18" t="s">
        <v>100</v>
      </c>
      <c r="K19" s="18" t="s">
        <v>101</v>
      </c>
      <c r="L19" s="20" t="s">
        <v>204</v>
      </c>
      <c r="M19" s="20" t="s">
        <v>591</v>
      </c>
      <c r="N19" s="20" t="s">
        <v>164</v>
      </c>
      <c r="O19" s="20" t="s">
        <v>2817</v>
      </c>
      <c r="P19" s="18" t="s">
        <v>105</v>
      </c>
      <c r="Q19" s="20" t="s">
        <v>939</v>
      </c>
      <c r="R19" s="20"/>
      <c r="S19" s="20" t="s">
        <v>1378</v>
      </c>
      <c r="T19" s="20"/>
      <c r="U19" s="153">
        <v>12316</v>
      </c>
      <c r="V19" s="153">
        <v>3.681</v>
      </c>
      <c r="W19" s="153">
        <v>444.69</v>
      </c>
      <c r="X19" s="153">
        <v>201.601</v>
      </c>
      <c r="Y19" s="168">
        <v>2.2029792135973201E-2</v>
      </c>
      <c r="Z19" s="168">
        <v>5.3074955760139199E-4</v>
      </c>
    </row>
    <row r="20" spans="1:26">
      <c r="A20" s="2" t="s">
        <v>119</v>
      </c>
      <c r="B20" s="2">
        <v>12905</v>
      </c>
      <c r="C20" s="2" t="s">
        <v>3018</v>
      </c>
      <c r="E20" s="18" t="s">
        <v>204</v>
      </c>
      <c r="F20" s="2" t="s">
        <v>3018</v>
      </c>
      <c r="G20" s="2" t="s">
        <v>3019</v>
      </c>
      <c r="H20" s="4" t="s">
        <v>34</v>
      </c>
      <c r="I20" s="20" t="s">
        <v>811</v>
      </c>
      <c r="J20" s="18" t="s">
        <v>31</v>
      </c>
      <c r="K20" s="18" t="s">
        <v>346</v>
      </c>
      <c r="L20" s="20" t="s">
        <v>204</v>
      </c>
      <c r="M20" s="20" t="s">
        <v>591</v>
      </c>
      <c r="N20" s="20" t="s">
        <v>164</v>
      </c>
      <c r="O20" s="2" t="s">
        <v>3020</v>
      </c>
      <c r="P20" s="2" t="s">
        <v>105</v>
      </c>
      <c r="Q20" s="2" t="s">
        <v>204</v>
      </c>
      <c r="R20" s="20"/>
      <c r="S20" s="2" t="s">
        <v>1378</v>
      </c>
      <c r="U20" s="150">
        <v>16.649999999999999</v>
      </c>
      <c r="V20" s="150">
        <v>3.681</v>
      </c>
      <c r="W20" s="150">
        <v>90093.3</v>
      </c>
      <c r="X20" s="150">
        <v>55.216999999999999</v>
      </c>
      <c r="Y20" s="164">
        <v>0.157899474322378</v>
      </c>
      <c r="Z20" s="164">
        <v>1.9071921218270799E-3</v>
      </c>
    </row>
    <row r="21" spans="1:26">
      <c r="A21" s="2" t="s">
        <v>119</v>
      </c>
      <c r="B21" s="2">
        <v>12905</v>
      </c>
      <c r="C21" s="2" t="s">
        <v>3031</v>
      </c>
      <c r="D21" s="2" t="s">
        <v>3034</v>
      </c>
      <c r="E21" s="4" t="s">
        <v>34</v>
      </c>
      <c r="F21" s="2" t="s">
        <v>3035</v>
      </c>
      <c r="G21" s="2" t="s">
        <v>3036</v>
      </c>
      <c r="H21" s="2" t="s">
        <v>34</v>
      </c>
      <c r="I21" s="2" t="s">
        <v>811</v>
      </c>
      <c r="J21" s="2" t="s">
        <v>31</v>
      </c>
      <c r="K21" s="2" t="s">
        <v>101</v>
      </c>
      <c r="L21" s="4" t="s">
        <v>204</v>
      </c>
      <c r="M21" s="2" t="s">
        <v>492</v>
      </c>
      <c r="N21" s="2" t="s">
        <v>164</v>
      </c>
      <c r="O21" s="2" t="s">
        <v>3037</v>
      </c>
      <c r="P21" s="2" t="s">
        <v>105</v>
      </c>
      <c r="Q21" s="2" t="s">
        <v>204</v>
      </c>
      <c r="S21" s="2" t="s">
        <v>1378</v>
      </c>
      <c r="U21" s="150">
        <v>80000</v>
      </c>
      <c r="V21" s="150">
        <v>3.681</v>
      </c>
      <c r="W21" s="150">
        <v>100</v>
      </c>
      <c r="X21" s="150">
        <v>294.48</v>
      </c>
      <c r="Y21" s="164">
        <v>0.84210052567762195</v>
      </c>
      <c r="Z21" s="164">
        <v>1.0171328911961999E-2</v>
      </c>
    </row>
    <row r="22" spans="1:26">
      <c r="A22" s="2" t="s">
        <v>119</v>
      </c>
      <c r="B22" s="2">
        <v>13680</v>
      </c>
      <c r="C22" s="2" t="s">
        <v>3018</v>
      </c>
      <c r="E22" s="4" t="s">
        <v>204</v>
      </c>
      <c r="F22" s="2" t="s">
        <v>3018</v>
      </c>
      <c r="G22" s="2" t="s">
        <v>3019</v>
      </c>
      <c r="H22" s="2" t="s">
        <v>34</v>
      </c>
      <c r="I22" s="2" t="s">
        <v>811</v>
      </c>
      <c r="J22" s="2" t="s">
        <v>31</v>
      </c>
      <c r="K22" s="2" t="s">
        <v>346</v>
      </c>
      <c r="L22" s="4" t="s">
        <v>204</v>
      </c>
      <c r="M22" s="2" t="s">
        <v>591</v>
      </c>
      <c r="N22" s="2" t="s">
        <v>164</v>
      </c>
      <c r="O22" s="2" t="s">
        <v>3020</v>
      </c>
      <c r="P22" s="2" t="s">
        <v>105</v>
      </c>
      <c r="Q22" s="2" t="s">
        <v>204</v>
      </c>
      <c r="S22" s="2" t="s">
        <v>1378</v>
      </c>
      <c r="U22" s="150">
        <v>11.1</v>
      </c>
      <c r="V22" s="150">
        <v>3.681</v>
      </c>
      <c r="W22" s="150">
        <v>90093.3</v>
      </c>
      <c r="X22" s="150">
        <v>36.811</v>
      </c>
      <c r="Y22" s="164">
        <v>0.125003897013894</v>
      </c>
      <c r="Z22" s="164">
        <v>1.25849819253052E-3</v>
      </c>
    </row>
    <row r="23" spans="1:26">
      <c r="A23" s="2" t="s">
        <v>119</v>
      </c>
      <c r="B23" s="2">
        <v>13680</v>
      </c>
      <c r="C23" s="2" t="s">
        <v>3031</v>
      </c>
      <c r="D23" s="2" t="s">
        <v>3034</v>
      </c>
      <c r="E23" s="4" t="s">
        <v>34</v>
      </c>
      <c r="F23" s="2" t="s">
        <v>3035</v>
      </c>
      <c r="G23" s="2" t="s">
        <v>3036</v>
      </c>
      <c r="H23" s="2" t="s">
        <v>34</v>
      </c>
      <c r="I23" s="2" t="s">
        <v>811</v>
      </c>
      <c r="J23" s="2" t="s">
        <v>31</v>
      </c>
      <c r="K23" s="2" t="s">
        <v>101</v>
      </c>
      <c r="L23" s="4" t="s">
        <v>204</v>
      </c>
      <c r="M23" s="2" t="s">
        <v>492</v>
      </c>
      <c r="N23" s="2" t="s">
        <v>164</v>
      </c>
      <c r="O23" s="2" t="s">
        <v>3037</v>
      </c>
      <c r="P23" s="2" t="s">
        <v>105</v>
      </c>
      <c r="Q23" s="2" t="s">
        <v>204</v>
      </c>
      <c r="S23" s="2" t="s">
        <v>1378</v>
      </c>
      <c r="U23" s="150">
        <v>70000</v>
      </c>
      <c r="V23" s="150">
        <v>3.681</v>
      </c>
      <c r="W23" s="150">
        <v>100</v>
      </c>
      <c r="X23" s="150">
        <v>257.67</v>
      </c>
      <c r="Y23" s="164">
        <v>0.87499610298610597</v>
      </c>
      <c r="Z23" s="164">
        <v>8.8091734768626292E-3</v>
      </c>
    </row>
    <row r="24" spans="1:26">
      <c r="A24" s="2" t="s">
        <v>128</v>
      </c>
      <c r="B24" s="2">
        <v>7228</v>
      </c>
      <c r="C24" s="2" t="s">
        <v>3014</v>
      </c>
      <c r="D24" s="2" t="s">
        <v>3015</v>
      </c>
      <c r="E24" s="4" t="s">
        <v>34</v>
      </c>
      <c r="F24" s="2" t="s">
        <v>3014</v>
      </c>
      <c r="G24" s="2" t="s">
        <v>3016</v>
      </c>
      <c r="H24" s="2" t="s">
        <v>34</v>
      </c>
      <c r="I24" s="2" t="s">
        <v>811</v>
      </c>
      <c r="J24" s="2" t="s">
        <v>31</v>
      </c>
      <c r="K24" s="2" t="s">
        <v>31</v>
      </c>
      <c r="L24" s="4" t="s">
        <v>204</v>
      </c>
      <c r="M24" s="2" t="s">
        <v>589</v>
      </c>
      <c r="N24" s="2" t="s">
        <v>164</v>
      </c>
      <c r="O24" s="2" t="s">
        <v>3017</v>
      </c>
      <c r="P24" s="2" t="s">
        <v>105</v>
      </c>
      <c r="Q24" s="2" t="s">
        <v>204</v>
      </c>
      <c r="S24" s="2" t="s">
        <v>1378</v>
      </c>
      <c r="U24" s="150">
        <v>82545</v>
      </c>
      <c r="V24" s="150">
        <v>3.681</v>
      </c>
      <c r="W24" s="150">
        <v>6792</v>
      </c>
      <c r="X24" s="150">
        <v>20637.366000000002</v>
      </c>
      <c r="Y24" s="164">
        <v>0.27736751024669798</v>
      </c>
      <c r="Z24" s="164">
        <v>8.9050985130242708E-3</v>
      </c>
    </row>
    <row r="25" spans="1:26">
      <c r="A25" s="2" t="s">
        <v>128</v>
      </c>
      <c r="B25" s="2">
        <v>7228</v>
      </c>
      <c r="C25" s="2" t="s">
        <v>3018</v>
      </c>
      <c r="E25" s="4" t="s">
        <v>204</v>
      </c>
      <c r="F25" s="2" t="s">
        <v>3018</v>
      </c>
      <c r="G25" s="2" t="s">
        <v>3019</v>
      </c>
      <c r="H25" s="2" t="s">
        <v>34</v>
      </c>
      <c r="I25" s="2" t="s">
        <v>811</v>
      </c>
      <c r="J25" s="2" t="s">
        <v>31</v>
      </c>
      <c r="K25" s="2" t="s">
        <v>346</v>
      </c>
      <c r="L25" s="4" t="s">
        <v>204</v>
      </c>
      <c r="M25" s="2" t="s">
        <v>591</v>
      </c>
      <c r="N25" s="2" t="s">
        <v>164</v>
      </c>
      <c r="O25" s="2" t="s">
        <v>3020</v>
      </c>
      <c r="P25" s="2" t="s">
        <v>105</v>
      </c>
      <c r="Q25" s="2" t="s">
        <v>204</v>
      </c>
      <c r="S25" s="2" t="s">
        <v>1378</v>
      </c>
      <c r="U25" s="150">
        <v>2219.02</v>
      </c>
      <c r="V25" s="150">
        <v>3.681</v>
      </c>
      <c r="W25" s="150">
        <v>90093.3</v>
      </c>
      <c r="X25" s="150">
        <v>7359.0119999999997</v>
      </c>
      <c r="Y25" s="164">
        <v>9.8905592835775699E-2</v>
      </c>
      <c r="Z25" s="164">
        <v>3.17544058029102E-3</v>
      </c>
    </row>
    <row r="26" spans="1:26">
      <c r="A26" s="2" t="s">
        <v>128</v>
      </c>
      <c r="B26" s="2">
        <v>7228</v>
      </c>
      <c r="C26" s="2" t="s">
        <v>3021</v>
      </c>
      <c r="D26" s="2" t="s">
        <v>3022</v>
      </c>
      <c r="E26" s="4" t="s">
        <v>34</v>
      </c>
      <c r="F26" s="2" t="s">
        <v>3021</v>
      </c>
      <c r="G26" s="2" t="s">
        <v>3023</v>
      </c>
      <c r="H26" s="2" t="s">
        <v>34</v>
      </c>
      <c r="I26" s="2" t="s">
        <v>811</v>
      </c>
      <c r="J26" s="2" t="s">
        <v>31</v>
      </c>
      <c r="K26" s="2" t="s">
        <v>31</v>
      </c>
      <c r="L26" s="4" t="s">
        <v>204</v>
      </c>
      <c r="M26" s="2" t="s">
        <v>575</v>
      </c>
      <c r="N26" s="2" t="s">
        <v>164</v>
      </c>
      <c r="O26" s="2" t="s">
        <v>3024</v>
      </c>
      <c r="P26" s="2" t="s">
        <v>105</v>
      </c>
      <c r="Q26" s="2" t="s">
        <v>204</v>
      </c>
      <c r="S26" s="2" t="s">
        <v>1378</v>
      </c>
      <c r="U26" s="150">
        <v>239148</v>
      </c>
      <c r="V26" s="150">
        <v>3.681</v>
      </c>
      <c r="W26" s="150">
        <v>0</v>
      </c>
      <c r="X26" s="150">
        <v>1E-3</v>
      </c>
      <c r="Y26" s="164">
        <v>1.1831338836502401E-8</v>
      </c>
      <c r="Z26" s="164">
        <v>3.7985428713808006E-10</v>
      </c>
    </row>
    <row r="27" spans="1:26">
      <c r="A27" s="2" t="s">
        <v>128</v>
      </c>
      <c r="B27" s="2">
        <v>7228</v>
      </c>
      <c r="C27" s="2" t="s">
        <v>3025</v>
      </c>
      <c r="D27" s="2" t="s">
        <v>3026</v>
      </c>
      <c r="E27" s="4" t="s">
        <v>34</v>
      </c>
      <c r="F27" s="2" t="s">
        <v>3025</v>
      </c>
      <c r="G27" s="2" t="s">
        <v>3027</v>
      </c>
      <c r="H27" s="2" t="s">
        <v>34</v>
      </c>
      <c r="I27" s="2" t="s">
        <v>811</v>
      </c>
      <c r="J27" s="2" t="s">
        <v>31</v>
      </c>
      <c r="K27" s="2" t="s">
        <v>101</v>
      </c>
      <c r="L27" s="4" t="s">
        <v>204</v>
      </c>
      <c r="M27" s="2" t="s">
        <v>589</v>
      </c>
      <c r="N27" s="2" t="s">
        <v>164</v>
      </c>
      <c r="O27" s="2" t="s">
        <v>3028</v>
      </c>
      <c r="P27" s="2" t="s">
        <v>105</v>
      </c>
      <c r="Q27" s="2" t="s">
        <v>937</v>
      </c>
      <c r="S27" s="2" t="s">
        <v>1378</v>
      </c>
      <c r="U27" s="150">
        <v>260000</v>
      </c>
      <c r="V27" s="150">
        <v>3.681</v>
      </c>
      <c r="W27" s="150">
        <v>75</v>
      </c>
      <c r="X27" s="150">
        <v>717.79499999999996</v>
      </c>
      <c r="Y27" s="164">
        <v>9.6472104015838007E-3</v>
      </c>
      <c r="Z27" s="164">
        <v>3.0973115389602097E-4</v>
      </c>
    </row>
    <row r="28" spans="1:26">
      <c r="A28" s="2" t="s">
        <v>128</v>
      </c>
      <c r="B28" s="2">
        <v>7228</v>
      </c>
      <c r="C28" s="2" t="s">
        <v>3086</v>
      </c>
      <c r="D28" s="2" t="s">
        <v>3087</v>
      </c>
      <c r="E28" s="4" t="s">
        <v>34</v>
      </c>
      <c r="F28" s="2" t="s">
        <v>3086</v>
      </c>
      <c r="G28" s="2" t="s">
        <v>3088</v>
      </c>
      <c r="H28" s="2" t="s">
        <v>34</v>
      </c>
      <c r="I28" s="2" t="s">
        <v>811</v>
      </c>
      <c r="J28" s="2" t="s">
        <v>31</v>
      </c>
      <c r="K28" s="2" t="s">
        <v>31</v>
      </c>
      <c r="L28" s="4" t="s">
        <v>204</v>
      </c>
      <c r="M28" s="2" t="s">
        <v>575</v>
      </c>
      <c r="N28" s="2" t="s">
        <v>164</v>
      </c>
      <c r="P28" s="2" t="s">
        <v>105</v>
      </c>
      <c r="Q28" s="2" t="s">
        <v>204</v>
      </c>
      <c r="S28" s="2" t="s">
        <v>1378</v>
      </c>
      <c r="U28" s="150">
        <v>2939</v>
      </c>
      <c r="V28" s="150">
        <v>3.681</v>
      </c>
      <c r="W28" s="150">
        <v>31340.455999999998</v>
      </c>
      <c r="X28" s="150">
        <v>3390.5540000000001</v>
      </c>
      <c r="Y28" s="164">
        <v>4.5569266161307402E-2</v>
      </c>
      <c r="Z28" s="164">
        <v>1.4630365466082799E-3</v>
      </c>
    </row>
    <row r="29" spans="1:26">
      <c r="A29" s="2" t="s">
        <v>128</v>
      </c>
      <c r="B29" s="2">
        <v>7228</v>
      </c>
      <c r="C29" s="2" t="s">
        <v>3029</v>
      </c>
      <c r="D29" s="2" t="s">
        <v>3030</v>
      </c>
      <c r="E29" s="4" t="s">
        <v>1380</v>
      </c>
      <c r="F29" s="2" t="s">
        <v>3031</v>
      </c>
      <c r="G29" s="2" t="s">
        <v>3032</v>
      </c>
      <c r="H29" s="2" t="s">
        <v>34</v>
      </c>
      <c r="I29" s="2" t="s">
        <v>811</v>
      </c>
      <c r="J29" s="2" t="s">
        <v>31</v>
      </c>
      <c r="K29" s="2" t="s">
        <v>101</v>
      </c>
      <c r="L29" s="4" t="s">
        <v>204</v>
      </c>
      <c r="M29" s="2" t="s">
        <v>492</v>
      </c>
      <c r="N29" s="2" t="s">
        <v>164</v>
      </c>
      <c r="O29" s="2" t="s">
        <v>3033</v>
      </c>
      <c r="P29" s="2" t="s">
        <v>105</v>
      </c>
      <c r="Q29" s="2" t="s">
        <v>204</v>
      </c>
      <c r="S29" s="2" t="s">
        <v>1378</v>
      </c>
      <c r="U29" s="150">
        <v>2325794</v>
      </c>
      <c r="V29" s="150">
        <v>3.681</v>
      </c>
      <c r="W29" s="150">
        <v>374.80799999999999</v>
      </c>
      <c r="X29" s="150">
        <v>32088.25</v>
      </c>
      <c r="Y29" s="164">
        <v>0.43126811713329</v>
      </c>
      <c r="Z29" s="164">
        <v>1.3846196568526E-2</v>
      </c>
    </row>
    <row r="30" spans="1:26">
      <c r="A30" s="2" t="s">
        <v>128</v>
      </c>
      <c r="B30" s="2">
        <v>7228</v>
      </c>
      <c r="C30" s="2" t="s">
        <v>3031</v>
      </c>
      <c r="D30" s="2" t="s">
        <v>3034</v>
      </c>
      <c r="E30" s="4" t="s">
        <v>34</v>
      </c>
      <c r="F30" s="2" t="s">
        <v>3035</v>
      </c>
      <c r="G30" s="2" t="s">
        <v>3036</v>
      </c>
      <c r="H30" s="2" t="s">
        <v>34</v>
      </c>
      <c r="I30" s="2" t="s">
        <v>811</v>
      </c>
      <c r="J30" s="2" t="s">
        <v>31</v>
      </c>
      <c r="K30" s="2" t="s">
        <v>101</v>
      </c>
      <c r="L30" s="4" t="s">
        <v>204</v>
      </c>
      <c r="M30" s="2" t="s">
        <v>492</v>
      </c>
      <c r="N30" s="2" t="s">
        <v>164</v>
      </c>
      <c r="O30" s="2" t="s">
        <v>3037</v>
      </c>
      <c r="P30" s="2" t="s">
        <v>105</v>
      </c>
      <c r="Q30" s="2" t="s">
        <v>204</v>
      </c>
      <c r="S30" s="2" t="s">
        <v>1378</v>
      </c>
      <c r="U30" s="150">
        <v>150000</v>
      </c>
      <c r="V30" s="150">
        <v>3.681</v>
      </c>
      <c r="W30" s="150">
        <v>100</v>
      </c>
      <c r="X30" s="150">
        <v>552.15</v>
      </c>
      <c r="Y30" s="164">
        <v>7.4209310781413896E-3</v>
      </c>
      <c r="Z30" s="164">
        <v>2.3825473376617E-4</v>
      </c>
    </row>
    <row r="31" spans="1:26">
      <c r="A31" s="2" t="s">
        <v>128</v>
      </c>
      <c r="B31" s="2">
        <v>7228</v>
      </c>
      <c r="C31" s="2" t="s">
        <v>3038</v>
      </c>
      <c r="D31" s="2" t="s">
        <v>3039</v>
      </c>
      <c r="E31" s="4" t="s">
        <v>34</v>
      </c>
      <c r="F31" s="2" t="s">
        <v>3040</v>
      </c>
      <c r="G31" s="2" t="s">
        <v>3041</v>
      </c>
      <c r="H31" s="2" t="s">
        <v>34</v>
      </c>
      <c r="I31" s="2" t="s">
        <v>811</v>
      </c>
      <c r="J31" s="2" t="s">
        <v>100</v>
      </c>
      <c r="K31" s="2" t="s">
        <v>101</v>
      </c>
      <c r="L31" s="4" t="s">
        <v>204</v>
      </c>
      <c r="M31" s="2" t="s">
        <v>493</v>
      </c>
      <c r="N31" s="2" t="s">
        <v>164</v>
      </c>
      <c r="O31" s="2" t="s">
        <v>3042</v>
      </c>
      <c r="P31" s="2" t="s">
        <v>105</v>
      </c>
      <c r="Q31" s="2" t="s">
        <v>939</v>
      </c>
      <c r="S31" s="2" t="s">
        <v>1378</v>
      </c>
      <c r="U31" s="150">
        <v>47505</v>
      </c>
      <c r="V31" s="150">
        <v>3.681</v>
      </c>
      <c r="W31" s="150">
        <v>610.43799999999999</v>
      </c>
      <c r="X31" s="150">
        <v>1067.4490000000001</v>
      </c>
      <c r="Y31" s="164">
        <v>1.43465797878347E-2</v>
      </c>
      <c r="Z31" s="164">
        <v>4.6060804389814699E-4</v>
      </c>
    </row>
    <row r="32" spans="1:26">
      <c r="A32" s="2" t="s">
        <v>128</v>
      </c>
      <c r="B32" s="2">
        <v>7228</v>
      </c>
      <c r="C32" s="2" t="s">
        <v>3043</v>
      </c>
      <c r="D32" s="2" t="s">
        <v>3044</v>
      </c>
      <c r="E32" s="4" t="s">
        <v>34</v>
      </c>
      <c r="F32" s="2" t="s">
        <v>3043</v>
      </c>
      <c r="G32" s="2" t="s">
        <v>3045</v>
      </c>
      <c r="H32" s="2" t="s">
        <v>34</v>
      </c>
      <c r="I32" s="2" t="s">
        <v>811</v>
      </c>
      <c r="J32" s="2" t="s">
        <v>31</v>
      </c>
      <c r="K32" s="2" t="s">
        <v>101</v>
      </c>
      <c r="L32" s="4" t="s">
        <v>204</v>
      </c>
      <c r="M32" s="2" t="s">
        <v>591</v>
      </c>
      <c r="N32" s="2" t="s">
        <v>164</v>
      </c>
      <c r="O32" s="2" t="s">
        <v>3046</v>
      </c>
      <c r="P32" s="2" t="s">
        <v>105</v>
      </c>
      <c r="Q32" s="2" t="s">
        <v>939</v>
      </c>
      <c r="S32" s="2" t="s">
        <v>1378</v>
      </c>
      <c r="U32" s="150">
        <v>290000</v>
      </c>
      <c r="V32" s="150">
        <v>3.681</v>
      </c>
      <c r="W32" s="150">
        <v>67</v>
      </c>
      <c r="X32" s="150">
        <v>715.21799999999996</v>
      </c>
      <c r="Y32" s="164">
        <v>9.6125793898858107E-3</v>
      </c>
      <c r="Z32" s="164">
        <v>3.0861929847177902E-4</v>
      </c>
    </row>
    <row r="33" spans="1:26">
      <c r="A33" s="2" t="s">
        <v>128</v>
      </c>
      <c r="B33" s="2">
        <v>7228</v>
      </c>
      <c r="C33" s="2" t="s">
        <v>3047</v>
      </c>
      <c r="D33" s="2" t="s">
        <v>3048</v>
      </c>
      <c r="E33" s="4" t="s">
        <v>34</v>
      </c>
      <c r="F33" s="2" t="s">
        <v>3047</v>
      </c>
      <c r="G33" s="2" t="s">
        <v>3049</v>
      </c>
      <c r="H33" s="2" t="s">
        <v>34</v>
      </c>
      <c r="I33" s="2" t="s">
        <v>811</v>
      </c>
      <c r="J33" s="2" t="s">
        <v>31</v>
      </c>
      <c r="K33" s="2" t="s">
        <v>101</v>
      </c>
      <c r="L33" s="4" t="s">
        <v>204</v>
      </c>
      <c r="M33" s="2" t="s">
        <v>523</v>
      </c>
      <c r="N33" s="2" t="s">
        <v>164</v>
      </c>
      <c r="O33" s="2" t="s">
        <v>3033</v>
      </c>
      <c r="P33" s="2" t="s">
        <v>105</v>
      </c>
      <c r="Q33" s="2" t="s">
        <v>204</v>
      </c>
      <c r="S33" s="2" t="s">
        <v>1378</v>
      </c>
      <c r="U33" s="150">
        <v>14943.8</v>
      </c>
      <c r="V33" s="150">
        <v>3.681</v>
      </c>
      <c r="W33" s="150">
        <v>1272.98</v>
      </c>
      <c r="X33" s="150">
        <v>700.24199999999996</v>
      </c>
      <c r="Y33" s="164">
        <v>9.4113032196774596E-3</v>
      </c>
      <c r="Z33" s="164">
        <v>3.02157171301818E-4</v>
      </c>
    </row>
    <row r="34" spans="1:26">
      <c r="A34" s="2" t="s">
        <v>128</v>
      </c>
      <c r="B34" s="2">
        <v>7228</v>
      </c>
      <c r="C34" s="2" t="s">
        <v>3050</v>
      </c>
      <c r="D34" s="2" t="s">
        <v>3051</v>
      </c>
      <c r="E34" s="4" t="s">
        <v>34</v>
      </c>
      <c r="F34" s="2" t="s">
        <v>3052</v>
      </c>
      <c r="G34" s="2" t="s">
        <v>3053</v>
      </c>
      <c r="H34" s="2" t="s">
        <v>34</v>
      </c>
      <c r="I34" s="2" t="s">
        <v>811</v>
      </c>
      <c r="J34" s="2" t="s">
        <v>31</v>
      </c>
      <c r="K34" s="2" t="s">
        <v>101</v>
      </c>
      <c r="L34" s="4" t="s">
        <v>204</v>
      </c>
      <c r="M34" s="2" t="s">
        <v>493</v>
      </c>
      <c r="N34" s="2" t="s">
        <v>164</v>
      </c>
      <c r="O34" s="2" t="s">
        <v>3054</v>
      </c>
      <c r="P34" s="2" t="s">
        <v>105</v>
      </c>
      <c r="Q34" s="2" t="s">
        <v>939</v>
      </c>
      <c r="S34" s="2" t="s">
        <v>1378</v>
      </c>
      <c r="U34" s="150">
        <v>2925086</v>
      </c>
      <c r="V34" s="150">
        <v>3.681</v>
      </c>
      <c r="W34" s="150">
        <v>6.1139999999999999</v>
      </c>
      <c r="X34" s="150">
        <v>658.32</v>
      </c>
      <c r="Y34" s="164">
        <v>8.8478615020528405E-3</v>
      </c>
      <c r="Z34" s="164">
        <v>2.84067439028084E-4</v>
      </c>
    </row>
    <row r="35" spans="1:26">
      <c r="A35" s="2" t="s">
        <v>128</v>
      </c>
      <c r="B35" s="2">
        <v>7228</v>
      </c>
      <c r="C35" s="2" t="s">
        <v>3055</v>
      </c>
      <c r="D35" s="2" t="s">
        <v>3056</v>
      </c>
      <c r="E35" s="4" t="s">
        <v>1380</v>
      </c>
      <c r="F35" s="2" t="s">
        <v>3055</v>
      </c>
      <c r="G35" s="2" t="s">
        <v>3057</v>
      </c>
      <c r="H35" s="2" t="s">
        <v>34</v>
      </c>
      <c r="I35" s="2" t="s">
        <v>811</v>
      </c>
      <c r="J35" s="2" t="s">
        <v>31</v>
      </c>
      <c r="K35" s="2" t="s">
        <v>101</v>
      </c>
      <c r="L35" s="4" t="s">
        <v>204</v>
      </c>
      <c r="M35" s="2" t="s">
        <v>591</v>
      </c>
      <c r="N35" s="2" t="s">
        <v>164</v>
      </c>
      <c r="O35" s="2" t="s">
        <v>3058</v>
      </c>
      <c r="P35" s="2" t="s">
        <v>105</v>
      </c>
      <c r="Q35" s="2" t="s">
        <v>939</v>
      </c>
      <c r="S35" s="2" t="s">
        <v>1378</v>
      </c>
      <c r="U35" s="150">
        <v>21628</v>
      </c>
      <c r="V35" s="150">
        <v>3.681</v>
      </c>
      <c r="W35" s="150">
        <v>1387.07</v>
      </c>
      <c r="X35" s="150">
        <v>1104.2829999999999</v>
      </c>
      <c r="Y35" s="164">
        <v>1.4841639508561299E-2</v>
      </c>
      <c r="Z35" s="164">
        <v>4.7650231925498103E-4</v>
      </c>
    </row>
    <row r="36" spans="1:26">
      <c r="A36" s="2" t="s">
        <v>128</v>
      </c>
      <c r="B36" s="2">
        <v>7228</v>
      </c>
      <c r="C36" s="2" t="s">
        <v>3059</v>
      </c>
      <c r="D36" s="2" t="s">
        <v>3060</v>
      </c>
      <c r="E36" s="4" t="s">
        <v>34</v>
      </c>
      <c r="F36" s="2" t="s">
        <v>3061</v>
      </c>
      <c r="G36" s="2" t="s">
        <v>3062</v>
      </c>
      <c r="H36" s="2" t="s">
        <v>34</v>
      </c>
      <c r="I36" s="2" t="s">
        <v>811</v>
      </c>
      <c r="J36" s="2" t="s">
        <v>31</v>
      </c>
      <c r="K36" s="2" t="s">
        <v>101</v>
      </c>
      <c r="L36" s="4" t="s">
        <v>204</v>
      </c>
      <c r="M36" s="2" t="s">
        <v>589</v>
      </c>
      <c r="N36" s="2" t="s">
        <v>164</v>
      </c>
      <c r="O36" s="2" t="s">
        <v>3063</v>
      </c>
      <c r="P36" s="2" t="s">
        <v>105</v>
      </c>
      <c r="Q36" s="2" t="s">
        <v>939</v>
      </c>
      <c r="S36" s="2" t="s">
        <v>1378</v>
      </c>
      <c r="U36" s="150">
        <v>41703</v>
      </c>
      <c r="V36" s="150">
        <v>3.681</v>
      </c>
      <c r="W36" s="150">
        <v>0</v>
      </c>
      <c r="X36" s="150">
        <v>0</v>
      </c>
      <c r="Y36" s="164">
        <v>2.0631672583448701E-9</v>
      </c>
      <c r="Z36" s="164">
        <v>6.6239581081670598E-11</v>
      </c>
    </row>
    <row r="37" spans="1:26">
      <c r="A37" s="2" t="s">
        <v>128</v>
      </c>
      <c r="B37" s="2">
        <v>7228</v>
      </c>
      <c r="C37" s="2" t="s">
        <v>3064</v>
      </c>
      <c r="D37" s="2" t="s">
        <v>3065</v>
      </c>
      <c r="E37" s="4" t="s">
        <v>1380</v>
      </c>
      <c r="F37" s="2" t="s">
        <v>3064</v>
      </c>
      <c r="G37" s="2" t="s">
        <v>3066</v>
      </c>
      <c r="H37" s="2" t="s">
        <v>34</v>
      </c>
      <c r="I37" s="2" t="s">
        <v>811</v>
      </c>
      <c r="J37" s="2" t="s">
        <v>31</v>
      </c>
      <c r="K37" s="2" t="s">
        <v>101</v>
      </c>
      <c r="L37" s="4" t="s">
        <v>204</v>
      </c>
      <c r="M37" s="2" t="s">
        <v>589</v>
      </c>
      <c r="N37" s="2" t="s">
        <v>164</v>
      </c>
      <c r="O37" s="2" t="s">
        <v>3063</v>
      </c>
      <c r="P37" s="2" t="s">
        <v>105</v>
      </c>
      <c r="Q37" s="2" t="s">
        <v>939</v>
      </c>
      <c r="S37" s="2" t="s">
        <v>1378</v>
      </c>
      <c r="U37" s="150">
        <v>72735</v>
      </c>
      <c r="V37" s="150">
        <v>3.681</v>
      </c>
      <c r="W37" s="150">
        <v>830.053</v>
      </c>
      <c r="X37" s="150">
        <v>2222.3629999999998</v>
      </c>
      <c r="Y37" s="164">
        <v>2.9868698642468602E-2</v>
      </c>
      <c r="Z37" s="164">
        <v>9.5895767903906497E-4</v>
      </c>
    </row>
    <row r="38" spans="1:26">
      <c r="A38" s="2" t="s">
        <v>128</v>
      </c>
      <c r="B38" s="2">
        <v>7228</v>
      </c>
      <c r="C38" s="2" t="s">
        <v>3089</v>
      </c>
      <c r="D38" s="2" t="s">
        <v>3090</v>
      </c>
      <c r="E38" s="4" t="s">
        <v>1380</v>
      </c>
      <c r="F38" s="2" t="s">
        <v>3091</v>
      </c>
      <c r="G38" s="2" t="s">
        <v>3092</v>
      </c>
      <c r="H38" s="2" t="s">
        <v>34</v>
      </c>
      <c r="I38" s="2" t="s">
        <v>811</v>
      </c>
      <c r="J38" s="2" t="s">
        <v>31</v>
      </c>
      <c r="K38" s="2" t="s">
        <v>31</v>
      </c>
      <c r="L38" s="4" t="s">
        <v>204</v>
      </c>
      <c r="M38" s="2" t="s">
        <v>530</v>
      </c>
      <c r="N38" s="2" t="s">
        <v>164</v>
      </c>
      <c r="P38" s="2" t="s">
        <v>105</v>
      </c>
      <c r="Q38" s="2" t="s">
        <v>204</v>
      </c>
      <c r="S38" s="2" t="s">
        <v>3093</v>
      </c>
      <c r="U38" s="150">
        <v>198592</v>
      </c>
      <c r="V38" s="150">
        <v>3.681</v>
      </c>
      <c r="W38" s="150">
        <v>0</v>
      </c>
      <c r="X38" s="150">
        <v>1E-3</v>
      </c>
      <c r="Y38" s="164">
        <v>8.4494285894427908E-9</v>
      </c>
      <c r="Z38" s="164">
        <v>2.7127544210505702E-10</v>
      </c>
    </row>
    <row r="39" spans="1:26">
      <c r="A39" s="2" t="s">
        <v>128</v>
      </c>
      <c r="B39" s="2">
        <v>7228</v>
      </c>
      <c r="C39" s="2" t="s">
        <v>3094</v>
      </c>
      <c r="D39" s="2" t="s">
        <v>3095</v>
      </c>
      <c r="E39" s="4" t="s">
        <v>1380</v>
      </c>
      <c r="F39" s="2" t="s">
        <v>3096</v>
      </c>
      <c r="G39" s="2" t="s">
        <v>3097</v>
      </c>
      <c r="H39" s="2" t="s">
        <v>34</v>
      </c>
      <c r="I39" s="2" t="s">
        <v>811</v>
      </c>
      <c r="J39" s="2" t="s">
        <v>31</v>
      </c>
      <c r="K39" s="2" t="s">
        <v>31</v>
      </c>
      <c r="L39" s="4" t="s">
        <v>204</v>
      </c>
      <c r="M39" s="2" t="s">
        <v>517</v>
      </c>
      <c r="N39" s="2" t="s">
        <v>164</v>
      </c>
      <c r="O39" s="2" t="s">
        <v>3098</v>
      </c>
      <c r="P39" s="2" t="s">
        <v>35</v>
      </c>
      <c r="Q39" s="2" t="s">
        <v>204</v>
      </c>
      <c r="S39" s="2" t="s">
        <v>1378</v>
      </c>
      <c r="U39" s="150">
        <v>200000</v>
      </c>
      <c r="V39" s="150">
        <v>1</v>
      </c>
      <c r="W39" s="150">
        <v>30</v>
      </c>
      <c r="X39" s="150">
        <v>60</v>
      </c>
      <c r="Y39" s="164">
        <v>8.0640381180563804E-4</v>
      </c>
      <c r="Z39" s="164">
        <v>2.58902182848324E-5</v>
      </c>
    </row>
    <row r="40" spans="1:26">
      <c r="A40" s="2" t="s">
        <v>128</v>
      </c>
      <c r="B40" s="2">
        <v>7228</v>
      </c>
      <c r="C40" s="2" t="s">
        <v>3094</v>
      </c>
      <c r="D40" s="2" t="s">
        <v>3095</v>
      </c>
      <c r="E40" s="4" t="s">
        <v>1380</v>
      </c>
      <c r="F40" s="2" t="s">
        <v>3099</v>
      </c>
      <c r="G40" s="2" t="s">
        <v>3100</v>
      </c>
      <c r="H40" s="2" t="s">
        <v>34</v>
      </c>
      <c r="I40" s="2" t="s">
        <v>811</v>
      </c>
      <c r="J40" s="2" t="s">
        <v>31</v>
      </c>
      <c r="K40" s="2" t="s">
        <v>31</v>
      </c>
      <c r="L40" s="4" t="s">
        <v>204</v>
      </c>
      <c r="M40" s="2" t="s">
        <v>517</v>
      </c>
      <c r="N40" s="2" t="s">
        <v>164</v>
      </c>
      <c r="P40" s="2" t="s">
        <v>105</v>
      </c>
      <c r="Q40" s="2" t="s">
        <v>204</v>
      </c>
      <c r="S40" s="2" t="s">
        <v>1378</v>
      </c>
      <c r="U40" s="150">
        <v>68145</v>
      </c>
      <c r="V40" s="150">
        <v>3.681</v>
      </c>
      <c r="W40" s="150">
        <v>225.989</v>
      </c>
      <c r="X40" s="150">
        <v>566.87400000000002</v>
      </c>
      <c r="Y40" s="164">
        <v>7.6188225545114297E-3</v>
      </c>
      <c r="Z40" s="164">
        <v>2.4460819272174698E-4</v>
      </c>
    </row>
    <row r="41" spans="1:26">
      <c r="A41" s="2" t="s">
        <v>128</v>
      </c>
      <c r="B41" s="2">
        <v>7228</v>
      </c>
      <c r="C41" s="2" t="s">
        <v>2340</v>
      </c>
      <c r="D41" s="2" t="s">
        <v>2341</v>
      </c>
      <c r="E41" s="4" t="s">
        <v>1380</v>
      </c>
      <c r="F41" s="2" t="s">
        <v>3067</v>
      </c>
      <c r="G41" s="2" t="s">
        <v>3068</v>
      </c>
      <c r="H41" s="2" t="s">
        <v>34</v>
      </c>
      <c r="I41" s="2" t="s">
        <v>811</v>
      </c>
      <c r="J41" s="2" t="s">
        <v>31</v>
      </c>
      <c r="K41" s="2" t="s">
        <v>31</v>
      </c>
      <c r="L41" s="4" t="s">
        <v>204</v>
      </c>
      <c r="M41" s="2" t="s">
        <v>523</v>
      </c>
      <c r="N41" s="2" t="s">
        <v>164</v>
      </c>
      <c r="O41" s="2" t="s">
        <v>3069</v>
      </c>
      <c r="P41" s="2" t="s">
        <v>35</v>
      </c>
      <c r="Q41" s="2" t="s">
        <v>204</v>
      </c>
      <c r="S41" s="2" t="s">
        <v>1378</v>
      </c>
      <c r="U41" s="150">
        <v>688</v>
      </c>
      <c r="V41" s="150">
        <v>1</v>
      </c>
      <c r="W41" s="150">
        <v>195840.641</v>
      </c>
      <c r="X41" s="150">
        <v>1347.384</v>
      </c>
      <c r="Y41" s="164">
        <v>1.8108921300388998E-2</v>
      </c>
      <c r="Z41" s="164">
        <v>5.8140092904586296E-4</v>
      </c>
    </row>
    <row r="42" spans="1:26">
      <c r="A42" s="2" t="s">
        <v>128</v>
      </c>
      <c r="B42" s="2">
        <v>7228</v>
      </c>
      <c r="C42" s="2" t="s">
        <v>3101</v>
      </c>
      <c r="D42" s="2" t="s">
        <v>3102</v>
      </c>
      <c r="E42" s="4" t="s">
        <v>1380</v>
      </c>
      <c r="F42" s="2" t="s">
        <v>3103</v>
      </c>
      <c r="G42" s="2" t="s">
        <v>3104</v>
      </c>
      <c r="H42" s="2" t="s">
        <v>34</v>
      </c>
      <c r="I42" s="2" t="s">
        <v>811</v>
      </c>
      <c r="J42" s="2" t="s">
        <v>31</v>
      </c>
      <c r="K42" s="2" t="s">
        <v>31</v>
      </c>
      <c r="L42" s="4" t="s">
        <v>204</v>
      </c>
      <c r="M42" s="2" t="s">
        <v>491</v>
      </c>
      <c r="N42" s="2" t="s">
        <v>164</v>
      </c>
      <c r="P42" s="2" t="s">
        <v>35</v>
      </c>
      <c r="Q42" s="2" t="s">
        <v>204</v>
      </c>
      <c r="S42" s="2" t="s">
        <v>3093</v>
      </c>
      <c r="U42" s="150">
        <v>90000</v>
      </c>
      <c r="V42" s="150">
        <v>1</v>
      </c>
      <c r="W42" s="150">
        <v>0</v>
      </c>
      <c r="X42" s="150">
        <v>0</v>
      </c>
      <c r="Y42" s="164">
        <v>1.2096057177084602E-9</v>
      </c>
      <c r="Z42" s="164">
        <v>3.8835327427248598E-11</v>
      </c>
    </row>
    <row r="43" spans="1:26">
      <c r="A43" s="2" t="s">
        <v>128</v>
      </c>
      <c r="B43" s="2">
        <v>7228</v>
      </c>
      <c r="C43" s="2" t="s">
        <v>3070</v>
      </c>
      <c r="D43" s="2" t="s">
        <v>3071</v>
      </c>
      <c r="E43" s="4" t="s">
        <v>1380</v>
      </c>
      <c r="F43" s="2" t="s">
        <v>3070</v>
      </c>
      <c r="G43" s="2" t="s">
        <v>3072</v>
      </c>
      <c r="H43" s="2" t="s">
        <v>34</v>
      </c>
      <c r="I43" s="2" t="s">
        <v>811</v>
      </c>
      <c r="J43" s="2" t="s">
        <v>31</v>
      </c>
      <c r="K43" s="2" t="s">
        <v>31</v>
      </c>
      <c r="L43" s="4" t="s">
        <v>204</v>
      </c>
      <c r="M43" s="2" t="s">
        <v>488</v>
      </c>
      <c r="N43" s="2" t="s">
        <v>164</v>
      </c>
      <c r="O43" s="2" t="s">
        <v>3073</v>
      </c>
      <c r="P43" s="2" t="s">
        <v>105</v>
      </c>
      <c r="Q43" s="2" t="s">
        <v>204</v>
      </c>
      <c r="S43" s="2" t="s">
        <v>1378</v>
      </c>
      <c r="U43" s="150">
        <v>256208.76</v>
      </c>
      <c r="V43" s="150">
        <v>3.681</v>
      </c>
      <c r="W43" s="150">
        <v>0</v>
      </c>
      <c r="X43" s="150">
        <v>1E-3</v>
      </c>
      <c r="Y43" s="164">
        <v>1.26753836638405E-8</v>
      </c>
      <c r="Z43" s="164">
        <v>4.0695299934907002E-10</v>
      </c>
    </row>
    <row r="44" spans="1:26">
      <c r="A44" s="2" t="s">
        <v>128</v>
      </c>
      <c r="B44" s="2">
        <v>7228</v>
      </c>
      <c r="C44" s="2" t="s">
        <v>3074</v>
      </c>
      <c r="D44" s="2" t="s">
        <v>3075</v>
      </c>
      <c r="E44" s="4" t="s">
        <v>34</v>
      </c>
      <c r="F44" s="2" t="s">
        <v>3076</v>
      </c>
      <c r="G44" s="2" t="s">
        <v>3077</v>
      </c>
      <c r="H44" s="2" t="s">
        <v>368</v>
      </c>
      <c r="I44" s="2" t="s">
        <v>811</v>
      </c>
      <c r="J44" s="2" t="s">
        <v>100</v>
      </c>
      <c r="K44" s="2" t="s">
        <v>346</v>
      </c>
      <c r="L44" s="4" t="s">
        <v>204</v>
      </c>
      <c r="M44" s="2" t="s">
        <v>2053</v>
      </c>
      <c r="N44" s="2" t="s">
        <v>164</v>
      </c>
      <c r="P44" s="2" t="s">
        <v>105</v>
      </c>
      <c r="Q44" s="2" t="s">
        <v>204</v>
      </c>
      <c r="S44" s="2" t="s">
        <v>3078</v>
      </c>
      <c r="U44" s="150">
        <v>118.77</v>
      </c>
      <c r="V44" s="150">
        <v>3.681</v>
      </c>
      <c r="W44" s="150">
        <v>0</v>
      </c>
      <c r="X44" s="150">
        <v>0</v>
      </c>
      <c r="Y44" s="164">
        <v>5.8758932276723501E-12</v>
      </c>
      <c r="Z44" s="164">
        <v>1.88650098196054E-13</v>
      </c>
    </row>
    <row r="45" spans="1:26">
      <c r="A45" s="2" t="s">
        <v>128</v>
      </c>
      <c r="B45" s="2">
        <v>7228</v>
      </c>
      <c r="C45" s="2" t="s">
        <v>3079</v>
      </c>
      <c r="D45" s="2" t="s">
        <v>3080</v>
      </c>
      <c r="E45" s="4" t="s">
        <v>34</v>
      </c>
      <c r="F45" s="2" t="s">
        <v>3079</v>
      </c>
      <c r="G45" s="2" t="s">
        <v>3081</v>
      </c>
      <c r="H45" s="2" t="s">
        <v>368</v>
      </c>
      <c r="I45" s="2" t="s">
        <v>811</v>
      </c>
      <c r="J45" s="2" t="s">
        <v>100</v>
      </c>
      <c r="K45" s="2" t="s">
        <v>101</v>
      </c>
      <c r="L45" s="4" t="s">
        <v>204</v>
      </c>
      <c r="M45" s="2" t="s">
        <v>2066</v>
      </c>
      <c r="N45" s="2" t="s">
        <v>164</v>
      </c>
      <c r="P45" s="2" t="s">
        <v>105</v>
      </c>
      <c r="Q45" s="2" t="s">
        <v>204</v>
      </c>
      <c r="S45" s="2" t="s">
        <v>3078</v>
      </c>
      <c r="U45" s="150">
        <v>403.95</v>
      </c>
      <c r="V45" s="150">
        <v>3.681</v>
      </c>
      <c r="W45" s="150">
        <v>0</v>
      </c>
      <c r="X45" s="150">
        <v>0</v>
      </c>
      <c r="Y45" s="164">
        <v>1.9984567393434798E-11</v>
      </c>
      <c r="Z45" s="164">
        <v>6.41619998032296E-13</v>
      </c>
    </row>
    <row r="46" spans="1:26">
      <c r="A46" s="2" t="s">
        <v>128</v>
      </c>
      <c r="B46" s="2">
        <v>7228</v>
      </c>
      <c r="C46" s="2" t="s">
        <v>3105</v>
      </c>
      <c r="D46" s="2" t="s">
        <v>3106</v>
      </c>
      <c r="E46" s="4" t="s">
        <v>34</v>
      </c>
      <c r="F46" s="2" t="s">
        <v>3105</v>
      </c>
      <c r="G46" s="2" t="s">
        <v>3107</v>
      </c>
      <c r="H46" s="2" t="s">
        <v>368</v>
      </c>
      <c r="I46" s="2" t="s">
        <v>811</v>
      </c>
      <c r="J46" s="2" t="s">
        <v>100</v>
      </c>
      <c r="K46" s="2" t="s">
        <v>101</v>
      </c>
      <c r="L46" s="4" t="s">
        <v>204</v>
      </c>
      <c r="M46" s="2" t="s">
        <v>579</v>
      </c>
      <c r="N46" s="2" t="s">
        <v>164</v>
      </c>
      <c r="O46" s="2" t="s">
        <v>3108</v>
      </c>
      <c r="P46" s="2" t="s">
        <v>105</v>
      </c>
      <c r="Q46" s="2" t="s">
        <v>204</v>
      </c>
      <c r="S46" s="2" t="s">
        <v>1378</v>
      </c>
      <c r="U46" s="150">
        <v>475</v>
      </c>
      <c r="V46" s="150">
        <v>3.681</v>
      </c>
      <c r="W46" s="150">
        <v>0</v>
      </c>
      <c r="X46" s="150">
        <v>0</v>
      </c>
      <c r="Y46" s="164">
        <v>2.3499615080781099E-11</v>
      </c>
      <c r="Z46" s="164">
        <v>7.5447332359287199E-13</v>
      </c>
    </row>
    <row r="47" spans="1:26">
      <c r="A47" s="2" t="s">
        <v>128</v>
      </c>
      <c r="B47" s="2">
        <v>7228</v>
      </c>
      <c r="C47" s="2" t="s">
        <v>3109</v>
      </c>
      <c r="D47" s="2" t="s">
        <v>3110</v>
      </c>
      <c r="E47" s="4" t="s">
        <v>1380</v>
      </c>
      <c r="F47" s="2" t="s">
        <v>3111</v>
      </c>
      <c r="G47" s="2" t="s">
        <v>3112</v>
      </c>
      <c r="H47" s="2" t="s">
        <v>368</v>
      </c>
      <c r="I47" s="2" t="s">
        <v>811</v>
      </c>
      <c r="J47" s="2" t="s">
        <v>100</v>
      </c>
      <c r="K47" s="2" t="s">
        <v>271</v>
      </c>
      <c r="L47" s="4" t="s">
        <v>204</v>
      </c>
      <c r="M47" s="2" t="s">
        <v>613</v>
      </c>
      <c r="N47" s="2" t="s">
        <v>164</v>
      </c>
      <c r="O47" s="2" t="s">
        <v>3113</v>
      </c>
      <c r="P47" s="2" t="s">
        <v>1224</v>
      </c>
      <c r="Q47" s="2" t="s">
        <v>204</v>
      </c>
      <c r="S47" s="2" t="s">
        <v>1378</v>
      </c>
      <c r="U47" s="150">
        <v>30775.59</v>
      </c>
      <c r="V47" s="150">
        <v>3.9790000000000001</v>
      </c>
      <c r="W47" s="150">
        <v>0</v>
      </c>
      <c r="X47" s="150">
        <v>0</v>
      </c>
      <c r="Y47" s="164">
        <v>1.6458587581126801E-9</v>
      </c>
      <c r="Z47" s="164">
        <v>5.2841568814174692E-11</v>
      </c>
    </row>
    <row r="48" spans="1:26">
      <c r="A48" s="2" t="s">
        <v>128</v>
      </c>
      <c r="B48" s="2">
        <v>7228</v>
      </c>
      <c r="C48" s="2" t="s">
        <v>3082</v>
      </c>
      <c r="D48" s="2" t="s">
        <v>3083</v>
      </c>
      <c r="E48" s="4" t="s">
        <v>34</v>
      </c>
      <c r="F48" s="2" t="s">
        <v>3084</v>
      </c>
      <c r="G48" s="2" t="s">
        <v>3085</v>
      </c>
      <c r="H48" s="2" t="s">
        <v>34</v>
      </c>
      <c r="I48" s="2" t="s">
        <v>811</v>
      </c>
      <c r="J48" s="2" t="s">
        <v>100</v>
      </c>
      <c r="K48" s="2" t="s">
        <v>101</v>
      </c>
      <c r="L48" s="4" t="s">
        <v>204</v>
      </c>
      <c r="M48" s="2" t="s">
        <v>591</v>
      </c>
      <c r="N48" s="2" t="s">
        <v>164</v>
      </c>
      <c r="O48" s="2" t="s">
        <v>2817</v>
      </c>
      <c r="P48" s="2" t="s">
        <v>105</v>
      </c>
      <c r="Q48" s="2" t="s">
        <v>939</v>
      </c>
      <c r="S48" s="2" t="s">
        <v>1378</v>
      </c>
      <c r="U48" s="150">
        <v>64043</v>
      </c>
      <c r="V48" s="150">
        <v>3.681</v>
      </c>
      <c r="W48" s="150">
        <v>444.69</v>
      </c>
      <c r="X48" s="150">
        <v>1048.3219999999999</v>
      </c>
      <c r="Y48" s="164">
        <v>1.4089519095203E-2</v>
      </c>
      <c r="Z48" s="164">
        <v>4.5235491147584101E-4</v>
      </c>
    </row>
    <row r="49" spans="1:26">
      <c r="A49" s="2" t="s">
        <v>128</v>
      </c>
      <c r="B49" s="2">
        <v>7228</v>
      </c>
      <c r="C49" s="2" t="s">
        <v>3114</v>
      </c>
      <c r="D49" s="2" t="s">
        <v>3115</v>
      </c>
      <c r="E49" s="4" t="s">
        <v>1380</v>
      </c>
      <c r="F49" s="2" t="s">
        <v>3116</v>
      </c>
      <c r="G49" s="2" t="s">
        <v>3117</v>
      </c>
      <c r="H49" s="2" t="s">
        <v>368</v>
      </c>
      <c r="I49" s="2" t="s">
        <v>811</v>
      </c>
      <c r="J49" s="2" t="s">
        <v>100</v>
      </c>
      <c r="K49" s="2" t="s">
        <v>31</v>
      </c>
      <c r="L49" s="4" t="s">
        <v>204</v>
      </c>
      <c r="M49" s="2" t="s">
        <v>523</v>
      </c>
      <c r="N49" s="2" t="s">
        <v>164</v>
      </c>
      <c r="O49" s="2" t="s">
        <v>3118</v>
      </c>
      <c r="P49" s="2" t="s">
        <v>105</v>
      </c>
      <c r="Q49" s="2" t="s">
        <v>204</v>
      </c>
      <c r="S49" s="2" t="s">
        <v>1378</v>
      </c>
      <c r="U49" s="150">
        <v>236</v>
      </c>
      <c r="V49" s="150">
        <v>3.681</v>
      </c>
      <c r="W49" s="150">
        <v>16.600000000000001</v>
      </c>
      <c r="X49" s="150">
        <v>0.14399999999999999</v>
      </c>
      <c r="Y49" s="164">
        <v>1.9381493061151101E-6</v>
      </c>
      <c r="Z49" s="164">
        <v>6.22257830001565E-8</v>
      </c>
    </row>
    <row r="50" spans="1:26">
      <c r="A50" s="2" t="s">
        <v>128</v>
      </c>
      <c r="B50" s="2">
        <v>7228</v>
      </c>
      <c r="C50" s="2" t="s">
        <v>3119</v>
      </c>
      <c r="D50" s="2" t="s">
        <v>3120</v>
      </c>
      <c r="E50" s="4" t="s">
        <v>1380</v>
      </c>
      <c r="F50" s="2" t="s">
        <v>3121</v>
      </c>
      <c r="G50" s="2" t="s">
        <v>3122</v>
      </c>
      <c r="H50" s="2" t="s">
        <v>368</v>
      </c>
      <c r="I50" s="2" t="s">
        <v>811</v>
      </c>
      <c r="J50" s="2" t="s">
        <v>100</v>
      </c>
      <c r="K50" s="2" t="s">
        <v>346</v>
      </c>
      <c r="L50" s="4" t="s">
        <v>204</v>
      </c>
      <c r="M50" s="2" t="s">
        <v>525</v>
      </c>
      <c r="N50" s="2" t="s">
        <v>164</v>
      </c>
      <c r="P50" s="2" t="s">
        <v>105</v>
      </c>
      <c r="Q50" s="2" t="s">
        <v>204</v>
      </c>
      <c r="S50" s="2" t="s">
        <v>1378</v>
      </c>
      <c r="U50" s="150">
        <v>3784</v>
      </c>
      <c r="V50" s="150">
        <v>3.681</v>
      </c>
      <c r="W50" s="150">
        <v>1211</v>
      </c>
      <c r="X50" s="150">
        <v>168.679</v>
      </c>
      <c r="Y50" s="164">
        <v>2.2670568449880599E-3</v>
      </c>
      <c r="Z50" s="164">
        <v>7.2785614008247202E-5</v>
      </c>
    </row>
    <row r="51" spans="1:26">
      <c r="A51" s="2" t="s">
        <v>128</v>
      </c>
      <c r="B51" s="2">
        <v>7228</v>
      </c>
      <c r="C51" s="2" t="s">
        <v>3109</v>
      </c>
      <c r="D51" s="2" t="s">
        <v>3110</v>
      </c>
      <c r="E51" s="4" t="s">
        <v>1380</v>
      </c>
      <c r="F51" s="2" t="s">
        <v>3123</v>
      </c>
      <c r="G51" s="2" t="s">
        <v>3124</v>
      </c>
      <c r="H51" s="2" t="s">
        <v>34</v>
      </c>
      <c r="I51" s="2" t="s">
        <v>811</v>
      </c>
      <c r="J51" s="2" t="s">
        <v>100</v>
      </c>
      <c r="K51" s="2" t="s">
        <v>31</v>
      </c>
      <c r="L51" s="4" t="s">
        <v>204</v>
      </c>
      <c r="M51" s="2" t="s">
        <v>491</v>
      </c>
      <c r="N51" s="2" t="s">
        <v>164</v>
      </c>
      <c r="O51" s="2" t="s">
        <v>3113</v>
      </c>
      <c r="P51" s="2" t="s">
        <v>1224</v>
      </c>
      <c r="Q51" s="2" t="s">
        <v>204</v>
      </c>
      <c r="S51" s="2" t="s">
        <v>1378</v>
      </c>
      <c r="U51" s="150">
        <v>44698.99</v>
      </c>
      <c r="V51" s="150">
        <v>3.9790000000000001</v>
      </c>
      <c r="W51" s="150">
        <v>0</v>
      </c>
      <c r="X51" s="150">
        <v>0</v>
      </c>
      <c r="Y51" s="164">
        <v>2.3904732344787202E-9</v>
      </c>
      <c r="Z51" s="164">
        <v>7.6747992678909002E-11</v>
      </c>
    </row>
    <row r="52" spans="1:26">
      <c r="A52" s="2" t="s">
        <v>128</v>
      </c>
      <c r="B52" s="2">
        <v>7228</v>
      </c>
      <c r="C52" s="2" t="s">
        <v>3109</v>
      </c>
      <c r="D52" s="2" t="s">
        <v>3110</v>
      </c>
      <c r="E52" s="4" t="s">
        <v>1380</v>
      </c>
      <c r="F52" s="2" t="s">
        <v>3125</v>
      </c>
      <c r="G52" s="2" t="s">
        <v>3126</v>
      </c>
      <c r="H52" s="2" t="s">
        <v>34</v>
      </c>
      <c r="I52" s="2" t="s">
        <v>811</v>
      </c>
      <c r="J52" s="2" t="s">
        <v>100</v>
      </c>
      <c r="K52" s="2" t="s">
        <v>31</v>
      </c>
      <c r="L52" s="4" t="s">
        <v>204</v>
      </c>
      <c r="M52" s="2" t="s">
        <v>491</v>
      </c>
      <c r="N52" s="2" t="s">
        <v>164</v>
      </c>
      <c r="P52" s="2" t="s">
        <v>1224</v>
      </c>
      <c r="Q52" s="2" t="s">
        <v>204</v>
      </c>
      <c r="S52" s="2" t="s">
        <v>1378</v>
      </c>
      <c r="U52" s="150">
        <v>150000</v>
      </c>
      <c r="V52" s="150">
        <v>3.9790000000000001</v>
      </c>
      <c r="W52" s="150">
        <v>0</v>
      </c>
      <c r="X52" s="150">
        <v>1E-3</v>
      </c>
      <c r="Y52" s="164">
        <v>8.0219035188895408E-9</v>
      </c>
      <c r="Z52" s="164">
        <v>2.5754941894294099E-10</v>
      </c>
    </row>
    <row r="53" spans="1:26">
      <c r="A53" s="2" t="s">
        <v>128</v>
      </c>
      <c r="B53" s="2">
        <v>7229</v>
      </c>
      <c r="C53" s="2" t="s">
        <v>3018</v>
      </c>
      <c r="E53" s="4" t="s">
        <v>204</v>
      </c>
      <c r="F53" s="2" t="s">
        <v>3018</v>
      </c>
      <c r="G53" s="2" t="s">
        <v>3019</v>
      </c>
      <c r="H53" s="2" t="s">
        <v>34</v>
      </c>
      <c r="I53" s="2" t="s">
        <v>811</v>
      </c>
      <c r="J53" s="2" t="s">
        <v>31</v>
      </c>
      <c r="K53" s="2" t="s">
        <v>346</v>
      </c>
      <c r="L53" s="4" t="s">
        <v>204</v>
      </c>
      <c r="M53" s="2" t="s">
        <v>591</v>
      </c>
      <c r="N53" s="2" t="s">
        <v>164</v>
      </c>
      <c r="O53" s="2" t="s">
        <v>3020</v>
      </c>
      <c r="P53" s="2" t="s">
        <v>105</v>
      </c>
      <c r="Q53" s="2" t="s">
        <v>204</v>
      </c>
      <c r="S53" s="2" t="s">
        <v>1378</v>
      </c>
      <c r="U53" s="150">
        <v>194.24</v>
      </c>
      <c r="V53" s="150">
        <v>3.681</v>
      </c>
      <c r="W53" s="150">
        <v>90093.3</v>
      </c>
      <c r="X53" s="150">
        <v>644.16499999999996</v>
      </c>
      <c r="Y53" s="164">
        <v>0.180608520111562</v>
      </c>
      <c r="Z53" s="164">
        <v>4.4935223143013304E-3</v>
      </c>
    </row>
    <row r="54" spans="1:26">
      <c r="A54" s="2" t="s">
        <v>128</v>
      </c>
      <c r="B54" s="2">
        <v>7229</v>
      </c>
      <c r="C54" s="2" t="s">
        <v>3029</v>
      </c>
      <c r="D54" s="2" t="s">
        <v>3030</v>
      </c>
      <c r="E54" s="4" t="s">
        <v>1380</v>
      </c>
      <c r="F54" s="2" t="s">
        <v>3031</v>
      </c>
      <c r="G54" s="2" t="s">
        <v>3032</v>
      </c>
      <c r="H54" s="2" t="s">
        <v>34</v>
      </c>
      <c r="I54" s="2" t="s">
        <v>811</v>
      </c>
      <c r="J54" s="2" t="s">
        <v>31</v>
      </c>
      <c r="K54" s="2" t="s">
        <v>101</v>
      </c>
      <c r="L54" s="4" t="s">
        <v>204</v>
      </c>
      <c r="M54" s="2" t="s">
        <v>492</v>
      </c>
      <c r="N54" s="2" t="s">
        <v>164</v>
      </c>
      <c r="O54" s="2" t="s">
        <v>3033</v>
      </c>
      <c r="P54" s="2" t="s">
        <v>105</v>
      </c>
      <c r="Q54" s="2" t="s">
        <v>204</v>
      </c>
      <c r="S54" s="2" t="s">
        <v>1378</v>
      </c>
      <c r="U54" s="150">
        <v>204017</v>
      </c>
      <c r="V54" s="150">
        <v>3.681</v>
      </c>
      <c r="W54" s="150">
        <v>374.80799999999999</v>
      </c>
      <c r="X54" s="150">
        <v>2814.759</v>
      </c>
      <c r="Y54" s="164">
        <v>0.78919149237615005</v>
      </c>
      <c r="Z54" s="164">
        <v>1.9635007136199801E-2</v>
      </c>
    </row>
    <row r="55" spans="1:26">
      <c r="A55" s="2" t="s">
        <v>128</v>
      </c>
      <c r="B55" s="2">
        <v>7229</v>
      </c>
      <c r="C55" s="2" t="s">
        <v>2340</v>
      </c>
      <c r="D55" s="2" t="s">
        <v>2341</v>
      </c>
      <c r="E55" s="4" t="s">
        <v>1380</v>
      </c>
      <c r="F55" s="2" t="s">
        <v>3067</v>
      </c>
      <c r="G55" s="2" t="s">
        <v>3068</v>
      </c>
      <c r="H55" s="2" t="s">
        <v>34</v>
      </c>
      <c r="I55" s="2" t="s">
        <v>811</v>
      </c>
      <c r="J55" s="2" t="s">
        <v>31</v>
      </c>
      <c r="K55" s="2" t="s">
        <v>31</v>
      </c>
      <c r="L55" s="4" t="s">
        <v>204</v>
      </c>
      <c r="M55" s="2" t="s">
        <v>523</v>
      </c>
      <c r="N55" s="2" t="s">
        <v>164</v>
      </c>
      <c r="O55" s="2" t="s">
        <v>3069</v>
      </c>
      <c r="P55" s="2" t="s">
        <v>35</v>
      </c>
      <c r="Q55" s="2" t="s">
        <v>204</v>
      </c>
      <c r="S55" s="2" t="s">
        <v>1378</v>
      </c>
      <c r="U55" s="150">
        <v>55</v>
      </c>
      <c r="V55" s="150">
        <v>1</v>
      </c>
      <c r="W55" s="150">
        <v>195840.641</v>
      </c>
      <c r="X55" s="150">
        <v>107.712</v>
      </c>
      <c r="Y55" s="164">
        <v>3.01999875122878E-2</v>
      </c>
      <c r="Z55" s="164">
        <v>7.5137273531869898E-4</v>
      </c>
    </row>
    <row r="56" spans="1:26">
      <c r="A56" s="2" t="s">
        <v>144</v>
      </c>
      <c r="B56" s="2">
        <v>969</v>
      </c>
      <c r="C56" s="2" t="s">
        <v>3029</v>
      </c>
      <c r="D56" s="2" t="s">
        <v>3030</v>
      </c>
      <c r="E56" s="4" t="s">
        <v>1380</v>
      </c>
      <c r="F56" s="2" t="s">
        <v>3031</v>
      </c>
      <c r="G56" s="2" t="s">
        <v>3032</v>
      </c>
      <c r="H56" s="2" t="s">
        <v>34</v>
      </c>
      <c r="I56" s="2" t="s">
        <v>811</v>
      </c>
      <c r="J56" s="2" t="s">
        <v>31</v>
      </c>
      <c r="K56" s="2" t="s">
        <v>101</v>
      </c>
      <c r="L56" s="4" t="s">
        <v>204</v>
      </c>
      <c r="M56" s="2" t="s">
        <v>492</v>
      </c>
      <c r="N56" s="2" t="s">
        <v>164</v>
      </c>
      <c r="O56" s="2" t="s">
        <v>3033</v>
      </c>
      <c r="P56" s="2" t="s">
        <v>105</v>
      </c>
      <c r="Q56" s="2" t="s">
        <v>204</v>
      </c>
      <c r="S56" s="2" t="s">
        <v>1378</v>
      </c>
      <c r="U56" s="150">
        <v>81607</v>
      </c>
      <c r="V56" s="150">
        <v>3.681</v>
      </c>
      <c r="W56" s="150">
        <v>374.80799999999999</v>
      </c>
      <c r="X56" s="150">
        <v>1125.9059999999999</v>
      </c>
      <c r="Y56" s="164">
        <v>0.93800062014903796</v>
      </c>
      <c r="Z56" s="164">
        <v>1.5329439963900701E-2</v>
      </c>
    </row>
    <row r="57" spans="1:26">
      <c r="A57" s="2" t="s">
        <v>144</v>
      </c>
      <c r="B57" s="2">
        <v>969</v>
      </c>
      <c r="C57" s="2" t="s">
        <v>2340</v>
      </c>
      <c r="D57" s="2" t="s">
        <v>2341</v>
      </c>
      <c r="E57" s="4" t="s">
        <v>1380</v>
      </c>
      <c r="F57" s="2" t="s">
        <v>3067</v>
      </c>
      <c r="G57" s="2" t="s">
        <v>3068</v>
      </c>
      <c r="H57" s="2" t="s">
        <v>34</v>
      </c>
      <c r="I57" s="2" t="s">
        <v>811</v>
      </c>
      <c r="J57" s="2" t="s">
        <v>31</v>
      </c>
      <c r="K57" s="2" t="s">
        <v>31</v>
      </c>
      <c r="L57" s="4" t="s">
        <v>204</v>
      </c>
      <c r="M57" s="2" t="s">
        <v>523</v>
      </c>
      <c r="N57" s="2" t="s">
        <v>164</v>
      </c>
      <c r="O57" s="2" t="s">
        <v>3069</v>
      </c>
      <c r="P57" s="2" t="s">
        <v>35</v>
      </c>
      <c r="Q57" s="2" t="s">
        <v>204</v>
      </c>
      <c r="S57" s="2" t="s">
        <v>1378</v>
      </c>
      <c r="U57" s="150">
        <v>38</v>
      </c>
      <c r="V57" s="150">
        <v>1</v>
      </c>
      <c r="W57" s="150">
        <v>195840.641</v>
      </c>
      <c r="X57" s="150">
        <v>74.418999999999997</v>
      </c>
      <c r="Y57" s="164">
        <v>6.1999379850961898E-2</v>
      </c>
      <c r="Z57" s="164">
        <v>1.01323575998637E-3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19" t="s">
        <v>0</v>
      </c>
      <c r="B1" s="19" t="s">
        <v>1</v>
      </c>
      <c r="C1" s="19" t="s">
        <v>239</v>
      </c>
      <c r="D1" s="19" t="s">
        <v>240</v>
      </c>
      <c r="E1" s="19" t="s">
        <v>241</v>
      </c>
      <c r="F1" s="19" t="s">
        <v>242</v>
      </c>
      <c r="G1" s="19" t="s">
        <v>243</v>
      </c>
      <c r="H1" s="19" t="s">
        <v>244</v>
      </c>
      <c r="I1" s="19" t="s">
        <v>5</v>
      </c>
      <c r="J1" s="19" t="s">
        <v>876</v>
      </c>
      <c r="K1" s="19" t="s">
        <v>6</v>
      </c>
      <c r="L1" s="19" t="s">
        <v>1172</v>
      </c>
      <c r="M1" s="19" t="s">
        <v>1173</v>
      </c>
      <c r="N1" s="19" t="s">
        <v>7</v>
      </c>
      <c r="O1" s="19" t="s">
        <v>150</v>
      </c>
      <c r="P1" s="29" t="s">
        <v>194</v>
      </c>
      <c r="Q1" s="19" t="s">
        <v>11</v>
      </c>
      <c r="R1" s="19" t="s">
        <v>187</v>
      </c>
      <c r="S1" s="19" t="s">
        <v>188</v>
      </c>
      <c r="T1" s="19" t="s">
        <v>159</v>
      </c>
      <c r="U1" s="19" t="s">
        <v>18</v>
      </c>
      <c r="V1" s="106" t="s">
        <v>2657</v>
      </c>
      <c r="W1" s="19" t="s">
        <v>20</v>
      </c>
      <c r="X1" s="19" t="s">
        <v>1175</v>
      </c>
      <c r="Y1" s="163" t="s">
        <v>24</v>
      </c>
      <c r="Z1" s="163" t="s">
        <v>25</v>
      </c>
      <c r="AA1" s="11"/>
    </row>
    <row r="2" spans="1:27">
      <c r="A2" s="20" t="s">
        <v>26</v>
      </c>
      <c r="B2" s="20">
        <v>1182</v>
      </c>
      <c r="C2" s="20" t="s">
        <v>2658</v>
      </c>
      <c r="D2" s="20" t="s">
        <v>2659</v>
      </c>
      <c r="E2" s="20" t="s">
        <v>204</v>
      </c>
      <c r="F2" s="20" t="s">
        <v>2660</v>
      </c>
      <c r="G2" s="20">
        <v>50007566</v>
      </c>
      <c r="H2" s="20" t="s">
        <v>34</v>
      </c>
      <c r="I2" s="2" t="s">
        <v>1070</v>
      </c>
      <c r="J2" s="20" t="s">
        <v>885</v>
      </c>
      <c r="K2" s="18" t="s">
        <v>31</v>
      </c>
      <c r="L2" s="20" t="s">
        <v>31</v>
      </c>
      <c r="M2" s="20" t="s">
        <v>31</v>
      </c>
      <c r="N2" s="18" t="s">
        <v>31</v>
      </c>
      <c r="O2" s="20" t="s">
        <v>164</v>
      </c>
      <c r="P2" t="s">
        <v>2661</v>
      </c>
      <c r="Q2" s="18" t="s">
        <v>35</v>
      </c>
      <c r="R2" s="20" t="s">
        <v>937</v>
      </c>
      <c r="S2" s="20" t="s">
        <v>941</v>
      </c>
      <c r="T2" s="20" t="s">
        <v>1378</v>
      </c>
      <c r="U2" s="153">
        <v>1</v>
      </c>
      <c r="V2" s="153">
        <v>1165.02</v>
      </c>
      <c r="W2" s="153">
        <v>1165.02</v>
      </c>
      <c r="X2" s="20"/>
      <c r="Y2" s="168">
        <v>1.6899259896290899E-2</v>
      </c>
      <c r="Z2" s="168">
        <v>3.0671152006443302E-3</v>
      </c>
    </row>
    <row r="3" spans="1:27">
      <c r="A3" s="20" t="s">
        <v>26</v>
      </c>
      <c r="B3" s="20">
        <v>1182</v>
      </c>
      <c r="C3" s="20" t="s">
        <v>2662</v>
      </c>
      <c r="D3" s="2" t="s">
        <v>2663</v>
      </c>
      <c r="E3" s="20" t="s">
        <v>360</v>
      </c>
      <c r="F3" s="20" t="s">
        <v>2664</v>
      </c>
      <c r="G3" s="20">
        <v>62018312</v>
      </c>
      <c r="H3" s="20" t="s">
        <v>34</v>
      </c>
      <c r="I3" s="2" t="s">
        <v>1070</v>
      </c>
      <c r="J3" s="20" t="s">
        <v>614</v>
      </c>
      <c r="K3" s="18" t="s">
        <v>31</v>
      </c>
      <c r="L3" s="20" t="s">
        <v>31</v>
      </c>
      <c r="M3" s="20" t="s">
        <v>31</v>
      </c>
      <c r="N3" s="18" t="s">
        <v>31</v>
      </c>
      <c r="O3" s="20" t="s">
        <v>164</v>
      </c>
      <c r="P3" t="s">
        <v>2665</v>
      </c>
      <c r="Q3" s="18" t="s">
        <v>105</v>
      </c>
      <c r="R3" s="20" t="s">
        <v>937</v>
      </c>
      <c r="S3" s="20" t="s">
        <v>941</v>
      </c>
      <c r="T3" s="27" t="s">
        <v>1378</v>
      </c>
      <c r="U3" s="153">
        <v>3.681</v>
      </c>
      <c r="V3" s="153">
        <v>201.36</v>
      </c>
      <c r="W3" s="153">
        <v>741.20600000000002</v>
      </c>
      <c r="X3" s="27"/>
      <c r="Y3" s="168">
        <v>1.0751604171871E-2</v>
      </c>
      <c r="Z3" s="168">
        <v>1.9513522360878101E-3</v>
      </c>
    </row>
    <row r="4" spans="1:27">
      <c r="A4" s="20" t="s">
        <v>26</v>
      </c>
      <c r="B4" s="20">
        <v>1182</v>
      </c>
      <c r="C4" s="20" t="s">
        <v>2666</v>
      </c>
      <c r="D4" s="2" t="s">
        <v>2667</v>
      </c>
      <c r="E4" s="20" t="s">
        <v>34</v>
      </c>
      <c r="F4" s="20" t="s">
        <v>2668</v>
      </c>
      <c r="G4" s="20">
        <v>60390093</v>
      </c>
      <c r="H4" s="20" t="s">
        <v>34</v>
      </c>
      <c r="I4" s="2" t="s">
        <v>1070</v>
      </c>
      <c r="J4" s="20" t="s">
        <v>878</v>
      </c>
      <c r="K4" s="18" t="s">
        <v>100</v>
      </c>
      <c r="L4" s="20" t="s">
        <v>268</v>
      </c>
      <c r="M4" s="20" t="s">
        <v>31</v>
      </c>
      <c r="N4" s="18" t="s">
        <v>31</v>
      </c>
      <c r="O4" s="20" t="s">
        <v>164</v>
      </c>
      <c r="P4" t="s">
        <v>2669</v>
      </c>
      <c r="Q4" s="18" t="s">
        <v>105</v>
      </c>
      <c r="R4" s="20" t="s">
        <v>937</v>
      </c>
      <c r="S4" s="20" t="s">
        <v>941</v>
      </c>
      <c r="T4" s="20" t="s">
        <v>1378</v>
      </c>
      <c r="U4" s="153">
        <v>3.681</v>
      </c>
      <c r="V4" s="153">
        <v>68.302000000000007</v>
      </c>
      <c r="W4" s="153">
        <v>251.41800000000001</v>
      </c>
      <c r="X4" s="27"/>
      <c r="Y4" s="168">
        <v>3.64696059953862E-3</v>
      </c>
      <c r="Z4" s="168">
        <v>6.6190166667895998E-4</v>
      </c>
    </row>
    <row r="5" spans="1:27">
      <c r="A5" s="20" t="s">
        <v>26</v>
      </c>
      <c r="B5" s="20">
        <v>1182</v>
      </c>
      <c r="C5" s="20" t="s">
        <v>2666</v>
      </c>
      <c r="D5" s="2" t="s">
        <v>2667</v>
      </c>
      <c r="E5" s="20" t="s">
        <v>34</v>
      </c>
      <c r="F5" s="20" t="s">
        <v>2670</v>
      </c>
      <c r="G5" s="20">
        <v>62019724</v>
      </c>
      <c r="H5" s="20" t="s">
        <v>34</v>
      </c>
      <c r="I5" s="2" t="s">
        <v>1070</v>
      </c>
      <c r="J5" s="20" t="s">
        <v>878</v>
      </c>
      <c r="K5" s="18" t="s">
        <v>100</v>
      </c>
      <c r="L5" s="20" t="s">
        <v>268</v>
      </c>
      <c r="M5" s="20" t="s">
        <v>31</v>
      </c>
      <c r="N5" s="18" t="s">
        <v>31</v>
      </c>
      <c r="O5" s="20" t="s">
        <v>164</v>
      </c>
      <c r="P5" t="s">
        <v>2671</v>
      </c>
      <c r="Q5" s="18" t="s">
        <v>105</v>
      </c>
      <c r="R5" s="20" t="s">
        <v>937</v>
      </c>
      <c r="S5" s="20" t="s">
        <v>941</v>
      </c>
      <c r="T5" s="20" t="s">
        <v>1378</v>
      </c>
      <c r="U5" s="153">
        <v>3.681</v>
      </c>
      <c r="V5" s="153">
        <v>58.51</v>
      </c>
      <c r="W5" s="153">
        <v>215.376</v>
      </c>
      <c r="X5" s="27"/>
      <c r="Y5" s="168">
        <v>3.1241515168527502E-3</v>
      </c>
      <c r="Z5" s="168">
        <v>5.6701492640859504E-4</v>
      </c>
    </row>
    <row r="6" spans="1:27">
      <c r="A6" s="20" t="s">
        <v>26</v>
      </c>
      <c r="B6" s="20">
        <v>1182</v>
      </c>
      <c r="C6" s="20" t="s">
        <v>2666</v>
      </c>
      <c r="D6" s="2" t="s">
        <v>2667</v>
      </c>
      <c r="E6" s="20" t="s">
        <v>34</v>
      </c>
      <c r="F6" s="20" t="s">
        <v>2672</v>
      </c>
      <c r="G6" s="20">
        <v>62000563</v>
      </c>
      <c r="H6" s="20" t="s">
        <v>34</v>
      </c>
      <c r="I6" s="2" t="s">
        <v>1070</v>
      </c>
      <c r="J6" s="20" t="s">
        <v>878</v>
      </c>
      <c r="K6" s="18" t="s">
        <v>100</v>
      </c>
      <c r="L6" s="20" t="s">
        <v>268</v>
      </c>
      <c r="M6" s="20" t="s">
        <v>31</v>
      </c>
      <c r="N6" s="18" t="s">
        <v>31</v>
      </c>
      <c r="O6" s="20" t="s">
        <v>164</v>
      </c>
      <c r="P6" t="s">
        <v>2673</v>
      </c>
      <c r="Q6" s="18" t="s">
        <v>105</v>
      </c>
      <c r="R6" s="20" t="s">
        <v>937</v>
      </c>
      <c r="S6" s="20" t="s">
        <v>941</v>
      </c>
      <c r="T6" s="20" t="s">
        <v>1378</v>
      </c>
      <c r="U6" s="153">
        <v>3.681</v>
      </c>
      <c r="V6" s="153">
        <v>67.789000000000001</v>
      </c>
      <c r="W6" s="153">
        <v>249.53299999999999</v>
      </c>
      <c r="X6" s="20"/>
      <c r="Y6" s="168">
        <v>3.61960936949994E-3</v>
      </c>
      <c r="Z6" s="168">
        <v>6.5693758103717499E-4</v>
      </c>
    </row>
    <row r="7" spans="1:27">
      <c r="A7" s="20" t="s">
        <v>26</v>
      </c>
      <c r="B7" s="20">
        <v>1182</v>
      </c>
      <c r="C7" s="20" t="s">
        <v>2674</v>
      </c>
      <c r="D7" s="2" t="s">
        <v>2675</v>
      </c>
      <c r="E7" s="20" t="s">
        <v>34</v>
      </c>
      <c r="F7" s="20" t="s">
        <v>2676</v>
      </c>
      <c r="G7" s="20">
        <v>77419109</v>
      </c>
      <c r="H7" s="20" t="s">
        <v>34</v>
      </c>
      <c r="I7" s="2" t="s">
        <v>1072</v>
      </c>
      <c r="J7" s="20" t="s">
        <v>614</v>
      </c>
      <c r="K7" s="18" t="s">
        <v>31</v>
      </c>
      <c r="L7" s="20" t="s">
        <v>268</v>
      </c>
      <c r="M7" s="20" t="s">
        <v>31</v>
      </c>
      <c r="N7" s="18" t="s">
        <v>31</v>
      </c>
      <c r="O7" s="20" t="s">
        <v>164</v>
      </c>
      <c r="P7" t="s">
        <v>2677</v>
      </c>
      <c r="Q7" s="18" t="s">
        <v>105</v>
      </c>
      <c r="R7" s="20" t="s">
        <v>204</v>
      </c>
      <c r="S7" s="20" t="s">
        <v>941</v>
      </c>
      <c r="T7" s="20" t="s">
        <v>1378</v>
      </c>
      <c r="U7" s="153">
        <v>3.681</v>
      </c>
      <c r="V7" s="153">
        <v>401.58</v>
      </c>
      <c r="W7" s="153">
        <v>1478.2170000000001</v>
      </c>
      <c r="X7" s="20"/>
      <c r="Y7" s="168">
        <v>2.1442359587875898E-2</v>
      </c>
      <c r="Z7" s="168">
        <v>3.8916607847477602E-3</v>
      </c>
    </row>
    <row r="8" spans="1:27">
      <c r="A8" s="20" t="s">
        <v>26</v>
      </c>
      <c r="B8" s="20">
        <v>1182</v>
      </c>
      <c r="C8" s="20" t="s">
        <v>2678</v>
      </c>
      <c r="D8" s="2" t="s">
        <v>2679</v>
      </c>
      <c r="E8" s="20" t="s">
        <v>361</v>
      </c>
      <c r="F8" s="20" t="s">
        <v>2680</v>
      </c>
      <c r="G8" s="20">
        <v>60415775</v>
      </c>
      <c r="H8" s="20" t="s">
        <v>34</v>
      </c>
      <c r="I8" s="2" t="s">
        <v>1070</v>
      </c>
      <c r="J8" s="20" t="s">
        <v>883</v>
      </c>
      <c r="K8" s="18" t="s">
        <v>100</v>
      </c>
      <c r="L8" s="20" t="s">
        <v>268</v>
      </c>
      <c r="M8" s="20" t="s">
        <v>31</v>
      </c>
      <c r="N8" s="18" t="s">
        <v>31</v>
      </c>
      <c r="O8" s="20" t="s">
        <v>164</v>
      </c>
      <c r="P8" t="s">
        <v>2681</v>
      </c>
      <c r="Q8" s="18" t="s">
        <v>105</v>
      </c>
      <c r="R8" s="20" t="s">
        <v>937</v>
      </c>
      <c r="S8" s="20" t="s">
        <v>941</v>
      </c>
      <c r="T8" s="20" t="s">
        <v>1378</v>
      </c>
      <c r="U8" s="153">
        <v>3.681</v>
      </c>
      <c r="V8" s="153">
        <v>107.755</v>
      </c>
      <c r="W8" s="153">
        <v>396.64499999999998</v>
      </c>
      <c r="X8" s="20"/>
      <c r="Y8" s="168">
        <v>5.7535569491066699E-3</v>
      </c>
      <c r="Z8" s="168">
        <v>1.0442363798577399E-3</v>
      </c>
    </row>
    <row r="9" spans="1:27">
      <c r="A9" s="20" t="s">
        <v>26</v>
      </c>
      <c r="B9" s="20">
        <v>1182</v>
      </c>
      <c r="C9" s="20" t="s">
        <v>2682</v>
      </c>
      <c r="D9" s="2" t="s">
        <v>2683</v>
      </c>
      <c r="E9" s="20" t="s">
        <v>34</v>
      </c>
      <c r="F9" s="20" t="s">
        <v>2684</v>
      </c>
      <c r="G9" s="20">
        <v>62017538</v>
      </c>
      <c r="H9" s="20" t="s">
        <v>34</v>
      </c>
      <c r="I9" s="2" t="s">
        <v>1070</v>
      </c>
      <c r="J9" s="20" t="s">
        <v>883</v>
      </c>
      <c r="K9" s="18" t="s">
        <v>31</v>
      </c>
      <c r="L9" s="20" t="s">
        <v>31</v>
      </c>
      <c r="M9" s="20" t="s">
        <v>31</v>
      </c>
      <c r="N9" s="18" t="s">
        <v>31</v>
      </c>
      <c r="O9" s="20" t="s">
        <v>164</v>
      </c>
      <c r="P9" t="s">
        <v>2685</v>
      </c>
      <c r="Q9" s="18" t="s">
        <v>105</v>
      </c>
      <c r="R9" s="20" t="s">
        <v>204</v>
      </c>
      <c r="S9" s="20" t="s">
        <v>941</v>
      </c>
      <c r="T9" s="20" t="s">
        <v>1378</v>
      </c>
      <c r="U9" s="153">
        <v>3.681</v>
      </c>
      <c r="V9" s="153">
        <v>415.85899999999998</v>
      </c>
      <c r="W9" s="153">
        <v>1530.777</v>
      </c>
      <c r="X9" s="20"/>
      <c r="Y9" s="168">
        <v>2.22047731508772E-2</v>
      </c>
      <c r="Z9" s="168">
        <v>4.0300343136839001E-3</v>
      </c>
    </row>
    <row r="10" spans="1:27">
      <c r="A10" s="20" t="s">
        <v>26</v>
      </c>
      <c r="B10" s="20">
        <v>1182</v>
      </c>
      <c r="C10" s="20" t="s">
        <v>2686</v>
      </c>
      <c r="D10" s="2" t="s">
        <v>2687</v>
      </c>
      <c r="E10" s="20" t="s">
        <v>34</v>
      </c>
      <c r="F10" s="20" t="s">
        <v>2688</v>
      </c>
      <c r="G10" s="20">
        <v>62001189</v>
      </c>
      <c r="H10" s="20" t="s">
        <v>34</v>
      </c>
      <c r="I10" s="2" t="s">
        <v>1070</v>
      </c>
      <c r="J10" s="20" t="s">
        <v>898</v>
      </c>
      <c r="K10" s="18" t="s">
        <v>31</v>
      </c>
      <c r="L10" s="20" t="s">
        <v>268</v>
      </c>
      <c r="M10" s="20" t="s">
        <v>31</v>
      </c>
      <c r="N10" s="18" t="s">
        <v>31</v>
      </c>
      <c r="O10" s="20" t="s">
        <v>164</v>
      </c>
      <c r="P10" t="s">
        <v>2689</v>
      </c>
      <c r="Q10" s="18" t="s">
        <v>105</v>
      </c>
      <c r="R10" s="20" t="s">
        <v>937</v>
      </c>
      <c r="S10" s="20" t="s">
        <v>941</v>
      </c>
      <c r="T10" s="20" t="s">
        <v>1378</v>
      </c>
      <c r="U10" s="153">
        <v>3.681</v>
      </c>
      <c r="V10" s="153">
        <v>132.922</v>
      </c>
      <c r="W10" s="153">
        <v>489.286</v>
      </c>
      <c r="X10" s="20"/>
      <c r="Y10" s="168">
        <v>7.0973644522137301E-3</v>
      </c>
      <c r="Z10" s="168">
        <v>1.2881294523836E-3</v>
      </c>
    </row>
    <row r="11" spans="1:27">
      <c r="A11" s="20" t="s">
        <v>26</v>
      </c>
      <c r="B11" s="20">
        <v>1182</v>
      </c>
      <c r="C11" s="20" t="s">
        <v>2690</v>
      </c>
      <c r="D11" s="2" t="s">
        <v>2691</v>
      </c>
      <c r="E11" s="20" t="s">
        <v>34</v>
      </c>
      <c r="F11" s="20" t="s">
        <v>2690</v>
      </c>
      <c r="G11" s="20">
        <v>60401809</v>
      </c>
      <c r="H11" s="20" t="s">
        <v>34</v>
      </c>
      <c r="I11" s="2" t="s">
        <v>1070</v>
      </c>
      <c r="J11" s="20" t="s">
        <v>896</v>
      </c>
      <c r="K11" s="18" t="s">
        <v>100</v>
      </c>
      <c r="L11" s="20" t="s">
        <v>268</v>
      </c>
      <c r="M11" s="20" t="s">
        <v>31</v>
      </c>
      <c r="N11" s="18" t="s">
        <v>101</v>
      </c>
      <c r="O11" s="20" t="s">
        <v>164</v>
      </c>
      <c r="P11" t="s">
        <v>2692</v>
      </c>
      <c r="Q11" s="18" t="s">
        <v>105</v>
      </c>
      <c r="R11" s="20" t="s">
        <v>937</v>
      </c>
      <c r="S11" s="20" t="s">
        <v>941</v>
      </c>
      <c r="T11" s="20" t="s">
        <v>1378</v>
      </c>
      <c r="U11" s="153">
        <v>3.681</v>
      </c>
      <c r="V11" s="153">
        <v>198.63800000000001</v>
      </c>
      <c r="W11" s="153">
        <v>731.18600000000004</v>
      </c>
      <c r="X11" s="20"/>
      <c r="Y11" s="168">
        <v>1.06062586828974E-2</v>
      </c>
      <c r="Z11" s="168">
        <v>1.92497289395617E-3</v>
      </c>
    </row>
    <row r="12" spans="1:27">
      <c r="A12" s="20" t="s">
        <v>26</v>
      </c>
      <c r="B12" s="20">
        <v>1182</v>
      </c>
      <c r="C12" s="20" t="s">
        <v>2693</v>
      </c>
      <c r="D12" s="2" t="s">
        <v>2694</v>
      </c>
      <c r="E12" s="20" t="s">
        <v>361</v>
      </c>
      <c r="F12" s="20" t="s">
        <v>2695</v>
      </c>
      <c r="G12" s="20">
        <v>50000983</v>
      </c>
      <c r="H12" s="20" t="s">
        <v>34</v>
      </c>
      <c r="I12" s="2" t="s">
        <v>1070</v>
      </c>
      <c r="J12" s="20" t="s">
        <v>890</v>
      </c>
      <c r="K12" s="18" t="s">
        <v>100</v>
      </c>
      <c r="L12" s="20" t="s">
        <v>268</v>
      </c>
      <c r="M12" s="20" t="s">
        <v>31</v>
      </c>
      <c r="N12" s="18" t="s">
        <v>346</v>
      </c>
      <c r="O12" s="20" t="s">
        <v>164</v>
      </c>
      <c r="P12" t="s">
        <v>2696</v>
      </c>
      <c r="Q12" s="18" t="s">
        <v>35</v>
      </c>
      <c r="R12" s="20" t="s">
        <v>937</v>
      </c>
      <c r="S12" s="20" t="s">
        <v>941</v>
      </c>
      <c r="T12" s="20" t="s">
        <v>1378</v>
      </c>
      <c r="U12" s="153">
        <v>1</v>
      </c>
      <c r="V12" s="153">
        <v>768.20399999999995</v>
      </c>
      <c r="W12" s="153">
        <v>768.20399999999995</v>
      </c>
      <c r="X12" s="20"/>
      <c r="Y12" s="168">
        <v>1.11432312744399E-2</v>
      </c>
      <c r="Z12" s="168">
        <v>2.0224302268782401E-3</v>
      </c>
    </row>
    <row r="13" spans="1:27">
      <c r="A13" s="20" t="s">
        <v>26</v>
      </c>
      <c r="B13" s="20">
        <v>1182</v>
      </c>
      <c r="C13" s="20" t="s">
        <v>2693</v>
      </c>
      <c r="D13" s="2" t="s">
        <v>2694</v>
      </c>
      <c r="E13" s="20" t="s">
        <v>361</v>
      </c>
      <c r="F13" s="20" t="s">
        <v>2697</v>
      </c>
      <c r="G13" s="20">
        <v>50007897</v>
      </c>
      <c r="H13" s="20" t="s">
        <v>34</v>
      </c>
      <c r="I13" s="2" t="s">
        <v>1070</v>
      </c>
      <c r="J13" s="20" t="s">
        <v>890</v>
      </c>
      <c r="K13" s="18" t="s">
        <v>100</v>
      </c>
      <c r="L13" s="20" t="s">
        <v>268</v>
      </c>
      <c r="M13" s="20" t="s">
        <v>31</v>
      </c>
      <c r="N13" s="18" t="s">
        <v>346</v>
      </c>
      <c r="O13" s="20" t="s">
        <v>164</v>
      </c>
      <c r="P13" t="s">
        <v>2698</v>
      </c>
      <c r="Q13" s="18" t="s">
        <v>35</v>
      </c>
      <c r="R13" s="20" t="s">
        <v>204</v>
      </c>
      <c r="S13" s="20" t="s">
        <v>941</v>
      </c>
      <c r="T13" s="20" t="s">
        <v>1378</v>
      </c>
      <c r="U13" s="153">
        <v>1</v>
      </c>
      <c r="V13" s="153">
        <v>391.66500000000002</v>
      </c>
      <c r="W13" s="153">
        <v>391.66500000000002</v>
      </c>
      <c r="X13" s="20"/>
      <c r="Y13" s="168">
        <v>5.6813168047051398E-3</v>
      </c>
      <c r="Z13" s="168">
        <v>1.0311252231354701E-3</v>
      </c>
    </row>
    <row r="14" spans="1:27">
      <c r="A14" s="20" t="s">
        <v>26</v>
      </c>
      <c r="B14" s="20">
        <v>1182</v>
      </c>
      <c r="C14" s="20" t="s">
        <v>2666</v>
      </c>
      <c r="D14" s="2" t="s">
        <v>2667</v>
      </c>
      <c r="E14" s="20" t="s">
        <v>34</v>
      </c>
      <c r="F14" s="20" t="s">
        <v>2699</v>
      </c>
      <c r="G14" s="20">
        <v>62013347</v>
      </c>
      <c r="H14" s="20" t="s">
        <v>34</v>
      </c>
      <c r="I14" s="2" t="s">
        <v>1070</v>
      </c>
      <c r="J14" s="20" t="s">
        <v>878</v>
      </c>
      <c r="K14" s="18" t="s">
        <v>100</v>
      </c>
      <c r="L14" s="20" t="s">
        <v>268</v>
      </c>
      <c r="M14" s="20" t="s">
        <v>31</v>
      </c>
      <c r="N14" s="18" t="s">
        <v>31</v>
      </c>
      <c r="O14" s="20" t="s">
        <v>164</v>
      </c>
      <c r="P14" t="s">
        <v>2700</v>
      </c>
      <c r="Q14" s="18" t="s">
        <v>105</v>
      </c>
      <c r="R14" s="20" t="s">
        <v>937</v>
      </c>
      <c r="S14" s="20" t="s">
        <v>941</v>
      </c>
      <c r="T14" s="20" t="s">
        <v>1378</v>
      </c>
      <c r="U14" s="153">
        <v>3.681</v>
      </c>
      <c r="V14" s="153">
        <v>127.86199999999999</v>
      </c>
      <c r="W14" s="153">
        <v>470.661</v>
      </c>
      <c r="X14" s="20"/>
      <c r="Y14" s="168">
        <v>6.8271954207924004E-3</v>
      </c>
      <c r="Z14" s="168">
        <v>1.2390953794063899E-3</v>
      </c>
    </row>
    <row r="15" spans="1:27">
      <c r="A15" s="20" t="s">
        <v>26</v>
      </c>
      <c r="B15" s="20">
        <v>1182</v>
      </c>
      <c r="C15" s="20" t="s">
        <v>2701</v>
      </c>
      <c r="D15" s="2" t="s">
        <v>2702</v>
      </c>
      <c r="E15" s="20" t="s">
        <v>359</v>
      </c>
      <c r="F15" s="20" t="s">
        <v>2703</v>
      </c>
      <c r="G15" s="20">
        <v>60364742</v>
      </c>
      <c r="H15" s="20" t="s">
        <v>34</v>
      </c>
      <c r="I15" s="2" t="s">
        <v>1070</v>
      </c>
      <c r="J15" s="20" t="s">
        <v>896</v>
      </c>
      <c r="K15" s="18" t="s">
        <v>31</v>
      </c>
      <c r="L15" s="20" t="s">
        <v>268</v>
      </c>
      <c r="M15" s="20" t="s">
        <v>31</v>
      </c>
      <c r="N15" s="18" t="s">
        <v>31</v>
      </c>
      <c r="O15" s="20" t="s">
        <v>164</v>
      </c>
      <c r="P15" t="s">
        <v>2704</v>
      </c>
      <c r="Q15" s="18" t="s">
        <v>105</v>
      </c>
      <c r="R15" s="20" t="s">
        <v>937</v>
      </c>
      <c r="S15" s="20" t="s">
        <v>941</v>
      </c>
      <c r="T15" s="20" t="s">
        <v>1378</v>
      </c>
      <c r="U15" s="153">
        <v>3.681</v>
      </c>
      <c r="V15" s="153">
        <v>88.814999999999998</v>
      </c>
      <c r="W15" s="153">
        <v>326.92700000000002</v>
      </c>
      <c r="X15" s="20"/>
      <c r="Y15" s="168">
        <v>4.74225123370145E-3</v>
      </c>
      <c r="Z15" s="168">
        <v>8.6069040498941603E-4</v>
      </c>
    </row>
    <row r="16" spans="1:27">
      <c r="A16" s="20" t="s">
        <v>26</v>
      </c>
      <c r="B16" s="20">
        <v>1182</v>
      </c>
      <c r="C16" s="20" t="s">
        <v>2701</v>
      </c>
      <c r="D16" s="2" t="s">
        <v>2702</v>
      </c>
      <c r="E16" s="20" t="s">
        <v>359</v>
      </c>
      <c r="F16" s="20" t="s">
        <v>2705</v>
      </c>
      <c r="G16" s="20">
        <v>62002785</v>
      </c>
      <c r="H16" s="20" t="s">
        <v>34</v>
      </c>
      <c r="I16" s="2" t="s">
        <v>1070</v>
      </c>
      <c r="J16" s="20" t="s">
        <v>896</v>
      </c>
      <c r="K16" s="18" t="s">
        <v>31</v>
      </c>
      <c r="L16" s="20" t="s">
        <v>268</v>
      </c>
      <c r="M16" s="20" t="s">
        <v>31</v>
      </c>
      <c r="N16" s="18" t="s">
        <v>31</v>
      </c>
      <c r="O16" s="20" t="s">
        <v>164</v>
      </c>
      <c r="P16" t="s">
        <v>2706</v>
      </c>
      <c r="Q16" s="18" t="s">
        <v>105</v>
      </c>
      <c r="R16" s="20" t="s">
        <v>937</v>
      </c>
      <c r="S16" s="20" t="s">
        <v>941</v>
      </c>
      <c r="T16" s="20" t="s">
        <v>1378</v>
      </c>
      <c r="U16" s="153">
        <v>3.681</v>
      </c>
      <c r="V16" s="153">
        <v>102.336</v>
      </c>
      <c r="W16" s="153">
        <v>376.69900000000001</v>
      </c>
      <c r="X16" s="20"/>
      <c r="Y16" s="168">
        <v>5.4642273555331501E-3</v>
      </c>
      <c r="Z16" s="168">
        <v>9.9172477876446311E-4</v>
      </c>
    </row>
    <row r="17" spans="1:26">
      <c r="A17" s="20" t="s">
        <v>26</v>
      </c>
      <c r="B17" s="20">
        <v>1182</v>
      </c>
      <c r="C17" s="20" t="s">
        <v>2701</v>
      </c>
      <c r="D17" s="2" t="s">
        <v>2702</v>
      </c>
      <c r="E17" s="20" t="s">
        <v>359</v>
      </c>
      <c r="F17" s="20" t="s">
        <v>2707</v>
      </c>
      <c r="G17" s="20">
        <v>62017827</v>
      </c>
      <c r="H17" s="20" t="s">
        <v>34</v>
      </c>
      <c r="I17" s="2" t="s">
        <v>1070</v>
      </c>
      <c r="J17" s="20" t="s">
        <v>896</v>
      </c>
      <c r="K17" s="18" t="s">
        <v>31</v>
      </c>
      <c r="L17" s="20" t="s">
        <v>268</v>
      </c>
      <c r="M17" s="20" t="s">
        <v>31</v>
      </c>
      <c r="N17" s="18" t="s">
        <v>31</v>
      </c>
      <c r="O17" s="20" t="s">
        <v>164</v>
      </c>
      <c r="P17" t="s">
        <v>2708</v>
      </c>
      <c r="Q17" s="18" t="s">
        <v>105</v>
      </c>
      <c r="R17" s="20" t="s">
        <v>937</v>
      </c>
      <c r="S17" s="20" t="s">
        <v>941</v>
      </c>
      <c r="T17" s="20" t="s">
        <v>1378</v>
      </c>
      <c r="U17" s="153">
        <v>3.681</v>
      </c>
      <c r="V17" s="153">
        <v>41.01</v>
      </c>
      <c r="W17" s="153">
        <v>150.959</v>
      </c>
      <c r="X17" s="20"/>
      <c r="Y17" s="168">
        <v>2.1897464381033099E-3</v>
      </c>
      <c r="Z17" s="168">
        <v>3.9742595989884202E-4</v>
      </c>
    </row>
    <row r="18" spans="1:26">
      <c r="A18" s="20" t="s">
        <v>26</v>
      </c>
      <c r="B18" s="20">
        <v>1182</v>
      </c>
      <c r="C18" s="20" t="s">
        <v>2701</v>
      </c>
      <c r="D18" s="2" t="s">
        <v>2702</v>
      </c>
      <c r="E18" s="20" t="s">
        <v>359</v>
      </c>
      <c r="F18" s="20" t="s">
        <v>2709</v>
      </c>
      <c r="G18" s="20">
        <v>62018247</v>
      </c>
      <c r="H18" s="20" t="s">
        <v>34</v>
      </c>
      <c r="I18" s="2" t="s">
        <v>1070</v>
      </c>
      <c r="J18" s="20" t="s">
        <v>896</v>
      </c>
      <c r="K18" s="18" t="s">
        <v>31</v>
      </c>
      <c r="L18" s="20" t="s">
        <v>268</v>
      </c>
      <c r="M18" s="20" t="s">
        <v>31</v>
      </c>
      <c r="N18" s="18" t="s">
        <v>31</v>
      </c>
      <c r="O18" s="20" t="s">
        <v>164</v>
      </c>
      <c r="P18" t="s">
        <v>2710</v>
      </c>
      <c r="Q18" s="18" t="s">
        <v>105</v>
      </c>
      <c r="R18" s="20" t="s">
        <v>937</v>
      </c>
      <c r="S18" s="20" t="s">
        <v>941</v>
      </c>
      <c r="T18" s="20" t="s">
        <v>1378</v>
      </c>
      <c r="U18" s="153">
        <v>3.681</v>
      </c>
      <c r="V18" s="153">
        <v>167.73599999999999</v>
      </c>
      <c r="W18" s="153">
        <v>617.43499999999995</v>
      </c>
      <c r="X18" s="20"/>
      <c r="Y18" s="168">
        <v>8.9562448571056993E-3</v>
      </c>
      <c r="Z18" s="168">
        <v>1.6255051943399399E-3</v>
      </c>
    </row>
    <row r="19" spans="1:26">
      <c r="A19" s="20" t="s">
        <v>26</v>
      </c>
      <c r="B19" s="20">
        <v>1182</v>
      </c>
      <c r="C19" s="20" t="s">
        <v>2711</v>
      </c>
      <c r="D19" s="2" t="s">
        <v>2712</v>
      </c>
      <c r="E19" s="20" t="s">
        <v>34</v>
      </c>
      <c r="F19" s="20" t="s">
        <v>2713</v>
      </c>
      <c r="G19" s="20">
        <v>62013487</v>
      </c>
      <c r="H19" s="20" t="s">
        <v>34</v>
      </c>
      <c r="I19" s="2" t="s">
        <v>1070</v>
      </c>
      <c r="J19" s="20" t="s">
        <v>878</v>
      </c>
      <c r="K19" s="18" t="s">
        <v>31</v>
      </c>
      <c r="L19" s="20" t="s">
        <v>31</v>
      </c>
      <c r="M19" s="20" t="s">
        <v>31</v>
      </c>
      <c r="N19" s="18" t="s">
        <v>31</v>
      </c>
      <c r="O19" s="20" t="s">
        <v>164</v>
      </c>
      <c r="P19" t="s">
        <v>2714</v>
      </c>
      <c r="Q19" s="18" t="s">
        <v>105</v>
      </c>
      <c r="R19" s="20" t="s">
        <v>937</v>
      </c>
      <c r="S19" s="20" t="s">
        <v>941</v>
      </c>
      <c r="T19" s="20" t="s">
        <v>2715</v>
      </c>
      <c r="U19" s="153">
        <v>3.681</v>
      </c>
      <c r="V19" s="153">
        <v>59.963000000000001</v>
      </c>
      <c r="W19" s="153">
        <v>220.72499999999999</v>
      </c>
      <c r="X19" s="20"/>
      <c r="Y19" s="168">
        <v>3.2017321383723701E-3</v>
      </c>
      <c r="Z19" s="168">
        <v>5.8109534797726203E-4</v>
      </c>
    </row>
    <row r="20" spans="1:26">
      <c r="A20" s="2" t="s">
        <v>26</v>
      </c>
      <c r="B20" s="2">
        <v>1182</v>
      </c>
      <c r="C20" s="2" t="s">
        <v>2716</v>
      </c>
      <c r="D20" s="2" t="s">
        <v>2717</v>
      </c>
      <c r="E20" s="20" t="s">
        <v>34</v>
      </c>
      <c r="F20" s="2" t="s">
        <v>2718</v>
      </c>
      <c r="G20" s="2">
        <v>62017694</v>
      </c>
      <c r="H20" s="20" t="s">
        <v>34</v>
      </c>
      <c r="I20" s="2" t="s">
        <v>1070</v>
      </c>
      <c r="J20" s="20" t="s">
        <v>614</v>
      </c>
      <c r="K20" s="18" t="s">
        <v>31</v>
      </c>
      <c r="L20" s="20" t="s">
        <v>31</v>
      </c>
      <c r="M20" s="20" t="s">
        <v>31</v>
      </c>
      <c r="N20" s="18" t="s">
        <v>31</v>
      </c>
      <c r="O20" s="20" t="s">
        <v>164</v>
      </c>
      <c r="P20" t="s">
        <v>2719</v>
      </c>
      <c r="Q20" s="2" t="s">
        <v>105</v>
      </c>
      <c r="R20" s="20" t="s">
        <v>937</v>
      </c>
      <c r="S20" s="20" t="s">
        <v>941</v>
      </c>
      <c r="T20" s="2" t="s">
        <v>1378</v>
      </c>
      <c r="U20" s="150">
        <v>3.681</v>
      </c>
      <c r="V20" s="150">
        <v>194.81800000000001</v>
      </c>
      <c r="W20" s="150">
        <v>717.12599999999998</v>
      </c>
      <c r="Y20" s="164">
        <v>1.0402308283745E-2</v>
      </c>
      <c r="Z20" s="164">
        <v>1.88795710904862E-3</v>
      </c>
    </row>
    <row r="21" spans="1:26">
      <c r="A21" s="2" t="s">
        <v>26</v>
      </c>
      <c r="B21" s="2">
        <v>1182</v>
      </c>
      <c r="C21" s="2" t="s">
        <v>2720</v>
      </c>
      <c r="D21" s="2" t="s">
        <v>2721</v>
      </c>
      <c r="E21" s="2" t="s">
        <v>34</v>
      </c>
      <c r="F21" s="2" t="s">
        <v>2720</v>
      </c>
      <c r="G21" s="2">
        <v>62020375</v>
      </c>
      <c r="H21" s="2" t="s">
        <v>34</v>
      </c>
      <c r="I21" s="2" t="s">
        <v>1070</v>
      </c>
      <c r="J21" s="2" t="s">
        <v>894</v>
      </c>
      <c r="K21" s="2" t="s">
        <v>31</v>
      </c>
      <c r="L21" s="2" t="s">
        <v>31</v>
      </c>
      <c r="M21" s="2" t="s">
        <v>31</v>
      </c>
      <c r="N21" s="2" t="s">
        <v>31</v>
      </c>
      <c r="O21" s="2" t="s">
        <v>164</v>
      </c>
      <c r="P21" t="s">
        <v>2722</v>
      </c>
      <c r="Q21" s="2" t="s">
        <v>105</v>
      </c>
      <c r="R21" s="2" t="s">
        <v>204</v>
      </c>
      <c r="S21" s="2" t="s">
        <v>941</v>
      </c>
      <c r="T21" s="2" t="s">
        <v>1378</v>
      </c>
      <c r="U21" s="150">
        <v>3.681</v>
      </c>
      <c r="V21" s="150">
        <v>131.21299999999999</v>
      </c>
      <c r="W21" s="150">
        <v>482.99299999999999</v>
      </c>
      <c r="Y21" s="164">
        <v>7.0060868603640299E-3</v>
      </c>
      <c r="Z21" s="164">
        <v>1.2715631121321101E-3</v>
      </c>
    </row>
    <row r="22" spans="1:26">
      <c r="A22" s="2" t="s">
        <v>26</v>
      </c>
      <c r="B22" s="2">
        <v>1182</v>
      </c>
      <c r="C22" s="2" t="s">
        <v>2723</v>
      </c>
      <c r="D22" s="2" t="s">
        <v>2724</v>
      </c>
      <c r="E22" s="2" t="s">
        <v>362</v>
      </c>
      <c r="F22" s="2" t="s">
        <v>2725</v>
      </c>
      <c r="G22" s="2">
        <v>62013024</v>
      </c>
      <c r="H22" s="2" t="s">
        <v>34</v>
      </c>
      <c r="I22" s="2" t="s">
        <v>1070</v>
      </c>
      <c r="J22" s="2" t="s">
        <v>614</v>
      </c>
      <c r="K22" s="2" t="s">
        <v>31</v>
      </c>
      <c r="L22" s="2" t="s">
        <v>268</v>
      </c>
      <c r="M22" s="2" t="s">
        <v>31</v>
      </c>
      <c r="N22" s="2" t="s">
        <v>31</v>
      </c>
      <c r="O22" s="2" t="s">
        <v>164</v>
      </c>
      <c r="P22" t="s">
        <v>2726</v>
      </c>
      <c r="Q22" s="2" t="s">
        <v>105</v>
      </c>
      <c r="R22" s="2" t="s">
        <v>204</v>
      </c>
      <c r="S22" s="2" t="s">
        <v>941</v>
      </c>
      <c r="T22" s="2" t="s">
        <v>1378</v>
      </c>
      <c r="U22" s="150">
        <v>3.681</v>
      </c>
      <c r="V22" s="150">
        <v>121.229</v>
      </c>
      <c r="W22" s="150">
        <v>446.24599999999998</v>
      </c>
      <c r="Y22" s="164">
        <v>6.47304110186794E-3</v>
      </c>
      <c r="Z22" s="164">
        <v>1.1748184760619099E-3</v>
      </c>
    </row>
    <row r="23" spans="1:26">
      <c r="A23" s="2" t="s">
        <v>26</v>
      </c>
      <c r="B23" s="2">
        <v>1182</v>
      </c>
      <c r="C23" s="2" t="s">
        <v>2727</v>
      </c>
      <c r="D23" s="2" t="s">
        <v>2728</v>
      </c>
      <c r="E23" s="2" t="s">
        <v>204</v>
      </c>
      <c r="F23" s="2" t="s">
        <v>2729</v>
      </c>
      <c r="G23" s="2">
        <v>60406600</v>
      </c>
      <c r="H23" s="2" t="s">
        <v>34</v>
      </c>
      <c r="I23" s="2" t="s">
        <v>1070</v>
      </c>
      <c r="J23" s="2" t="s">
        <v>877</v>
      </c>
      <c r="K23" s="2" t="s">
        <v>100</v>
      </c>
      <c r="L23" s="2" t="s">
        <v>268</v>
      </c>
      <c r="M23" s="2" t="s">
        <v>31</v>
      </c>
      <c r="N23" s="2" t="s">
        <v>31</v>
      </c>
      <c r="O23" s="2" t="s">
        <v>164</v>
      </c>
      <c r="P23" t="s">
        <v>2730</v>
      </c>
      <c r="Q23" s="2" t="s">
        <v>105</v>
      </c>
      <c r="R23" s="2" t="s">
        <v>937</v>
      </c>
      <c r="S23" s="2" t="s">
        <v>941</v>
      </c>
      <c r="T23" s="2" t="s">
        <v>1378</v>
      </c>
      <c r="U23" s="150">
        <v>3.681</v>
      </c>
      <c r="V23" s="150">
        <v>228.34399999999999</v>
      </c>
      <c r="W23" s="150">
        <v>840.53499999999997</v>
      </c>
      <c r="Y23" s="164">
        <v>1.2192421432104099E-2</v>
      </c>
      <c r="Z23" s="164">
        <v>2.2128520027836201E-3</v>
      </c>
    </row>
    <row r="24" spans="1:26">
      <c r="A24" s="2" t="s">
        <v>26</v>
      </c>
      <c r="B24" s="2">
        <v>1182</v>
      </c>
      <c r="C24" s="2" t="s">
        <v>2731</v>
      </c>
      <c r="D24" s="2" t="s">
        <v>2732</v>
      </c>
      <c r="E24" s="2" t="s">
        <v>204</v>
      </c>
      <c r="F24" s="2" t="s">
        <v>2733</v>
      </c>
      <c r="G24" s="2">
        <v>62009048</v>
      </c>
      <c r="H24" s="2" t="s">
        <v>34</v>
      </c>
      <c r="I24" s="2" t="s">
        <v>1070</v>
      </c>
      <c r="J24" s="2" t="s">
        <v>877</v>
      </c>
      <c r="K24" s="2" t="s">
        <v>100</v>
      </c>
      <c r="L24" s="2" t="s">
        <v>268</v>
      </c>
      <c r="M24" s="2" t="s">
        <v>31</v>
      </c>
      <c r="N24" s="2" t="s">
        <v>101</v>
      </c>
      <c r="O24" s="2" t="s">
        <v>164</v>
      </c>
      <c r="P24" t="s">
        <v>2734</v>
      </c>
      <c r="Q24" s="2" t="s">
        <v>105</v>
      </c>
      <c r="R24" s="2" t="s">
        <v>937</v>
      </c>
      <c r="S24" s="2" t="s">
        <v>941</v>
      </c>
      <c r="T24" s="2" t="s">
        <v>1378</v>
      </c>
      <c r="U24" s="150">
        <v>3.681</v>
      </c>
      <c r="V24" s="150">
        <v>292.02600000000001</v>
      </c>
      <c r="W24" s="150">
        <v>1074.9469999999999</v>
      </c>
      <c r="Y24" s="164">
        <v>1.55927044642427E-2</v>
      </c>
      <c r="Z24" s="164">
        <v>2.8299831575423098E-3</v>
      </c>
    </row>
    <row r="25" spans="1:26">
      <c r="A25" s="2" t="s">
        <v>26</v>
      </c>
      <c r="B25" s="2">
        <v>1182</v>
      </c>
      <c r="C25" s="2" t="s">
        <v>2735</v>
      </c>
      <c r="D25" s="2" t="s">
        <v>2736</v>
      </c>
      <c r="E25" s="2" t="s">
        <v>204</v>
      </c>
      <c r="F25" s="2" t="s">
        <v>2737</v>
      </c>
      <c r="G25" s="2">
        <v>62015334</v>
      </c>
      <c r="H25" s="2" t="s">
        <v>34</v>
      </c>
      <c r="I25" s="2" t="s">
        <v>1070</v>
      </c>
      <c r="J25" s="2" t="s">
        <v>877</v>
      </c>
      <c r="K25" s="2" t="s">
        <v>100</v>
      </c>
      <c r="L25" s="2" t="s">
        <v>268</v>
      </c>
      <c r="M25" s="2" t="s">
        <v>31</v>
      </c>
      <c r="N25" s="2" t="s">
        <v>31</v>
      </c>
      <c r="O25" s="2" t="s">
        <v>164</v>
      </c>
      <c r="P25" t="s">
        <v>2738</v>
      </c>
      <c r="Q25" s="2" t="s">
        <v>105</v>
      </c>
      <c r="R25" s="11" t="s">
        <v>937</v>
      </c>
      <c r="S25" s="2" t="s">
        <v>941</v>
      </c>
      <c r="T25" s="2" t="s">
        <v>1378</v>
      </c>
      <c r="U25" s="150">
        <v>3.681</v>
      </c>
      <c r="V25" s="150">
        <v>261.00200000000001</v>
      </c>
      <c r="W25" s="150">
        <v>960.74900000000002</v>
      </c>
      <c r="Y25" s="164">
        <v>1.39361992006526E-2</v>
      </c>
      <c r="Z25" s="164">
        <v>2.5293373005589701E-3</v>
      </c>
    </row>
    <row r="26" spans="1:26">
      <c r="A26" s="2" t="s">
        <v>26</v>
      </c>
      <c r="B26" s="2">
        <v>1182</v>
      </c>
      <c r="C26" s="2" t="s">
        <v>2739</v>
      </c>
      <c r="D26" s="2" t="s">
        <v>2740</v>
      </c>
      <c r="E26" s="2" t="s">
        <v>204</v>
      </c>
      <c r="F26" s="2" t="s">
        <v>2741</v>
      </c>
      <c r="G26" s="2">
        <v>62017835</v>
      </c>
      <c r="H26" s="2" t="s">
        <v>34</v>
      </c>
      <c r="I26" s="2" t="s">
        <v>1070</v>
      </c>
      <c r="J26" s="2" t="s">
        <v>877</v>
      </c>
      <c r="K26" s="2" t="s">
        <v>31</v>
      </c>
      <c r="L26" s="2" t="s">
        <v>101</v>
      </c>
      <c r="M26" s="2" t="s">
        <v>31</v>
      </c>
      <c r="N26" s="2" t="s">
        <v>31</v>
      </c>
      <c r="O26" s="2" t="s">
        <v>164</v>
      </c>
      <c r="P26" t="s">
        <v>2708</v>
      </c>
      <c r="Q26" s="2" t="s">
        <v>105</v>
      </c>
      <c r="R26" s="11" t="s">
        <v>204</v>
      </c>
      <c r="S26" s="2" t="s">
        <v>941</v>
      </c>
      <c r="T26" s="2" t="s">
        <v>1378</v>
      </c>
      <c r="U26" s="150">
        <v>3.681</v>
      </c>
      <c r="V26" s="150">
        <v>144.71100000000001</v>
      </c>
      <c r="W26" s="150">
        <v>532.67999999999995</v>
      </c>
      <c r="Y26" s="164">
        <v>7.7268227416223897E-3</v>
      </c>
      <c r="Z26" s="164">
        <v>1.40237238961665E-3</v>
      </c>
    </row>
    <row r="27" spans="1:26">
      <c r="A27" s="2" t="s">
        <v>26</v>
      </c>
      <c r="B27" s="2">
        <v>1182</v>
      </c>
      <c r="C27" s="2" t="s">
        <v>2742</v>
      </c>
      <c r="D27" s="2" t="s">
        <v>2743</v>
      </c>
      <c r="E27" s="2" t="s">
        <v>204</v>
      </c>
      <c r="F27" s="2" t="s">
        <v>2744</v>
      </c>
      <c r="G27" s="2">
        <v>62020011</v>
      </c>
      <c r="H27" s="2" t="s">
        <v>34</v>
      </c>
      <c r="I27" s="2" t="s">
        <v>1070</v>
      </c>
      <c r="J27" s="2" t="s">
        <v>877</v>
      </c>
      <c r="K27" s="2" t="s">
        <v>100</v>
      </c>
      <c r="L27" s="2" t="s">
        <v>101</v>
      </c>
      <c r="M27" s="2" t="s">
        <v>31</v>
      </c>
      <c r="N27" s="2" t="s">
        <v>31</v>
      </c>
      <c r="O27" s="2" t="s">
        <v>164</v>
      </c>
      <c r="P27" t="s">
        <v>2745</v>
      </c>
      <c r="Q27" s="2" t="s">
        <v>105</v>
      </c>
      <c r="R27" s="2" t="s">
        <v>937</v>
      </c>
      <c r="S27" s="2" t="s">
        <v>941</v>
      </c>
      <c r="T27" s="2" t="s">
        <v>1378</v>
      </c>
      <c r="U27" s="150">
        <v>3.681</v>
      </c>
      <c r="V27" s="150">
        <v>64.088999999999999</v>
      </c>
      <c r="W27" s="150">
        <v>235.91</v>
      </c>
      <c r="Y27" s="164">
        <v>3.4220109805794901E-3</v>
      </c>
      <c r="Z27" s="164">
        <v>6.2107464822236196E-4</v>
      </c>
    </row>
    <row r="28" spans="1:26">
      <c r="A28" s="2" t="s">
        <v>26</v>
      </c>
      <c r="B28" s="2">
        <v>1182</v>
      </c>
      <c r="C28" s="2" t="s">
        <v>2746</v>
      </c>
      <c r="D28" s="2" t="s">
        <v>2747</v>
      </c>
      <c r="E28" s="2" t="s">
        <v>204</v>
      </c>
      <c r="F28" s="2" t="s">
        <v>2748</v>
      </c>
      <c r="G28" s="2">
        <v>62020748</v>
      </c>
      <c r="H28" s="2" t="s">
        <v>34</v>
      </c>
      <c r="I28" s="2" t="s">
        <v>1070</v>
      </c>
      <c r="J28" s="2" t="s">
        <v>877</v>
      </c>
      <c r="K28" s="2" t="s">
        <v>100</v>
      </c>
      <c r="L28" s="2" t="s">
        <v>101</v>
      </c>
      <c r="M28" s="2" t="s">
        <v>31</v>
      </c>
      <c r="N28" s="2" t="s">
        <v>101</v>
      </c>
      <c r="O28" s="2" t="s">
        <v>164</v>
      </c>
      <c r="P28" t="s">
        <v>2749</v>
      </c>
      <c r="Q28" s="2" t="s">
        <v>105</v>
      </c>
      <c r="R28" s="2" t="s">
        <v>204</v>
      </c>
      <c r="S28" s="2" t="s">
        <v>941</v>
      </c>
      <c r="T28" s="2" t="s">
        <v>1378</v>
      </c>
      <c r="U28" s="150">
        <v>3.681</v>
      </c>
      <c r="V28" s="150">
        <v>27.472000000000001</v>
      </c>
      <c r="W28" s="150">
        <v>101.125</v>
      </c>
      <c r="Y28" s="164">
        <v>1.46687597769651E-3</v>
      </c>
      <c r="Z28" s="164">
        <v>2.6622926898949202E-4</v>
      </c>
    </row>
    <row r="29" spans="1:26">
      <c r="A29" s="2" t="s">
        <v>26</v>
      </c>
      <c r="B29" s="2">
        <v>1182</v>
      </c>
      <c r="C29" s="2" t="s">
        <v>2750</v>
      </c>
      <c r="E29" s="2" t="s">
        <v>204</v>
      </c>
      <c r="F29" s="2" t="s">
        <v>2751</v>
      </c>
      <c r="G29" s="2">
        <v>62015151</v>
      </c>
      <c r="H29" s="2" t="s">
        <v>34</v>
      </c>
      <c r="I29" s="2" t="s">
        <v>1070</v>
      </c>
      <c r="J29" s="2" t="s">
        <v>896</v>
      </c>
      <c r="K29" s="2" t="s">
        <v>100</v>
      </c>
      <c r="L29" s="2" t="s">
        <v>101</v>
      </c>
      <c r="M29" s="2" t="s">
        <v>31</v>
      </c>
      <c r="N29" s="2" t="s">
        <v>31</v>
      </c>
      <c r="O29" s="2" t="s">
        <v>164</v>
      </c>
      <c r="P29" t="s">
        <v>2752</v>
      </c>
      <c r="Q29" s="2" t="s">
        <v>105</v>
      </c>
      <c r="R29" s="2" t="s">
        <v>937</v>
      </c>
      <c r="S29" s="2" t="s">
        <v>941</v>
      </c>
      <c r="T29" s="2" t="s">
        <v>1378</v>
      </c>
      <c r="U29" s="150">
        <v>3.681</v>
      </c>
      <c r="V29" s="150">
        <v>205.874</v>
      </c>
      <c r="W29" s="150">
        <v>757.82399999999996</v>
      </c>
      <c r="Y29" s="164">
        <v>1.0992654322234299E-2</v>
      </c>
      <c r="Z29" s="164">
        <v>1.9951014052723799E-3</v>
      </c>
    </row>
    <row r="30" spans="1:26">
      <c r="A30" s="2" t="s">
        <v>26</v>
      </c>
      <c r="B30" s="2">
        <v>1182</v>
      </c>
      <c r="C30" s="2" t="s">
        <v>2750</v>
      </c>
      <c r="E30" s="2" t="s">
        <v>204</v>
      </c>
      <c r="F30" s="2" t="s">
        <v>2753</v>
      </c>
      <c r="G30" s="2">
        <v>62007349</v>
      </c>
      <c r="H30" s="2" t="s">
        <v>34</v>
      </c>
      <c r="I30" s="2" t="s">
        <v>1070</v>
      </c>
      <c r="J30" s="2" t="s">
        <v>898</v>
      </c>
      <c r="K30" s="2" t="s">
        <v>100</v>
      </c>
      <c r="L30" s="2" t="s">
        <v>268</v>
      </c>
      <c r="M30" s="2" t="s">
        <v>31</v>
      </c>
      <c r="N30" s="2" t="s">
        <v>31</v>
      </c>
      <c r="O30" s="2" t="s">
        <v>164</v>
      </c>
      <c r="P30" t="s">
        <v>2754</v>
      </c>
      <c r="Q30" s="2" t="s">
        <v>105</v>
      </c>
      <c r="R30" s="2" t="s">
        <v>937</v>
      </c>
      <c r="S30" s="2" t="s">
        <v>941</v>
      </c>
      <c r="T30" s="2" t="s">
        <v>1378</v>
      </c>
      <c r="U30" s="150">
        <v>3.681</v>
      </c>
      <c r="V30" s="150">
        <v>131.702</v>
      </c>
      <c r="W30" s="150">
        <v>484.79500000000002</v>
      </c>
      <c r="Y30" s="164">
        <v>7.0322252462448904E-3</v>
      </c>
      <c r="Z30" s="164">
        <v>1.27630707376992E-3</v>
      </c>
    </row>
    <row r="31" spans="1:26">
      <c r="A31" s="2" t="s">
        <v>26</v>
      </c>
      <c r="B31" s="2">
        <v>1182</v>
      </c>
      <c r="C31" s="2" t="s">
        <v>2755</v>
      </c>
      <c r="D31" s="2" t="s">
        <v>2756</v>
      </c>
      <c r="E31" s="2" t="s">
        <v>204</v>
      </c>
      <c r="F31" s="2" t="s">
        <v>2757</v>
      </c>
      <c r="G31" s="2">
        <v>62020755</v>
      </c>
      <c r="H31" s="2" t="s">
        <v>34</v>
      </c>
      <c r="I31" s="2" t="s">
        <v>1070</v>
      </c>
      <c r="J31" s="2" t="s">
        <v>898</v>
      </c>
      <c r="K31" s="2" t="s">
        <v>100</v>
      </c>
      <c r="L31" s="2" t="s">
        <v>101</v>
      </c>
      <c r="M31" s="2" t="s">
        <v>31</v>
      </c>
      <c r="N31" s="2" t="s">
        <v>31</v>
      </c>
      <c r="O31" s="2" t="s">
        <v>164</v>
      </c>
      <c r="P31" t="s">
        <v>2749</v>
      </c>
      <c r="Q31" s="2" t="s">
        <v>105</v>
      </c>
      <c r="R31" s="2" t="s">
        <v>204</v>
      </c>
      <c r="S31" s="2" t="s">
        <v>941</v>
      </c>
      <c r="T31" s="2" t="s">
        <v>1378</v>
      </c>
      <c r="U31" s="150">
        <v>3.681</v>
      </c>
      <c r="V31" s="150">
        <v>100.78700000000001</v>
      </c>
      <c r="W31" s="150">
        <v>370.99900000000002</v>
      </c>
      <c r="Y31" s="164">
        <v>5.3815426839299201E-3</v>
      </c>
      <c r="Z31" s="164">
        <v>9.7671800245053794E-4</v>
      </c>
    </row>
    <row r="32" spans="1:26">
      <c r="A32" s="2" t="s">
        <v>26</v>
      </c>
      <c r="B32" s="2">
        <v>1182</v>
      </c>
      <c r="C32" s="2" t="s">
        <v>2758</v>
      </c>
      <c r="D32" s="2" t="s">
        <v>2759</v>
      </c>
      <c r="E32" s="2" t="s">
        <v>1380</v>
      </c>
      <c r="F32" s="2" t="s">
        <v>2760</v>
      </c>
      <c r="G32" s="2">
        <v>50006410</v>
      </c>
      <c r="H32" s="2" t="s">
        <v>34</v>
      </c>
      <c r="I32" s="2" t="s">
        <v>1072</v>
      </c>
      <c r="J32" s="2" t="s">
        <v>614</v>
      </c>
      <c r="K32" s="2" t="s">
        <v>31</v>
      </c>
      <c r="L32" s="2" t="s">
        <v>268</v>
      </c>
      <c r="M32" s="2" t="s">
        <v>31</v>
      </c>
      <c r="N32" s="2" t="s">
        <v>31</v>
      </c>
      <c r="O32" s="2" t="s">
        <v>164</v>
      </c>
      <c r="P32" t="s">
        <v>2761</v>
      </c>
      <c r="Q32" s="2" t="s">
        <v>35</v>
      </c>
      <c r="R32" s="2" t="s">
        <v>204</v>
      </c>
      <c r="S32" s="2" t="s">
        <v>941</v>
      </c>
      <c r="T32" s="2" t="s">
        <v>1378</v>
      </c>
      <c r="U32" s="150">
        <v>1</v>
      </c>
      <c r="V32" s="150">
        <v>920.71699999999998</v>
      </c>
      <c r="W32" s="150">
        <v>920.71699999999998</v>
      </c>
      <c r="Y32" s="164">
        <v>1.3355508150419601E-2</v>
      </c>
      <c r="Z32" s="164">
        <v>2.4239453273022802E-3</v>
      </c>
    </row>
    <row r="33" spans="1:26">
      <c r="A33" s="2" t="s">
        <v>26</v>
      </c>
      <c r="B33" s="2">
        <v>1182</v>
      </c>
      <c r="C33" s="2" t="s">
        <v>2762</v>
      </c>
      <c r="D33" s="2" t="s">
        <v>2763</v>
      </c>
      <c r="E33" s="2" t="s">
        <v>1380</v>
      </c>
      <c r="F33" s="2" t="s">
        <v>2764</v>
      </c>
      <c r="G33" s="2">
        <v>50007004</v>
      </c>
      <c r="H33" s="2" t="s">
        <v>34</v>
      </c>
      <c r="I33" s="2" t="s">
        <v>1070</v>
      </c>
      <c r="J33" s="2" t="s">
        <v>881</v>
      </c>
      <c r="K33" s="2" t="s">
        <v>31</v>
      </c>
      <c r="L33" s="2" t="s">
        <v>31</v>
      </c>
      <c r="M33" s="2" t="s">
        <v>31</v>
      </c>
      <c r="N33" s="2" t="s">
        <v>31</v>
      </c>
      <c r="O33" s="2" t="s">
        <v>164</v>
      </c>
      <c r="P33" t="s">
        <v>2765</v>
      </c>
      <c r="Q33" s="2" t="s">
        <v>35</v>
      </c>
      <c r="R33" s="2" t="s">
        <v>937</v>
      </c>
      <c r="S33" s="2" t="s">
        <v>941</v>
      </c>
      <c r="T33" s="2" t="s">
        <v>1378</v>
      </c>
      <c r="U33" s="150">
        <v>1</v>
      </c>
      <c r="V33" s="150">
        <v>866.24</v>
      </c>
      <c r="W33" s="150">
        <v>866.24</v>
      </c>
      <c r="Y33" s="164">
        <v>1.25652947122995E-2</v>
      </c>
      <c r="Z33" s="164">
        <v>2.2805262863096298E-3</v>
      </c>
    </row>
    <row r="34" spans="1:26">
      <c r="A34" s="2" t="s">
        <v>26</v>
      </c>
      <c r="B34" s="2">
        <v>1182</v>
      </c>
      <c r="C34" s="2" t="s">
        <v>2766</v>
      </c>
      <c r="D34" s="2" t="s">
        <v>2767</v>
      </c>
      <c r="E34" s="2" t="s">
        <v>1380</v>
      </c>
      <c r="F34" s="2" t="s">
        <v>2766</v>
      </c>
      <c r="G34" s="2">
        <v>50007350</v>
      </c>
      <c r="H34" s="2" t="s">
        <v>34</v>
      </c>
      <c r="I34" s="2" t="s">
        <v>1070</v>
      </c>
      <c r="J34" s="2" t="s">
        <v>889</v>
      </c>
      <c r="K34" s="2" t="s">
        <v>31</v>
      </c>
      <c r="L34" s="2" t="s">
        <v>31</v>
      </c>
      <c r="M34" s="2" t="s">
        <v>31</v>
      </c>
      <c r="N34" s="2" t="s">
        <v>31</v>
      </c>
      <c r="O34" s="2" t="s">
        <v>164</v>
      </c>
      <c r="P34" t="s">
        <v>2768</v>
      </c>
      <c r="Q34" s="2" t="s">
        <v>35</v>
      </c>
      <c r="R34" s="2" t="s">
        <v>204</v>
      </c>
      <c r="S34" s="2" t="s">
        <v>941</v>
      </c>
      <c r="T34" s="2" t="s">
        <v>1378</v>
      </c>
      <c r="U34" s="150">
        <v>1</v>
      </c>
      <c r="V34" s="150">
        <v>1491.0119999999999</v>
      </c>
      <c r="W34" s="150">
        <v>1491.0119999999999</v>
      </c>
      <c r="Y34" s="164">
        <v>2.1627962349680601E-2</v>
      </c>
      <c r="Z34" s="164">
        <v>3.9253465825582201E-3</v>
      </c>
    </row>
    <row r="35" spans="1:26">
      <c r="A35" s="2" t="s">
        <v>26</v>
      </c>
      <c r="B35" s="2">
        <v>1182</v>
      </c>
      <c r="C35" s="2" t="s">
        <v>2662</v>
      </c>
      <c r="D35" s="2" t="s">
        <v>2663</v>
      </c>
      <c r="E35" s="2" t="s">
        <v>360</v>
      </c>
      <c r="F35" s="2" t="s">
        <v>2769</v>
      </c>
      <c r="G35" s="2">
        <v>60400892</v>
      </c>
      <c r="H35" s="2" t="s">
        <v>34</v>
      </c>
      <c r="I35" s="2" t="s">
        <v>1070</v>
      </c>
      <c r="J35" s="2" t="s">
        <v>614</v>
      </c>
      <c r="K35" s="2" t="s">
        <v>31</v>
      </c>
      <c r="L35" s="2" t="s">
        <v>31</v>
      </c>
      <c r="M35" s="2" t="s">
        <v>31</v>
      </c>
      <c r="N35" s="2" t="s">
        <v>31</v>
      </c>
      <c r="O35" s="2" t="s">
        <v>164</v>
      </c>
      <c r="P35" t="s">
        <v>2770</v>
      </c>
      <c r="Q35" s="2" t="s">
        <v>105</v>
      </c>
      <c r="R35" s="2" t="s">
        <v>937</v>
      </c>
      <c r="S35" s="2" t="s">
        <v>941</v>
      </c>
      <c r="T35" s="2" t="s">
        <v>1378</v>
      </c>
      <c r="U35" s="150">
        <v>3.681</v>
      </c>
      <c r="V35" s="150">
        <v>567.91499999999996</v>
      </c>
      <c r="W35" s="150">
        <v>2090.4949999999999</v>
      </c>
      <c r="Y35" s="164">
        <v>3.0323785892673299E-2</v>
      </c>
      <c r="Z35" s="164">
        <v>5.5035868566596603E-3</v>
      </c>
    </row>
    <row r="36" spans="1:26">
      <c r="A36" s="2" t="s">
        <v>26</v>
      </c>
      <c r="B36" s="2">
        <v>1182</v>
      </c>
      <c r="C36" s="2" t="s">
        <v>2762</v>
      </c>
      <c r="D36" s="2" t="s">
        <v>2763</v>
      </c>
      <c r="E36" s="2" t="s">
        <v>1380</v>
      </c>
      <c r="F36" s="2" t="s">
        <v>2762</v>
      </c>
      <c r="G36" s="2">
        <v>18952</v>
      </c>
      <c r="H36" s="2" t="s">
        <v>34</v>
      </c>
      <c r="I36" s="2" t="s">
        <v>1070</v>
      </c>
      <c r="J36" s="2" t="s">
        <v>881</v>
      </c>
      <c r="K36" s="2" t="s">
        <v>31</v>
      </c>
      <c r="L36" s="2" t="s">
        <v>31</v>
      </c>
      <c r="M36" s="2" t="s">
        <v>31</v>
      </c>
      <c r="N36" s="2" t="s">
        <v>31</v>
      </c>
      <c r="O36" s="2" t="s">
        <v>164</v>
      </c>
      <c r="P36" t="s">
        <v>2771</v>
      </c>
      <c r="Q36" s="2" t="s">
        <v>35</v>
      </c>
      <c r="R36" s="2" t="s">
        <v>937</v>
      </c>
      <c r="S36" s="2" t="s">
        <v>941</v>
      </c>
      <c r="T36" s="2" t="s">
        <v>1378</v>
      </c>
      <c r="U36" s="150">
        <v>1</v>
      </c>
      <c r="V36" s="150">
        <v>133.94999999999999</v>
      </c>
      <c r="W36" s="150">
        <v>133.94999999999999</v>
      </c>
      <c r="Y36" s="164">
        <v>1.94302353812651E-3</v>
      </c>
      <c r="Z36" s="164">
        <v>3.5264722038540501E-4</v>
      </c>
    </row>
    <row r="37" spans="1:26">
      <c r="A37" s="2" t="s">
        <v>26</v>
      </c>
      <c r="B37" s="2">
        <v>1182</v>
      </c>
      <c r="C37" s="2" t="s">
        <v>2772</v>
      </c>
      <c r="D37" s="2" t="s">
        <v>2773</v>
      </c>
      <c r="E37" s="2" t="s">
        <v>204</v>
      </c>
      <c r="F37" s="2" t="s">
        <v>2774</v>
      </c>
      <c r="G37" s="2">
        <v>50007160</v>
      </c>
      <c r="H37" s="2" t="s">
        <v>34</v>
      </c>
      <c r="I37" s="2" t="s">
        <v>1070</v>
      </c>
      <c r="J37" s="2" t="s">
        <v>614</v>
      </c>
      <c r="K37" s="2" t="s">
        <v>31</v>
      </c>
      <c r="L37" s="2" t="s">
        <v>31</v>
      </c>
      <c r="M37" s="2" t="s">
        <v>31</v>
      </c>
      <c r="N37" s="2" t="s">
        <v>31</v>
      </c>
      <c r="O37" s="2" t="s">
        <v>164</v>
      </c>
      <c r="P37" t="s">
        <v>2775</v>
      </c>
      <c r="Q37" s="2" t="s">
        <v>35</v>
      </c>
      <c r="R37" s="2" t="s">
        <v>204</v>
      </c>
      <c r="S37" s="2" t="s">
        <v>941</v>
      </c>
      <c r="T37" s="2" t="s">
        <v>1378</v>
      </c>
      <c r="U37" s="150">
        <v>1</v>
      </c>
      <c r="V37" s="150">
        <v>421.60599999999999</v>
      </c>
      <c r="W37" s="150">
        <v>421.60599999999999</v>
      </c>
      <c r="Y37" s="164">
        <v>6.1156335363061996E-3</v>
      </c>
      <c r="Z37" s="164">
        <v>1.1099511277941701E-3</v>
      </c>
    </row>
    <row r="38" spans="1:26">
      <c r="A38" s="2" t="s">
        <v>26</v>
      </c>
      <c r="B38" s="2">
        <v>1182</v>
      </c>
      <c r="C38" s="2" t="s">
        <v>2776</v>
      </c>
      <c r="D38" s="2" t="s">
        <v>2777</v>
      </c>
      <c r="E38" s="2" t="s">
        <v>34</v>
      </c>
      <c r="F38" s="2" t="s">
        <v>2778</v>
      </c>
      <c r="G38" s="2">
        <v>62020672</v>
      </c>
      <c r="H38" s="2" t="s">
        <v>34</v>
      </c>
      <c r="I38" s="2" t="s">
        <v>1070</v>
      </c>
      <c r="J38" s="2" t="s">
        <v>614</v>
      </c>
      <c r="K38" s="2" t="s">
        <v>100</v>
      </c>
      <c r="L38" s="2" t="s">
        <v>101</v>
      </c>
      <c r="M38" s="2" t="s">
        <v>101</v>
      </c>
      <c r="N38" s="2" t="s">
        <v>101</v>
      </c>
      <c r="O38" s="2" t="s">
        <v>164</v>
      </c>
      <c r="P38" t="s">
        <v>2779</v>
      </c>
      <c r="Q38" s="2" t="s">
        <v>105</v>
      </c>
      <c r="R38" s="2" t="s">
        <v>204</v>
      </c>
      <c r="S38" s="2" t="s">
        <v>941</v>
      </c>
      <c r="T38" s="2" t="s">
        <v>1378</v>
      </c>
      <c r="U38" s="150">
        <v>3.681</v>
      </c>
      <c r="V38" s="150">
        <v>84.826999999999998</v>
      </c>
      <c r="W38" s="150">
        <v>312.25</v>
      </c>
      <c r="Y38" s="164">
        <v>4.5293564159260401E-3</v>
      </c>
      <c r="Z38" s="164">
        <v>8.2205126127871098E-4</v>
      </c>
    </row>
    <row r="39" spans="1:26">
      <c r="A39" s="2" t="s">
        <v>26</v>
      </c>
      <c r="B39" s="2">
        <v>1182</v>
      </c>
      <c r="C39" s="2" t="s">
        <v>2780</v>
      </c>
      <c r="D39" s="2" t="s">
        <v>2781</v>
      </c>
      <c r="E39" s="2" t="s">
        <v>362</v>
      </c>
      <c r="F39" s="2" t="s">
        <v>2780</v>
      </c>
      <c r="G39" s="2">
        <v>62021365</v>
      </c>
      <c r="H39" s="2" t="s">
        <v>34</v>
      </c>
      <c r="I39" s="2" t="s">
        <v>1070</v>
      </c>
      <c r="J39" s="2" t="s">
        <v>880</v>
      </c>
      <c r="K39" s="2" t="s">
        <v>100</v>
      </c>
      <c r="L39" s="2" t="s">
        <v>303</v>
      </c>
      <c r="M39" s="2" t="s">
        <v>303</v>
      </c>
      <c r="N39" s="2" t="s">
        <v>343</v>
      </c>
      <c r="O39" s="2" t="s">
        <v>164</v>
      </c>
      <c r="P39" t="s">
        <v>2782</v>
      </c>
      <c r="Q39" s="2" t="s">
        <v>105</v>
      </c>
      <c r="R39" s="2" t="s">
        <v>937</v>
      </c>
      <c r="S39" s="2" t="s">
        <v>941</v>
      </c>
      <c r="T39" s="2" t="s">
        <v>1378</v>
      </c>
      <c r="U39" s="150">
        <v>3.681</v>
      </c>
      <c r="V39" s="150">
        <v>41.856000000000002</v>
      </c>
      <c r="W39" s="150">
        <v>154.072</v>
      </c>
      <c r="Y39" s="164">
        <v>2.23489892187633E-3</v>
      </c>
      <c r="Z39" s="164">
        <v>4.0562086726028701E-4</v>
      </c>
    </row>
    <row r="40" spans="1:26">
      <c r="A40" s="2" t="s">
        <v>26</v>
      </c>
      <c r="B40" s="2">
        <v>1182</v>
      </c>
      <c r="C40" s="2" t="s">
        <v>2783</v>
      </c>
      <c r="D40" s="2" t="s">
        <v>2784</v>
      </c>
      <c r="E40" s="2" t="s">
        <v>361</v>
      </c>
      <c r="F40" s="2" t="s">
        <v>2783</v>
      </c>
      <c r="G40" s="2">
        <v>62020896</v>
      </c>
      <c r="H40" s="2" t="s">
        <v>34</v>
      </c>
      <c r="I40" s="2" t="s">
        <v>1070</v>
      </c>
      <c r="J40" s="2" t="s">
        <v>898</v>
      </c>
      <c r="K40" s="2" t="s">
        <v>100</v>
      </c>
      <c r="L40" s="2" t="s">
        <v>283</v>
      </c>
      <c r="M40" s="2" t="s">
        <v>2785</v>
      </c>
      <c r="N40" s="2" t="s">
        <v>346</v>
      </c>
      <c r="O40" s="2" t="s">
        <v>164</v>
      </c>
      <c r="P40" t="s">
        <v>2786</v>
      </c>
      <c r="Q40" s="2" t="s">
        <v>105</v>
      </c>
      <c r="R40" s="2" t="s">
        <v>937</v>
      </c>
      <c r="S40" s="2" t="s">
        <v>941</v>
      </c>
      <c r="T40" s="2" t="s">
        <v>1378</v>
      </c>
      <c r="U40" s="150">
        <v>3.681</v>
      </c>
      <c r="V40" s="150">
        <v>39.146999999999998</v>
      </c>
      <c r="W40" s="150">
        <v>144.101</v>
      </c>
      <c r="Y40" s="164">
        <v>2.0902633285370701E-3</v>
      </c>
      <c r="Z40" s="164">
        <v>3.7937036696574899E-4</v>
      </c>
    </row>
    <row r="41" spans="1:26">
      <c r="A41" s="2" t="s">
        <v>26</v>
      </c>
      <c r="B41" s="2">
        <v>1182</v>
      </c>
      <c r="C41" s="2" t="s">
        <v>2787</v>
      </c>
      <c r="D41" s="2" t="s">
        <v>2788</v>
      </c>
      <c r="E41" s="2" t="s">
        <v>362</v>
      </c>
      <c r="F41" s="2" t="s">
        <v>2787</v>
      </c>
      <c r="G41" s="2">
        <v>62019815</v>
      </c>
      <c r="H41" s="2" t="s">
        <v>34</v>
      </c>
      <c r="I41" s="2" t="s">
        <v>1070</v>
      </c>
      <c r="J41" s="2" t="s">
        <v>898</v>
      </c>
      <c r="K41" s="2" t="s">
        <v>100</v>
      </c>
      <c r="L41" s="2" t="s">
        <v>283</v>
      </c>
      <c r="M41" s="2" t="s">
        <v>2785</v>
      </c>
      <c r="N41" s="2" t="s">
        <v>346</v>
      </c>
      <c r="O41" s="2" t="s">
        <v>164</v>
      </c>
      <c r="P41" t="s">
        <v>2789</v>
      </c>
      <c r="Q41" s="2" t="s">
        <v>105</v>
      </c>
      <c r="R41" s="2" t="s">
        <v>937</v>
      </c>
      <c r="S41" s="2" t="s">
        <v>941</v>
      </c>
      <c r="T41" s="2" t="s">
        <v>1378</v>
      </c>
      <c r="U41" s="150">
        <v>3.681</v>
      </c>
      <c r="V41" s="150">
        <v>200.636</v>
      </c>
      <c r="W41" s="150">
        <v>738.54</v>
      </c>
      <c r="Y41" s="164">
        <v>1.07129337020211E-2</v>
      </c>
      <c r="Z41" s="164">
        <v>1.9443337757161501E-3</v>
      </c>
    </row>
    <row r="42" spans="1:26">
      <c r="A42" s="2" t="s">
        <v>26</v>
      </c>
      <c r="B42" s="2">
        <v>1182</v>
      </c>
      <c r="C42" s="2" t="s">
        <v>2790</v>
      </c>
      <c r="D42" s="2" t="s">
        <v>2791</v>
      </c>
      <c r="E42" s="2" t="s">
        <v>361</v>
      </c>
      <c r="F42" s="2" t="s">
        <v>2792</v>
      </c>
      <c r="G42" s="2">
        <v>62019757</v>
      </c>
      <c r="H42" s="2" t="s">
        <v>34</v>
      </c>
      <c r="I42" s="2" t="s">
        <v>1070</v>
      </c>
      <c r="J42" s="2" t="s">
        <v>878</v>
      </c>
      <c r="K42" s="2" t="s">
        <v>100</v>
      </c>
      <c r="L42" s="2" t="s">
        <v>268</v>
      </c>
      <c r="M42" s="2" t="s">
        <v>268</v>
      </c>
      <c r="N42" s="2" t="s">
        <v>339</v>
      </c>
      <c r="O42" s="2" t="s">
        <v>164</v>
      </c>
      <c r="P42" t="s">
        <v>2793</v>
      </c>
      <c r="Q42" s="2" t="s">
        <v>105</v>
      </c>
      <c r="R42" s="2" t="s">
        <v>937</v>
      </c>
      <c r="S42" s="2" t="s">
        <v>941</v>
      </c>
      <c r="T42" s="2" t="s">
        <v>1378</v>
      </c>
      <c r="U42" s="150">
        <v>3.681</v>
      </c>
      <c r="V42" s="150">
        <v>82.820999999999998</v>
      </c>
      <c r="W42" s="150">
        <v>304.863</v>
      </c>
      <c r="Y42" s="164">
        <v>4.4222134674776897E-3</v>
      </c>
      <c r="Z42" s="164">
        <v>8.0260545312826404E-4</v>
      </c>
    </row>
    <row r="43" spans="1:26">
      <c r="A43" s="2" t="s">
        <v>26</v>
      </c>
      <c r="B43" s="2">
        <v>1182</v>
      </c>
      <c r="C43" s="2" t="s">
        <v>2794</v>
      </c>
      <c r="D43" s="2" t="s">
        <v>2795</v>
      </c>
      <c r="E43" s="2" t="s">
        <v>361</v>
      </c>
      <c r="F43" s="2" t="s">
        <v>2796</v>
      </c>
      <c r="G43" s="2">
        <v>62013909</v>
      </c>
      <c r="H43" s="2" t="s">
        <v>34</v>
      </c>
      <c r="I43" s="2" t="s">
        <v>1070</v>
      </c>
      <c r="J43" s="2" t="s">
        <v>884</v>
      </c>
      <c r="K43" s="2" t="s">
        <v>100</v>
      </c>
      <c r="L43" s="2" t="s">
        <v>268</v>
      </c>
      <c r="M43" s="2" t="s">
        <v>101</v>
      </c>
      <c r="N43" s="2" t="s">
        <v>101</v>
      </c>
      <c r="O43" s="2" t="s">
        <v>164</v>
      </c>
      <c r="P43" t="s">
        <v>2797</v>
      </c>
      <c r="Q43" s="2" t="s">
        <v>105</v>
      </c>
      <c r="R43" s="2" t="s">
        <v>937</v>
      </c>
      <c r="S43" s="2" t="s">
        <v>941</v>
      </c>
      <c r="T43" s="2" t="s">
        <v>1378</v>
      </c>
      <c r="U43" s="150">
        <v>3.681</v>
      </c>
      <c r="V43" s="150">
        <v>223.512</v>
      </c>
      <c r="W43" s="150">
        <v>822.74699999999996</v>
      </c>
      <c r="Y43" s="164">
        <v>1.19343989860256E-2</v>
      </c>
      <c r="Z43" s="164">
        <v>2.1660224628314798E-3</v>
      </c>
    </row>
    <row r="44" spans="1:26">
      <c r="A44" s="2" t="s">
        <v>26</v>
      </c>
      <c r="B44" s="2">
        <v>1182</v>
      </c>
      <c r="C44" s="2" t="s">
        <v>2798</v>
      </c>
      <c r="D44" s="2" t="s">
        <v>2799</v>
      </c>
      <c r="E44" s="2" t="s">
        <v>361</v>
      </c>
      <c r="F44" s="2" t="s">
        <v>2800</v>
      </c>
      <c r="G44" s="2">
        <v>62011226</v>
      </c>
      <c r="H44" s="2" t="s">
        <v>34</v>
      </c>
      <c r="I44" s="2" t="s">
        <v>1070</v>
      </c>
      <c r="J44" s="2" t="s">
        <v>888</v>
      </c>
      <c r="K44" s="2" t="s">
        <v>100</v>
      </c>
      <c r="L44" s="2" t="s">
        <v>268</v>
      </c>
      <c r="M44" s="2" t="s">
        <v>101</v>
      </c>
      <c r="N44" s="2" t="s">
        <v>101</v>
      </c>
      <c r="O44" s="2" t="s">
        <v>164</v>
      </c>
      <c r="P44" t="s">
        <v>2801</v>
      </c>
      <c r="Q44" s="2" t="s">
        <v>105</v>
      </c>
      <c r="R44" s="2" t="s">
        <v>937</v>
      </c>
      <c r="S44" s="2" t="s">
        <v>941</v>
      </c>
      <c r="T44" s="2" t="s">
        <v>1378</v>
      </c>
      <c r="U44" s="150">
        <v>3.681</v>
      </c>
      <c r="V44" s="150">
        <v>16.847000000000001</v>
      </c>
      <c r="W44" s="150">
        <v>62.015000000000001</v>
      </c>
      <c r="Y44" s="164">
        <v>8.9956769147679996E-4</v>
      </c>
      <c r="Z44" s="164">
        <v>1.63266187837172E-4</v>
      </c>
    </row>
    <row r="45" spans="1:26">
      <c r="A45" s="2" t="s">
        <v>26</v>
      </c>
      <c r="B45" s="2">
        <v>1182</v>
      </c>
      <c r="C45" s="2" t="s">
        <v>2802</v>
      </c>
      <c r="D45" s="2" t="s">
        <v>2803</v>
      </c>
      <c r="E45" s="2" t="s">
        <v>361</v>
      </c>
      <c r="F45" s="2" t="s">
        <v>2804</v>
      </c>
      <c r="G45" s="2">
        <v>60419041</v>
      </c>
      <c r="H45" s="2" t="s">
        <v>34</v>
      </c>
      <c r="I45" s="2" t="s">
        <v>1070</v>
      </c>
      <c r="J45" s="2" t="s">
        <v>898</v>
      </c>
      <c r="K45" s="2" t="s">
        <v>100</v>
      </c>
      <c r="L45" s="2" t="s">
        <v>268</v>
      </c>
      <c r="M45" s="2" t="s">
        <v>101</v>
      </c>
      <c r="N45" s="2" t="s">
        <v>346</v>
      </c>
      <c r="O45" s="2" t="s">
        <v>164</v>
      </c>
      <c r="P45" t="s">
        <v>2805</v>
      </c>
      <c r="Q45" s="2" t="s">
        <v>105</v>
      </c>
      <c r="R45" s="2" t="s">
        <v>937</v>
      </c>
      <c r="S45" s="2" t="s">
        <v>941</v>
      </c>
      <c r="T45" s="2" t="s">
        <v>1378</v>
      </c>
      <c r="U45" s="150">
        <v>3.681</v>
      </c>
      <c r="V45" s="150">
        <v>59.680999999999997</v>
      </c>
      <c r="W45" s="150">
        <v>219.68700000000001</v>
      </c>
      <c r="Y45" s="164">
        <v>3.1866781794081399E-3</v>
      </c>
      <c r="Z45" s="164">
        <v>5.7836314392498795E-4</v>
      </c>
    </row>
    <row r="46" spans="1:26">
      <c r="A46" s="2" t="s">
        <v>26</v>
      </c>
      <c r="B46" s="2">
        <v>1182</v>
      </c>
      <c r="C46" s="2" t="s">
        <v>2806</v>
      </c>
      <c r="D46" s="2" t="s">
        <v>2807</v>
      </c>
      <c r="E46" s="2" t="s">
        <v>361</v>
      </c>
      <c r="F46" s="2" t="s">
        <v>2808</v>
      </c>
      <c r="G46" s="2">
        <v>62016654</v>
      </c>
      <c r="H46" s="2" t="s">
        <v>34</v>
      </c>
      <c r="I46" s="2" t="s">
        <v>1070</v>
      </c>
      <c r="J46" s="2" t="s">
        <v>898</v>
      </c>
      <c r="K46" s="2" t="s">
        <v>100</v>
      </c>
      <c r="L46" s="2" t="s">
        <v>268</v>
      </c>
      <c r="M46" s="2" t="s">
        <v>101</v>
      </c>
      <c r="N46" s="2" t="s">
        <v>346</v>
      </c>
      <c r="O46" s="2" t="s">
        <v>164</v>
      </c>
      <c r="P46" t="s">
        <v>2809</v>
      </c>
      <c r="Q46" s="2" t="s">
        <v>105</v>
      </c>
      <c r="R46" s="2" t="s">
        <v>937</v>
      </c>
      <c r="S46" s="2" t="s">
        <v>941</v>
      </c>
      <c r="T46" s="2" t="s">
        <v>1378</v>
      </c>
      <c r="U46" s="150">
        <v>3.681</v>
      </c>
      <c r="V46" s="150">
        <v>384.53199999999998</v>
      </c>
      <c r="W46" s="150">
        <v>1415.463</v>
      </c>
      <c r="Y46" s="164">
        <v>2.0532071930455201E-2</v>
      </c>
      <c r="Z46" s="164">
        <v>3.7264489868247702E-3</v>
      </c>
    </row>
    <row r="47" spans="1:26">
      <c r="A47" s="2" t="s">
        <v>26</v>
      </c>
      <c r="B47" s="2">
        <v>1182</v>
      </c>
      <c r="C47" s="2" t="s">
        <v>2810</v>
      </c>
      <c r="D47" s="2" t="s">
        <v>2811</v>
      </c>
      <c r="E47" s="2" t="s">
        <v>362</v>
      </c>
      <c r="F47" s="2" t="s">
        <v>2812</v>
      </c>
      <c r="G47" s="2">
        <v>62021241</v>
      </c>
      <c r="H47" s="2" t="s">
        <v>34</v>
      </c>
      <c r="I47" s="2" t="s">
        <v>1070</v>
      </c>
      <c r="J47" s="2" t="s">
        <v>898</v>
      </c>
      <c r="K47" s="2" t="s">
        <v>100</v>
      </c>
      <c r="L47" s="2" t="s">
        <v>268</v>
      </c>
      <c r="M47" s="2" t="s">
        <v>101</v>
      </c>
      <c r="N47" s="2" t="s">
        <v>346</v>
      </c>
      <c r="O47" s="2" t="s">
        <v>164</v>
      </c>
      <c r="P47" t="s">
        <v>2813</v>
      </c>
      <c r="Q47" s="2" t="s">
        <v>105</v>
      </c>
      <c r="R47" s="2" t="s">
        <v>204</v>
      </c>
      <c r="S47" s="2" t="s">
        <v>941</v>
      </c>
      <c r="T47" s="2" t="s">
        <v>1378</v>
      </c>
      <c r="U47" s="150">
        <v>3.681</v>
      </c>
      <c r="V47" s="150">
        <v>96.659000000000006</v>
      </c>
      <c r="W47" s="150">
        <v>355.80099999999999</v>
      </c>
      <c r="Y47" s="164">
        <v>5.1610906285010803E-3</v>
      </c>
      <c r="Z47" s="164">
        <v>9.3670726503549296E-4</v>
      </c>
    </row>
    <row r="48" spans="1:26">
      <c r="A48" s="2" t="s">
        <v>26</v>
      </c>
      <c r="B48" s="2">
        <v>1182</v>
      </c>
      <c r="C48" s="2" t="s">
        <v>2814</v>
      </c>
      <c r="D48" s="2" t="s">
        <v>2815</v>
      </c>
      <c r="E48" s="2" t="s">
        <v>362</v>
      </c>
      <c r="F48" s="2" t="s">
        <v>2816</v>
      </c>
      <c r="G48" s="2">
        <v>62018064</v>
      </c>
      <c r="H48" s="2" t="s">
        <v>34</v>
      </c>
      <c r="I48" s="2" t="s">
        <v>1070</v>
      </c>
      <c r="J48" s="2" t="s">
        <v>883</v>
      </c>
      <c r="K48" s="2" t="s">
        <v>100</v>
      </c>
      <c r="L48" s="2" t="s">
        <v>268</v>
      </c>
      <c r="M48" s="2" t="s">
        <v>101</v>
      </c>
      <c r="N48" s="2" t="s">
        <v>341</v>
      </c>
      <c r="O48" s="2" t="s">
        <v>164</v>
      </c>
      <c r="P48" t="s">
        <v>2817</v>
      </c>
      <c r="Q48" s="2" t="s">
        <v>105</v>
      </c>
      <c r="R48" s="2" t="s">
        <v>204</v>
      </c>
      <c r="S48" s="2" t="s">
        <v>941</v>
      </c>
      <c r="T48" s="2" t="s">
        <v>1378</v>
      </c>
      <c r="U48" s="150">
        <v>3.681</v>
      </c>
      <c r="V48" s="150">
        <v>270.36599999999999</v>
      </c>
      <c r="W48" s="150">
        <v>995.21799999999996</v>
      </c>
      <c r="Y48" s="164">
        <v>1.4436196419523799E-2</v>
      </c>
      <c r="Z48" s="164">
        <v>2.6200838231694901E-3</v>
      </c>
    </row>
    <row r="49" spans="1:26">
      <c r="A49" s="2" t="s">
        <v>26</v>
      </c>
      <c r="B49" s="2">
        <v>1182</v>
      </c>
      <c r="C49" s="2" t="s">
        <v>2814</v>
      </c>
      <c r="D49" s="2" t="s">
        <v>2815</v>
      </c>
      <c r="E49" s="2" t="s">
        <v>362</v>
      </c>
      <c r="F49" s="2" t="s">
        <v>2818</v>
      </c>
      <c r="G49" s="2">
        <v>62021340</v>
      </c>
      <c r="H49" s="2" t="s">
        <v>34</v>
      </c>
      <c r="I49" s="2" t="s">
        <v>1070</v>
      </c>
      <c r="J49" s="2" t="s">
        <v>882</v>
      </c>
      <c r="K49" s="2" t="s">
        <v>100</v>
      </c>
      <c r="L49" s="2" t="s">
        <v>268</v>
      </c>
      <c r="M49" s="2" t="s">
        <v>101</v>
      </c>
      <c r="N49" s="2" t="s">
        <v>341</v>
      </c>
      <c r="O49" s="2" t="s">
        <v>164</v>
      </c>
      <c r="P49" t="s">
        <v>2819</v>
      </c>
      <c r="Q49" s="2" t="s">
        <v>105</v>
      </c>
      <c r="R49" s="2" t="s">
        <v>937</v>
      </c>
      <c r="S49" s="2" t="s">
        <v>941</v>
      </c>
      <c r="T49" s="2" t="s">
        <v>1378</v>
      </c>
      <c r="U49" s="150">
        <v>3.681</v>
      </c>
      <c r="V49" s="150">
        <v>82.34</v>
      </c>
      <c r="W49" s="150">
        <v>303.09300000000002</v>
      </c>
      <c r="Y49" s="164">
        <v>4.3965291991426804E-3</v>
      </c>
      <c r="Z49" s="164">
        <v>7.9794391112517201E-4</v>
      </c>
    </row>
    <row r="50" spans="1:26">
      <c r="A50" s="2" t="s">
        <v>26</v>
      </c>
      <c r="B50" s="2">
        <v>1182</v>
      </c>
      <c r="C50" s="2" t="s">
        <v>2820</v>
      </c>
      <c r="D50" s="2" t="s">
        <v>2821</v>
      </c>
      <c r="E50" s="2" t="s">
        <v>361</v>
      </c>
      <c r="F50" s="2" t="s">
        <v>2822</v>
      </c>
      <c r="G50" s="2">
        <v>62018908</v>
      </c>
      <c r="H50" s="2" t="s">
        <v>34</v>
      </c>
      <c r="I50" s="2" t="s">
        <v>1070</v>
      </c>
      <c r="J50" s="2" t="s">
        <v>883</v>
      </c>
      <c r="K50" s="2" t="s">
        <v>100</v>
      </c>
      <c r="L50" s="2" t="s">
        <v>303</v>
      </c>
      <c r="M50" s="2" t="s">
        <v>303</v>
      </c>
      <c r="N50" s="2" t="s">
        <v>346</v>
      </c>
      <c r="O50" s="2" t="s">
        <v>164</v>
      </c>
      <c r="P50" t="s">
        <v>2823</v>
      </c>
      <c r="Q50" s="2" t="s">
        <v>105</v>
      </c>
      <c r="R50" s="2" t="s">
        <v>937</v>
      </c>
      <c r="S50" s="2" t="s">
        <v>941</v>
      </c>
      <c r="T50" s="2" t="s">
        <v>1378</v>
      </c>
      <c r="U50" s="150">
        <v>3.681</v>
      </c>
      <c r="V50" s="150">
        <v>555.24900000000002</v>
      </c>
      <c r="W50" s="150">
        <v>2043.873</v>
      </c>
      <c r="Y50" s="164">
        <v>2.96475161218334E-2</v>
      </c>
      <c r="Z50" s="164">
        <v>5.3808479138533804E-3</v>
      </c>
    </row>
    <row r="51" spans="1:26">
      <c r="A51" s="2" t="s">
        <v>26</v>
      </c>
      <c r="B51" s="2">
        <v>1182</v>
      </c>
      <c r="C51" s="2" t="s">
        <v>2824</v>
      </c>
      <c r="D51" s="2" t="s">
        <v>2825</v>
      </c>
      <c r="E51" s="2" t="s">
        <v>361</v>
      </c>
      <c r="F51" s="2" t="s">
        <v>2826</v>
      </c>
      <c r="G51" s="2">
        <v>62017413</v>
      </c>
      <c r="H51" s="2" t="s">
        <v>34</v>
      </c>
      <c r="I51" s="2" t="s">
        <v>1070</v>
      </c>
      <c r="J51" s="2" t="s">
        <v>884</v>
      </c>
      <c r="K51" s="2" t="s">
        <v>100</v>
      </c>
      <c r="L51" s="2" t="s">
        <v>101</v>
      </c>
      <c r="M51" s="2" t="s">
        <v>101</v>
      </c>
      <c r="N51" s="2" t="s">
        <v>101</v>
      </c>
      <c r="O51" s="2" t="s">
        <v>164</v>
      </c>
      <c r="P51" t="s">
        <v>2827</v>
      </c>
      <c r="Q51" s="2" t="s">
        <v>105</v>
      </c>
      <c r="R51" s="2" t="s">
        <v>204</v>
      </c>
      <c r="S51" s="2" t="s">
        <v>941</v>
      </c>
      <c r="T51" s="2" t="s">
        <v>1378</v>
      </c>
      <c r="U51" s="150">
        <v>3.681</v>
      </c>
      <c r="V51" s="150">
        <v>6.14</v>
      </c>
      <c r="W51" s="150">
        <v>22.6</v>
      </c>
      <c r="Y51" s="164">
        <v>3.2782364244655102E-4</v>
      </c>
      <c r="Z51" s="164">
        <v>5.9498042106512001E-5</v>
      </c>
    </row>
    <row r="52" spans="1:26">
      <c r="A52" s="2" t="s">
        <v>26</v>
      </c>
      <c r="B52" s="2">
        <v>1182</v>
      </c>
      <c r="C52" s="2" t="s">
        <v>2828</v>
      </c>
      <c r="D52" s="2" t="s">
        <v>2829</v>
      </c>
      <c r="E52" s="2" t="s">
        <v>361</v>
      </c>
      <c r="F52" s="2" t="s">
        <v>2830</v>
      </c>
      <c r="G52" s="2">
        <v>62019559</v>
      </c>
      <c r="H52" s="2" t="s">
        <v>34</v>
      </c>
      <c r="I52" s="2" t="s">
        <v>1070</v>
      </c>
      <c r="J52" s="2" t="s">
        <v>884</v>
      </c>
      <c r="K52" s="2" t="s">
        <v>100</v>
      </c>
      <c r="L52" s="2" t="s">
        <v>101</v>
      </c>
      <c r="M52" s="2" t="s">
        <v>101</v>
      </c>
      <c r="N52" s="2" t="s">
        <v>101</v>
      </c>
      <c r="O52" s="2" t="s">
        <v>164</v>
      </c>
      <c r="P52" t="s">
        <v>2831</v>
      </c>
      <c r="Q52" s="2" t="s">
        <v>105</v>
      </c>
      <c r="R52" s="2" t="s">
        <v>937</v>
      </c>
      <c r="S52" s="2" t="s">
        <v>941</v>
      </c>
      <c r="T52" s="2" t="s">
        <v>1378</v>
      </c>
      <c r="U52" s="150">
        <v>3.681</v>
      </c>
      <c r="V52" s="150">
        <v>695.55</v>
      </c>
      <c r="W52" s="150">
        <v>2560.3200000000002</v>
      </c>
      <c r="Y52" s="164">
        <v>3.71388583138475E-2</v>
      </c>
      <c r="Z52" s="164">
        <v>6.7404819837097599E-3</v>
      </c>
    </row>
    <row r="53" spans="1:26">
      <c r="A53" s="2" t="s">
        <v>26</v>
      </c>
      <c r="B53" s="2">
        <v>1182</v>
      </c>
      <c r="C53" s="2" t="s">
        <v>2832</v>
      </c>
      <c r="D53" s="2" t="s">
        <v>2833</v>
      </c>
      <c r="E53" s="2" t="s">
        <v>362</v>
      </c>
      <c r="F53" s="2" t="s">
        <v>2834</v>
      </c>
      <c r="G53" s="2">
        <v>62020946</v>
      </c>
      <c r="H53" s="2" t="s">
        <v>34</v>
      </c>
      <c r="I53" s="2" t="s">
        <v>1070</v>
      </c>
      <c r="J53" s="2" t="s">
        <v>884</v>
      </c>
      <c r="K53" s="2" t="s">
        <v>100</v>
      </c>
      <c r="L53" s="2" t="s">
        <v>101</v>
      </c>
      <c r="M53" s="2" t="s">
        <v>101</v>
      </c>
      <c r="N53" s="2" t="s">
        <v>101</v>
      </c>
      <c r="O53" s="2" t="s">
        <v>164</v>
      </c>
      <c r="P53" t="s">
        <v>2835</v>
      </c>
      <c r="Q53" s="2" t="s">
        <v>105</v>
      </c>
      <c r="R53" s="2" t="s">
        <v>937</v>
      </c>
      <c r="S53" s="2" t="s">
        <v>941</v>
      </c>
      <c r="T53" s="2" t="s">
        <v>1378</v>
      </c>
      <c r="U53" s="150">
        <v>3.681</v>
      </c>
      <c r="V53" s="150">
        <v>232.39599999999999</v>
      </c>
      <c r="W53" s="150">
        <v>855.44899999999996</v>
      </c>
      <c r="Y53" s="164">
        <v>1.24087646848468E-2</v>
      </c>
      <c r="Z53" s="164">
        <v>2.2521170169390301E-3</v>
      </c>
    </row>
    <row r="54" spans="1:26">
      <c r="A54" s="2" t="s">
        <v>26</v>
      </c>
      <c r="B54" s="2">
        <v>1182</v>
      </c>
      <c r="C54" s="2" t="s">
        <v>2836</v>
      </c>
      <c r="D54" s="2" t="s">
        <v>2837</v>
      </c>
      <c r="E54" s="2" t="s">
        <v>360</v>
      </c>
      <c r="F54" s="2" t="s">
        <v>2838</v>
      </c>
      <c r="G54" s="2">
        <v>62021431</v>
      </c>
      <c r="H54" s="2" t="s">
        <v>34</v>
      </c>
      <c r="I54" s="2" t="s">
        <v>1070</v>
      </c>
      <c r="J54" s="2" t="s">
        <v>894</v>
      </c>
      <c r="K54" s="2" t="s">
        <v>31</v>
      </c>
      <c r="L54" s="2" t="s">
        <v>268</v>
      </c>
      <c r="M54" s="2" t="s">
        <v>31</v>
      </c>
      <c r="N54" s="2" t="s">
        <v>31</v>
      </c>
      <c r="O54" s="2" t="s">
        <v>164</v>
      </c>
      <c r="P54" t="s">
        <v>2839</v>
      </c>
      <c r="Q54" s="2" t="s">
        <v>105</v>
      </c>
      <c r="R54" s="2" t="s">
        <v>937</v>
      </c>
      <c r="S54" s="2" t="s">
        <v>941</v>
      </c>
      <c r="T54" s="2" t="s">
        <v>1378</v>
      </c>
      <c r="U54" s="150">
        <v>3.681</v>
      </c>
      <c r="V54" s="150">
        <v>12.425000000000001</v>
      </c>
      <c r="W54" s="150">
        <v>45.738</v>
      </c>
      <c r="Y54" s="164">
        <v>6.6345015608811802E-4</v>
      </c>
      <c r="Z54" s="164">
        <v>1.2041225894480401E-4</v>
      </c>
    </row>
    <row r="55" spans="1:26">
      <c r="A55" s="2" t="s">
        <v>26</v>
      </c>
      <c r="B55" s="2">
        <v>1182</v>
      </c>
      <c r="C55" s="2" t="s">
        <v>2840</v>
      </c>
      <c r="D55" s="2" t="s">
        <v>2841</v>
      </c>
      <c r="E55" s="2" t="s">
        <v>362</v>
      </c>
      <c r="F55" s="2" t="s">
        <v>2842</v>
      </c>
      <c r="G55" s="2">
        <v>62003800</v>
      </c>
      <c r="H55" s="2" t="s">
        <v>34</v>
      </c>
      <c r="I55" s="2" t="s">
        <v>1070</v>
      </c>
      <c r="J55" s="2" t="s">
        <v>895</v>
      </c>
      <c r="K55" s="2" t="s">
        <v>100</v>
      </c>
      <c r="L55" s="2" t="s">
        <v>268</v>
      </c>
      <c r="M55" s="2" t="s">
        <v>101</v>
      </c>
      <c r="N55" s="2" t="s">
        <v>346</v>
      </c>
      <c r="O55" s="2" t="s">
        <v>164</v>
      </c>
      <c r="P55" t="s">
        <v>2843</v>
      </c>
      <c r="Q55" s="2" t="s">
        <v>105</v>
      </c>
      <c r="R55" s="2" t="s">
        <v>204</v>
      </c>
      <c r="S55" s="2" t="s">
        <v>941</v>
      </c>
      <c r="T55" s="2" t="s">
        <v>1378</v>
      </c>
      <c r="U55" s="150">
        <v>3.681</v>
      </c>
      <c r="V55" s="150">
        <v>507.13099999999997</v>
      </c>
      <c r="W55" s="150">
        <v>1866.75</v>
      </c>
      <c r="Y55" s="164">
        <v>2.7078243705260199E-2</v>
      </c>
      <c r="Z55" s="164">
        <v>4.9145402452437301E-3</v>
      </c>
    </row>
    <row r="56" spans="1:26">
      <c r="A56" s="2" t="s">
        <v>26</v>
      </c>
      <c r="B56" s="2">
        <v>1182</v>
      </c>
      <c r="C56" s="2" t="s">
        <v>2840</v>
      </c>
      <c r="D56" s="2" t="s">
        <v>2841</v>
      </c>
      <c r="E56" s="2" t="s">
        <v>362</v>
      </c>
      <c r="F56" s="2" t="s">
        <v>2844</v>
      </c>
      <c r="G56" s="2">
        <v>620101031</v>
      </c>
      <c r="H56" s="2" t="s">
        <v>34</v>
      </c>
      <c r="I56" s="2" t="s">
        <v>1070</v>
      </c>
      <c r="J56" s="2" t="s">
        <v>614</v>
      </c>
      <c r="K56" s="2" t="s">
        <v>100</v>
      </c>
      <c r="L56" s="2" t="s">
        <v>268</v>
      </c>
      <c r="M56" s="2" t="s">
        <v>101</v>
      </c>
      <c r="N56" s="2" t="s">
        <v>101</v>
      </c>
      <c r="O56" s="2" t="s">
        <v>164</v>
      </c>
      <c r="P56" t="s">
        <v>2714</v>
      </c>
      <c r="Q56" s="2" t="s">
        <v>105</v>
      </c>
      <c r="R56" s="2" t="s">
        <v>204</v>
      </c>
      <c r="S56" s="2" t="s">
        <v>941</v>
      </c>
      <c r="T56" s="2" t="s">
        <v>2715</v>
      </c>
      <c r="U56" s="150">
        <v>3.681</v>
      </c>
      <c r="V56" s="150">
        <v>319.036</v>
      </c>
      <c r="W56" s="150">
        <v>1174.3710000000001</v>
      </c>
      <c r="Y56" s="164">
        <v>1.7034907115539798E-2</v>
      </c>
      <c r="Z56" s="164">
        <v>3.0917343644797E-3</v>
      </c>
    </row>
    <row r="57" spans="1:26">
      <c r="A57" s="2" t="s">
        <v>26</v>
      </c>
      <c r="B57" s="2">
        <v>1182</v>
      </c>
      <c r="C57" s="2" t="s">
        <v>2840</v>
      </c>
      <c r="D57" s="2" t="s">
        <v>2841</v>
      </c>
      <c r="E57" s="2" t="s">
        <v>362</v>
      </c>
      <c r="F57" s="2" t="s">
        <v>2845</v>
      </c>
      <c r="G57" s="2">
        <v>62014857</v>
      </c>
      <c r="H57" s="2" t="s">
        <v>34</v>
      </c>
      <c r="I57" s="2" t="s">
        <v>1070</v>
      </c>
      <c r="J57" s="2" t="s">
        <v>895</v>
      </c>
      <c r="K57" s="2" t="s">
        <v>100</v>
      </c>
      <c r="L57" s="2" t="s">
        <v>268</v>
      </c>
      <c r="M57" s="2" t="s">
        <v>101</v>
      </c>
      <c r="N57" s="2" t="s">
        <v>346</v>
      </c>
      <c r="O57" s="2" t="s">
        <v>164</v>
      </c>
      <c r="P57" t="s">
        <v>2846</v>
      </c>
      <c r="Q57" s="2" t="s">
        <v>105</v>
      </c>
      <c r="R57" s="2" t="s">
        <v>937</v>
      </c>
      <c r="S57" s="2" t="s">
        <v>941</v>
      </c>
      <c r="T57" s="2" t="s">
        <v>1378</v>
      </c>
      <c r="U57" s="150">
        <v>3.681</v>
      </c>
      <c r="V57" s="150">
        <v>288.53699999999998</v>
      </c>
      <c r="W57" s="150">
        <v>1062.104</v>
      </c>
      <c r="Y57" s="164">
        <v>1.54064046205318E-2</v>
      </c>
      <c r="Z57" s="164">
        <v>2.7961708435102102E-3</v>
      </c>
    </row>
    <row r="58" spans="1:26">
      <c r="A58" s="2" t="s">
        <v>26</v>
      </c>
      <c r="B58" s="2">
        <v>1182</v>
      </c>
      <c r="C58" s="2" t="s">
        <v>2840</v>
      </c>
      <c r="D58" s="2" t="s">
        <v>2841</v>
      </c>
      <c r="E58" s="2" t="s">
        <v>362</v>
      </c>
      <c r="F58" s="2" t="s">
        <v>2847</v>
      </c>
      <c r="G58" s="2">
        <v>62019476</v>
      </c>
      <c r="H58" s="2" t="s">
        <v>34</v>
      </c>
      <c r="I58" s="2" t="s">
        <v>1070</v>
      </c>
      <c r="J58" s="2" t="s">
        <v>895</v>
      </c>
      <c r="K58" s="2" t="s">
        <v>100</v>
      </c>
      <c r="L58" s="2" t="s">
        <v>268</v>
      </c>
      <c r="M58" s="2" t="s">
        <v>101</v>
      </c>
      <c r="N58" s="2" t="s">
        <v>346</v>
      </c>
      <c r="O58" s="2" t="s">
        <v>164</v>
      </c>
      <c r="P58" t="s">
        <v>2765</v>
      </c>
      <c r="Q58" s="2" t="s">
        <v>105</v>
      </c>
      <c r="R58" s="2" t="s">
        <v>204</v>
      </c>
      <c r="S58" s="2" t="s">
        <v>941</v>
      </c>
      <c r="T58" s="2" t="s">
        <v>1378</v>
      </c>
      <c r="U58" s="150">
        <v>3.681</v>
      </c>
      <c r="V58" s="150">
        <v>246.24199999999999</v>
      </c>
      <c r="W58" s="150">
        <v>906.41800000000001</v>
      </c>
      <c r="Y58" s="164">
        <v>1.3148097309235799E-2</v>
      </c>
      <c r="Z58" s="164">
        <v>2.3863014927392599E-3</v>
      </c>
    </row>
    <row r="59" spans="1:26">
      <c r="A59" s="2" t="s">
        <v>26</v>
      </c>
      <c r="B59" s="2">
        <v>1182</v>
      </c>
      <c r="C59" s="2" t="s">
        <v>2840</v>
      </c>
      <c r="D59" s="2" t="s">
        <v>2841</v>
      </c>
      <c r="E59" s="2" t="s">
        <v>362</v>
      </c>
      <c r="F59" s="2" t="s">
        <v>2848</v>
      </c>
      <c r="G59" s="2">
        <v>62020458</v>
      </c>
      <c r="H59" s="2" t="s">
        <v>34</v>
      </c>
      <c r="I59" s="2" t="s">
        <v>1070</v>
      </c>
      <c r="J59" s="2" t="s">
        <v>889</v>
      </c>
      <c r="K59" s="2" t="s">
        <v>100</v>
      </c>
      <c r="L59" s="2" t="s">
        <v>268</v>
      </c>
      <c r="M59" s="2" t="s">
        <v>101</v>
      </c>
      <c r="N59" s="2" t="s">
        <v>346</v>
      </c>
      <c r="O59" s="2" t="s">
        <v>164</v>
      </c>
      <c r="P59" t="s">
        <v>2849</v>
      </c>
      <c r="Q59" s="2" t="s">
        <v>105</v>
      </c>
      <c r="R59" s="2" t="s">
        <v>204</v>
      </c>
      <c r="S59" s="2" t="s">
        <v>941</v>
      </c>
      <c r="T59" s="2" t="s">
        <v>1378</v>
      </c>
      <c r="U59" s="150">
        <v>3.681</v>
      </c>
      <c r="V59" s="150">
        <v>123.723</v>
      </c>
      <c r="W59" s="150">
        <v>455.423</v>
      </c>
      <c r="Y59" s="164">
        <v>6.6061579189305797E-3</v>
      </c>
      <c r="Z59" s="164">
        <v>1.19897838694439E-3</v>
      </c>
    </row>
    <row r="60" spans="1:26">
      <c r="A60" s="2" t="s">
        <v>26</v>
      </c>
      <c r="B60" s="2">
        <v>1182</v>
      </c>
      <c r="C60" s="2" t="s">
        <v>2840</v>
      </c>
      <c r="D60" s="2" t="s">
        <v>2841</v>
      </c>
      <c r="E60" s="2" t="s">
        <v>362</v>
      </c>
      <c r="F60" s="2" t="s">
        <v>2850</v>
      </c>
      <c r="G60" s="2">
        <v>62017678</v>
      </c>
      <c r="H60" s="2" t="s">
        <v>34</v>
      </c>
      <c r="I60" s="2" t="s">
        <v>1070</v>
      </c>
      <c r="J60" s="2" t="s">
        <v>889</v>
      </c>
      <c r="K60" s="2" t="s">
        <v>100</v>
      </c>
      <c r="L60" s="2" t="s">
        <v>268</v>
      </c>
      <c r="M60" s="2" t="s">
        <v>101</v>
      </c>
      <c r="N60" s="2" t="s">
        <v>346</v>
      </c>
      <c r="O60" s="2" t="s">
        <v>164</v>
      </c>
      <c r="P60" t="s">
        <v>2851</v>
      </c>
      <c r="Q60" s="2" t="s">
        <v>105</v>
      </c>
      <c r="R60" s="2" t="s">
        <v>204</v>
      </c>
      <c r="S60" s="2" t="s">
        <v>941</v>
      </c>
      <c r="T60" s="2" t="s">
        <v>1378</v>
      </c>
      <c r="U60" s="150">
        <v>3.681</v>
      </c>
      <c r="V60" s="150">
        <v>571.61900000000003</v>
      </c>
      <c r="W60" s="150">
        <v>2104.1289999999999</v>
      </c>
      <c r="Y60" s="164">
        <v>3.05215614605653E-2</v>
      </c>
      <c r="Z60" s="164">
        <v>5.5394819464044303E-3</v>
      </c>
    </row>
    <row r="61" spans="1:26">
      <c r="A61" s="2" t="s">
        <v>26</v>
      </c>
      <c r="B61" s="2">
        <v>1182</v>
      </c>
      <c r="C61" s="2" t="s">
        <v>2840</v>
      </c>
      <c r="D61" s="2" t="s">
        <v>2841</v>
      </c>
      <c r="E61" s="2" t="s">
        <v>362</v>
      </c>
      <c r="F61" s="2" t="s">
        <v>2852</v>
      </c>
      <c r="G61" s="2">
        <v>62019237</v>
      </c>
      <c r="H61" s="2" t="s">
        <v>34</v>
      </c>
      <c r="I61" s="2" t="s">
        <v>1070</v>
      </c>
      <c r="J61" s="2" t="s">
        <v>888</v>
      </c>
      <c r="K61" s="2" t="s">
        <v>100</v>
      </c>
      <c r="L61" s="2" t="s">
        <v>268</v>
      </c>
      <c r="M61" s="2" t="s">
        <v>101</v>
      </c>
      <c r="N61" s="2" t="s">
        <v>101</v>
      </c>
      <c r="O61" s="2" t="s">
        <v>164</v>
      </c>
      <c r="P61" t="s">
        <v>2853</v>
      </c>
      <c r="Q61" s="2" t="s">
        <v>105</v>
      </c>
      <c r="R61" s="2" t="s">
        <v>937</v>
      </c>
      <c r="S61" s="2" t="s">
        <v>941</v>
      </c>
      <c r="T61" s="2" t="s">
        <v>1378</v>
      </c>
      <c r="U61" s="150">
        <v>3.681</v>
      </c>
      <c r="V61" s="150">
        <v>459.55900000000003</v>
      </c>
      <c r="W61" s="150">
        <v>1691.636</v>
      </c>
      <c r="Y61" s="164">
        <v>2.4538125043444201E-2</v>
      </c>
      <c r="Z61" s="164">
        <v>4.4535238097958103E-3</v>
      </c>
    </row>
    <row r="62" spans="1:26">
      <c r="A62" s="2" t="s">
        <v>26</v>
      </c>
      <c r="B62" s="2">
        <v>1182</v>
      </c>
      <c r="C62" s="2" t="s">
        <v>2854</v>
      </c>
      <c r="D62" s="2" t="s">
        <v>2855</v>
      </c>
      <c r="E62" s="2" t="s">
        <v>362</v>
      </c>
      <c r="F62" s="2" t="s">
        <v>2856</v>
      </c>
      <c r="G62" s="2">
        <v>62020565</v>
      </c>
      <c r="H62" s="2" t="s">
        <v>34</v>
      </c>
      <c r="I62" s="2" t="s">
        <v>1070</v>
      </c>
      <c r="J62" s="2" t="s">
        <v>614</v>
      </c>
      <c r="K62" s="2" t="s">
        <v>100</v>
      </c>
      <c r="L62" s="2" t="s">
        <v>283</v>
      </c>
      <c r="M62" s="2" t="s">
        <v>283</v>
      </c>
      <c r="N62" s="2" t="s">
        <v>343</v>
      </c>
      <c r="O62" s="2" t="s">
        <v>164</v>
      </c>
      <c r="P62" t="s">
        <v>2661</v>
      </c>
      <c r="Q62" s="2" t="s">
        <v>1224</v>
      </c>
      <c r="R62" s="2" t="s">
        <v>204</v>
      </c>
      <c r="S62" s="2" t="s">
        <v>941</v>
      </c>
      <c r="T62" s="2" t="s">
        <v>1378</v>
      </c>
      <c r="U62" s="150">
        <v>3.9790000000000001</v>
      </c>
      <c r="V62" s="150">
        <v>111.23099999999999</v>
      </c>
      <c r="W62" s="150">
        <v>442.59899999999999</v>
      </c>
      <c r="Y62" s="164">
        <v>6.4201381651637201E-3</v>
      </c>
      <c r="Z62" s="164">
        <v>1.1652169075719301E-3</v>
      </c>
    </row>
    <row r="63" spans="1:26">
      <c r="A63" s="2" t="s">
        <v>26</v>
      </c>
      <c r="B63" s="2">
        <v>1182</v>
      </c>
      <c r="C63" s="2" t="s">
        <v>2857</v>
      </c>
      <c r="D63" s="2" t="s">
        <v>2858</v>
      </c>
      <c r="E63" s="2" t="s">
        <v>361</v>
      </c>
      <c r="F63" s="2" t="s">
        <v>2859</v>
      </c>
      <c r="G63" s="2">
        <v>62017702</v>
      </c>
      <c r="H63" s="2" t="s">
        <v>34</v>
      </c>
      <c r="I63" s="2" t="s">
        <v>1070</v>
      </c>
      <c r="J63" s="2" t="s">
        <v>879</v>
      </c>
      <c r="K63" s="2" t="s">
        <v>100</v>
      </c>
      <c r="L63" s="2" t="s">
        <v>101</v>
      </c>
      <c r="M63" s="2" t="s">
        <v>101</v>
      </c>
      <c r="N63" s="2" t="s">
        <v>101</v>
      </c>
      <c r="O63" s="2" t="s">
        <v>164</v>
      </c>
      <c r="P63" t="s">
        <v>2860</v>
      </c>
      <c r="Q63" s="2" t="s">
        <v>105</v>
      </c>
      <c r="R63" s="2" t="s">
        <v>937</v>
      </c>
      <c r="S63" s="2" t="s">
        <v>941</v>
      </c>
      <c r="T63" s="2" t="s">
        <v>1378</v>
      </c>
      <c r="U63" s="150">
        <v>3.681</v>
      </c>
      <c r="V63" s="150">
        <v>430.92899999999997</v>
      </c>
      <c r="W63" s="150">
        <v>1586.251</v>
      </c>
      <c r="Y63" s="164">
        <v>2.3009457126050601E-2</v>
      </c>
      <c r="Z63" s="164">
        <v>4.1760796711205802E-3</v>
      </c>
    </row>
    <row r="64" spans="1:26">
      <c r="A64" s="2" t="s">
        <v>26</v>
      </c>
      <c r="B64" s="2">
        <v>1182</v>
      </c>
      <c r="C64" s="2" t="s">
        <v>2861</v>
      </c>
      <c r="D64" s="2" t="s">
        <v>2862</v>
      </c>
      <c r="E64" s="2" t="s">
        <v>362</v>
      </c>
      <c r="F64" s="2" t="s">
        <v>2863</v>
      </c>
      <c r="G64" s="2">
        <v>77847846</v>
      </c>
      <c r="H64" s="2" t="s">
        <v>34</v>
      </c>
      <c r="I64" s="2" t="s">
        <v>1070</v>
      </c>
      <c r="J64" s="2" t="s">
        <v>614</v>
      </c>
      <c r="K64" s="2" t="s">
        <v>100</v>
      </c>
      <c r="L64" s="2" t="s">
        <v>303</v>
      </c>
      <c r="M64" s="2" t="s">
        <v>303</v>
      </c>
      <c r="N64" s="2" t="s">
        <v>101</v>
      </c>
      <c r="O64" s="2" t="s">
        <v>164</v>
      </c>
      <c r="P64" t="s">
        <v>2864</v>
      </c>
      <c r="Q64" s="2" t="s">
        <v>105</v>
      </c>
      <c r="R64" s="2" t="s">
        <v>937</v>
      </c>
      <c r="S64" s="2" t="s">
        <v>941</v>
      </c>
      <c r="T64" s="2" t="s">
        <v>1378</v>
      </c>
      <c r="U64" s="150">
        <v>3.681</v>
      </c>
      <c r="V64" s="150">
        <v>847.23400000000004</v>
      </c>
      <c r="W64" s="150">
        <v>3118.6680000000001</v>
      </c>
      <c r="Y64" s="164">
        <v>4.5238014371498603E-2</v>
      </c>
      <c r="Z64" s="164">
        <v>8.2104306565663997E-3</v>
      </c>
    </row>
    <row r="65" spans="1:26">
      <c r="A65" s="2" t="s">
        <v>26</v>
      </c>
      <c r="B65" s="2">
        <v>1182</v>
      </c>
      <c r="C65" s="2" t="s">
        <v>2865</v>
      </c>
      <c r="D65" s="2" t="s">
        <v>2866</v>
      </c>
      <c r="E65" s="2" t="s">
        <v>361</v>
      </c>
      <c r="F65" s="2" t="s">
        <v>2867</v>
      </c>
      <c r="G65" s="2">
        <v>62019013</v>
      </c>
      <c r="H65" s="2" t="s">
        <v>34</v>
      </c>
      <c r="I65" s="2" t="s">
        <v>1070</v>
      </c>
      <c r="J65" s="2" t="s">
        <v>883</v>
      </c>
      <c r="K65" s="2" t="s">
        <v>100</v>
      </c>
      <c r="L65" s="2" t="s">
        <v>101</v>
      </c>
      <c r="M65" s="2" t="s">
        <v>101</v>
      </c>
      <c r="N65" s="2" t="s">
        <v>101</v>
      </c>
      <c r="O65" s="2" t="s">
        <v>164</v>
      </c>
      <c r="P65" t="s">
        <v>2868</v>
      </c>
      <c r="Q65" s="2" t="s">
        <v>105</v>
      </c>
      <c r="R65" s="2" t="s">
        <v>937</v>
      </c>
      <c r="S65" s="2" t="s">
        <v>941</v>
      </c>
      <c r="T65" s="2" t="s">
        <v>1378</v>
      </c>
      <c r="U65" s="150">
        <v>3.681</v>
      </c>
      <c r="V65" s="150">
        <v>336.077</v>
      </c>
      <c r="W65" s="150">
        <v>1237.098</v>
      </c>
      <c r="Y65" s="164">
        <v>1.7944798302585E-2</v>
      </c>
      <c r="Z65" s="164">
        <v>3.2568742053866498E-3</v>
      </c>
    </row>
    <row r="66" spans="1:26">
      <c r="A66" s="2" t="s">
        <v>26</v>
      </c>
      <c r="B66" s="2">
        <v>1182</v>
      </c>
      <c r="C66" s="2" t="s">
        <v>2869</v>
      </c>
      <c r="D66" s="2" t="s">
        <v>2870</v>
      </c>
      <c r="E66" s="2" t="s">
        <v>361</v>
      </c>
      <c r="F66" s="2" t="s">
        <v>2871</v>
      </c>
      <c r="G66" s="2">
        <v>62006705</v>
      </c>
      <c r="H66" s="2" t="s">
        <v>34</v>
      </c>
      <c r="I66" s="2" t="s">
        <v>1070</v>
      </c>
      <c r="J66" s="2" t="s">
        <v>883</v>
      </c>
      <c r="K66" s="2" t="s">
        <v>100</v>
      </c>
      <c r="L66" s="2" t="s">
        <v>101</v>
      </c>
      <c r="M66" s="2" t="s">
        <v>101</v>
      </c>
      <c r="N66" s="2" t="s">
        <v>346</v>
      </c>
      <c r="O66" s="2" t="s">
        <v>164</v>
      </c>
      <c r="P66" t="s">
        <v>2872</v>
      </c>
      <c r="Q66" s="2" t="s">
        <v>105</v>
      </c>
      <c r="R66" s="2" t="s">
        <v>937</v>
      </c>
      <c r="S66" s="2" t="s">
        <v>941</v>
      </c>
      <c r="T66" s="2" t="s">
        <v>1378</v>
      </c>
      <c r="U66" s="150">
        <v>3.681</v>
      </c>
      <c r="V66" s="150">
        <v>219.398</v>
      </c>
      <c r="W66" s="150">
        <v>807.60400000000004</v>
      </c>
      <c r="Y66" s="164">
        <v>1.1714738553647E-2</v>
      </c>
      <c r="Z66" s="164">
        <v>2.12615540029365E-3</v>
      </c>
    </row>
    <row r="67" spans="1:26">
      <c r="A67" s="2" t="s">
        <v>26</v>
      </c>
      <c r="B67" s="2">
        <v>1182</v>
      </c>
      <c r="C67" s="2" t="s">
        <v>2873</v>
      </c>
      <c r="D67" s="2" t="s">
        <v>2874</v>
      </c>
      <c r="E67" s="2" t="s">
        <v>361</v>
      </c>
      <c r="F67" s="2" t="s">
        <v>2875</v>
      </c>
      <c r="G67" s="2">
        <v>62017652</v>
      </c>
      <c r="H67" s="2" t="s">
        <v>34</v>
      </c>
      <c r="I67" s="2" t="s">
        <v>1070</v>
      </c>
      <c r="J67" s="2" t="s">
        <v>891</v>
      </c>
      <c r="K67" s="2" t="s">
        <v>100</v>
      </c>
      <c r="L67" s="2" t="s">
        <v>268</v>
      </c>
      <c r="M67" s="2" t="s">
        <v>101</v>
      </c>
      <c r="N67" s="2" t="s">
        <v>346</v>
      </c>
      <c r="O67" s="2" t="s">
        <v>164</v>
      </c>
      <c r="P67" t="s">
        <v>2876</v>
      </c>
      <c r="Q67" s="2" t="s">
        <v>105</v>
      </c>
      <c r="R67" s="2" t="s">
        <v>204</v>
      </c>
      <c r="S67" s="2" t="s">
        <v>941</v>
      </c>
      <c r="T67" s="2" t="s">
        <v>1378</v>
      </c>
      <c r="U67" s="150">
        <v>3.681</v>
      </c>
      <c r="V67" s="150">
        <v>406.459</v>
      </c>
      <c r="W67" s="150">
        <v>1496.1759999999999</v>
      </c>
      <c r="Y67" s="164">
        <v>2.1702860851172401E-2</v>
      </c>
      <c r="Z67" s="164">
        <v>3.93894021528774E-3</v>
      </c>
    </row>
    <row r="68" spans="1:26">
      <c r="A68" s="2" t="s">
        <v>26</v>
      </c>
      <c r="B68" s="2">
        <v>1182</v>
      </c>
      <c r="C68" s="2" t="s">
        <v>2877</v>
      </c>
      <c r="D68" s="2" t="s">
        <v>2878</v>
      </c>
      <c r="E68" s="2" t="s">
        <v>361</v>
      </c>
      <c r="F68" s="2" t="s">
        <v>2879</v>
      </c>
      <c r="G68" s="2">
        <v>62021142</v>
      </c>
      <c r="H68" s="2" t="s">
        <v>34</v>
      </c>
      <c r="I68" s="2" t="s">
        <v>1070</v>
      </c>
      <c r="J68" s="2" t="s">
        <v>891</v>
      </c>
      <c r="K68" s="2" t="s">
        <v>100</v>
      </c>
      <c r="L68" s="2" t="s">
        <v>268</v>
      </c>
      <c r="M68" s="2" t="s">
        <v>101</v>
      </c>
      <c r="N68" s="2" t="s">
        <v>346</v>
      </c>
      <c r="O68" s="2" t="s">
        <v>164</v>
      </c>
      <c r="P68" t="s">
        <v>2880</v>
      </c>
      <c r="Q68" s="2" t="s">
        <v>105</v>
      </c>
      <c r="R68" s="2" t="s">
        <v>937</v>
      </c>
      <c r="S68" s="2" t="s">
        <v>941</v>
      </c>
      <c r="T68" s="2" t="s">
        <v>1378</v>
      </c>
      <c r="U68" s="150">
        <v>3.681</v>
      </c>
      <c r="V68" s="150">
        <v>147.70099999999999</v>
      </c>
      <c r="W68" s="150">
        <v>543.68799999999999</v>
      </c>
      <c r="Y68" s="164">
        <v>7.8864986345763E-3</v>
      </c>
      <c r="Z68" s="164">
        <v>1.4313526148727199E-3</v>
      </c>
    </row>
    <row r="69" spans="1:26">
      <c r="A69" s="2" t="s">
        <v>26</v>
      </c>
      <c r="B69" s="2">
        <v>1182</v>
      </c>
      <c r="C69" s="2" t="s">
        <v>2881</v>
      </c>
      <c r="D69" s="2" t="s">
        <v>2882</v>
      </c>
      <c r="E69" s="2" t="s">
        <v>361</v>
      </c>
      <c r="F69" s="2" t="s">
        <v>2883</v>
      </c>
      <c r="G69" s="2">
        <v>62020953</v>
      </c>
      <c r="H69" s="2" t="s">
        <v>34</v>
      </c>
      <c r="I69" s="2" t="s">
        <v>1070</v>
      </c>
      <c r="J69" s="2" t="s">
        <v>614</v>
      </c>
      <c r="K69" s="2" t="s">
        <v>100</v>
      </c>
      <c r="L69" s="2" t="s">
        <v>268</v>
      </c>
      <c r="M69" s="2" t="s">
        <v>31</v>
      </c>
      <c r="N69" s="2" t="s">
        <v>346</v>
      </c>
      <c r="O69" s="2" t="s">
        <v>164</v>
      </c>
      <c r="P69" t="s">
        <v>2884</v>
      </c>
      <c r="Q69" s="2" t="s">
        <v>105</v>
      </c>
      <c r="R69" s="2" t="s">
        <v>204</v>
      </c>
      <c r="S69" s="2" t="s">
        <v>941</v>
      </c>
      <c r="T69" s="2" t="s">
        <v>1378</v>
      </c>
      <c r="U69" s="150">
        <v>3.681</v>
      </c>
      <c r="V69" s="150">
        <v>99</v>
      </c>
      <c r="W69" s="150">
        <v>364.41899999999998</v>
      </c>
      <c r="Y69" s="164">
        <v>5.2861001697518603E-3</v>
      </c>
      <c r="Z69" s="164">
        <v>9.5939575355799903E-4</v>
      </c>
    </row>
    <row r="70" spans="1:26">
      <c r="A70" s="2" t="s">
        <v>26</v>
      </c>
      <c r="B70" s="2">
        <v>1182</v>
      </c>
      <c r="C70" s="2" t="s">
        <v>2885</v>
      </c>
      <c r="D70" s="2" t="s">
        <v>2886</v>
      </c>
      <c r="E70" s="2" t="s">
        <v>361</v>
      </c>
      <c r="F70" s="2" t="s">
        <v>2887</v>
      </c>
      <c r="G70" s="2">
        <v>62020425</v>
      </c>
      <c r="H70" s="2" t="s">
        <v>34</v>
      </c>
      <c r="I70" s="2" t="s">
        <v>1070</v>
      </c>
      <c r="J70" s="2" t="s">
        <v>894</v>
      </c>
      <c r="K70" s="2" t="s">
        <v>100</v>
      </c>
      <c r="L70" s="2" t="s">
        <v>101</v>
      </c>
      <c r="M70" s="2" t="s">
        <v>101</v>
      </c>
      <c r="N70" s="2" t="s">
        <v>101</v>
      </c>
      <c r="O70" s="2" t="s">
        <v>164</v>
      </c>
      <c r="P70" t="s">
        <v>2888</v>
      </c>
      <c r="Q70" s="2" t="s">
        <v>105</v>
      </c>
      <c r="R70" s="2" t="s">
        <v>937</v>
      </c>
      <c r="S70" s="2" t="s">
        <v>941</v>
      </c>
      <c r="T70" s="2" t="s">
        <v>1378</v>
      </c>
      <c r="U70" s="150">
        <v>3.681</v>
      </c>
      <c r="V70" s="150">
        <v>878.42399999999998</v>
      </c>
      <c r="W70" s="150">
        <v>3233.4789999999998</v>
      </c>
      <c r="Y70" s="164">
        <v>4.6903411364321398E-2</v>
      </c>
      <c r="Z70" s="164">
        <v>8.5126903095418E-3</v>
      </c>
    </row>
    <row r="71" spans="1:26">
      <c r="A71" s="2" t="s">
        <v>26</v>
      </c>
      <c r="B71" s="2">
        <v>1182</v>
      </c>
      <c r="C71" s="2" t="s">
        <v>2889</v>
      </c>
      <c r="D71" s="2" t="s">
        <v>2890</v>
      </c>
      <c r="E71" s="2" t="s">
        <v>361</v>
      </c>
      <c r="F71" s="2" t="s">
        <v>2891</v>
      </c>
      <c r="G71" s="2">
        <v>62021332</v>
      </c>
      <c r="H71" s="2" t="s">
        <v>34</v>
      </c>
      <c r="I71" s="2" t="s">
        <v>1070</v>
      </c>
      <c r="J71" s="2" t="s">
        <v>888</v>
      </c>
      <c r="K71" s="2" t="s">
        <v>100</v>
      </c>
      <c r="L71" s="2" t="s">
        <v>268</v>
      </c>
      <c r="M71" s="2" t="s">
        <v>101</v>
      </c>
      <c r="N71" s="2" t="s">
        <v>101</v>
      </c>
      <c r="O71" s="2" t="s">
        <v>164</v>
      </c>
      <c r="P71" t="s">
        <v>2892</v>
      </c>
      <c r="Q71" s="2" t="s">
        <v>105</v>
      </c>
      <c r="R71" s="2" t="s">
        <v>937</v>
      </c>
      <c r="S71" s="2" t="s">
        <v>941</v>
      </c>
      <c r="T71" s="2" t="s">
        <v>1378</v>
      </c>
      <c r="U71" s="150">
        <v>3.681</v>
      </c>
      <c r="V71" s="150">
        <v>484.31900000000002</v>
      </c>
      <c r="W71" s="150">
        <v>1782.777</v>
      </c>
      <c r="Y71" s="164">
        <v>2.5860169744221201E-2</v>
      </c>
      <c r="Z71" s="164">
        <v>4.6934670630843301E-3</v>
      </c>
    </row>
    <row r="72" spans="1:26">
      <c r="A72" s="2" t="s">
        <v>26</v>
      </c>
      <c r="B72" s="2">
        <v>1182</v>
      </c>
      <c r="C72" s="2" t="s">
        <v>2893</v>
      </c>
      <c r="D72" s="2" t="s">
        <v>2894</v>
      </c>
      <c r="E72" s="2" t="s">
        <v>361</v>
      </c>
      <c r="F72" s="2" t="s">
        <v>2895</v>
      </c>
      <c r="G72" s="2">
        <v>62021324</v>
      </c>
      <c r="H72" s="2" t="s">
        <v>34</v>
      </c>
      <c r="I72" s="2" t="s">
        <v>1070</v>
      </c>
      <c r="J72" s="2" t="s">
        <v>888</v>
      </c>
      <c r="K72" s="2" t="s">
        <v>100</v>
      </c>
      <c r="L72" s="2" t="s">
        <v>268</v>
      </c>
      <c r="M72" s="2" t="s">
        <v>101</v>
      </c>
      <c r="N72" s="2" t="s">
        <v>101</v>
      </c>
      <c r="O72" s="2" t="s">
        <v>164</v>
      </c>
      <c r="P72" t="s">
        <v>2892</v>
      </c>
      <c r="Q72" s="2" t="s">
        <v>105</v>
      </c>
      <c r="R72" s="2" t="s">
        <v>937</v>
      </c>
      <c r="S72" s="2" t="s">
        <v>941</v>
      </c>
      <c r="T72" s="2" t="s">
        <v>1378</v>
      </c>
      <c r="U72" s="150">
        <v>3.681</v>
      </c>
      <c r="V72" s="150">
        <v>211.678</v>
      </c>
      <c r="W72" s="150">
        <v>779.18700000000001</v>
      </c>
      <c r="Y72" s="164">
        <v>1.13025413493891E-2</v>
      </c>
      <c r="Z72" s="164">
        <v>2.0513440583413301E-3</v>
      </c>
    </row>
    <row r="73" spans="1:26">
      <c r="A73" s="2" t="s">
        <v>26</v>
      </c>
      <c r="B73" s="2">
        <v>1182</v>
      </c>
      <c r="C73" s="2" t="s">
        <v>2896</v>
      </c>
      <c r="D73" s="2" t="s">
        <v>2897</v>
      </c>
      <c r="E73" s="2" t="s">
        <v>362</v>
      </c>
      <c r="F73" s="2" t="s">
        <v>2898</v>
      </c>
      <c r="G73" s="2">
        <v>62021571</v>
      </c>
      <c r="H73" s="2" t="s">
        <v>34</v>
      </c>
      <c r="I73" s="2" t="s">
        <v>1070</v>
      </c>
      <c r="J73" s="2" t="s">
        <v>614</v>
      </c>
      <c r="K73" s="2" t="s">
        <v>100</v>
      </c>
      <c r="L73" s="2" t="s">
        <v>303</v>
      </c>
      <c r="M73" s="2" t="s">
        <v>283</v>
      </c>
      <c r="N73" s="2" t="s">
        <v>343</v>
      </c>
      <c r="O73" s="2" t="s">
        <v>164</v>
      </c>
      <c r="P73" t="s">
        <v>2899</v>
      </c>
      <c r="Q73" s="2" t="s">
        <v>1224</v>
      </c>
      <c r="R73" s="2" t="s">
        <v>204</v>
      </c>
      <c r="S73" s="2" t="s">
        <v>941</v>
      </c>
      <c r="T73" s="2" t="s">
        <v>1378</v>
      </c>
      <c r="U73" s="150">
        <v>3.9790000000000001</v>
      </c>
      <c r="V73" s="150">
        <v>128.626</v>
      </c>
      <c r="W73" s="150">
        <v>511.81700000000001</v>
      </c>
      <c r="Y73" s="164">
        <v>7.42419052682468E-3</v>
      </c>
      <c r="Z73" s="164">
        <v>1.3474464418587601E-3</v>
      </c>
    </row>
    <row r="74" spans="1:26">
      <c r="A74" s="2" t="s">
        <v>26</v>
      </c>
      <c r="B74" s="2">
        <v>1182</v>
      </c>
      <c r="C74" s="2" t="s">
        <v>2900</v>
      </c>
      <c r="D74" s="2" t="s">
        <v>2901</v>
      </c>
      <c r="E74" s="2" t="s">
        <v>361</v>
      </c>
      <c r="F74" s="2" t="s">
        <v>2902</v>
      </c>
      <c r="G74" s="2">
        <v>62019849</v>
      </c>
      <c r="H74" s="2" t="s">
        <v>34</v>
      </c>
      <c r="I74" s="2" t="s">
        <v>1070</v>
      </c>
      <c r="J74" s="2" t="s">
        <v>614</v>
      </c>
      <c r="K74" s="2" t="s">
        <v>100</v>
      </c>
      <c r="L74" s="2" t="s">
        <v>303</v>
      </c>
      <c r="M74" s="2" t="s">
        <v>283</v>
      </c>
      <c r="N74" s="2" t="s">
        <v>101</v>
      </c>
      <c r="O74" s="2" t="s">
        <v>164</v>
      </c>
      <c r="P74" t="s">
        <v>2903</v>
      </c>
      <c r="Q74" s="2" t="s">
        <v>105</v>
      </c>
      <c r="R74" s="2" t="s">
        <v>937</v>
      </c>
      <c r="S74" s="2" t="s">
        <v>941</v>
      </c>
      <c r="T74" s="2" t="s">
        <v>1378</v>
      </c>
      <c r="U74" s="150">
        <v>3.681</v>
      </c>
      <c r="V74" s="150">
        <v>240.97399999999999</v>
      </c>
      <c r="W74" s="150">
        <v>887.024</v>
      </c>
      <c r="Y74" s="164">
        <v>1.2866777006885601E-2</v>
      </c>
      <c r="Z74" s="164">
        <v>2.3352435303856801E-3</v>
      </c>
    </row>
    <row r="75" spans="1:26">
      <c r="A75" s="2" t="s">
        <v>26</v>
      </c>
      <c r="B75" s="2">
        <v>1182</v>
      </c>
      <c r="C75" s="2" t="s">
        <v>2904</v>
      </c>
      <c r="D75" s="2" t="s">
        <v>2905</v>
      </c>
      <c r="E75" s="2" t="s">
        <v>361</v>
      </c>
      <c r="F75" s="2" t="s">
        <v>2906</v>
      </c>
      <c r="G75" s="2">
        <v>62009204</v>
      </c>
      <c r="H75" s="2" t="s">
        <v>34</v>
      </c>
      <c r="I75" s="2" t="s">
        <v>1070</v>
      </c>
      <c r="J75" s="2" t="s">
        <v>878</v>
      </c>
      <c r="K75" s="2" t="s">
        <v>100</v>
      </c>
      <c r="L75" s="2" t="s">
        <v>303</v>
      </c>
      <c r="M75" s="2" t="s">
        <v>283</v>
      </c>
      <c r="N75" s="2" t="s">
        <v>346</v>
      </c>
      <c r="O75" s="2" t="s">
        <v>164</v>
      </c>
      <c r="P75" t="s">
        <v>2907</v>
      </c>
      <c r="Q75" s="2" t="s">
        <v>105</v>
      </c>
      <c r="R75" s="2" t="s">
        <v>204</v>
      </c>
      <c r="S75" s="2" t="s">
        <v>941</v>
      </c>
      <c r="T75" s="2" t="s">
        <v>1378</v>
      </c>
      <c r="U75" s="150">
        <v>3.681</v>
      </c>
      <c r="V75" s="150">
        <v>416.44499999999999</v>
      </c>
      <c r="W75" s="150">
        <v>1532.933</v>
      </c>
      <c r="Y75" s="164">
        <v>2.2236049539890199E-2</v>
      </c>
      <c r="Z75" s="164">
        <v>4.0357107923434197E-3</v>
      </c>
    </row>
    <row r="76" spans="1:26">
      <c r="A76" s="2" t="s">
        <v>26</v>
      </c>
      <c r="B76" s="2">
        <v>1182</v>
      </c>
      <c r="C76" s="2" t="s">
        <v>2908</v>
      </c>
      <c r="D76" s="2" t="s">
        <v>2909</v>
      </c>
      <c r="E76" s="2" t="s">
        <v>361</v>
      </c>
      <c r="F76" s="2" t="s">
        <v>2910</v>
      </c>
      <c r="G76" s="2">
        <v>62019807</v>
      </c>
      <c r="H76" s="2" t="s">
        <v>34</v>
      </c>
      <c r="I76" s="2" t="s">
        <v>1070</v>
      </c>
      <c r="J76" s="2" t="s">
        <v>878</v>
      </c>
      <c r="K76" s="2" t="s">
        <v>100</v>
      </c>
      <c r="L76" s="2" t="s">
        <v>303</v>
      </c>
      <c r="M76" s="2" t="s">
        <v>283</v>
      </c>
      <c r="N76" s="2" t="s">
        <v>346</v>
      </c>
      <c r="O76" s="2" t="s">
        <v>164</v>
      </c>
      <c r="P76" t="s">
        <v>2789</v>
      </c>
      <c r="Q76" s="2" t="s">
        <v>105</v>
      </c>
      <c r="R76" s="2" t="s">
        <v>937</v>
      </c>
      <c r="S76" s="2" t="s">
        <v>941</v>
      </c>
      <c r="T76" s="2" t="s">
        <v>1378</v>
      </c>
      <c r="U76" s="150">
        <v>3.681</v>
      </c>
      <c r="V76" s="150">
        <v>220.80699999999999</v>
      </c>
      <c r="W76" s="150">
        <v>812.79</v>
      </c>
      <c r="Y76" s="164">
        <v>1.17899754511222E-2</v>
      </c>
      <c r="Z76" s="164">
        <v>2.13981044988231E-3</v>
      </c>
    </row>
    <row r="77" spans="1:26">
      <c r="A77" s="2" t="s">
        <v>26</v>
      </c>
      <c r="B77" s="2">
        <v>1182</v>
      </c>
      <c r="C77" s="2" t="s">
        <v>2911</v>
      </c>
      <c r="D77" s="2" t="s">
        <v>2905</v>
      </c>
      <c r="E77" s="2" t="s">
        <v>361</v>
      </c>
      <c r="F77" s="2" t="s">
        <v>2912</v>
      </c>
      <c r="G77" s="2">
        <v>62020615</v>
      </c>
      <c r="H77" s="2" t="s">
        <v>34</v>
      </c>
      <c r="I77" s="2" t="s">
        <v>1070</v>
      </c>
      <c r="J77" s="2" t="s">
        <v>883</v>
      </c>
      <c r="K77" s="2" t="s">
        <v>100</v>
      </c>
      <c r="L77" s="2" t="s">
        <v>303</v>
      </c>
      <c r="M77" s="2" t="s">
        <v>283</v>
      </c>
      <c r="N77" s="2" t="s">
        <v>346</v>
      </c>
      <c r="O77" s="2" t="s">
        <v>164</v>
      </c>
      <c r="P77" t="s">
        <v>2913</v>
      </c>
      <c r="Q77" s="2" t="s">
        <v>105</v>
      </c>
      <c r="R77" s="2" t="s">
        <v>937</v>
      </c>
      <c r="S77" s="2" t="s">
        <v>941</v>
      </c>
      <c r="T77" s="2" t="s">
        <v>1378</v>
      </c>
      <c r="U77" s="150">
        <v>3.681</v>
      </c>
      <c r="V77" s="150">
        <v>261.83800000000002</v>
      </c>
      <c r="W77" s="150">
        <v>963.82600000000002</v>
      </c>
      <c r="Y77" s="164">
        <v>1.3980832731513E-2</v>
      </c>
      <c r="Z77" s="164">
        <v>2.5374380210520802E-3</v>
      </c>
    </row>
    <row r="78" spans="1:26">
      <c r="A78" s="2" t="s">
        <v>26</v>
      </c>
      <c r="B78" s="2">
        <v>1182</v>
      </c>
      <c r="C78" s="2" t="s">
        <v>2914</v>
      </c>
      <c r="D78" s="2" t="s">
        <v>2915</v>
      </c>
      <c r="E78" s="2" t="s">
        <v>361</v>
      </c>
      <c r="F78" s="2" t="s">
        <v>2916</v>
      </c>
      <c r="G78" s="2">
        <v>62020813</v>
      </c>
      <c r="H78" s="2" t="s">
        <v>34</v>
      </c>
      <c r="I78" s="2" t="s">
        <v>1070</v>
      </c>
      <c r="J78" s="2" t="s">
        <v>898</v>
      </c>
      <c r="K78" s="2" t="s">
        <v>100</v>
      </c>
      <c r="L78" s="2" t="s">
        <v>303</v>
      </c>
      <c r="M78" s="2" t="s">
        <v>283</v>
      </c>
      <c r="N78" s="2" t="s">
        <v>346</v>
      </c>
      <c r="O78" s="2" t="s">
        <v>164</v>
      </c>
      <c r="P78" t="s">
        <v>2917</v>
      </c>
      <c r="Q78" s="2" t="s">
        <v>105</v>
      </c>
      <c r="R78" s="2" t="s">
        <v>204</v>
      </c>
      <c r="S78" s="2" t="s">
        <v>941</v>
      </c>
      <c r="T78" s="2" t="s">
        <v>1378</v>
      </c>
      <c r="U78" s="150">
        <v>3.681</v>
      </c>
      <c r="V78" s="150">
        <v>83.781000000000006</v>
      </c>
      <c r="W78" s="150">
        <v>308.399</v>
      </c>
      <c r="Y78" s="164">
        <v>4.4734955136174603E-3</v>
      </c>
      <c r="Z78" s="164">
        <v>8.1191283961741805E-4</v>
      </c>
    </row>
    <row r="79" spans="1:26">
      <c r="A79" s="2" t="s">
        <v>26</v>
      </c>
      <c r="B79" s="2">
        <v>1182</v>
      </c>
      <c r="C79" s="2" t="s">
        <v>2918</v>
      </c>
      <c r="D79" s="2" t="s">
        <v>2919</v>
      </c>
      <c r="E79" s="2" t="s">
        <v>361</v>
      </c>
      <c r="F79" s="2" t="s">
        <v>2920</v>
      </c>
      <c r="G79" s="2">
        <v>62010137</v>
      </c>
      <c r="H79" s="2" t="s">
        <v>34</v>
      </c>
      <c r="I79" s="2" t="s">
        <v>1070</v>
      </c>
      <c r="J79" s="2" t="s">
        <v>898</v>
      </c>
      <c r="K79" s="2" t="s">
        <v>100</v>
      </c>
      <c r="L79" s="2" t="s">
        <v>303</v>
      </c>
      <c r="M79" s="2" t="s">
        <v>283</v>
      </c>
      <c r="N79" s="2" t="s">
        <v>346</v>
      </c>
      <c r="O79" s="2" t="s">
        <v>164</v>
      </c>
      <c r="P79" t="s">
        <v>2921</v>
      </c>
      <c r="Q79" s="2" t="s">
        <v>105</v>
      </c>
      <c r="R79" s="2" t="s">
        <v>937</v>
      </c>
      <c r="S79" s="2" t="s">
        <v>941</v>
      </c>
      <c r="T79" s="2" t="s">
        <v>1378</v>
      </c>
      <c r="U79" s="150">
        <v>3.681</v>
      </c>
      <c r="V79" s="150">
        <v>289.27600000000001</v>
      </c>
      <c r="W79" s="150">
        <v>1064.826</v>
      </c>
      <c r="Y79" s="164">
        <v>1.5445896518631401E-2</v>
      </c>
      <c r="Z79" s="164">
        <v>2.8033383882255999E-3</v>
      </c>
    </row>
    <row r="80" spans="1:26">
      <c r="A80" s="2" t="s">
        <v>26</v>
      </c>
      <c r="B80" s="2">
        <v>1182</v>
      </c>
      <c r="C80" s="2" t="s">
        <v>2922</v>
      </c>
      <c r="D80" s="2" t="s">
        <v>2923</v>
      </c>
      <c r="E80" s="2" t="s">
        <v>34</v>
      </c>
      <c r="F80" s="2" t="s">
        <v>2924</v>
      </c>
      <c r="G80" s="2">
        <v>62006366</v>
      </c>
      <c r="H80" s="2" t="s">
        <v>34</v>
      </c>
      <c r="I80" s="2" t="s">
        <v>1070</v>
      </c>
      <c r="J80" s="2" t="s">
        <v>897</v>
      </c>
      <c r="K80" s="2" t="s">
        <v>100</v>
      </c>
      <c r="L80" s="2" t="s">
        <v>31</v>
      </c>
      <c r="M80" s="2" t="s">
        <v>31</v>
      </c>
      <c r="N80" s="2" t="s">
        <v>101</v>
      </c>
      <c r="O80" s="2" t="s">
        <v>164</v>
      </c>
      <c r="P80" t="s">
        <v>2925</v>
      </c>
      <c r="Q80" s="2" t="s">
        <v>105</v>
      </c>
      <c r="R80" s="2" t="s">
        <v>937</v>
      </c>
      <c r="S80" s="2" t="s">
        <v>941</v>
      </c>
      <c r="T80" s="2" t="s">
        <v>1378</v>
      </c>
      <c r="U80" s="150">
        <v>3.681</v>
      </c>
      <c r="V80" s="150">
        <v>49.375</v>
      </c>
      <c r="W80" s="150">
        <v>181.749</v>
      </c>
      <c r="Y80" s="164">
        <v>2.6363769440586101E-3</v>
      </c>
      <c r="Z80" s="164">
        <v>4.7848674139422702E-4</v>
      </c>
    </row>
    <row r="81" spans="1:26">
      <c r="A81" s="2" t="s">
        <v>26</v>
      </c>
      <c r="B81" s="2">
        <v>1182</v>
      </c>
      <c r="C81" s="2" t="s">
        <v>2926</v>
      </c>
      <c r="D81" s="2" t="s">
        <v>2927</v>
      </c>
      <c r="E81" s="2" t="s">
        <v>361</v>
      </c>
      <c r="F81" s="2" t="s">
        <v>2928</v>
      </c>
      <c r="G81" s="2">
        <v>62018387</v>
      </c>
      <c r="H81" s="2" t="s">
        <v>34</v>
      </c>
      <c r="I81" s="2" t="s">
        <v>1070</v>
      </c>
      <c r="J81" s="2" t="s">
        <v>896</v>
      </c>
      <c r="K81" s="2" t="s">
        <v>100</v>
      </c>
      <c r="L81" s="2" t="s">
        <v>268</v>
      </c>
      <c r="M81" s="2" t="s">
        <v>339</v>
      </c>
      <c r="N81" s="2" t="s">
        <v>101</v>
      </c>
      <c r="O81" s="2" t="s">
        <v>164</v>
      </c>
      <c r="P81" t="s">
        <v>2929</v>
      </c>
      <c r="Q81" s="2" t="s">
        <v>105</v>
      </c>
      <c r="R81" s="2" t="s">
        <v>937</v>
      </c>
      <c r="S81" s="2" t="s">
        <v>941</v>
      </c>
      <c r="T81" s="2" t="s">
        <v>1378</v>
      </c>
      <c r="U81" s="150">
        <v>3.681</v>
      </c>
      <c r="V81" s="150">
        <v>144.36000000000001</v>
      </c>
      <c r="W81" s="150">
        <v>531.38900000000001</v>
      </c>
      <c r="Y81" s="164">
        <v>7.7080966296371803E-3</v>
      </c>
      <c r="Z81" s="164">
        <v>1.3989737116229799E-3</v>
      </c>
    </row>
    <row r="82" spans="1:26">
      <c r="A82" s="2" t="s">
        <v>26</v>
      </c>
      <c r="B82" s="2">
        <v>1182</v>
      </c>
      <c r="C82" s="2" t="s">
        <v>2930</v>
      </c>
      <c r="D82" s="2" t="s">
        <v>2931</v>
      </c>
      <c r="E82" s="2" t="s">
        <v>362</v>
      </c>
      <c r="F82" s="2" t="s">
        <v>2932</v>
      </c>
      <c r="G82" s="2">
        <v>62018551</v>
      </c>
      <c r="H82" s="2" t="s">
        <v>34</v>
      </c>
      <c r="I82" s="2" t="s">
        <v>1070</v>
      </c>
      <c r="J82" s="2" t="s">
        <v>896</v>
      </c>
      <c r="K82" s="2" t="s">
        <v>100</v>
      </c>
      <c r="L82" s="2" t="s">
        <v>303</v>
      </c>
      <c r="M82" s="2" t="s">
        <v>337</v>
      </c>
      <c r="N82" s="2" t="s">
        <v>339</v>
      </c>
      <c r="O82" s="2" t="s">
        <v>164</v>
      </c>
      <c r="P82" t="s">
        <v>2933</v>
      </c>
      <c r="Q82" s="2" t="s">
        <v>105</v>
      </c>
      <c r="R82" s="2" t="s">
        <v>937</v>
      </c>
      <c r="S82" s="2" t="s">
        <v>941</v>
      </c>
      <c r="T82" s="2" t="s">
        <v>1378</v>
      </c>
      <c r="U82" s="150">
        <v>3.681</v>
      </c>
      <c r="V82" s="150">
        <v>352.822</v>
      </c>
      <c r="W82" s="150">
        <v>1298.7360000000001</v>
      </c>
      <c r="Y82" s="164">
        <v>1.8838891701217601E-2</v>
      </c>
      <c r="Z82" s="164">
        <v>3.4191468416187101E-3</v>
      </c>
    </row>
    <row r="83" spans="1:26">
      <c r="A83" s="2" t="s">
        <v>26</v>
      </c>
      <c r="B83" s="2">
        <v>1182</v>
      </c>
      <c r="C83" s="2" t="s">
        <v>2934</v>
      </c>
      <c r="D83" s="2" t="s">
        <v>2935</v>
      </c>
      <c r="E83" s="2" t="s">
        <v>362</v>
      </c>
      <c r="F83" s="2" t="s">
        <v>2936</v>
      </c>
      <c r="G83" s="2">
        <v>62020169</v>
      </c>
      <c r="H83" s="2" t="s">
        <v>34</v>
      </c>
      <c r="I83" s="2" t="s">
        <v>1070</v>
      </c>
      <c r="J83" s="2" t="s">
        <v>898</v>
      </c>
      <c r="K83" s="2" t="s">
        <v>100</v>
      </c>
      <c r="L83" s="2" t="s">
        <v>303</v>
      </c>
      <c r="M83" s="2" t="s">
        <v>337</v>
      </c>
      <c r="N83" s="2" t="s">
        <v>346</v>
      </c>
      <c r="O83" s="2" t="s">
        <v>164</v>
      </c>
      <c r="P83" t="s">
        <v>2937</v>
      </c>
      <c r="Q83" s="2" t="s">
        <v>105</v>
      </c>
      <c r="R83" s="2" t="s">
        <v>937</v>
      </c>
      <c r="S83" s="2" t="s">
        <v>941</v>
      </c>
      <c r="T83" s="2" t="s">
        <v>1378</v>
      </c>
      <c r="U83" s="150">
        <v>3.681</v>
      </c>
      <c r="V83" s="150">
        <v>333.34899999999999</v>
      </c>
      <c r="W83" s="150">
        <v>1227.056</v>
      </c>
      <c r="Y83" s="164">
        <v>1.7799129029096299E-2</v>
      </c>
      <c r="Z83" s="164">
        <v>3.2304360982904901E-3</v>
      </c>
    </row>
    <row r="84" spans="1:26">
      <c r="A84" s="2" t="s">
        <v>26</v>
      </c>
      <c r="B84" s="2">
        <v>1182</v>
      </c>
      <c r="C84" s="2" t="s">
        <v>2938</v>
      </c>
      <c r="D84" s="2" t="s">
        <v>2939</v>
      </c>
      <c r="E84" s="2" t="s">
        <v>204</v>
      </c>
      <c r="F84" s="2" t="s">
        <v>2940</v>
      </c>
      <c r="G84" s="2">
        <v>62020995</v>
      </c>
      <c r="H84" s="2" t="s">
        <v>34</v>
      </c>
      <c r="I84" s="2" t="s">
        <v>1070</v>
      </c>
      <c r="J84" s="2" t="s">
        <v>877</v>
      </c>
      <c r="K84" s="2" t="s">
        <v>100</v>
      </c>
      <c r="L84" s="2" t="s">
        <v>101</v>
      </c>
      <c r="M84" s="2" t="s">
        <v>31</v>
      </c>
      <c r="N84" s="2" t="s">
        <v>101</v>
      </c>
      <c r="O84" s="2" t="s">
        <v>164</v>
      </c>
      <c r="P84" t="s">
        <v>2941</v>
      </c>
      <c r="Q84" s="2" t="s">
        <v>105</v>
      </c>
      <c r="R84" s="2" t="s">
        <v>937</v>
      </c>
      <c r="S84" s="2" t="s">
        <v>941</v>
      </c>
      <c r="T84" s="2" t="s">
        <v>1378</v>
      </c>
      <c r="U84" s="150">
        <v>3.681</v>
      </c>
      <c r="V84" s="150">
        <v>29.356999999999999</v>
      </c>
      <c r="W84" s="150">
        <v>108.062</v>
      </c>
      <c r="Y84" s="164">
        <v>1.5675054376199299E-3</v>
      </c>
      <c r="Z84" s="164">
        <v>2.8449291769706001E-4</v>
      </c>
    </row>
    <row r="85" spans="1:26">
      <c r="A85" s="2" t="s">
        <v>128</v>
      </c>
      <c r="B85" s="2">
        <v>7228</v>
      </c>
      <c r="C85" s="2" t="s">
        <v>2942</v>
      </c>
      <c r="D85" s="2" t="s">
        <v>2943</v>
      </c>
      <c r="E85" s="2" t="s">
        <v>1380</v>
      </c>
      <c r="F85" s="2" t="s">
        <v>2944</v>
      </c>
      <c r="G85" s="2">
        <v>9840847</v>
      </c>
      <c r="H85" s="2" t="s">
        <v>34</v>
      </c>
      <c r="I85" s="2" t="s">
        <v>1070</v>
      </c>
      <c r="J85" s="2" t="s">
        <v>877</v>
      </c>
      <c r="K85" s="2" t="s">
        <v>31</v>
      </c>
      <c r="L85" s="2" t="s">
        <v>31</v>
      </c>
      <c r="M85" s="2" t="s">
        <v>31</v>
      </c>
      <c r="N85" s="2" t="s">
        <v>31</v>
      </c>
      <c r="O85" s="2" t="s">
        <v>164</v>
      </c>
      <c r="P85" t="s">
        <v>2704</v>
      </c>
      <c r="Q85" s="2" t="s">
        <v>105</v>
      </c>
      <c r="R85" s="2" t="s">
        <v>937</v>
      </c>
      <c r="S85" s="2" t="s">
        <v>941</v>
      </c>
      <c r="T85" s="2" t="s">
        <v>1378</v>
      </c>
      <c r="U85" s="150">
        <v>3.681</v>
      </c>
      <c r="V85" s="150">
        <v>19.138000000000002</v>
      </c>
      <c r="W85" s="150">
        <v>70.447000000000003</v>
      </c>
      <c r="Y85" s="164">
        <v>1.6398087933935999E-4</v>
      </c>
      <c r="Z85" s="164">
        <v>3.03982543679711E-5</v>
      </c>
    </row>
    <row r="86" spans="1:26">
      <c r="A86" s="2" t="s">
        <v>128</v>
      </c>
      <c r="B86" s="2">
        <v>7228</v>
      </c>
      <c r="C86" s="2" t="s">
        <v>2945</v>
      </c>
      <c r="D86" s="2" t="s">
        <v>2946</v>
      </c>
      <c r="E86" s="2" t="s">
        <v>1380</v>
      </c>
      <c r="F86" s="2" t="s">
        <v>2947</v>
      </c>
      <c r="G86" s="2">
        <v>9840848</v>
      </c>
      <c r="H86" s="2" t="s">
        <v>34</v>
      </c>
      <c r="I86" s="2" t="s">
        <v>1070</v>
      </c>
      <c r="J86" s="2" t="s">
        <v>896</v>
      </c>
      <c r="K86" s="2" t="s">
        <v>31</v>
      </c>
      <c r="L86" s="2" t="s">
        <v>31</v>
      </c>
      <c r="M86" s="2" t="s">
        <v>31</v>
      </c>
      <c r="N86" s="2" t="s">
        <v>31</v>
      </c>
      <c r="O86" s="2" t="s">
        <v>164</v>
      </c>
      <c r="P86" t="s">
        <v>2704</v>
      </c>
      <c r="Q86" s="2" t="s">
        <v>105</v>
      </c>
      <c r="R86" s="2" t="s">
        <v>937</v>
      </c>
      <c r="S86" s="2" t="s">
        <v>941</v>
      </c>
      <c r="T86" s="2" t="s">
        <v>1378</v>
      </c>
      <c r="U86" s="150">
        <v>3.681</v>
      </c>
      <c r="V86" s="150">
        <v>0.93200000000000005</v>
      </c>
      <c r="W86" s="150">
        <v>3.431</v>
      </c>
      <c r="Y86" s="164">
        <v>7.9856589346623704E-6</v>
      </c>
      <c r="Z86" s="164">
        <v>1.4803560791337999E-6</v>
      </c>
    </row>
    <row r="87" spans="1:26">
      <c r="A87" s="2" t="s">
        <v>128</v>
      </c>
      <c r="B87" s="2">
        <v>7228</v>
      </c>
      <c r="C87" s="2" t="s">
        <v>2658</v>
      </c>
      <c r="D87" s="2" t="s">
        <v>2659</v>
      </c>
      <c r="E87" s="2" t="s">
        <v>204</v>
      </c>
      <c r="F87" s="2" t="s">
        <v>2660</v>
      </c>
      <c r="G87" s="2">
        <v>50007566</v>
      </c>
      <c r="H87" s="2" t="s">
        <v>34</v>
      </c>
      <c r="I87" s="2" t="s">
        <v>1070</v>
      </c>
      <c r="J87" s="2" t="s">
        <v>885</v>
      </c>
      <c r="K87" s="2" t="s">
        <v>31</v>
      </c>
      <c r="L87" s="2" t="s">
        <v>31</v>
      </c>
      <c r="M87" s="2" t="s">
        <v>31</v>
      </c>
      <c r="N87" s="2" t="s">
        <v>31</v>
      </c>
      <c r="O87" s="2" t="s">
        <v>164</v>
      </c>
      <c r="P87" t="s">
        <v>2661</v>
      </c>
      <c r="Q87" s="2" t="s">
        <v>35</v>
      </c>
      <c r="R87" s="2" t="s">
        <v>937</v>
      </c>
      <c r="S87" s="2" t="s">
        <v>941</v>
      </c>
      <c r="T87" s="2" t="s">
        <v>1378</v>
      </c>
      <c r="U87" s="150">
        <v>1</v>
      </c>
      <c r="V87" s="150">
        <v>1482.7</v>
      </c>
      <c r="W87" s="150">
        <v>1482.7</v>
      </c>
      <c r="Y87" s="164">
        <v>3.45129611442032E-3</v>
      </c>
      <c r="Z87" s="164">
        <v>6.3979030730906199E-4</v>
      </c>
    </row>
    <row r="88" spans="1:26">
      <c r="A88" s="2" t="s">
        <v>128</v>
      </c>
      <c r="B88" s="2">
        <v>7228</v>
      </c>
      <c r="C88" s="2" t="s">
        <v>2662</v>
      </c>
      <c r="D88" s="2" t="s">
        <v>2663</v>
      </c>
      <c r="E88" s="2" t="s">
        <v>360</v>
      </c>
      <c r="F88" s="2" t="s">
        <v>2664</v>
      </c>
      <c r="G88" s="2">
        <v>62018312</v>
      </c>
      <c r="H88" s="2" t="s">
        <v>34</v>
      </c>
      <c r="I88" s="2" t="s">
        <v>1070</v>
      </c>
      <c r="J88" s="2" t="s">
        <v>614</v>
      </c>
      <c r="K88" s="2" t="s">
        <v>31</v>
      </c>
      <c r="L88" s="2" t="s">
        <v>31</v>
      </c>
      <c r="M88" s="2" t="s">
        <v>31</v>
      </c>
      <c r="N88" s="2" t="s">
        <v>31</v>
      </c>
      <c r="O88" s="2" t="s">
        <v>164</v>
      </c>
      <c r="P88" t="s">
        <v>2665</v>
      </c>
      <c r="Q88" s="2" t="s">
        <v>105</v>
      </c>
      <c r="R88" s="2" t="s">
        <v>937</v>
      </c>
      <c r="S88" s="2" t="s">
        <v>941</v>
      </c>
      <c r="T88" s="2" t="s">
        <v>1378</v>
      </c>
      <c r="U88" s="150">
        <v>3.681</v>
      </c>
      <c r="V88" s="150">
        <v>805.44</v>
      </c>
      <c r="W88" s="150">
        <v>2964.8240000000001</v>
      </c>
      <c r="Y88" s="164">
        <v>6.9012523774424003E-3</v>
      </c>
      <c r="Z88" s="164">
        <v>1.2793322372232499E-3</v>
      </c>
    </row>
    <row r="89" spans="1:26">
      <c r="A89" s="2" t="s">
        <v>128</v>
      </c>
      <c r="B89" s="2">
        <v>7228</v>
      </c>
      <c r="C89" s="2" t="s">
        <v>2662</v>
      </c>
      <c r="D89" s="2" t="s">
        <v>2663</v>
      </c>
      <c r="E89" s="2" t="s">
        <v>360</v>
      </c>
      <c r="F89" s="2" t="s">
        <v>2948</v>
      </c>
      <c r="G89" s="2">
        <v>60305448</v>
      </c>
      <c r="H89" s="2" t="s">
        <v>34</v>
      </c>
      <c r="I89" s="2" t="s">
        <v>1070</v>
      </c>
      <c r="J89" s="2" t="s">
        <v>614</v>
      </c>
      <c r="K89" s="2" t="s">
        <v>31</v>
      </c>
      <c r="L89" s="2" t="s">
        <v>31</v>
      </c>
      <c r="M89" s="2" t="s">
        <v>31</v>
      </c>
      <c r="N89" s="2" t="s">
        <v>31</v>
      </c>
      <c r="O89" s="2" t="s">
        <v>164</v>
      </c>
      <c r="P89" t="s">
        <v>2704</v>
      </c>
      <c r="Q89" s="2" t="s">
        <v>105</v>
      </c>
      <c r="R89" s="2" t="s">
        <v>204</v>
      </c>
      <c r="S89" s="2" t="s">
        <v>941</v>
      </c>
      <c r="T89" s="2" t="s">
        <v>1378</v>
      </c>
      <c r="U89" s="150">
        <v>3.681</v>
      </c>
      <c r="V89" s="150">
        <v>735.24599999999998</v>
      </c>
      <c r="W89" s="150">
        <v>2706.4389999999999</v>
      </c>
      <c r="Y89" s="164">
        <v>6.2998076022496704E-3</v>
      </c>
      <c r="Z89" s="164">
        <v>1.1678383158694201E-3</v>
      </c>
    </row>
    <row r="90" spans="1:26">
      <c r="A90" s="2" t="s">
        <v>128</v>
      </c>
      <c r="B90" s="2">
        <v>7228</v>
      </c>
      <c r="C90" s="2" t="s">
        <v>2666</v>
      </c>
      <c r="D90" s="2" t="s">
        <v>2667</v>
      </c>
      <c r="E90" s="2" t="s">
        <v>34</v>
      </c>
      <c r="F90" s="2" t="s">
        <v>2668</v>
      </c>
      <c r="G90" s="2">
        <v>60390093</v>
      </c>
      <c r="H90" s="2" t="s">
        <v>34</v>
      </c>
      <c r="I90" s="2" t="s">
        <v>1070</v>
      </c>
      <c r="J90" s="2" t="s">
        <v>878</v>
      </c>
      <c r="K90" s="2" t="s">
        <v>100</v>
      </c>
      <c r="L90" s="2" t="s">
        <v>268</v>
      </c>
      <c r="M90" s="2" t="s">
        <v>31</v>
      </c>
      <c r="N90" s="2" t="s">
        <v>31</v>
      </c>
      <c r="O90" s="2" t="s">
        <v>164</v>
      </c>
      <c r="P90" t="s">
        <v>2669</v>
      </c>
      <c r="Q90" s="2" t="s">
        <v>105</v>
      </c>
      <c r="R90" s="2" t="s">
        <v>937</v>
      </c>
      <c r="S90" s="2" t="s">
        <v>941</v>
      </c>
      <c r="T90" s="2" t="s">
        <v>1378</v>
      </c>
      <c r="U90" s="150">
        <v>3.681</v>
      </c>
      <c r="V90" s="150">
        <v>614.71400000000006</v>
      </c>
      <c r="W90" s="150">
        <v>2262.7640000000001</v>
      </c>
      <c r="Y90" s="164">
        <v>5.2670595929459399E-3</v>
      </c>
      <c r="Z90" s="164">
        <v>9.7639077142820695E-4</v>
      </c>
    </row>
    <row r="91" spans="1:26">
      <c r="A91" s="2" t="s">
        <v>128</v>
      </c>
      <c r="B91" s="2">
        <v>7228</v>
      </c>
      <c r="C91" s="2" t="s">
        <v>2666</v>
      </c>
      <c r="D91" s="2" t="s">
        <v>2667</v>
      </c>
      <c r="E91" s="2" t="s">
        <v>34</v>
      </c>
      <c r="F91" s="2" t="s">
        <v>2670</v>
      </c>
      <c r="G91" s="2">
        <v>62019724</v>
      </c>
      <c r="H91" s="2" t="s">
        <v>34</v>
      </c>
      <c r="I91" s="2" t="s">
        <v>1070</v>
      </c>
      <c r="J91" s="2" t="s">
        <v>878</v>
      </c>
      <c r="K91" s="2" t="s">
        <v>100</v>
      </c>
      <c r="L91" s="2" t="s">
        <v>268</v>
      </c>
      <c r="M91" s="2" t="s">
        <v>31</v>
      </c>
      <c r="N91" s="2" t="s">
        <v>31</v>
      </c>
      <c r="O91" s="2" t="s">
        <v>164</v>
      </c>
      <c r="P91" t="s">
        <v>2671</v>
      </c>
      <c r="Q91" s="2" t="s">
        <v>105</v>
      </c>
      <c r="R91" s="2" t="s">
        <v>937</v>
      </c>
      <c r="S91" s="2" t="s">
        <v>941</v>
      </c>
      <c r="T91" s="2" t="s">
        <v>1378</v>
      </c>
      <c r="U91" s="150">
        <v>3.681</v>
      </c>
      <c r="V91" s="150">
        <v>526.59199999999998</v>
      </c>
      <c r="W91" s="150">
        <v>1938.386</v>
      </c>
      <c r="Y91" s="164">
        <v>4.5120016428852102E-3</v>
      </c>
      <c r="Z91" s="164">
        <v>8.3642052781825096E-4</v>
      </c>
    </row>
    <row r="92" spans="1:26">
      <c r="A92" s="2" t="s">
        <v>128</v>
      </c>
      <c r="B92" s="2">
        <v>7228</v>
      </c>
      <c r="C92" s="2" t="s">
        <v>2666</v>
      </c>
      <c r="D92" s="2" t="s">
        <v>2667</v>
      </c>
      <c r="E92" s="2" t="s">
        <v>34</v>
      </c>
      <c r="F92" s="2" t="s">
        <v>2672</v>
      </c>
      <c r="G92" s="2">
        <v>62000563</v>
      </c>
      <c r="H92" s="2" t="s">
        <v>34</v>
      </c>
      <c r="I92" s="2" t="s">
        <v>1070</v>
      </c>
      <c r="J92" s="2" t="s">
        <v>878</v>
      </c>
      <c r="K92" s="2" t="s">
        <v>100</v>
      </c>
      <c r="L92" s="2" t="s">
        <v>268</v>
      </c>
      <c r="M92" s="2" t="s">
        <v>31</v>
      </c>
      <c r="N92" s="2" t="s">
        <v>31</v>
      </c>
      <c r="O92" s="2" t="s">
        <v>164</v>
      </c>
      <c r="P92" t="s">
        <v>2673</v>
      </c>
      <c r="Q92" s="2" t="s">
        <v>105</v>
      </c>
      <c r="R92" s="2" t="s">
        <v>937</v>
      </c>
      <c r="S92" s="2" t="s">
        <v>941</v>
      </c>
      <c r="T92" s="2" t="s">
        <v>1378</v>
      </c>
      <c r="U92" s="150">
        <v>3.681</v>
      </c>
      <c r="V92" s="150">
        <v>610.10400000000004</v>
      </c>
      <c r="W92" s="150">
        <v>2245.7939999999999</v>
      </c>
      <c r="Y92" s="164">
        <v>5.2275580533427098E-3</v>
      </c>
      <c r="Z92" s="164">
        <v>9.69068101531429E-4</v>
      </c>
    </row>
    <row r="93" spans="1:26">
      <c r="A93" s="2" t="s">
        <v>128</v>
      </c>
      <c r="B93" s="2">
        <v>7228</v>
      </c>
      <c r="C93" s="2" t="s">
        <v>2674</v>
      </c>
      <c r="D93" s="2" t="s">
        <v>2675</v>
      </c>
      <c r="E93" s="2" t="s">
        <v>34</v>
      </c>
      <c r="F93" s="2" t="s">
        <v>2676</v>
      </c>
      <c r="G93" s="2">
        <v>77419109</v>
      </c>
      <c r="H93" s="2" t="s">
        <v>34</v>
      </c>
      <c r="I93" s="2" t="s">
        <v>1072</v>
      </c>
      <c r="J93" s="2" t="s">
        <v>614</v>
      </c>
      <c r="K93" s="2" t="s">
        <v>31</v>
      </c>
      <c r="L93" s="2" t="s">
        <v>268</v>
      </c>
      <c r="M93" s="2" t="s">
        <v>31</v>
      </c>
      <c r="N93" s="2" t="s">
        <v>31</v>
      </c>
      <c r="O93" s="2" t="s">
        <v>164</v>
      </c>
      <c r="P93" t="s">
        <v>2677</v>
      </c>
      <c r="Q93" s="2" t="s">
        <v>105</v>
      </c>
      <c r="R93" s="2" t="s">
        <v>204</v>
      </c>
      <c r="S93" s="2" t="s">
        <v>941</v>
      </c>
      <c r="T93" s="2" t="s">
        <v>1378</v>
      </c>
      <c r="U93" s="150">
        <v>3.681</v>
      </c>
      <c r="V93" s="150">
        <v>1756.9559999999999</v>
      </c>
      <c r="W93" s="150">
        <v>6467.3540000000003</v>
      </c>
      <c r="Y93" s="164">
        <v>1.50541291903561E-2</v>
      </c>
      <c r="Z93" s="164">
        <v>2.79068663529787E-3</v>
      </c>
    </row>
    <row r="94" spans="1:26">
      <c r="A94" s="2" t="s">
        <v>128</v>
      </c>
      <c r="B94" s="2">
        <v>7228</v>
      </c>
      <c r="C94" s="2" t="s">
        <v>2678</v>
      </c>
      <c r="D94" s="2" t="s">
        <v>2679</v>
      </c>
      <c r="E94" s="2" t="s">
        <v>361</v>
      </c>
      <c r="F94" s="2" t="s">
        <v>2680</v>
      </c>
      <c r="G94" s="2">
        <v>60415775</v>
      </c>
      <c r="H94" s="2" t="s">
        <v>34</v>
      </c>
      <c r="I94" s="2" t="s">
        <v>1070</v>
      </c>
      <c r="J94" s="2" t="s">
        <v>883</v>
      </c>
      <c r="K94" s="2" t="s">
        <v>100</v>
      </c>
      <c r="L94" s="2" t="s">
        <v>268</v>
      </c>
      <c r="M94" s="2" t="s">
        <v>31</v>
      </c>
      <c r="N94" s="2" t="s">
        <v>31</v>
      </c>
      <c r="O94" s="2" t="s">
        <v>164</v>
      </c>
      <c r="P94" t="s">
        <v>2681</v>
      </c>
      <c r="Q94" s="2" t="s">
        <v>105</v>
      </c>
      <c r="R94" s="2" t="s">
        <v>937</v>
      </c>
      <c r="S94" s="2" t="s">
        <v>941</v>
      </c>
      <c r="T94" s="2" t="s">
        <v>1378</v>
      </c>
      <c r="U94" s="150">
        <v>3.681</v>
      </c>
      <c r="V94" s="150">
        <v>1077.547</v>
      </c>
      <c r="W94" s="150">
        <v>3966.451</v>
      </c>
      <c r="Y94" s="164">
        <v>9.2327498155242802E-3</v>
      </c>
      <c r="Z94" s="164">
        <v>1.7115378240369001E-3</v>
      </c>
    </row>
    <row r="95" spans="1:26">
      <c r="A95" s="2" t="s">
        <v>128</v>
      </c>
      <c r="B95" s="2">
        <v>7228</v>
      </c>
      <c r="C95" s="2" t="s">
        <v>2949</v>
      </c>
      <c r="D95" s="2" t="s">
        <v>2950</v>
      </c>
      <c r="E95" s="2" t="s">
        <v>34</v>
      </c>
      <c r="F95" s="2" t="s">
        <v>2951</v>
      </c>
      <c r="G95" s="2">
        <v>60283439</v>
      </c>
      <c r="H95" s="2" t="s">
        <v>34</v>
      </c>
      <c r="I95" s="2" t="s">
        <v>1070</v>
      </c>
      <c r="J95" s="2" t="s">
        <v>883</v>
      </c>
      <c r="K95" s="2" t="s">
        <v>100</v>
      </c>
      <c r="L95" s="2" t="s">
        <v>303</v>
      </c>
      <c r="M95" s="2" t="s">
        <v>303</v>
      </c>
      <c r="N95" s="2" t="s">
        <v>343</v>
      </c>
      <c r="O95" s="2" t="s">
        <v>164</v>
      </c>
      <c r="P95" t="s">
        <v>2704</v>
      </c>
      <c r="Q95" s="2" t="s">
        <v>105</v>
      </c>
      <c r="R95" s="2" t="s">
        <v>937</v>
      </c>
      <c r="S95" s="2" t="s">
        <v>941</v>
      </c>
      <c r="T95" s="2" t="s">
        <v>1378</v>
      </c>
      <c r="U95" s="150">
        <v>3.681</v>
      </c>
      <c r="V95" s="150">
        <v>126.17100000000001</v>
      </c>
      <c r="W95" s="150">
        <v>464.43400000000003</v>
      </c>
      <c r="Y95" s="164">
        <v>1.08106757499868E-3</v>
      </c>
      <c r="Z95" s="164">
        <v>2.00404871995875E-4</v>
      </c>
    </row>
    <row r="96" spans="1:26">
      <c r="A96" s="2" t="s">
        <v>128</v>
      </c>
      <c r="B96" s="2">
        <v>7228</v>
      </c>
      <c r="C96" s="2" t="s">
        <v>2682</v>
      </c>
      <c r="D96" s="2" t="s">
        <v>2683</v>
      </c>
      <c r="E96" s="2" t="s">
        <v>34</v>
      </c>
      <c r="F96" s="2" t="s">
        <v>2684</v>
      </c>
      <c r="G96" s="2">
        <v>62017538</v>
      </c>
      <c r="H96" s="2" t="s">
        <v>34</v>
      </c>
      <c r="I96" s="2" t="s">
        <v>1070</v>
      </c>
      <c r="J96" s="2" t="s">
        <v>883</v>
      </c>
      <c r="K96" s="2" t="s">
        <v>31</v>
      </c>
      <c r="L96" s="2" t="s">
        <v>31</v>
      </c>
      <c r="M96" s="2" t="s">
        <v>31</v>
      </c>
      <c r="N96" s="2" t="s">
        <v>31</v>
      </c>
      <c r="O96" s="2" t="s">
        <v>164</v>
      </c>
      <c r="P96" t="s">
        <v>2685</v>
      </c>
      <c r="Q96" s="2" t="s">
        <v>105</v>
      </c>
      <c r="R96" s="2" t="s">
        <v>204</v>
      </c>
      <c r="S96" s="2" t="s">
        <v>941</v>
      </c>
      <c r="T96" s="2" t="s">
        <v>1378</v>
      </c>
      <c r="U96" s="150">
        <v>3.681</v>
      </c>
      <c r="V96" s="150">
        <v>3188.2530000000002</v>
      </c>
      <c r="W96" s="150">
        <v>11735.958000000001</v>
      </c>
      <c r="Y96" s="164">
        <v>2.73179165027649E-2</v>
      </c>
      <c r="Z96" s="164">
        <v>5.0641085594832604E-3</v>
      </c>
    </row>
    <row r="97" spans="1:26">
      <c r="A97" s="2" t="s">
        <v>128</v>
      </c>
      <c r="B97" s="2">
        <v>7228</v>
      </c>
      <c r="C97" s="2" t="s">
        <v>2686</v>
      </c>
      <c r="D97" s="2" t="s">
        <v>2687</v>
      </c>
      <c r="E97" s="2" t="s">
        <v>34</v>
      </c>
      <c r="F97" s="2" t="s">
        <v>2688</v>
      </c>
      <c r="G97" s="2">
        <v>62001189</v>
      </c>
      <c r="H97" s="2" t="s">
        <v>34</v>
      </c>
      <c r="I97" s="2" t="s">
        <v>1070</v>
      </c>
      <c r="J97" s="2" t="s">
        <v>898</v>
      </c>
      <c r="K97" s="2" t="s">
        <v>31</v>
      </c>
      <c r="L97" s="2" t="s">
        <v>268</v>
      </c>
      <c r="M97" s="2" t="s">
        <v>31</v>
      </c>
      <c r="N97" s="2" t="s">
        <v>31</v>
      </c>
      <c r="O97" s="2" t="s">
        <v>164</v>
      </c>
      <c r="P97" t="s">
        <v>2689</v>
      </c>
      <c r="Q97" s="2" t="s">
        <v>105</v>
      </c>
      <c r="R97" s="2" t="s">
        <v>937</v>
      </c>
      <c r="S97" s="2" t="s">
        <v>941</v>
      </c>
      <c r="T97" s="2" t="s">
        <v>1378</v>
      </c>
      <c r="U97" s="150">
        <v>3.681</v>
      </c>
      <c r="V97" s="150">
        <v>646.88699999999994</v>
      </c>
      <c r="W97" s="150">
        <v>2381.192</v>
      </c>
      <c r="Y97" s="164">
        <v>5.5427253516456597E-3</v>
      </c>
      <c r="Z97" s="164">
        <v>1.0274928138568999E-3</v>
      </c>
    </row>
    <row r="98" spans="1:26">
      <c r="A98" s="2" t="s">
        <v>128</v>
      </c>
      <c r="B98" s="2">
        <v>7228</v>
      </c>
      <c r="C98" s="2" t="s">
        <v>2952</v>
      </c>
      <c r="D98" s="2" t="s">
        <v>2953</v>
      </c>
      <c r="E98" s="2" t="s">
        <v>34</v>
      </c>
      <c r="F98" s="2" t="s">
        <v>2954</v>
      </c>
      <c r="G98" s="2">
        <v>9840793</v>
      </c>
      <c r="H98" s="2" t="s">
        <v>34</v>
      </c>
      <c r="I98" s="2" t="s">
        <v>1070</v>
      </c>
      <c r="J98" s="2" t="s">
        <v>897</v>
      </c>
      <c r="K98" s="2" t="s">
        <v>100</v>
      </c>
      <c r="L98" s="2" t="s">
        <v>268</v>
      </c>
      <c r="M98" s="2" t="s">
        <v>31</v>
      </c>
      <c r="N98" s="2" t="s">
        <v>31</v>
      </c>
      <c r="O98" s="2" t="s">
        <v>164</v>
      </c>
      <c r="P98" t="s">
        <v>2704</v>
      </c>
      <c r="Q98" s="2" t="s">
        <v>105</v>
      </c>
      <c r="R98" s="2" t="s">
        <v>937</v>
      </c>
      <c r="S98" s="2" t="s">
        <v>941</v>
      </c>
      <c r="T98" s="2" t="s">
        <v>1378</v>
      </c>
      <c r="U98" s="150">
        <v>3.681</v>
      </c>
      <c r="V98" s="150">
        <v>29.169</v>
      </c>
      <c r="W98" s="150">
        <v>107.372</v>
      </c>
      <c r="Y98" s="164">
        <v>2.4993056072634501E-4</v>
      </c>
      <c r="Z98" s="164">
        <v>4.6331333201147799E-5</v>
      </c>
    </row>
    <row r="99" spans="1:26">
      <c r="A99" s="2" t="s">
        <v>128</v>
      </c>
      <c r="B99" s="2">
        <v>7228</v>
      </c>
      <c r="C99" s="2" t="s">
        <v>2955</v>
      </c>
      <c r="D99" s="2" t="s">
        <v>2956</v>
      </c>
      <c r="E99" s="2" t="s">
        <v>34</v>
      </c>
      <c r="F99" s="2" t="s">
        <v>2957</v>
      </c>
      <c r="G99" s="2">
        <v>60345527</v>
      </c>
      <c r="H99" s="2" t="s">
        <v>34</v>
      </c>
      <c r="I99" s="2" t="s">
        <v>1070</v>
      </c>
      <c r="J99" s="2" t="s">
        <v>897</v>
      </c>
      <c r="K99" s="2" t="s">
        <v>100</v>
      </c>
      <c r="L99" s="2" t="s">
        <v>268</v>
      </c>
      <c r="M99" s="2" t="s">
        <v>31</v>
      </c>
      <c r="N99" s="2" t="s">
        <v>101</v>
      </c>
      <c r="O99" s="2" t="s">
        <v>164</v>
      </c>
      <c r="P99" t="s">
        <v>2704</v>
      </c>
      <c r="Q99" s="2" t="s">
        <v>105</v>
      </c>
      <c r="R99" s="2" t="s">
        <v>937</v>
      </c>
      <c r="S99" s="2" t="s">
        <v>941</v>
      </c>
      <c r="T99" s="2" t="s">
        <v>1378</v>
      </c>
      <c r="U99" s="150">
        <v>3.681</v>
      </c>
      <c r="V99" s="150">
        <v>1146.0640000000001</v>
      </c>
      <c r="W99" s="150">
        <v>4218.6610000000001</v>
      </c>
      <c r="Y99" s="164">
        <v>9.8198237576774192E-3</v>
      </c>
      <c r="Z99" s="164">
        <v>1.82036772602472E-3</v>
      </c>
    </row>
    <row r="100" spans="1:26">
      <c r="A100" s="2" t="s">
        <v>128</v>
      </c>
      <c r="B100" s="2">
        <v>7228</v>
      </c>
      <c r="C100" s="2" t="s">
        <v>2690</v>
      </c>
      <c r="D100" s="2" t="s">
        <v>2691</v>
      </c>
      <c r="E100" s="2" t="s">
        <v>34</v>
      </c>
      <c r="F100" s="2" t="s">
        <v>2690</v>
      </c>
      <c r="G100" s="2">
        <v>60401809</v>
      </c>
      <c r="H100" s="2" t="s">
        <v>34</v>
      </c>
      <c r="I100" s="2" t="s">
        <v>1070</v>
      </c>
      <c r="J100" s="2" t="s">
        <v>896</v>
      </c>
      <c r="K100" s="2" t="s">
        <v>100</v>
      </c>
      <c r="L100" s="2" t="s">
        <v>268</v>
      </c>
      <c r="M100" s="2" t="s">
        <v>31</v>
      </c>
      <c r="N100" s="2" t="s">
        <v>101</v>
      </c>
      <c r="O100" s="2" t="s">
        <v>164</v>
      </c>
      <c r="P100" t="s">
        <v>2692</v>
      </c>
      <c r="Q100" s="2" t="s">
        <v>105</v>
      </c>
      <c r="R100" s="2" t="s">
        <v>937</v>
      </c>
      <c r="S100" s="2" t="s">
        <v>941</v>
      </c>
      <c r="T100" s="2" t="s">
        <v>1378</v>
      </c>
      <c r="U100" s="150">
        <v>3.681</v>
      </c>
      <c r="V100" s="150">
        <v>1589.1030000000001</v>
      </c>
      <c r="W100" s="150">
        <v>5849.4880000000003</v>
      </c>
      <c r="Y100" s="164">
        <v>1.36159156868175E-2</v>
      </c>
      <c r="Z100" s="164">
        <v>2.5240751858889398E-3</v>
      </c>
    </row>
    <row r="101" spans="1:26">
      <c r="A101" s="2" t="s">
        <v>128</v>
      </c>
      <c r="B101" s="2">
        <v>7228</v>
      </c>
      <c r="C101" s="2" t="s">
        <v>2958</v>
      </c>
      <c r="D101" s="2" t="s">
        <v>2959</v>
      </c>
      <c r="E101" s="2" t="s">
        <v>34</v>
      </c>
      <c r="F101" s="2" t="s">
        <v>2958</v>
      </c>
      <c r="G101" s="2">
        <v>62011408</v>
      </c>
      <c r="H101" s="2" t="s">
        <v>34</v>
      </c>
      <c r="I101" s="2" t="s">
        <v>1070</v>
      </c>
      <c r="J101" s="2" t="s">
        <v>897</v>
      </c>
      <c r="K101" s="2" t="s">
        <v>100</v>
      </c>
      <c r="L101" s="2" t="s">
        <v>101</v>
      </c>
      <c r="M101" s="2" t="s">
        <v>31</v>
      </c>
      <c r="N101" s="2" t="s">
        <v>31</v>
      </c>
      <c r="O101" s="2" t="s">
        <v>164</v>
      </c>
      <c r="P101" t="s">
        <v>2960</v>
      </c>
      <c r="Q101" s="2" t="s">
        <v>105</v>
      </c>
      <c r="R101" s="2" t="s">
        <v>937</v>
      </c>
      <c r="S101" s="2" t="s">
        <v>941</v>
      </c>
      <c r="T101" s="2" t="s">
        <v>1378</v>
      </c>
      <c r="U101" s="150">
        <v>3.681</v>
      </c>
      <c r="V101" s="150">
        <v>1545.2860000000001</v>
      </c>
      <c r="W101" s="150">
        <v>5688.1980000000003</v>
      </c>
      <c r="Y101" s="164">
        <v>1.3240479562777499E-2</v>
      </c>
      <c r="Z101" s="164">
        <v>2.4544780301505999E-3</v>
      </c>
    </row>
    <row r="102" spans="1:26">
      <c r="A102" s="2" t="s">
        <v>128</v>
      </c>
      <c r="B102" s="2">
        <v>7228</v>
      </c>
      <c r="C102" s="2" t="s">
        <v>2693</v>
      </c>
      <c r="D102" s="2" t="s">
        <v>2694</v>
      </c>
      <c r="E102" s="2" t="s">
        <v>361</v>
      </c>
      <c r="F102" s="2" t="s">
        <v>2695</v>
      </c>
      <c r="G102" s="2">
        <v>50000983</v>
      </c>
      <c r="H102" s="2" t="s">
        <v>34</v>
      </c>
      <c r="I102" s="2" t="s">
        <v>1070</v>
      </c>
      <c r="J102" s="2" t="s">
        <v>890</v>
      </c>
      <c r="K102" s="2" t="s">
        <v>100</v>
      </c>
      <c r="L102" s="2" t="s">
        <v>268</v>
      </c>
      <c r="M102" s="2" t="s">
        <v>31</v>
      </c>
      <c r="N102" s="2" t="s">
        <v>346</v>
      </c>
      <c r="O102" s="2" t="s">
        <v>164</v>
      </c>
      <c r="P102" t="s">
        <v>2696</v>
      </c>
      <c r="Q102" s="2" t="s">
        <v>35</v>
      </c>
      <c r="R102" s="2" t="s">
        <v>937</v>
      </c>
      <c r="S102" s="2" t="s">
        <v>941</v>
      </c>
      <c r="T102" s="2" t="s">
        <v>1378</v>
      </c>
      <c r="U102" s="150">
        <v>1</v>
      </c>
      <c r="V102" s="150">
        <v>3841.0219999999999</v>
      </c>
      <c r="W102" s="150">
        <v>3841.0219999999999</v>
      </c>
      <c r="Y102" s="164">
        <v>8.9407880554135798E-3</v>
      </c>
      <c r="Z102" s="164">
        <v>1.65741488064666E-3</v>
      </c>
    </row>
    <row r="103" spans="1:26">
      <c r="A103" s="2" t="s">
        <v>128</v>
      </c>
      <c r="B103" s="2">
        <v>7228</v>
      </c>
      <c r="C103" s="2" t="s">
        <v>2693</v>
      </c>
      <c r="D103" s="2" t="s">
        <v>2694</v>
      </c>
      <c r="E103" s="2" t="s">
        <v>361</v>
      </c>
      <c r="F103" s="2" t="s">
        <v>2697</v>
      </c>
      <c r="G103" s="2">
        <v>50007897</v>
      </c>
      <c r="H103" s="2" t="s">
        <v>34</v>
      </c>
      <c r="I103" s="2" t="s">
        <v>1070</v>
      </c>
      <c r="J103" s="2" t="s">
        <v>890</v>
      </c>
      <c r="K103" s="2" t="s">
        <v>100</v>
      </c>
      <c r="L103" s="2" t="s">
        <v>268</v>
      </c>
      <c r="M103" s="2" t="s">
        <v>31</v>
      </c>
      <c r="N103" s="2" t="s">
        <v>346</v>
      </c>
      <c r="O103" s="2" t="s">
        <v>164</v>
      </c>
      <c r="P103" t="s">
        <v>2698</v>
      </c>
      <c r="Q103" s="2" t="s">
        <v>35</v>
      </c>
      <c r="R103" s="2" t="s">
        <v>204</v>
      </c>
      <c r="S103" s="2" t="s">
        <v>941</v>
      </c>
      <c r="T103" s="2" t="s">
        <v>1378</v>
      </c>
      <c r="U103" s="150">
        <v>1</v>
      </c>
      <c r="V103" s="150">
        <v>3231.2350000000001</v>
      </c>
      <c r="W103" s="150">
        <v>3231.2350000000001</v>
      </c>
      <c r="Y103" s="164">
        <v>7.52138132015788E-3</v>
      </c>
      <c r="Z103" s="164">
        <v>1.39428977018412E-3</v>
      </c>
    </row>
    <row r="104" spans="1:26">
      <c r="A104" s="2" t="s">
        <v>128</v>
      </c>
      <c r="B104" s="2">
        <v>7228</v>
      </c>
      <c r="C104" s="2" t="s">
        <v>2666</v>
      </c>
      <c r="D104" s="2" t="s">
        <v>2667</v>
      </c>
      <c r="E104" s="2" t="s">
        <v>34</v>
      </c>
      <c r="F104" s="2" t="s">
        <v>2699</v>
      </c>
      <c r="G104" s="2">
        <v>62013347</v>
      </c>
      <c r="H104" s="2" t="s">
        <v>34</v>
      </c>
      <c r="I104" s="2" t="s">
        <v>1070</v>
      </c>
      <c r="J104" s="2" t="s">
        <v>878</v>
      </c>
      <c r="K104" s="2" t="s">
        <v>100</v>
      </c>
      <c r="L104" s="2" t="s">
        <v>268</v>
      </c>
      <c r="M104" s="2" t="s">
        <v>31</v>
      </c>
      <c r="N104" s="2" t="s">
        <v>31</v>
      </c>
      <c r="O104" s="2" t="s">
        <v>164</v>
      </c>
      <c r="P104" t="s">
        <v>2700</v>
      </c>
      <c r="Q104" s="2" t="s">
        <v>105</v>
      </c>
      <c r="R104" s="2" t="s">
        <v>937</v>
      </c>
      <c r="S104" s="2" t="s">
        <v>941</v>
      </c>
      <c r="T104" s="2" t="s">
        <v>1378</v>
      </c>
      <c r="U104" s="150">
        <v>3.681</v>
      </c>
      <c r="V104" s="150">
        <v>511.44799999999998</v>
      </c>
      <c r="W104" s="150">
        <v>1882.64</v>
      </c>
      <c r="Y104" s="164">
        <v>4.3822426343120696E-3</v>
      </c>
      <c r="Z104" s="164">
        <v>8.1236621511403002E-4</v>
      </c>
    </row>
    <row r="105" spans="1:26">
      <c r="A105" s="2" t="s">
        <v>128</v>
      </c>
      <c r="B105" s="2">
        <v>7228</v>
      </c>
      <c r="C105" s="2" t="s">
        <v>2701</v>
      </c>
      <c r="D105" s="2" t="s">
        <v>2702</v>
      </c>
      <c r="E105" s="2" t="s">
        <v>359</v>
      </c>
      <c r="F105" s="2" t="s">
        <v>2703</v>
      </c>
      <c r="G105" s="2">
        <v>60364742</v>
      </c>
      <c r="H105" s="2" t="s">
        <v>34</v>
      </c>
      <c r="I105" s="2" t="s">
        <v>1070</v>
      </c>
      <c r="J105" s="2" t="s">
        <v>896</v>
      </c>
      <c r="K105" s="2" t="s">
        <v>31</v>
      </c>
      <c r="L105" s="2" t="s">
        <v>268</v>
      </c>
      <c r="M105" s="2" t="s">
        <v>31</v>
      </c>
      <c r="N105" s="2" t="s">
        <v>31</v>
      </c>
      <c r="O105" s="2" t="s">
        <v>164</v>
      </c>
      <c r="P105" t="s">
        <v>2704</v>
      </c>
      <c r="Q105" s="2" t="s">
        <v>105</v>
      </c>
      <c r="R105" s="2" t="s">
        <v>937</v>
      </c>
      <c r="S105" s="2" t="s">
        <v>941</v>
      </c>
      <c r="T105" s="2" t="s">
        <v>1378</v>
      </c>
      <c r="U105" s="150">
        <v>3.681</v>
      </c>
      <c r="V105" s="150">
        <v>444.07299999999998</v>
      </c>
      <c r="W105" s="150">
        <v>1634.633</v>
      </c>
      <c r="Y105" s="164">
        <v>3.8049522747771701E-3</v>
      </c>
      <c r="Z105" s="164">
        <v>7.0534996258496299E-4</v>
      </c>
    </row>
    <row r="106" spans="1:26">
      <c r="A106" s="2" t="s">
        <v>128</v>
      </c>
      <c r="B106" s="2">
        <v>7228</v>
      </c>
      <c r="C106" s="2" t="s">
        <v>2701</v>
      </c>
      <c r="D106" s="2" t="s">
        <v>2702</v>
      </c>
      <c r="E106" s="2" t="s">
        <v>359</v>
      </c>
      <c r="F106" s="2" t="s">
        <v>2705</v>
      </c>
      <c r="G106" s="2">
        <v>62002785</v>
      </c>
      <c r="H106" s="2" t="s">
        <v>34</v>
      </c>
      <c r="I106" s="2" t="s">
        <v>1070</v>
      </c>
      <c r="J106" s="2" t="s">
        <v>896</v>
      </c>
      <c r="K106" s="2" t="s">
        <v>31</v>
      </c>
      <c r="L106" s="2" t="s">
        <v>268</v>
      </c>
      <c r="M106" s="2" t="s">
        <v>31</v>
      </c>
      <c r="N106" s="2" t="s">
        <v>31</v>
      </c>
      <c r="O106" s="2" t="s">
        <v>164</v>
      </c>
      <c r="P106" t="s">
        <v>2706</v>
      </c>
      <c r="Q106" s="2" t="s">
        <v>105</v>
      </c>
      <c r="R106" s="2" t="s">
        <v>937</v>
      </c>
      <c r="S106" s="2" t="s">
        <v>941</v>
      </c>
      <c r="T106" s="2" t="s">
        <v>1378</v>
      </c>
      <c r="U106" s="150">
        <v>3.681</v>
      </c>
      <c r="V106" s="150">
        <v>818.68799999999999</v>
      </c>
      <c r="W106" s="150">
        <v>3013.5909999999999</v>
      </c>
      <c r="Y106" s="164">
        <v>7.0147694103021904E-3</v>
      </c>
      <c r="Z106" s="164">
        <v>1.3003756640780899E-3</v>
      </c>
    </row>
    <row r="107" spans="1:26">
      <c r="A107" s="2" t="s">
        <v>128</v>
      </c>
      <c r="B107" s="2">
        <v>7228</v>
      </c>
      <c r="C107" s="2" t="s">
        <v>2701</v>
      </c>
      <c r="D107" s="2" t="s">
        <v>2702</v>
      </c>
      <c r="E107" s="2" t="s">
        <v>359</v>
      </c>
      <c r="F107" s="2" t="s">
        <v>2707</v>
      </c>
      <c r="G107" s="2">
        <v>62017827</v>
      </c>
      <c r="H107" s="2" t="s">
        <v>34</v>
      </c>
      <c r="I107" s="2" t="s">
        <v>1070</v>
      </c>
      <c r="J107" s="2" t="s">
        <v>896</v>
      </c>
      <c r="K107" s="2" t="s">
        <v>31</v>
      </c>
      <c r="L107" s="2" t="s">
        <v>268</v>
      </c>
      <c r="M107" s="2" t="s">
        <v>31</v>
      </c>
      <c r="N107" s="2" t="s">
        <v>31</v>
      </c>
      <c r="O107" s="2" t="s">
        <v>164</v>
      </c>
      <c r="P107" t="s">
        <v>2708</v>
      </c>
      <c r="Q107" s="2" t="s">
        <v>105</v>
      </c>
      <c r="R107" s="2" t="s">
        <v>937</v>
      </c>
      <c r="S107" s="2" t="s">
        <v>941</v>
      </c>
      <c r="T107" s="2" t="s">
        <v>1378</v>
      </c>
      <c r="U107" s="150">
        <v>3.681</v>
      </c>
      <c r="V107" s="150">
        <v>328.08</v>
      </c>
      <c r="W107" s="150">
        <v>1207.663</v>
      </c>
      <c r="Y107" s="164">
        <v>2.8110911328086299E-3</v>
      </c>
      <c r="Z107" s="164">
        <v>5.2111114204858296E-4</v>
      </c>
    </row>
    <row r="108" spans="1:26">
      <c r="A108" s="2" t="s">
        <v>128</v>
      </c>
      <c r="B108" s="2">
        <v>7228</v>
      </c>
      <c r="C108" s="2" t="s">
        <v>2701</v>
      </c>
      <c r="D108" s="2" t="s">
        <v>2702</v>
      </c>
      <c r="E108" s="2" t="s">
        <v>359</v>
      </c>
      <c r="F108" s="2" t="s">
        <v>2709</v>
      </c>
      <c r="G108" s="2">
        <v>62018247</v>
      </c>
      <c r="H108" s="2" t="s">
        <v>34</v>
      </c>
      <c r="I108" s="2" t="s">
        <v>1070</v>
      </c>
      <c r="J108" s="2" t="s">
        <v>896</v>
      </c>
      <c r="K108" s="2" t="s">
        <v>31</v>
      </c>
      <c r="L108" s="2" t="s">
        <v>268</v>
      </c>
      <c r="M108" s="2" t="s">
        <v>31</v>
      </c>
      <c r="N108" s="2" t="s">
        <v>31</v>
      </c>
      <c r="O108" s="2" t="s">
        <v>164</v>
      </c>
      <c r="P108" t="s">
        <v>2710</v>
      </c>
      <c r="Q108" s="2" t="s">
        <v>105</v>
      </c>
      <c r="R108" s="2" t="s">
        <v>937</v>
      </c>
      <c r="S108" s="2" t="s">
        <v>941</v>
      </c>
      <c r="T108" s="2" t="s">
        <v>1378</v>
      </c>
      <c r="U108" s="150">
        <v>3.681</v>
      </c>
      <c r="V108" s="150">
        <v>805.13199999999995</v>
      </c>
      <c r="W108" s="150">
        <v>2963.69</v>
      </c>
      <c r="Y108" s="164">
        <v>6.8986140254046696E-3</v>
      </c>
      <c r="Z108" s="164">
        <v>1.2788431479057801E-3</v>
      </c>
    </row>
    <row r="109" spans="1:26">
      <c r="A109" s="2" t="s">
        <v>128</v>
      </c>
      <c r="B109" s="2">
        <v>7228</v>
      </c>
      <c r="C109" s="2" t="s">
        <v>2711</v>
      </c>
      <c r="D109" s="2" t="s">
        <v>2712</v>
      </c>
      <c r="E109" s="2" t="s">
        <v>34</v>
      </c>
      <c r="F109" s="2" t="s">
        <v>2713</v>
      </c>
      <c r="G109" s="2">
        <v>62013487</v>
      </c>
      <c r="H109" s="2" t="s">
        <v>34</v>
      </c>
      <c r="I109" s="2" t="s">
        <v>1070</v>
      </c>
      <c r="J109" s="2" t="s">
        <v>878</v>
      </c>
      <c r="K109" s="2" t="s">
        <v>31</v>
      </c>
      <c r="L109" s="2" t="s">
        <v>31</v>
      </c>
      <c r="M109" s="2" t="s">
        <v>31</v>
      </c>
      <c r="N109" s="2" t="s">
        <v>31</v>
      </c>
      <c r="O109" s="2" t="s">
        <v>164</v>
      </c>
      <c r="P109" t="s">
        <v>2714</v>
      </c>
      <c r="Q109" s="2" t="s">
        <v>105</v>
      </c>
      <c r="R109" s="2" t="s">
        <v>937</v>
      </c>
      <c r="S109" s="2" t="s">
        <v>941</v>
      </c>
      <c r="T109" s="2" t="s">
        <v>2715</v>
      </c>
      <c r="U109" s="150">
        <v>3.681</v>
      </c>
      <c r="V109" s="150">
        <v>644.60400000000004</v>
      </c>
      <c r="W109" s="150">
        <v>2372.7890000000002</v>
      </c>
      <c r="Y109" s="164">
        <v>5.5231661868912797E-3</v>
      </c>
      <c r="Z109" s="164">
        <v>1.02386699804335E-3</v>
      </c>
    </row>
    <row r="110" spans="1:26">
      <c r="A110" s="2" t="s">
        <v>128</v>
      </c>
      <c r="B110" s="2">
        <v>7228</v>
      </c>
      <c r="C110" s="2" t="s">
        <v>2716</v>
      </c>
      <c r="D110" s="2" t="s">
        <v>2717</v>
      </c>
      <c r="E110" s="2" t="s">
        <v>34</v>
      </c>
      <c r="F110" s="2" t="s">
        <v>2718</v>
      </c>
      <c r="G110" s="2">
        <v>62017694</v>
      </c>
      <c r="H110" s="2" t="s">
        <v>34</v>
      </c>
      <c r="I110" s="2" t="s">
        <v>1070</v>
      </c>
      <c r="J110" s="2" t="s">
        <v>614</v>
      </c>
      <c r="K110" s="2" t="s">
        <v>31</v>
      </c>
      <c r="L110" s="2" t="s">
        <v>31</v>
      </c>
      <c r="M110" s="2" t="s">
        <v>31</v>
      </c>
      <c r="N110" s="2" t="s">
        <v>31</v>
      </c>
      <c r="O110" s="2" t="s">
        <v>164</v>
      </c>
      <c r="P110" t="s">
        <v>2719</v>
      </c>
      <c r="Q110" s="2" t="s">
        <v>105</v>
      </c>
      <c r="R110" s="2" t="s">
        <v>937</v>
      </c>
      <c r="S110" s="2" t="s">
        <v>941</v>
      </c>
      <c r="T110" s="2" t="s">
        <v>1378</v>
      </c>
      <c r="U110" s="150">
        <v>3.681</v>
      </c>
      <c r="V110" s="150">
        <v>1948.182</v>
      </c>
      <c r="W110" s="150">
        <v>7171.2579999999998</v>
      </c>
      <c r="Y110" s="164">
        <v>1.6692614801124901E-2</v>
      </c>
      <c r="Z110" s="164">
        <v>3.0944238915869698E-3</v>
      </c>
    </row>
    <row r="111" spans="1:26">
      <c r="A111" s="2" t="s">
        <v>128</v>
      </c>
      <c r="B111" s="2">
        <v>7228</v>
      </c>
      <c r="C111" s="2" t="s">
        <v>2720</v>
      </c>
      <c r="D111" s="2" t="s">
        <v>2721</v>
      </c>
      <c r="E111" s="2" t="s">
        <v>34</v>
      </c>
      <c r="F111" s="2" t="s">
        <v>2720</v>
      </c>
      <c r="G111" s="2">
        <v>62020375</v>
      </c>
      <c r="H111" s="2" t="s">
        <v>34</v>
      </c>
      <c r="I111" s="2" t="s">
        <v>1070</v>
      </c>
      <c r="J111" s="2" t="s">
        <v>894</v>
      </c>
      <c r="K111" s="2" t="s">
        <v>31</v>
      </c>
      <c r="L111" s="2" t="s">
        <v>31</v>
      </c>
      <c r="M111" s="2" t="s">
        <v>31</v>
      </c>
      <c r="N111" s="2" t="s">
        <v>31</v>
      </c>
      <c r="O111" s="2" t="s">
        <v>164</v>
      </c>
      <c r="P111" t="s">
        <v>2722</v>
      </c>
      <c r="Q111" s="2" t="s">
        <v>105</v>
      </c>
      <c r="R111" s="2" t="s">
        <v>204</v>
      </c>
      <c r="S111" s="2" t="s">
        <v>941</v>
      </c>
      <c r="T111" s="2" t="s">
        <v>1378</v>
      </c>
      <c r="U111" s="150">
        <v>3.681</v>
      </c>
      <c r="V111" s="150">
        <v>728.95799999999997</v>
      </c>
      <c r="W111" s="150">
        <v>2683.2950000000001</v>
      </c>
      <c r="Y111" s="164">
        <v>6.2459354915570297E-3</v>
      </c>
      <c r="Z111" s="164">
        <v>1.15785167516611E-3</v>
      </c>
    </row>
    <row r="112" spans="1:26">
      <c r="A112" s="2" t="s">
        <v>128</v>
      </c>
      <c r="B112" s="2">
        <v>7228</v>
      </c>
      <c r="C112" s="2" t="s">
        <v>2961</v>
      </c>
      <c r="D112" s="2" t="s">
        <v>2962</v>
      </c>
      <c r="E112" s="2" t="s">
        <v>362</v>
      </c>
      <c r="F112" s="2" t="s">
        <v>2963</v>
      </c>
      <c r="G112" s="2">
        <v>60346871</v>
      </c>
      <c r="H112" s="2" t="s">
        <v>34</v>
      </c>
      <c r="I112" s="2" t="s">
        <v>1070</v>
      </c>
      <c r="J112" s="2" t="s">
        <v>614</v>
      </c>
      <c r="K112" s="2" t="s">
        <v>31</v>
      </c>
      <c r="L112" s="2" t="s">
        <v>31</v>
      </c>
      <c r="M112" s="2" t="s">
        <v>31</v>
      </c>
      <c r="N112" s="2" t="s">
        <v>31</v>
      </c>
      <c r="O112" s="2" t="s">
        <v>164</v>
      </c>
      <c r="P112" t="s">
        <v>2704</v>
      </c>
      <c r="Q112" s="2" t="s">
        <v>105</v>
      </c>
      <c r="R112" s="2" t="s">
        <v>937</v>
      </c>
      <c r="S112" s="2" t="s">
        <v>941</v>
      </c>
      <c r="T112" s="2" t="s">
        <v>1378</v>
      </c>
      <c r="U112" s="150">
        <v>3.681</v>
      </c>
      <c r="V112" s="150">
        <v>549.79999999999995</v>
      </c>
      <c r="W112" s="150">
        <v>2023.8130000000001</v>
      </c>
      <c r="Y112" s="164">
        <v>4.7108518193471902E-3</v>
      </c>
      <c r="Z112" s="164">
        <v>8.73282741690746E-4</v>
      </c>
    </row>
    <row r="113" spans="1:26">
      <c r="A113" s="2" t="s">
        <v>128</v>
      </c>
      <c r="B113" s="2">
        <v>7228</v>
      </c>
      <c r="C113" s="2" t="s">
        <v>2723</v>
      </c>
      <c r="D113" s="2" t="s">
        <v>2724</v>
      </c>
      <c r="E113" s="2" t="s">
        <v>362</v>
      </c>
      <c r="F113" s="2" t="s">
        <v>2725</v>
      </c>
      <c r="G113" s="2">
        <v>62013024</v>
      </c>
      <c r="H113" s="2" t="s">
        <v>34</v>
      </c>
      <c r="I113" s="2" t="s">
        <v>1070</v>
      </c>
      <c r="J113" s="2" t="s">
        <v>614</v>
      </c>
      <c r="K113" s="2" t="s">
        <v>31</v>
      </c>
      <c r="L113" s="2" t="s">
        <v>268</v>
      </c>
      <c r="M113" s="2" t="s">
        <v>31</v>
      </c>
      <c r="N113" s="2" t="s">
        <v>31</v>
      </c>
      <c r="O113" s="2" t="s">
        <v>164</v>
      </c>
      <c r="P113" t="s">
        <v>2726</v>
      </c>
      <c r="Q113" s="2" t="s">
        <v>105</v>
      </c>
      <c r="R113" s="2" t="s">
        <v>204</v>
      </c>
      <c r="S113" s="2" t="s">
        <v>941</v>
      </c>
      <c r="T113" s="2" t="s">
        <v>1378</v>
      </c>
      <c r="U113" s="150">
        <v>3.681</v>
      </c>
      <c r="V113" s="150">
        <v>484.91800000000001</v>
      </c>
      <c r="W113" s="150">
        <v>1784.9829999999999</v>
      </c>
      <c r="Y113" s="164">
        <v>4.1549232634905302E-3</v>
      </c>
      <c r="Z113" s="164">
        <v>7.7022647245110899E-4</v>
      </c>
    </row>
    <row r="114" spans="1:26">
      <c r="A114" s="2" t="s">
        <v>128</v>
      </c>
      <c r="B114" s="2">
        <v>7228</v>
      </c>
      <c r="C114" s="2" t="s">
        <v>2723</v>
      </c>
      <c r="D114" s="2" t="s">
        <v>2724</v>
      </c>
      <c r="E114" s="2" t="s">
        <v>362</v>
      </c>
      <c r="F114" s="2" t="s">
        <v>2964</v>
      </c>
      <c r="G114" s="2">
        <v>60382116</v>
      </c>
      <c r="H114" s="2" t="s">
        <v>34</v>
      </c>
      <c r="I114" s="2" t="s">
        <v>1070</v>
      </c>
      <c r="J114" s="2" t="s">
        <v>614</v>
      </c>
      <c r="K114" s="2" t="s">
        <v>31</v>
      </c>
      <c r="L114" s="2" t="s">
        <v>268</v>
      </c>
      <c r="M114" s="2" t="s">
        <v>31</v>
      </c>
      <c r="N114" s="2" t="s">
        <v>31</v>
      </c>
      <c r="O114" s="2" t="s">
        <v>164</v>
      </c>
      <c r="P114" t="s">
        <v>2965</v>
      </c>
      <c r="Q114" s="2" t="s">
        <v>105</v>
      </c>
      <c r="R114" s="2" t="s">
        <v>204</v>
      </c>
      <c r="S114" s="2" t="s">
        <v>941</v>
      </c>
      <c r="T114" s="2" t="s">
        <v>1378</v>
      </c>
      <c r="U114" s="150">
        <v>3.681</v>
      </c>
      <c r="V114" s="150">
        <v>585.90800000000002</v>
      </c>
      <c r="W114" s="150">
        <v>2156.7280000000001</v>
      </c>
      <c r="Y114" s="164">
        <v>5.0202395406259903E-3</v>
      </c>
      <c r="Z114" s="164">
        <v>9.3063605439189505E-4</v>
      </c>
    </row>
    <row r="115" spans="1:26">
      <c r="A115" s="2" t="s">
        <v>128</v>
      </c>
      <c r="B115" s="2">
        <v>7228</v>
      </c>
      <c r="C115" s="2" t="s">
        <v>2727</v>
      </c>
      <c r="D115" s="2" t="s">
        <v>2728</v>
      </c>
      <c r="E115" s="2" t="s">
        <v>204</v>
      </c>
      <c r="F115" s="2" t="s">
        <v>2729</v>
      </c>
      <c r="G115" s="2">
        <v>60406600</v>
      </c>
      <c r="H115" s="2" t="s">
        <v>34</v>
      </c>
      <c r="I115" s="2" t="s">
        <v>1070</v>
      </c>
      <c r="J115" s="2" t="s">
        <v>877</v>
      </c>
      <c r="K115" s="2" t="s">
        <v>100</v>
      </c>
      <c r="L115" s="2" t="s">
        <v>268</v>
      </c>
      <c r="M115" s="2" t="s">
        <v>31</v>
      </c>
      <c r="N115" s="2" t="s">
        <v>31</v>
      </c>
      <c r="O115" s="2" t="s">
        <v>164</v>
      </c>
      <c r="P115" t="s">
        <v>2730</v>
      </c>
      <c r="Q115" s="2" t="s">
        <v>105</v>
      </c>
      <c r="R115" s="2" t="s">
        <v>937</v>
      </c>
      <c r="S115" s="2" t="s">
        <v>941</v>
      </c>
      <c r="T115" s="2" t="s">
        <v>1378</v>
      </c>
      <c r="U115" s="150">
        <v>3.681</v>
      </c>
      <c r="V115" s="150">
        <v>2283.4430000000002</v>
      </c>
      <c r="W115" s="150">
        <v>8405.3549999999996</v>
      </c>
      <c r="Y115" s="164">
        <v>1.9565235919166001E-2</v>
      </c>
      <c r="Z115" s="164">
        <v>3.6269412667884098E-3</v>
      </c>
    </row>
    <row r="116" spans="1:26">
      <c r="A116" s="2" t="s">
        <v>128</v>
      </c>
      <c r="B116" s="2">
        <v>7228</v>
      </c>
      <c r="C116" s="2" t="s">
        <v>2731</v>
      </c>
      <c r="D116" s="2" t="s">
        <v>2732</v>
      </c>
      <c r="E116" s="2" t="s">
        <v>204</v>
      </c>
      <c r="F116" s="2" t="s">
        <v>2733</v>
      </c>
      <c r="G116" s="2">
        <v>62009048</v>
      </c>
      <c r="H116" s="2" t="s">
        <v>34</v>
      </c>
      <c r="I116" s="2" t="s">
        <v>1070</v>
      </c>
      <c r="J116" s="2" t="s">
        <v>877</v>
      </c>
      <c r="K116" s="2" t="s">
        <v>100</v>
      </c>
      <c r="L116" s="2" t="s">
        <v>268</v>
      </c>
      <c r="M116" s="2" t="s">
        <v>31</v>
      </c>
      <c r="N116" s="2" t="s">
        <v>101</v>
      </c>
      <c r="O116" s="2" t="s">
        <v>164</v>
      </c>
      <c r="P116" t="s">
        <v>2734</v>
      </c>
      <c r="Q116" s="2" t="s">
        <v>105</v>
      </c>
      <c r="R116" s="2" t="s">
        <v>937</v>
      </c>
      <c r="S116" s="2" t="s">
        <v>941</v>
      </c>
      <c r="T116" s="2" t="s">
        <v>1378</v>
      </c>
      <c r="U116" s="150">
        <v>3.681</v>
      </c>
      <c r="V116" s="150">
        <v>1168.1030000000001</v>
      </c>
      <c r="W116" s="150">
        <v>4299.7879999999996</v>
      </c>
      <c r="Y116" s="164">
        <v>1.00086635477286E-2</v>
      </c>
      <c r="Z116" s="164">
        <v>1.8553742462720599E-3</v>
      </c>
    </row>
    <row r="117" spans="1:26">
      <c r="A117" s="2" t="s">
        <v>128</v>
      </c>
      <c r="B117" s="2">
        <v>7228</v>
      </c>
      <c r="C117" s="2" t="s">
        <v>2735</v>
      </c>
      <c r="D117" s="2" t="s">
        <v>2736</v>
      </c>
      <c r="E117" s="2" t="s">
        <v>204</v>
      </c>
      <c r="F117" s="2" t="s">
        <v>2737</v>
      </c>
      <c r="G117" s="2">
        <v>62015334</v>
      </c>
      <c r="H117" s="2" t="s">
        <v>34</v>
      </c>
      <c r="I117" s="2" t="s">
        <v>1070</v>
      </c>
      <c r="J117" s="2" t="s">
        <v>877</v>
      </c>
      <c r="K117" s="2" t="s">
        <v>100</v>
      </c>
      <c r="L117" s="2" t="s">
        <v>268</v>
      </c>
      <c r="M117" s="2" t="s">
        <v>31</v>
      </c>
      <c r="N117" s="2" t="s">
        <v>31</v>
      </c>
      <c r="O117" s="2" t="s">
        <v>164</v>
      </c>
      <c r="P117" t="s">
        <v>2738</v>
      </c>
      <c r="Q117" s="2" t="s">
        <v>105</v>
      </c>
      <c r="R117" s="2" t="s">
        <v>937</v>
      </c>
      <c r="S117" s="2" t="s">
        <v>941</v>
      </c>
      <c r="T117" s="2" t="s">
        <v>1378</v>
      </c>
      <c r="U117" s="150">
        <v>3.681</v>
      </c>
      <c r="V117" s="150">
        <v>1566.0129999999999</v>
      </c>
      <c r="W117" s="150">
        <v>5764.4939999999997</v>
      </c>
      <c r="Y117" s="164">
        <v>1.3418075990600501E-2</v>
      </c>
      <c r="Z117" s="164">
        <v>2.4874002916334902E-3</v>
      </c>
    </row>
    <row r="118" spans="1:26">
      <c r="A118" s="2" t="s">
        <v>128</v>
      </c>
      <c r="B118" s="2">
        <v>7228</v>
      </c>
      <c r="C118" s="2" t="s">
        <v>2739</v>
      </c>
      <c r="D118" s="2" t="s">
        <v>2740</v>
      </c>
      <c r="E118" s="2" t="s">
        <v>204</v>
      </c>
      <c r="F118" s="2" t="s">
        <v>2741</v>
      </c>
      <c r="G118" s="2">
        <v>62017835</v>
      </c>
      <c r="H118" s="2" t="s">
        <v>34</v>
      </c>
      <c r="I118" s="2" t="s">
        <v>1070</v>
      </c>
      <c r="J118" s="2" t="s">
        <v>877</v>
      </c>
      <c r="K118" s="2" t="s">
        <v>31</v>
      </c>
      <c r="L118" s="2" t="s">
        <v>101</v>
      </c>
      <c r="M118" s="2" t="s">
        <v>31</v>
      </c>
      <c r="N118" s="2" t="s">
        <v>31</v>
      </c>
      <c r="O118" s="2" t="s">
        <v>164</v>
      </c>
      <c r="P118" t="s">
        <v>2708</v>
      </c>
      <c r="Q118" s="2" t="s">
        <v>105</v>
      </c>
      <c r="R118" s="2" t="s">
        <v>204</v>
      </c>
      <c r="S118" s="2" t="s">
        <v>941</v>
      </c>
      <c r="T118" s="2" t="s">
        <v>1378</v>
      </c>
      <c r="U118" s="150">
        <v>3.681</v>
      </c>
      <c r="V118" s="150">
        <v>578.84299999999996</v>
      </c>
      <c r="W118" s="150">
        <v>2130.721</v>
      </c>
      <c r="Y118" s="164">
        <v>4.9597021024275802E-3</v>
      </c>
      <c r="Z118" s="164">
        <v>9.1941381645443401E-4</v>
      </c>
    </row>
    <row r="119" spans="1:26">
      <c r="A119" s="2" t="s">
        <v>128</v>
      </c>
      <c r="B119" s="2">
        <v>7228</v>
      </c>
      <c r="C119" s="2" t="s">
        <v>2742</v>
      </c>
      <c r="D119" s="2" t="s">
        <v>2743</v>
      </c>
      <c r="E119" s="2" t="s">
        <v>204</v>
      </c>
      <c r="F119" s="2" t="s">
        <v>2744</v>
      </c>
      <c r="G119" s="2">
        <v>62020011</v>
      </c>
      <c r="H119" s="2" t="s">
        <v>34</v>
      </c>
      <c r="I119" s="2" t="s">
        <v>1070</v>
      </c>
      <c r="J119" s="2" t="s">
        <v>877</v>
      </c>
      <c r="K119" s="2" t="s">
        <v>100</v>
      </c>
      <c r="L119" s="2" t="s">
        <v>101</v>
      </c>
      <c r="M119" s="2" t="s">
        <v>31</v>
      </c>
      <c r="N119" s="2" t="s">
        <v>31</v>
      </c>
      <c r="O119" s="2" t="s">
        <v>164</v>
      </c>
      <c r="P119" t="s">
        <v>2745</v>
      </c>
      <c r="Q119" s="2" t="s">
        <v>105</v>
      </c>
      <c r="R119" s="2" t="s">
        <v>937</v>
      </c>
      <c r="S119" s="2" t="s">
        <v>941</v>
      </c>
      <c r="T119" s="2" t="s">
        <v>1378</v>
      </c>
      <c r="U119" s="150">
        <v>3.681</v>
      </c>
      <c r="V119" s="150">
        <v>384.53199999999998</v>
      </c>
      <c r="W119" s="150">
        <v>1415.462</v>
      </c>
      <c r="Y119" s="164">
        <v>3.2947866715291201E-3</v>
      </c>
      <c r="Z119" s="164">
        <v>6.1077708408960199E-4</v>
      </c>
    </row>
    <row r="120" spans="1:26">
      <c r="A120" s="2" t="s">
        <v>128</v>
      </c>
      <c r="B120" s="2">
        <v>7228</v>
      </c>
      <c r="C120" s="2" t="s">
        <v>2746</v>
      </c>
      <c r="D120" s="2" t="s">
        <v>2747</v>
      </c>
      <c r="E120" s="2" t="s">
        <v>204</v>
      </c>
      <c r="F120" s="2" t="s">
        <v>2748</v>
      </c>
      <c r="G120" s="2">
        <v>62020748</v>
      </c>
      <c r="H120" s="2" t="s">
        <v>34</v>
      </c>
      <c r="I120" s="2" t="s">
        <v>1070</v>
      </c>
      <c r="J120" s="2" t="s">
        <v>877</v>
      </c>
      <c r="K120" s="2" t="s">
        <v>100</v>
      </c>
      <c r="L120" s="2" t="s">
        <v>101</v>
      </c>
      <c r="M120" s="2" t="s">
        <v>31</v>
      </c>
      <c r="N120" s="2" t="s">
        <v>101</v>
      </c>
      <c r="O120" s="2" t="s">
        <v>164</v>
      </c>
      <c r="P120" t="s">
        <v>2749</v>
      </c>
      <c r="Q120" s="2" t="s">
        <v>105</v>
      </c>
      <c r="R120" s="2" t="s">
        <v>204</v>
      </c>
      <c r="S120" s="2" t="s">
        <v>941</v>
      </c>
      <c r="T120" s="2" t="s">
        <v>1378</v>
      </c>
      <c r="U120" s="150">
        <v>3.681</v>
      </c>
      <c r="V120" s="150">
        <v>137.36099999999999</v>
      </c>
      <c r="W120" s="150">
        <v>505.62599999999998</v>
      </c>
      <c r="Y120" s="164">
        <v>1.17695010514993E-3</v>
      </c>
      <c r="Z120" s="164">
        <v>2.1817927077166601E-4</v>
      </c>
    </row>
    <row r="121" spans="1:26">
      <c r="A121" s="2" t="s">
        <v>128</v>
      </c>
      <c r="B121" s="2">
        <v>7228</v>
      </c>
      <c r="C121" s="2" t="s">
        <v>2966</v>
      </c>
      <c r="D121" s="2" t="s">
        <v>2967</v>
      </c>
      <c r="E121" s="2" t="s">
        <v>204</v>
      </c>
      <c r="F121" s="2" t="s">
        <v>2966</v>
      </c>
      <c r="G121" s="2">
        <v>60297512</v>
      </c>
      <c r="H121" s="2" t="s">
        <v>34</v>
      </c>
      <c r="I121" s="2" t="s">
        <v>1070</v>
      </c>
      <c r="J121" s="2" t="s">
        <v>896</v>
      </c>
      <c r="K121" s="2" t="s">
        <v>31</v>
      </c>
      <c r="L121" s="2" t="s">
        <v>31</v>
      </c>
      <c r="M121" s="2" t="s">
        <v>31</v>
      </c>
      <c r="N121" s="2" t="s">
        <v>31</v>
      </c>
      <c r="O121" s="2" t="s">
        <v>164</v>
      </c>
      <c r="P121" t="s">
        <v>2704</v>
      </c>
      <c r="Q121" s="2" t="s">
        <v>105</v>
      </c>
      <c r="R121" s="2" t="s">
        <v>937</v>
      </c>
      <c r="S121" s="2" t="s">
        <v>941</v>
      </c>
      <c r="T121" s="2" t="s">
        <v>1378</v>
      </c>
      <c r="U121" s="150">
        <v>3.681</v>
      </c>
      <c r="V121" s="150">
        <v>206.81899999999999</v>
      </c>
      <c r="W121" s="150">
        <v>761.3</v>
      </c>
      <c r="Y121" s="164">
        <v>1.7720862640302E-3</v>
      </c>
      <c r="Z121" s="164">
        <v>3.2850372087892498E-4</v>
      </c>
    </row>
    <row r="122" spans="1:26">
      <c r="A122" s="2" t="s">
        <v>128</v>
      </c>
      <c r="B122" s="2">
        <v>7228</v>
      </c>
      <c r="C122" s="2" t="s">
        <v>2750</v>
      </c>
      <c r="E122" s="2" t="s">
        <v>204</v>
      </c>
      <c r="F122" s="2" t="s">
        <v>2751</v>
      </c>
      <c r="G122" s="2">
        <v>62015151</v>
      </c>
      <c r="H122" s="2" t="s">
        <v>34</v>
      </c>
      <c r="I122" s="2" t="s">
        <v>1070</v>
      </c>
      <c r="J122" s="2" t="s">
        <v>896</v>
      </c>
      <c r="K122" s="2" t="s">
        <v>100</v>
      </c>
      <c r="L122" s="2" t="s">
        <v>101</v>
      </c>
      <c r="M122" s="2" t="s">
        <v>31</v>
      </c>
      <c r="N122" s="2" t="s">
        <v>31</v>
      </c>
      <c r="O122" s="2" t="s">
        <v>164</v>
      </c>
      <c r="P122" t="s">
        <v>2752</v>
      </c>
      <c r="Q122" s="2" t="s">
        <v>105</v>
      </c>
      <c r="R122" s="2" t="s">
        <v>937</v>
      </c>
      <c r="S122" s="2" t="s">
        <v>941</v>
      </c>
      <c r="T122" s="2" t="s">
        <v>1378</v>
      </c>
      <c r="U122" s="150">
        <v>3.681</v>
      </c>
      <c r="V122" s="150">
        <v>686.25099999999998</v>
      </c>
      <c r="W122" s="150">
        <v>2526.0909999999999</v>
      </c>
      <c r="Y122" s="164">
        <v>5.88000981190453E-3</v>
      </c>
      <c r="Z122" s="164">
        <v>1.09001753538918E-3</v>
      </c>
    </row>
    <row r="123" spans="1:26">
      <c r="A123" s="2" t="s">
        <v>128</v>
      </c>
      <c r="B123" s="2">
        <v>7228</v>
      </c>
      <c r="C123" s="2" t="s">
        <v>2968</v>
      </c>
      <c r="D123" s="2" t="s">
        <v>2969</v>
      </c>
      <c r="E123" s="2" t="s">
        <v>204</v>
      </c>
      <c r="F123" s="2" t="s">
        <v>2970</v>
      </c>
      <c r="G123" s="2">
        <v>60335908</v>
      </c>
      <c r="H123" s="2" t="s">
        <v>34</v>
      </c>
      <c r="I123" s="2" t="s">
        <v>1070</v>
      </c>
      <c r="J123" s="2" t="s">
        <v>898</v>
      </c>
      <c r="K123" s="2" t="s">
        <v>31</v>
      </c>
      <c r="L123" s="2" t="s">
        <v>31</v>
      </c>
      <c r="M123" s="2" t="s">
        <v>31</v>
      </c>
      <c r="N123" s="2" t="s">
        <v>31</v>
      </c>
      <c r="O123" s="2" t="s">
        <v>164</v>
      </c>
      <c r="P123" t="s">
        <v>2704</v>
      </c>
      <c r="Q123" s="2" t="s">
        <v>105</v>
      </c>
      <c r="R123" s="2" t="s">
        <v>937</v>
      </c>
      <c r="S123" s="2" t="s">
        <v>941</v>
      </c>
      <c r="T123" s="2" t="s">
        <v>1378</v>
      </c>
      <c r="U123" s="150">
        <v>3.681</v>
      </c>
      <c r="V123" s="150">
        <v>230.91499999999999</v>
      </c>
      <c r="W123" s="150">
        <v>849.99800000000005</v>
      </c>
      <c r="Y123" s="164">
        <v>1.97854991860697E-3</v>
      </c>
      <c r="Z123" s="164">
        <v>3.66777297132758E-4</v>
      </c>
    </row>
    <row r="124" spans="1:26">
      <c r="A124" s="2" t="s">
        <v>128</v>
      </c>
      <c r="B124" s="2">
        <v>7228</v>
      </c>
      <c r="C124" s="2" t="s">
        <v>2750</v>
      </c>
      <c r="E124" s="2" t="s">
        <v>204</v>
      </c>
      <c r="F124" s="2" t="s">
        <v>2753</v>
      </c>
      <c r="G124" s="2">
        <v>62007349</v>
      </c>
      <c r="H124" s="2" t="s">
        <v>34</v>
      </c>
      <c r="I124" s="2" t="s">
        <v>1070</v>
      </c>
      <c r="J124" s="2" t="s">
        <v>898</v>
      </c>
      <c r="K124" s="2" t="s">
        <v>100</v>
      </c>
      <c r="L124" s="2" t="s">
        <v>268</v>
      </c>
      <c r="M124" s="2" t="s">
        <v>31</v>
      </c>
      <c r="N124" s="2" t="s">
        <v>31</v>
      </c>
      <c r="O124" s="2" t="s">
        <v>164</v>
      </c>
      <c r="P124" t="s">
        <v>2971</v>
      </c>
      <c r="Q124" s="2" t="s">
        <v>105</v>
      </c>
      <c r="R124" s="2" t="s">
        <v>937</v>
      </c>
      <c r="S124" s="2" t="s">
        <v>941</v>
      </c>
      <c r="T124" s="2" t="s">
        <v>1378</v>
      </c>
      <c r="U124" s="150">
        <v>3.681</v>
      </c>
      <c r="V124" s="150">
        <v>1053.606</v>
      </c>
      <c r="W124" s="150">
        <v>3878.3249999999998</v>
      </c>
      <c r="Y124" s="164">
        <v>9.0276183159413107E-3</v>
      </c>
      <c r="Z124" s="164">
        <v>1.67351119844294E-3</v>
      </c>
    </row>
    <row r="125" spans="1:26">
      <c r="A125" s="2" t="s">
        <v>128</v>
      </c>
      <c r="B125" s="2">
        <v>7228</v>
      </c>
      <c r="C125" s="2" t="s">
        <v>2755</v>
      </c>
      <c r="D125" s="2" t="s">
        <v>2756</v>
      </c>
      <c r="E125" s="2" t="s">
        <v>204</v>
      </c>
      <c r="F125" s="2" t="s">
        <v>2757</v>
      </c>
      <c r="G125" s="2">
        <v>62020755</v>
      </c>
      <c r="H125" s="2" t="s">
        <v>34</v>
      </c>
      <c r="I125" s="2" t="s">
        <v>1070</v>
      </c>
      <c r="J125" s="2" t="s">
        <v>898</v>
      </c>
      <c r="K125" s="2" t="s">
        <v>100</v>
      </c>
      <c r="L125" s="2" t="s">
        <v>101</v>
      </c>
      <c r="M125" s="2" t="s">
        <v>31</v>
      </c>
      <c r="N125" s="2" t="s">
        <v>31</v>
      </c>
      <c r="O125" s="2" t="s">
        <v>164</v>
      </c>
      <c r="P125" t="s">
        <v>2749</v>
      </c>
      <c r="Q125" s="2" t="s">
        <v>105</v>
      </c>
      <c r="R125" s="2" t="s">
        <v>204</v>
      </c>
      <c r="S125" s="2" t="s">
        <v>941</v>
      </c>
      <c r="T125" s="2" t="s">
        <v>1378</v>
      </c>
      <c r="U125" s="150">
        <v>3.681</v>
      </c>
      <c r="V125" s="150">
        <v>403.15</v>
      </c>
      <c r="W125" s="150">
        <v>1483.9949999999999</v>
      </c>
      <c r="Y125" s="164">
        <v>3.4543109705382899E-3</v>
      </c>
      <c r="Z125" s="164">
        <v>6.4034919175660399E-4</v>
      </c>
    </row>
    <row r="126" spans="1:26">
      <c r="A126" s="2" t="s">
        <v>128</v>
      </c>
      <c r="B126" s="2">
        <v>7228</v>
      </c>
      <c r="C126" s="2" t="s">
        <v>2972</v>
      </c>
      <c r="D126" s="2" t="s">
        <v>2973</v>
      </c>
      <c r="E126" s="2" t="s">
        <v>34</v>
      </c>
      <c r="F126" s="2" t="s">
        <v>2974</v>
      </c>
      <c r="G126" s="2">
        <v>9840809</v>
      </c>
      <c r="H126" s="2" t="s">
        <v>34</v>
      </c>
      <c r="I126" s="2" t="s">
        <v>1070</v>
      </c>
      <c r="J126" s="2" t="s">
        <v>614</v>
      </c>
      <c r="K126" s="2" t="s">
        <v>100</v>
      </c>
      <c r="L126" s="2" t="s">
        <v>268</v>
      </c>
      <c r="M126" s="2" t="s">
        <v>31</v>
      </c>
      <c r="N126" s="2" t="s">
        <v>31</v>
      </c>
      <c r="O126" s="2" t="s">
        <v>164</v>
      </c>
      <c r="P126" t="s">
        <v>2704</v>
      </c>
      <c r="Q126" s="2" t="s">
        <v>105</v>
      </c>
      <c r="R126" s="2" t="s">
        <v>937</v>
      </c>
      <c r="S126" s="2" t="s">
        <v>941</v>
      </c>
      <c r="T126" s="2" t="s">
        <v>1378</v>
      </c>
      <c r="U126" s="150">
        <v>3.681</v>
      </c>
      <c r="V126" s="150">
        <v>360.52300000000002</v>
      </c>
      <c r="W126" s="150">
        <v>1327.085</v>
      </c>
      <c r="Y126" s="164">
        <v>3.0890693326965399E-3</v>
      </c>
      <c r="Z126" s="164">
        <v>5.7264185747703397E-4</v>
      </c>
    </row>
    <row r="127" spans="1:26">
      <c r="A127" s="2" t="s">
        <v>128</v>
      </c>
      <c r="B127" s="2">
        <v>7228</v>
      </c>
      <c r="C127" s="2" t="s">
        <v>2758</v>
      </c>
      <c r="D127" s="2" t="s">
        <v>2759</v>
      </c>
      <c r="E127" s="2" t="s">
        <v>1380</v>
      </c>
      <c r="F127" s="2" t="s">
        <v>2975</v>
      </c>
      <c r="G127" s="2">
        <v>50007376</v>
      </c>
      <c r="H127" s="2" t="s">
        <v>34</v>
      </c>
      <c r="I127" s="2" t="s">
        <v>1072</v>
      </c>
      <c r="J127" s="2" t="s">
        <v>614</v>
      </c>
      <c r="K127" s="2" t="s">
        <v>31</v>
      </c>
      <c r="L127" s="2" t="s">
        <v>268</v>
      </c>
      <c r="M127" s="2" t="s">
        <v>31</v>
      </c>
      <c r="N127" s="2" t="s">
        <v>31</v>
      </c>
      <c r="O127" s="2" t="s">
        <v>164</v>
      </c>
      <c r="P127" t="s">
        <v>2976</v>
      </c>
      <c r="Q127" s="2" t="s">
        <v>35</v>
      </c>
      <c r="R127" s="2" t="s">
        <v>937</v>
      </c>
      <c r="S127" s="2" t="s">
        <v>941</v>
      </c>
      <c r="T127" s="2" t="s">
        <v>1378</v>
      </c>
      <c r="U127" s="150">
        <v>1</v>
      </c>
      <c r="V127" s="150">
        <v>11141.34</v>
      </c>
      <c r="W127" s="150">
        <v>11141.34</v>
      </c>
      <c r="Y127" s="164">
        <v>2.5933816941811402E-2</v>
      </c>
      <c r="Z127" s="164">
        <v>4.8075285808054499E-3</v>
      </c>
    </row>
    <row r="128" spans="1:26">
      <c r="A128" s="2" t="s">
        <v>128</v>
      </c>
      <c r="B128" s="2">
        <v>7228</v>
      </c>
      <c r="C128" s="2" t="s">
        <v>2762</v>
      </c>
      <c r="D128" s="2" t="s">
        <v>2763</v>
      </c>
      <c r="E128" s="2" t="s">
        <v>1380</v>
      </c>
      <c r="F128" s="2" t="s">
        <v>2764</v>
      </c>
      <c r="G128" s="2">
        <v>50007004</v>
      </c>
      <c r="H128" s="2" t="s">
        <v>34</v>
      </c>
      <c r="I128" s="2" t="s">
        <v>1070</v>
      </c>
      <c r="J128" s="2" t="s">
        <v>881</v>
      </c>
      <c r="K128" s="2" t="s">
        <v>31</v>
      </c>
      <c r="L128" s="2" t="s">
        <v>31</v>
      </c>
      <c r="M128" s="2" t="s">
        <v>31</v>
      </c>
      <c r="N128" s="2" t="s">
        <v>31</v>
      </c>
      <c r="O128" s="2" t="s">
        <v>164</v>
      </c>
      <c r="P128" t="s">
        <v>2765</v>
      </c>
      <c r="Q128" s="2" t="s">
        <v>35</v>
      </c>
      <c r="R128" s="2" t="s">
        <v>937</v>
      </c>
      <c r="S128" s="2" t="s">
        <v>941</v>
      </c>
      <c r="T128" s="2" t="s">
        <v>1378</v>
      </c>
      <c r="U128" s="150">
        <v>1</v>
      </c>
      <c r="V128" s="150">
        <v>4949.95</v>
      </c>
      <c r="W128" s="150">
        <v>4949.95</v>
      </c>
      <c r="Y128" s="164">
        <v>1.15220525039515E-2</v>
      </c>
      <c r="Z128" s="164">
        <v>2.1359214822320202E-3</v>
      </c>
    </row>
    <row r="129" spans="1:26">
      <c r="A129" s="2" t="s">
        <v>128</v>
      </c>
      <c r="B129" s="2">
        <v>7228</v>
      </c>
      <c r="C129" s="2" t="s">
        <v>2766</v>
      </c>
      <c r="D129" s="2" t="s">
        <v>2767</v>
      </c>
      <c r="E129" s="2" t="s">
        <v>1380</v>
      </c>
      <c r="F129" s="2" t="s">
        <v>2766</v>
      </c>
      <c r="G129" s="2">
        <v>50007350</v>
      </c>
      <c r="H129" s="2" t="s">
        <v>34</v>
      </c>
      <c r="I129" s="2" t="s">
        <v>1070</v>
      </c>
      <c r="J129" s="2" t="s">
        <v>889</v>
      </c>
      <c r="K129" s="2" t="s">
        <v>31</v>
      </c>
      <c r="L129" s="2" t="s">
        <v>31</v>
      </c>
      <c r="M129" s="2" t="s">
        <v>31</v>
      </c>
      <c r="N129" s="2" t="s">
        <v>31</v>
      </c>
      <c r="O129" s="2" t="s">
        <v>164</v>
      </c>
      <c r="P129" t="s">
        <v>2768</v>
      </c>
      <c r="Q129" s="2" t="s">
        <v>35</v>
      </c>
      <c r="R129" s="2" t="s">
        <v>204</v>
      </c>
      <c r="S129" s="2" t="s">
        <v>941</v>
      </c>
      <c r="T129" s="2" t="s">
        <v>1378</v>
      </c>
      <c r="U129" s="150">
        <v>1</v>
      </c>
      <c r="V129" s="150">
        <v>5964.058</v>
      </c>
      <c r="W129" s="150">
        <v>5964.058</v>
      </c>
      <c r="Y129" s="164">
        <v>1.38826023501435E-2</v>
      </c>
      <c r="Z129" s="164">
        <v>2.5735127121480402E-3</v>
      </c>
    </row>
    <row r="130" spans="1:26">
      <c r="A130" s="2" t="s">
        <v>128</v>
      </c>
      <c r="B130" s="2">
        <v>7228</v>
      </c>
      <c r="C130" s="2" t="s">
        <v>2977</v>
      </c>
      <c r="D130" s="2" t="s">
        <v>2978</v>
      </c>
      <c r="E130" s="2" t="s">
        <v>1380</v>
      </c>
      <c r="F130" s="2" t="s">
        <v>2979</v>
      </c>
      <c r="G130" s="2">
        <v>26427</v>
      </c>
      <c r="H130" s="2" t="s">
        <v>34</v>
      </c>
      <c r="I130" s="2" t="s">
        <v>1070</v>
      </c>
      <c r="J130" s="2" t="s">
        <v>890</v>
      </c>
      <c r="K130" s="2" t="s">
        <v>31</v>
      </c>
      <c r="L130" s="2" t="s">
        <v>31</v>
      </c>
      <c r="M130" s="2" t="s">
        <v>31</v>
      </c>
      <c r="N130" s="2" t="s">
        <v>31</v>
      </c>
      <c r="O130" s="2" t="s">
        <v>164</v>
      </c>
      <c r="P130" t="s">
        <v>2704</v>
      </c>
      <c r="Q130" s="2" t="s">
        <v>35</v>
      </c>
      <c r="R130" s="2" t="s">
        <v>937</v>
      </c>
      <c r="S130" s="2" t="s">
        <v>941</v>
      </c>
      <c r="T130" s="2" t="s">
        <v>1378</v>
      </c>
      <c r="U130" s="150">
        <v>1</v>
      </c>
      <c r="V130" s="150">
        <v>8.6129999999999995</v>
      </c>
      <c r="W130" s="150">
        <v>8.6129999999999995</v>
      </c>
      <c r="Y130" s="164">
        <v>2.0049679383144601E-5</v>
      </c>
      <c r="Z130" s="164">
        <v>3.7167458568372699E-6</v>
      </c>
    </row>
    <row r="131" spans="1:26">
      <c r="A131" s="2" t="s">
        <v>128</v>
      </c>
      <c r="B131" s="2">
        <v>7228</v>
      </c>
      <c r="C131" s="2" t="s">
        <v>2662</v>
      </c>
      <c r="D131" s="2" t="s">
        <v>2663</v>
      </c>
      <c r="E131" s="2" t="s">
        <v>360</v>
      </c>
      <c r="F131" s="2" t="s">
        <v>2980</v>
      </c>
      <c r="G131" s="2">
        <v>9840906</v>
      </c>
      <c r="H131" s="2" t="s">
        <v>34</v>
      </c>
      <c r="I131" s="2" t="s">
        <v>1070</v>
      </c>
      <c r="J131" s="2" t="s">
        <v>614</v>
      </c>
      <c r="K131" s="2" t="s">
        <v>31</v>
      </c>
      <c r="L131" s="2" t="s">
        <v>31</v>
      </c>
      <c r="M131" s="2" t="s">
        <v>31</v>
      </c>
      <c r="N131" s="2" t="s">
        <v>31</v>
      </c>
      <c r="O131" s="2" t="s">
        <v>164</v>
      </c>
      <c r="P131" t="s">
        <v>2704</v>
      </c>
      <c r="Q131" s="2" t="s">
        <v>105</v>
      </c>
      <c r="R131" s="2" t="s">
        <v>937</v>
      </c>
      <c r="S131" s="2" t="s">
        <v>941</v>
      </c>
      <c r="T131" s="2" t="s">
        <v>1378</v>
      </c>
      <c r="U131" s="150">
        <v>3.681</v>
      </c>
      <c r="V131" s="150">
        <v>20.734999999999999</v>
      </c>
      <c r="W131" s="150">
        <v>76.325999999999993</v>
      </c>
      <c r="Y131" s="164">
        <v>1.7766429290008199E-4</v>
      </c>
      <c r="Z131" s="164">
        <v>3.2934842095252199E-5</v>
      </c>
    </row>
    <row r="132" spans="1:26">
      <c r="A132" s="2" t="s">
        <v>128</v>
      </c>
      <c r="B132" s="2">
        <v>7228</v>
      </c>
      <c r="C132" s="2" t="s">
        <v>2662</v>
      </c>
      <c r="D132" s="2" t="s">
        <v>2663</v>
      </c>
      <c r="E132" s="2" t="s">
        <v>360</v>
      </c>
      <c r="F132" s="2" t="s">
        <v>2981</v>
      </c>
      <c r="G132" s="2">
        <v>9840909</v>
      </c>
      <c r="H132" s="2" t="s">
        <v>34</v>
      </c>
      <c r="I132" s="2" t="s">
        <v>1070</v>
      </c>
      <c r="J132" s="2" t="s">
        <v>614</v>
      </c>
      <c r="K132" s="2" t="s">
        <v>31</v>
      </c>
      <c r="L132" s="2" t="s">
        <v>31</v>
      </c>
      <c r="M132" s="2" t="s">
        <v>31</v>
      </c>
      <c r="N132" s="2" t="s">
        <v>31</v>
      </c>
      <c r="O132" s="2" t="s">
        <v>164</v>
      </c>
      <c r="P132" t="s">
        <v>2704</v>
      </c>
      <c r="Q132" s="2" t="s">
        <v>105</v>
      </c>
      <c r="R132" s="2" t="s">
        <v>937</v>
      </c>
      <c r="S132" s="2" t="s">
        <v>941</v>
      </c>
      <c r="T132" s="2" t="s">
        <v>1378</v>
      </c>
      <c r="U132" s="150">
        <v>3.681</v>
      </c>
      <c r="V132" s="150">
        <v>35.96</v>
      </c>
      <c r="W132" s="150">
        <v>132.36799999999999</v>
      </c>
      <c r="Y132" s="164">
        <v>3.0811390663022201E-4</v>
      </c>
      <c r="Z132" s="164">
        <v>5.7117176989101999E-5</v>
      </c>
    </row>
    <row r="133" spans="1:26">
      <c r="A133" s="2" t="s">
        <v>128</v>
      </c>
      <c r="B133" s="2">
        <v>7228</v>
      </c>
      <c r="C133" s="2" t="s">
        <v>2662</v>
      </c>
      <c r="D133" s="2" t="s">
        <v>2663</v>
      </c>
      <c r="E133" s="2" t="s">
        <v>360</v>
      </c>
      <c r="F133" s="2" t="s">
        <v>2769</v>
      </c>
      <c r="G133" s="2">
        <v>60400892</v>
      </c>
      <c r="H133" s="2" t="s">
        <v>34</v>
      </c>
      <c r="I133" s="2" t="s">
        <v>1070</v>
      </c>
      <c r="J133" s="2" t="s">
        <v>614</v>
      </c>
      <c r="K133" s="2" t="s">
        <v>31</v>
      </c>
      <c r="L133" s="2" t="s">
        <v>31</v>
      </c>
      <c r="M133" s="2" t="s">
        <v>31</v>
      </c>
      <c r="N133" s="2" t="s">
        <v>31</v>
      </c>
      <c r="O133" s="2" t="s">
        <v>164</v>
      </c>
      <c r="P133" t="s">
        <v>2770</v>
      </c>
      <c r="Q133" s="2" t="s">
        <v>105</v>
      </c>
      <c r="R133" s="2" t="s">
        <v>937</v>
      </c>
      <c r="S133" s="2" t="s">
        <v>941</v>
      </c>
      <c r="T133" s="2" t="s">
        <v>1378</v>
      </c>
      <c r="U133" s="150">
        <v>3.681</v>
      </c>
      <c r="V133" s="150">
        <v>2271.6660000000002</v>
      </c>
      <c r="W133" s="150">
        <v>8362.0020000000004</v>
      </c>
      <c r="Y133" s="164">
        <v>1.94643219922148E-2</v>
      </c>
      <c r="Z133" s="164">
        <v>3.6082341636609399E-3</v>
      </c>
    </row>
    <row r="134" spans="1:26">
      <c r="A134" s="2" t="s">
        <v>128</v>
      </c>
      <c r="B134" s="2">
        <v>7228</v>
      </c>
      <c r="C134" s="2" t="s">
        <v>2982</v>
      </c>
      <c r="D134" s="2" t="s">
        <v>2983</v>
      </c>
      <c r="E134" s="2" t="s">
        <v>1380</v>
      </c>
      <c r="F134" s="2" t="s">
        <v>2984</v>
      </c>
      <c r="G134" s="2">
        <v>9840913</v>
      </c>
      <c r="H134" s="2" t="s">
        <v>34</v>
      </c>
      <c r="I134" s="2" t="s">
        <v>1070</v>
      </c>
      <c r="J134" s="2" t="s">
        <v>883</v>
      </c>
      <c r="K134" s="2" t="s">
        <v>31</v>
      </c>
      <c r="L134" s="2" t="s">
        <v>31</v>
      </c>
      <c r="M134" s="2" t="s">
        <v>31</v>
      </c>
      <c r="N134" s="2" t="s">
        <v>31</v>
      </c>
      <c r="O134" s="2" t="s">
        <v>164</v>
      </c>
      <c r="P134" t="s">
        <v>2704</v>
      </c>
      <c r="Q134" s="2" t="s">
        <v>105</v>
      </c>
      <c r="R134" s="2" t="s">
        <v>937</v>
      </c>
      <c r="S134" s="2" t="s">
        <v>941</v>
      </c>
      <c r="T134" s="2" t="s">
        <v>1378</v>
      </c>
      <c r="U134" s="150">
        <v>3.681</v>
      </c>
      <c r="V134" s="150">
        <v>8.2260000000000009</v>
      </c>
      <c r="W134" s="150">
        <v>30.280999999999999</v>
      </c>
      <c r="Y134" s="164">
        <v>7.0485077396948903E-5</v>
      </c>
      <c r="Z134" s="164">
        <v>1.30662996837845E-5</v>
      </c>
    </row>
    <row r="135" spans="1:26">
      <c r="A135" s="2" t="s">
        <v>128</v>
      </c>
      <c r="B135" s="2">
        <v>7228</v>
      </c>
      <c r="C135" s="2" t="s">
        <v>2985</v>
      </c>
      <c r="E135" s="2" t="s">
        <v>204</v>
      </c>
      <c r="F135" s="2" t="s">
        <v>2986</v>
      </c>
      <c r="G135" s="2">
        <v>9840922</v>
      </c>
      <c r="H135" s="2" t="s">
        <v>34</v>
      </c>
      <c r="I135" s="2" t="s">
        <v>1070</v>
      </c>
      <c r="J135" s="2" t="s">
        <v>884</v>
      </c>
      <c r="K135" s="2" t="s">
        <v>31</v>
      </c>
      <c r="L135" s="2" t="s">
        <v>31</v>
      </c>
      <c r="M135" s="2" t="s">
        <v>31</v>
      </c>
      <c r="N135" s="2" t="s">
        <v>31</v>
      </c>
      <c r="O135" s="2" t="s">
        <v>164</v>
      </c>
      <c r="P135" t="s">
        <v>2704</v>
      </c>
      <c r="Q135" s="2" t="s">
        <v>105</v>
      </c>
      <c r="R135" s="2" t="s">
        <v>937</v>
      </c>
      <c r="S135" s="2" t="s">
        <v>941</v>
      </c>
      <c r="T135" s="2" t="s">
        <v>1378</v>
      </c>
      <c r="U135" s="150">
        <v>3.681</v>
      </c>
      <c r="V135" s="150">
        <v>4.7670000000000003</v>
      </c>
      <c r="W135" s="150">
        <v>17.547000000000001</v>
      </c>
      <c r="Y135" s="164">
        <v>4.08441058913005E-5</v>
      </c>
      <c r="Z135" s="164">
        <v>7.5715505692991299E-6</v>
      </c>
    </row>
    <row r="136" spans="1:26">
      <c r="A136" s="2" t="s">
        <v>128</v>
      </c>
      <c r="B136" s="2">
        <v>7228</v>
      </c>
      <c r="C136" s="2" t="s">
        <v>2987</v>
      </c>
      <c r="D136" s="2" t="s">
        <v>2988</v>
      </c>
      <c r="E136" s="2" t="s">
        <v>1380</v>
      </c>
      <c r="F136" s="2" t="s">
        <v>2989</v>
      </c>
      <c r="G136" s="2">
        <v>9840936</v>
      </c>
      <c r="H136" s="2" t="s">
        <v>34</v>
      </c>
      <c r="I136" s="2" t="s">
        <v>1070</v>
      </c>
      <c r="J136" s="2" t="s">
        <v>896</v>
      </c>
      <c r="K136" s="2" t="s">
        <v>31</v>
      </c>
      <c r="L136" s="2" t="s">
        <v>31</v>
      </c>
      <c r="M136" s="2" t="s">
        <v>31</v>
      </c>
      <c r="N136" s="2" t="s">
        <v>31</v>
      </c>
      <c r="O136" s="2" t="s">
        <v>164</v>
      </c>
      <c r="P136" t="s">
        <v>2704</v>
      </c>
      <c r="Q136" s="2" t="s">
        <v>105</v>
      </c>
      <c r="R136" s="2" t="s">
        <v>937</v>
      </c>
      <c r="S136" s="2" t="s">
        <v>941</v>
      </c>
      <c r="T136" s="2" t="s">
        <v>1378</v>
      </c>
      <c r="U136" s="150">
        <v>3.681</v>
      </c>
      <c r="V136" s="150">
        <v>333.01</v>
      </c>
      <c r="W136" s="150">
        <v>1225.81</v>
      </c>
      <c r="Y136" s="164">
        <v>2.8533314256888398E-3</v>
      </c>
      <c r="Z136" s="164">
        <v>5.28941513325547E-4</v>
      </c>
    </row>
    <row r="137" spans="1:26">
      <c r="A137" s="2" t="s">
        <v>128</v>
      </c>
      <c r="B137" s="2">
        <v>7228</v>
      </c>
      <c r="C137" s="2" t="s">
        <v>2762</v>
      </c>
      <c r="D137" s="2" t="s">
        <v>2763</v>
      </c>
      <c r="E137" s="2" t="s">
        <v>1380</v>
      </c>
      <c r="F137" s="2" t="s">
        <v>2762</v>
      </c>
      <c r="G137" s="2">
        <v>18952</v>
      </c>
      <c r="H137" s="2" t="s">
        <v>34</v>
      </c>
      <c r="I137" s="2" t="s">
        <v>1070</v>
      </c>
      <c r="J137" s="2" t="s">
        <v>881</v>
      </c>
      <c r="K137" s="2" t="s">
        <v>31</v>
      </c>
      <c r="L137" s="2" t="s">
        <v>31</v>
      </c>
      <c r="M137" s="2" t="s">
        <v>31</v>
      </c>
      <c r="N137" s="2" t="s">
        <v>31</v>
      </c>
      <c r="O137" s="2" t="s">
        <v>164</v>
      </c>
      <c r="P137" t="s">
        <v>2771</v>
      </c>
      <c r="Q137" s="2" t="s">
        <v>35</v>
      </c>
      <c r="R137" s="2" t="s">
        <v>937</v>
      </c>
      <c r="S137" s="2" t="s">
        <v>941</v>
      </c>
      <c r="T137" s="2" t="s">
        <v>1378</v>
      </c>
      <c r="U137" s="150">
        <v>1</v>
      </c>
      <c r="V137" s="150">
        <v>1404.3009999999999</v>
      </c>
      <c r="W137" s="150">
        <v>1404.3009999999999</v>
      </c>
      <c r="Y137" s="164">
        <v>3.2688066587796901E-3</v>
      </c>
      <c r="Z137" s="164">
        <v>6.0596099187676703E-4</v>
      </c>
    </row>
    <row r="138" spans="1:26">
      <c r="A138" s="2" t="s">
        <v>128</v>
      </c>
      <c r="B138" s="2">
        <v>7228</v>
      </c>
      <c r="C138" s="2" t="s">
        <v>2990</v>
      </c>
      <c r="D138" s="2" t="s">
        <v>2991</v>
      </c>
      <c r="E138" s="2" t="s">
        <v>34</v>
      </c>
      <c r="F138" s="2" t="s">
        <v>2992</v>
      </c>
      <c r="G138" s="2">
        <v>9840777</v>
      </c>
      <c r="H138" s="2" t="s">
        <v>34</v>
      </c>
      <c r="I138" s="2" t="s">
        <v>1070</v>
      </c>
      <c r="J138" s="2" t="s">
        <v>897</v>
      </c>
      <c r="K138" s="2" t="s">
        <v>100</v>
      </c>
      <c r="L138" s="2" t="s">
        <v>268</v>
      </c>
      <c r="M138" s="2" t="s">
        <v>31</v>
      </c>
      <c r="N138" s="2" t="s">
        <v>31</v>
      </c>
      <c r="O138" s="2" t="s">
        <v>164</v>
      </c>
      <c r="P138" t="s">
        <v>2704</v>
      </c>
      <c r="Q138" s="2" t="s">
        <v>105</v>
      </c>
      <c r="R138" s="2" t="s">
        <v>937</v>
      </c>
      <c r="S138" s="2" t="s">
        <v>941</v>
      </c>
      <c r="T138" s="2" t="s">
        <v>1378</v>
      </c>
      <c r="U138" s="150">
        <v>3.681</v>
      </c>
      <c r="V138" s="150">
        <v>103.876</v>
      </c>
      <c r="W138" s="150">
        <v>382.36799999999999</v>
      </c>
      <c r="Y138" s="164">
        <v>8.9004110246457995E-4</v>
      </c>
      <c r="Z138" s="164">
        <v>1.6499299149796501E-4</v>
      </c>
    </row>
    <row r="139" spans="1:26">
      <c r="A139" s="2" t="s">
        <v>128</v>
      </c>
      <c r="B139" s="2">
        <v>7228</v>
      </c>
      <c r="C139" s="2" t="s">
        <v>2772</v>
      </c>
      <c r="D139" s="2" t="s">
        <v>2773</v>
      </c>
      <c r="E139" s="2" t="s">
        <v>204</v>
      </c>
      <c r="F139" s="2" t="s">
        <v>2774</v>
      </c>
      <c r="G139" s="2">
        <v>50007160</v>
      </c>
      <c r="H139" s="2" t="s">
        <v>34</v>
      </c>
      <c r="I139" s="2" t="s">
        <v>1070</v>
      </c>
      <c r="J139" s="2" t="s">
        <v>614</v>
      </c>
      <c r="K139" s="2" t="s">
        <v>31</v>
      </c>
      <c r="L139" s="2" t="s">
        <v>31</v>
      </c>
      <c r="M139" s="2" t="s">
        <v>31</v>
      </c>
      <c r="N139" s="2" t="s">
        <v>31</v>
      </c>
      <c r="O139" s="2" t="s">
        <v>164</v>
      </c>
      <c r="P139" t="s">
        <v>2775</v>
      </c>
      <c r="Q139" s="2" t="s">
        <v>35</v>
      </c>
      <c r="R139" s="2" t="s">
        <v>204</v>
      </c>
      <c r="S139" s="2" t="s">
        <v>941</v>
      </c>
      <c r="T139" s="2" t="s">
        <v>1378</v>
      </c>
      <c r="U139" s="150">
        <v>1</v>
      </c>
      <c r="V139" s="150">
        <v>2108.0340000000001</v>
      </c>
      <c r="W139" s="150">
        <v>2108.0340000000001</v>
      </c>
      <c r="Y139" s="164">
        <v>4.9068938564078499E-3</v>
      </c>
      <c r="Z139" s="164">
        <v>9.0962439160379598E-4</v>
      </c>
    </row>
    <row r="140" spans="1:26">
      <c r="A140" s="2" t="s">
        <v>128</v>
      </c>
      <c r="B140" s="2">
        <v>7228</v>
      </c>
      <c r="C140" s="2" t="s">
        <v>2993</v>
      </c>
      <c r="D140" s="2" t="s">
        <v>2994</v>
      </c>
      <c r="E140" s="2" t="s">
        <v>1380</v>
      </c>
      <c r="F140" s="2" t="s">
        <v>2995</v>
      </c>
      <c r="G140" s="2">
        <v>9840947</v>
      </c>
      <c r="H140" s="2" t="s">
        <v>34</v>
      </c>
      <c r="I140" s="2" t="s">
        <v>1070</v>
      </c>
      <c r="J140" s="2" t="s">
        <v>883</v>
      </c>
      <c r="K140" s="2" t="s">
        <v>100</v>
      </c>
      <c r="L140" s="2" t="s">
        <v>268</v>
      </c>
      <c r="M140" s="2" t="s">
        <v>31</v>
      </c>
      <c r="N140" s="2" t="s">
        <v>101</v>
      </c>
      <c r="O140" s="2" t="s">
        <v>164</v>
      </c>
      <c r="P140" t="s">
        <v>2704</v>
      </c>
      <c r="Q140" s="2" t="s">
        <v>105</v>
      </c>
      <c r="R140" s="2" t="s">
        <v>937</v>
      </c>
      <c r="S140" s="2" t="s">
        <v>941</v>
      </c>
      <c r="T140" s="2" t="s">
        <v>1378</v>
      </c>
      <c r="U140" s="150">
        <v>3.681</v>
      </c>
      <c r="V140" s="150">
        <v>11.948</v>
      </c>
      <c r="W140" s="150">
        <v>43.978999999999999</v>
      </c>
      <c r="Y140" s="164">
        <v>1.0237150641791901E-4</v>
      </c>
      <c r="Z140" s="164">
        <v>1.89773045775914E-5</v>
      </c>
    </row>
    <row r="141" spans="1:26">
      <c r="A141" s="2" t="s">
        <v>128</v>
      </c>
      <c r="B141" s="2">
        <v>7228</v>
      </c>
      <c r="C141" s="2" t="s">
        <v>2776</v>
      </c>
      <c r="D141" s="2" t="s">
        <v>2777</v>
      </c>
      <c r="E141" s="2" t="s">
        <v>34</v>
      </c>
      <c r="F141" s="2" t="s">
        <v>2778</v>
      </c>
      <c r="G141" s="2">
        <v>62020672</v>
      </c>
      <c r="H141" s="2" t="s">
        <v>34</v>
      </c>
      <c r="I141" s="2" t="s">
        <v>1070</v>
      </c>
      <c r="J141" s="2" t="s">
        <v>614</v>
      </c>
      <c r="K141" s="2" t="s">
        <v>100</v>
      </c>
      <c r="L141" s="2" t="s">
        <v>101</v>
      </c>
      <c r="M141" s="2" t="s">
        <v>101</v>
      </c>
      <c r="N141" s="2" t="s">
        <v>101</v>
      </c>
      <c r="O141" s="2" t="s">
        <v>164</v>
      </c>
      <c r="P141" t="s">
        <v>2779</v>
      </c>
      <c r="Q141" s="2" t="s">
        <v>105</v>
      </c>
      <c r="R141" s="2" t="s">
        <v>204</v>
      </c>
      <c r="S141" s="2" t="s">
        <v>941</v>
      </c>
      <c r="T141" s="2" t="s">
        <v>1378</v>
      </c>
      <c r="U141" s="150">
        <v>3.681</v>
      </c>
      <c r="V141" s="150">
        <v>988.221</v>
      </c>
      <c r="W141" s="150">
        <v>3637.6419999999998</v>
      </c>
      <c r="Y141" s="164">
        <v>8.4673782040675608E-3</v>
      </c>
      <c r="Z141" s="164">
        <v>1.5696556666486799E-3</v>
      </c>
    </row>
    <row r="142" spans="1:26">
      <c r="A142" s="2" t="s">
        <v>128</v>
      </c>
      <c r="B142" s="2">
        <v>7228</v>
      </c>
      <c r="C142" s="2" t="s">
        <v>2780</v>
      </c>
      <c r="D142" s="2" t="s">
        <v>2781</v>
      </c>
      <c r="E142" s="2" t="s">
        <v>362</v>
      </c>
      <c r="F142" s="2" t="s">
        <v>2780</v>
      </c>
      <c r="G142" s="2">
        <v>62021365</v>
      </c>
      <c r="H142" s="2" t="s">
        <v>34</v>
      </c>
      <c r="I142" s="2" t="s">
        <v>1070</v>
      </c>
      <c r="J142" s="2" t="s">
        <v>880</v>
      </c>
      <c r="K142" s="2" t="s">
        <v>100</v>
      </c>
      <c r="L142" s="2" t="s">
        <v>303</v>
      </c>
      <c r="M142" s="2" t="s">
        <v>303</v>
      </c>
      <c r="N142" s="2" t="s">
        <v>343</v>
      </c>
      <c r="O142" s="2" t="s">
        <v>164</v>
      </c>
      <c r="P142" t="s">
        <v>2782</v>
      </c>
      <c r="Q142" s="2" t="s">
        <v>105</v>
      </c>
      <c r="R142" s="2" t="s">
        <v>937</v>
      </c>
      <c r="S142" s="2" t="s">
        <v>941</v>
      </c>
      <c r="T142" s="2" t="s">
        <v>1378</v>
      </c>
      <c r="U142" s="150">
        <v>3.681</v>
      </c>
      <c r="V142" s="150">
        <v>313.92</v>
      </c>
      <c r="W142" s="150">
        <v>1155.539</v>
      </c>
      <c r="Y142" s="164">
        <v>2.6897617933117198E-3</v>
      </c>
      <c r="Z142" s="164">
        <v>4.9861949461271304E-4</v>
      </c>
    </row>
    <row r="143" spans="1:26">
      <c r="A143" s="2" t="s">
        <v>128</v>
      </c>
      <c r="B143" s="2">
        <v>7228</v>
      </c>
      <c r="C143" s="2" t="s">
        <v>2783</v>
      </c>
      <c r="D143" s="2" t="s">
        <v>2784</v>
      </c>
      <c r="E143" s="2" t="s">
        <v>361</v>
      </c>
      <c r="F143" s="2" t="s">
        <v>2783</v>
      </c>
      <c r="G143" s="2">
        <v>62020896</v>
      </c>
      <c r="H143" s="2" t="s">
        <v>34</v>
      </c>
      <c r="I143" s="2" t="s">
        <v>1070</v>
      </c>
      <c r="J143" s="2" t="s">
        <v>898</v>
      </c>
      <c r="K143" s="2" t="s">
        <v>100</v>
      </c>
      <c r="L143" s="2" t="s">
        <v>283</v>
      </c>
      <c r="M143" s="2" t="s">
        <v>2785</v>
      </c>
      <c r="N143" s="2" t="s">
        <v>346</v>
      </c>
      <c r="O143" s="2" t="s">
        <v>164</v>
      </c>
      <c r="P143" t="s">
        <v>2786</v>
      </c>
      <c r="Q143" s="2" t="s">
        <v>105</v>
      </c>
      <c r="R143" s="2" t="s">
        <v>937</v>
      </c>
      <c r="S143" s="2" t="s">
        <v>941</v>
      </c>
      <c r="T143" s="2" t="s">
        <v>1378</v>
      </c>
      <c r="U143" s="150">
        <v>3.681</v>
      </c>
      <c r="V143" s="150">
        <v>352.30700000000002</v>
      </c>
      <c r="W143" s="150">
        <v>1296.8420000000001</v>
      </c>
      <c r="Y143" s="164">
        <v>3.0186730811377202E-3</v>
      </c>
      <c r="Z143" s="164">
        <v>5.5959202404487897E-4</v>
      </c>
    </row>
    <row r="144" spans="1:26">
      <c r="A144" s="2" t="s">
        <v>128</v>
      </c>
      <c r="B144" s="2">
        <v>7228</v>
      </c>
      <c r="C144" s="2" t="s">
        <v>2787</v>
      </c>
      <c r="D144" s="2" t="s">
        <v>2788</v>
      </c>
      <c r="E144" s="2" t="s">
        <v>362</v>
      </c>
      <c r="F144" s="2" t="s">
        <v>2787</v>
      </c>
      <c r="G144" s="2">
        <v>62019815</v>
      </c>
      <c r="H144" s="2" t="s">
        <v>34</v>
      </c>
      <c r="I144" s="2" t="s">
        <v>1070</v>
      </c>
      <c r="J144" s="2" t="s">
        <v>898</v>
      </c>
      <c r="K144" s="2" t="s">
        <v>100</v>
      </c>
      <c r="L144" s="2" t="s">
        <v>283</v>
      </c>
      <c r="M144" s="2" t="s">
        <v>2785</v>
      </c>
      <c r="N144" s="2" t="s">
        <v>346</v>
      </c>
      <c r="O144" s="2" t="s">
        <v>164</v>
      </c>
      <c r="P144" t="s">
        <v>2789</v>
      </c>
      <c r="Q144" s="2" t="s">
        <v>105</v>
      </c>
      <c r="R144" s="2" t="s">
        <v>937</v>
      </c>
      <c r="S144" s="2" t="s">
        <v>941</v>
      </c>
      <c r="T144" s="2" t="s">
        <v>1378</v>
      </c>
      <c r="U144" s="150">
        <v>3.681</v>
      </c>
      <c r="V144" s="150">
        <v>1070.0540000000001</v>
      </c>
      <c r="W144" s="150">
        <v>3938.87</v>
      </c>
      <c r="Y144" s="164">
        <v>9.1685495287893697E-3</v>
      </c>
      <c r="Z144" s="164">
        <v>1.6996365788763299E-3</v>
      </c>
    </row>
    <row r="145" spans="1:26">
      <c r="A145" s="2" t="s">
        <v>128</v>
      </c>
      <c r="B145" s="2">
        <v>7228</v>
      </c>
      <c r="C145" s="2" t="s">
        <v>2790</v>
      </c>
      <c r="D145" s="2" t="s">
        <v>2791</v>
      </c>
      <c r="E145" s="2" t="s">
        <v>361</v>
      </c>
      <c r="F145" s="2" t="s">
        <v>2792</v>
      </c>
      <c r="G145" s="2">
        <v>62019757</v>
      </c>
      <c r="H145" s="2" t="s">
        <v>34</v>
      </c>
      <c r="I145" s="2" t="s">
        <v>1070</v>
      </c>
      <c r="J145" s="2" t="s">
        <v>878</v>
      </c>
      <c r="K145" s="2" t="s">
        <v>100</v>
      </c>
      <c r="L145" s="2" t="s">
        <v>268</v>
      </c>
      <c r="M145" s="2" t="s">
        <v>268</v>
      </c>
      <c r="N145" s="2" t="s">
        <v>339</v>
      </c>
      <c r="O145" s="2" t="s">
        <v>164</v>
      </c>
      <c r="P145" t="s">
        <v>2793</v>
      </c>
      <c r="Q145" s="2" t="s">
        <v>105</v>
      </c>
      <c r="R145" s="2" t="s">
        <v>937</v>
      </c>
      <c r="S145" s="2" t="s">
        <v>941</v>
      </c>
      <c r="T145" s="2" t="s">
        <v>1378</v>
      </c>
      <c r="U145" s="150">
        <v>3.681</v>
      </c>
      <c r="V145" s="150">
        <v>828.10299999999995</v>
      </c>
      <c r="W145" s="150">
        <v>3048.2460000000001</v>
      </c>
      <c r="Y145" s="164">
        <v>7.0954357080384401E-3</v>
      </c>
      <c r="Z145" s="164">
        <v>1.3153293260378699E-3</v>
      </c>
    </row>
    <row r="146" spans="1:26">
      <c r="A146" s="2" t="s">
        <v>128</v>
      </c>
      <c r="B146" s="2">
        <v>7228</v>
      </c>
      <c r="C146" s="2" t="s">
        <v>2794</v>
      </c>
      <c r="D146" s="2" t="s">
        <v>2795</v>
      </c>
      <c r="E146" s="2" t="s">
        <v>361</v>
      </c>
      <c r="F146" s="2" t="s">
        <v>2796</v>
      </c>
      <c r="G146" s="2">
        <v>62013909</v>
      </c>
      <c r="H146" s="2" t="s">
        <v>34</v>
      </c>
      <c r="I146" s="2" t="s">
        <v>1070</v>
      </c>
      <c r="J146" s="2" t="s">
        <v>884</v>
      </c>
      <c r="K146" s="2" t="s">
        <v>100</v>
      </c>
      <c r="L146" s="2" t="s">
        <v>268</v>
      </c>
      <c r="M146" s="2" t="s">
        <v>101</v>
      </c>
      <c r="N146" s="2" t="s">
        <v>101</v>
      </c>
      <c r="O146" s="2" t="s">
        <v>164</v>
      </c>
      <c r="P146" t="s">
        <v>2797</v>
      </c>
      <c r="Q146" s="2" t="s">
        <v>105</v>
      </c>
      <c r="R146" s="2" t="s">
        <v>937</v>
      </c>
      <c r="S146" s="2" t="s">
        <v>941</v>
      </c>
      <c r="T146" s="2" t="s">
        <v>1378</v>
      </c>
      <c r="U146" s="150">
        <v>3.681</v>
      </c>
      <c r="V146" s="150">
        <v>1277.21</v>
      </c>
      <c r="W146" s="150">
        <v>4701.41</v>
      </c>
      <c r="Y146" s="164">
        <v>1.0943523012811301E-2</v>
      </c>
      <c r="Z146" s="164">
        <v>2.0286755234232702E-3</v>
      </c>
    </row>
    <row r="147" spans="1:26">
      <c r="A147" s="2" t="s">
        <v>128</v>
      </c>
      <c r="B147" s="2">
        <v>7228</v>
      </c>
      <c r="C147" s="2" t="s">
        <v>2798</v>
      </c>
      <c r="D147" s="2" t="s">
        <v>2799</v>
      </c>
      <c r="E147" s="2" t="s">
        <v>361</v>
      </c>
      <c r="F147" s="2" t="s">
        <v>2800</v>
      </c>
      <c r="G147" s="2">
        <v>62011226</v>
      </c>
      <c r="H147" s="2" t="s">
        <v>34</v>
      </c>
      <c r="I147" s="2" t="s">
        <v>1070</v>
      </c>
      <c r="J147" s="2" t="s">
        <v>888</v>
      </c>
      <c r="K147" s="2" t="s">
        <v>100</v>
      </c>
      <c r="L147" s="2" t="s">
        <v>268</v>
      </c>
      <c r="M147" s="2" t="s">
        <v>101</v>
      </c>
      <c r="N147" s="2" t="s">
        <v>101</v>
      </c>
      <c r="O147" s="2" t="s">
        <v>164</v>
      </c>
      <c r="P147" t="s">
        <v>2801</v>
      </c>
      <c r="Q147" s="2" t="s">
        <v>105</v>
      </c>
      <c r="R147" s="2" t="s">
        <v>937</v>
      </c>
      <c r="S147" s="2" t="s">
        <v>941</v>
      </c>
      <c r="T147" s="2" t="s">
        <v>1378</v>
      </c>
      <c r="U147" s="150">
        <v>3.681</v>
      </c>
      <c r="V147" s="150">
        <v>127.76600000000001</v>
      </c>
      <c r="W147" s="150">
        <v>470.30700000000002</v>
      </c>
      <c r="Y147" s="164">
        <v>1.0947394169397999E-3</v>
      </c>
      <c r="Z147" s="164">
        <v>2.02939314613084E-4</v>
      </c>
    </row>
    <row r="148" spans="1:26">
      <c r="A148" s="2" t="s">
        <v>128</v>
      </c>
      <c r="B148" s="2">
        <v>7228</v>
      </c>
      <c r="C148" s="2" t="s">
        <v>2802</v>
      </c>
      <c r="D148" s="2" t="s">
        <v>2803</v>
      </c>
      <c r="E148" s="2" t="s">
        <v>361</v>
      </c>
      <c r="F148" s="2" t="s">
        <v>2804</v>
      </c>
      <c r="G148" s="2">
        <v>60419041</v>
      </c>
      <c r="H148" s="2" t="s">
        <v>34</v>
      </c>
      <c r="I148" s="2" t="s">
        <v>1070</v>
      </c>
      <c r="J148" s="2" t="s">
        <v>898</v>
      </c>
      <c r="K148" s="2" t="s">
        <v>100</v>
      </c>
      <c r="L148" s="2" t="s">
        <v>268</v>
      </c>
      <c r="M148" s="2" t="s">
        <v>101</v>
      </c>
      <c r="N148" s="2" t="s">
        <v>346</v>
      </c>
      <c r="O148" s="2" t="s">
        <v>164</v>
      </c>
      <c r="P148" t="s">
        <v>2805</v>
      </c>
      <c r="Q148" s="2" t="s">
        <v>105</v>
      </c>
      <c r="R148" s="2" t="s">
        <v>937</v>
      </c>
      <c r="S148" s="2" t="s">
        <v>941</v>
      </c>
      <c r="T148" s="2" t="s">
        <v>1378</v>
      </c>
      <c r="U148" s="150">
        <v>3.681</v>
      </c>
      <c r="V148" s="150">
        <v>596.81299999999999</v>
      </c>
      <c r="W148" s="150">
        <v>2196.8670000000002</v>
      </c>
      <c r="Y148" s="164">
        <v>5.1136718786860902E-3</v>
      </c>
      <c r="Z148" s="164">
        <v>9.4795624434323403E-4</v>
      </c>
    </row>
    <row r="149" spans="1:26">
      <c r="A149" s="2" t="s">
        <v>128</v>
      </c>
      <c r="B149" s="2">
        <v>7228</v>
      </c>
      <c r="C149" s="2" t="s">
        <v>2806</v>
      </c>
      <c r="D149" s="2" t="s">
        <v>2807</v>
      </c>
      <c r="E149" s="2" t="s">
        <v>361</v>
      </c>
      <c r="F149" s="2" t="s">
        <v>2808</v>
      </c>
      <c r="G149" s="2">
        <v>62016654</v>
      </c>
      <c r="H149" s="2" t="s">
        <v>34</v>
      </c>
      <c r="I149" s="2" t="s">
        <v>1070</v>
      </c>
      <c r="J149" s="2" t="s">
        <v>898</v>
      </c>
      <c r="K149" s="2" t="s">
        <v>100</v>
      </c>
      <c r="L149" s="2" t="s">
        <v>268</v>
      </c>
      <c r="M149" s="2" t="s">
        <v>101</v>
      </c>
      <c r="N149" s="2" t="s">
        <v>346</v>
      </c>
      <c r="O149" s="2" t="s">
        <v>164</v>
      </c>
      <c r="P149" t="s">
        <v>2809</v>
      </c>
      <c r="Q149" s="2" t="s">
        <v>105</v>
      </c>
      <c r="R149" s="2" t="s">
        <v>937</v>
      </c>
      <c r="S149" s="2" t="s">
        <v>941</v>
      </c>
      <c r="T149" s="2" t="s">
        <v>1378</v>
      </c>
      <c r="U149" s="150">
        <v>3.681</v>
      </c>
      <c r="V149" s="150">
        <v>1922.66</v>
      </c>
      <c r="W149" s="150">
        <v>7077.3130000000001</v>
      </c>
      <c r="Y149" s="164">
        <v>1.6473938209447501E-2</v>
      </c>
      <c r="Z149" s="164">
        <v>3.0538863198596301E-3</v>
      </c>
    </row>
    <row r="150" spans="1:26">
      <c r="A150" s="2" t="s">
        <v>128</v>
      </c>
      <c r="B150" s="2">
        <v>7228</v>
      </c>
      <c r="C150" s="2" t="s">
        <v>2810</v>
      </c>
      <c r="D150" s="2" t="s">
        <v>2811</v>
      </c>
      <c r="E150" s="2" t="s">
        <v>362</v>
      </c>
      <c r="F150" s="2" t="s">
        <v>2812</v>
      </c>
      <c r="G150" s="2">
        <v>62021241</v>
      </c>
      <c r="H150" s="2" t="s">
        <v>34</v>
      </c>
      <c r="I150" s="2" t="s">
        <v>1070</v>
      </c>
      <c r="J150" s="2" t="s">
        <v>898</v>
      </c>
      <c r="K150" s="2" t="s">
        <v>100</v>
      </c>
      <c r="L150" s="2" t="s">
        <v>268</v>
      </c>
      <c r="M150" s="2" t="s">
        <v>101</v>
      </c>
      <c r="N150" s="2" t="s">
        <v>346</v>
      </c>
      <c r="O150" s="2" t="s">
        <v>164</v>
      </c>
      <c r="P150" t="s">
        <v>2813</v>
      </c>
      <c r="Q150" s="2" t="s">
        <v>105</v>
      </c>
      <c r="R150" s="2" t="s">
        <v>204</v>
      </c>
      <c r="S150" s="2" t="s">
        <v>941</v>
      </c>
      <c r="T150" s="2" t="s">
        <v>1378</v>
      </c>
      <c r="U150" s="150">
        <v>3.681</v>
      </c>
      <c r="V150" s="150">
        <v>386.63499999999999</v>
      </c>
      <c r="W150" s="150">
        <v>1423.204</v>
      </c>
      <c r="Y150" s="164">
        <v>3.31280694496965E-3</v>
      </c>
      <c r="Z150" s="164">
        <v>6.1411762512116996E-4</v>
      </c>
    </row>
    <row r="151" spans="1:26">
      <c r="A151" s="2" t="s">
        <v>128</v>
      </c>
      <c r="B151" s="2">
        <v>7228</v>
      </c>
      <c r="C151" s="2" t="s">
        <v>2814</v>
      </c>
      <c r="D151" s="2" t="s">
        <v>2815</v>
      </c>
      <c r="E151" s="2" t="s">
        <v>362</v>
      </c>
      <c r="F151" s="2" t="s">
        <v>2816</v>
      </c>
      <c r="G151" s="2">
        <v>62018064</v>
      </c>
      <c r="H151" s="2" t="s">
        <v>34</v>
      </c>
      <c r="I151" s="2" t="s">
        <v>1070</v>
      </c>
      <c r="J151" s="2" t="s">
        <v>883</v>
      </c>
      <c r="K151" s="2" t="s">
        <v>100</v>
      </c>
      <c r="L151" s="2" t="s">
        <v>268</v>
      </c>
      <c r="M151" s="2" t="s">
        <v>101</v>
      </c>
      <c r="N151" s="2" t="s">
        <v>341</v>
      </c>
      <c r="O151" s="2" t="s">
        <v>164</v>
      </c>
      <c r="P151" t="s">
        <v>2817</v>
      </c>
      <c r="Q151" s="2" t="s">
        <v>105</v>
      </c>
      <c r="R151" s="2" t="s">
        <v>204</v>
      </c>
      <c r="S151" s="2" t="s">
        <v>941</v>
      </c>
      <c r="T151" s="2" t="s">
        <v>1378</v>
      </c>
      <c r="U151" s="150">
        <v>3.681</v>
      </c>
      <c r="V151" s="150">
        <v>1351.8330000000001</v>
      </c>
      <c r="W151" s="150">
        <v>4976.098</v>
      </c>
      <c r="Y151" s="164">
        <v>1.1582917167495601E-2</v>
      </c>
      <c r="Z151" s="164">
        <v>2.1472043801643199E-3</v>
      </c>
    </row>
    <row r="152" spans="1:26">
      <c r="A152" s="2" t="s">
        <v>128</v>
      </c>
      <c r="B152" s="2">
        <v>7228</v>
      </c>
      <c r="C152" s="2" t="s">
        <v>2814</v>
      </c>
      <c r="D152" s="2" t="s">
        <v>2815</v>
      </c>
      <c r="E152" s="2" t="s">
        <v>362</v>
      </c>
      <c r="F152" s="2" t="s">
        <v>2818</v>
      </c>
      <c r="G152" s="2">
        <v>62021340</v>
      </c>
      <c r="H152" s="2" t="s">
        <v>34</v>
      </c>
      <c r="I152" s="2" t="s">
        <v>1070</v>
      </c>
      <c r="J152" s="2" t="s">
        <v>882</v>
      </c>
      <c r="K152" s="2" t="s">
        <v>100</v>
      </c>
      <c r="L152" s="2" t="s">
        <v>268</v>
      </c>
      <c r="M152" s="2" t="s">
        <v>101</v>
      </c>
      <c r="N152" s="2" t="s">
        <v>341</v>
      </c>
      <c r="O152" s="2" t="s">
        <v>164</v>
      </c>
      <c r="P152" t="s">
        <v>2819</v>
      </c>
      <c r="Q152" s="2" t="s">
        <v>105</v>
      </c>
      <c r="R152" s="2" t="s">
        <v>937</v>
      </c>
      <c r="S152" s="2" t="s">
        <v>941</v>
      </c>
      <c r="T152" s="2" t="s">
        <v>1378</v>
      </c>
      <c r="U152" s="150">
        <v>3.681</v>
      </c>
      <c r="V152" s="150">
        <v>617.54300000000001</v>
      </c>
      <c r="W152" s="150">
        <v>2273.1759999999999</v>
      </c>
      <c r="Y152" s="164">
        <v>5.2912970281909499E-3</v>
      </c>
      <c r="Z152" s="164">
        <v>9.8088383016025596E-4</v>
      </c>
    </row>
    <row r="153" spans="1:26">
      <c r="A153" s="2" t="s">
        <v>128</v>
      </c>
      <c r="B153" s="2">
        <v>7228</v>
      </c>
      <c r="C153" s="2" t="s">
        <v>2820</v>
      </c>
      <c r="D153" s="2" t="s">
        <v>2821</v>
      </c>
      <c r="E153" s="2" t="s">
        <v>361</v>
      </c>
      <c r="F153" s="2" t="s">
        <v>2822</v>
      </c>
      <c r="G153" s="2">
        <v>62018908</v>
      </c>
      <c r="H153" s="2" t="s">
        <v>34</v>
      </c>
      <c r="I153" s="2" t="s">
        <v>1070</v>
      </c>
      <c r="J153" s="2" t="s">
        <v>883</v>
      </c>
      <c r="K153" s="2" t="s">
        <v>100</v>
      </c>
      <c r="L153" s="2" t="s">
        <v>303</v>
      </c>
      <c r="M153" s="2" t="s">
        <v>303</v>
      </c>
      <c r="N153" s="2" t="s">
        <v>346</v>
      </c>
      <c r="O153" s="2" t="s">
        <v>164</v>
      </c>
      <c r="P153" t="s">
        <v>2996</v>
      </c>
      <c r="Q153" s="2" t="s">
        <v>105</v>
      </c>
      <c r="R153" s="2" t="s">
        <v>937</v>
      </c>
      <c r="S153" s="2" t="s">
        <v>941</v>
      </c>
      <c r="T153" s="2" t="s">
        <v>1378</v>
      </c>
      <c r="U153" s="150">
        <v>3.681</v>
      </c>
      <c r="V153" s="150">
        <v>3146.3969999999999</v>
      </c>
      <c r="W153" s="150">
        <v>11581.888999999999</v>
      </c>
      <c r="Y153" s="164">
        <v>2.6959287473858399E-2</v>
      </c>
      <c r="Z153" s="164">
        <v>4.9976270496367497E-3</v>
      </c>
    </row>
    <row r="154" spans="1:26">
      <c r="A154" s="2" t="s">
        <v>128</v>
      </c>
      <c r="B154" s="2">
        <v>7228</v>
      </c>
      <c r="C154" s="2" t="s">
        <v>2824</v>
      </c>
      <c r="D154" s="2" t="s">
        <v>2825</v>
      </c>
      <c r="E154" s="2" t="s">
        <v>361</v>
      </c>
      <c r="F154" s="2" t="s">
        <v>2826</v>
      </c>
      <c r="G154" s="2">
        <v>62017413</v>
      </c>
      <c r="H154" s="2" t="s">
        <v>34</v>
      </c>
      <c r="I154" s="2" t="s">
        <v>1070</v>
      </c>
      <c r="J154" s="2" t="s">
        <v>884</v>
      </c>
      <c r="K154" s="2" t="s">
        <v>100</v>
      </c>
      <c r="L154" s="2" t="s">
        <v>101</v>
      </c>
      <c r="M154" s="2" t="s">
        <v>101</v>
      </c>
      <c r="N154" s="2" t="s">
        <v>101</v>
      </c>
      <c r="O154" s="2" t="s">
        <v>164</v>
      </c>
      <c r="P154" t="s">
        <v>2827</v>
      </c>
      <c r="Q154" s="2" t="s">
        <v>105</v>
      </c>
      <c r="R154" s="2" t="s">
        <v>204</v>
      </c>
      <c r="S154" s="2" t="s">
        <v>941</v>
      </c>
      <c r="T154" s="2" t="s">
        <v>1378</v>
      </c>
      <c r="U154" s="150">
        <v>3.681</v>
      </c>
      <c r="V154" s="150">
        <v>67.536000000000001</v>
      </c>
      <c r="W154" s="150">
        <v>248.59899999999999</v>
      </c>
      <c r="Y154" s="164">
        <v>5.7866552311993996E-4</v>
      </c>
      <c r="Z154" s="164">
        <v>1.07271175984924E-4</v>
      </c>
    </row>
    <row r="155" spans="1:26">
      <c r="A155" s="2" t="s">
        <v>128</v>
      </c>
      <c r="B155" s="2">
        <v>7228</v>
      </c>
      <c r="C155" s="2" t="s">
        <v>2828</v>
      </c>
      <c r="D155" s="2" t="s">
        <v>2829</v>
      </c>
      <c r="E155" s="2" t="s">
        <v>361</v>
      </c>
      <c r="F155" s="2" t="s">
        <v>2830</v>
      </c>
      <c r="G155" s="2">
        <v>62019559</v>
      </c>
      <c r="H155" s="2" t="s">
        <v>34</v>
      </c>
      <c r="I155" s="2" t="s">
        <v>1070</v>
      </c>
      <c r="J155" s="2" t="s">
        <v>884</v>
      </c>
      <c r="K155" s="2" t="s">
        <v>100</v>
      </c>
      <c r="L155" s="2" t="s">
        <v>101</v>
      </c>
      <c r="M155" s="2" t="s">
        <v>101</v>
      </c>
      <c r="N155" s="2" t="s">
        <v>101</v>
      </c>
      <c r="O155" s="2" t="s">
        <v>164</v>
      </c>
      <c r="P155" t="s">
        <v>2831</v>
      </c>
      <c r="Q155" s="2" t="s">
        <v>105</v>
      </c>
      <c r="R155" s="2" t="s">
        <v>937</v>
      </c>
      <c r="S155" s="2" t="s">
        <v>941</v>
      </c>
      <c r="T155" s="2" t="s">
        <v>1378</v>
      </c>
      <c r="U155" s="150">
        <v>3.681</v>
      </c>
      <c r="V155" s="150">
        <v>3755.97</v>
      </c>
      <c r="W155" s="150">
        <v>13825.726000000001</v>
      </c>
      <c r="Y155" s="164">
        <v>3.2182291189725099E-2</v>
      </c>
      <c r="Z155" s="164">
        <v>5.9658508825581498E-3</v>
      </c>
    </row>
    <row r="156" spans="1:26">
      <c r="A156" s="2" t="s">
        <v>128</v>
      </c>
      <c r="B156" s="2">
        <v>7228</v>
      </c>
      <c r="C156" s="2" t="s">
        <v>2832</v>
      </c>
      <c r="D156" s="2" t="s">
        <v>2833</v>
      </c>
      <c r="E156" s="2" t="s">
        <v>362</v>
      </c>
      <c r="F156" s="2" t="s">
        <v>2834</v>
      </c>
      <c r="G156" s="2">
        <v>62020946</v>
      </c>
      <c r="H156" s="2" t="s">
        <v>34</v>
      </c>
      <c r="I156" s="2" t="s">
        <v>1070</v>
      </c>
      <c r="J156" s="2" t="s">
        <v>884</v>
      </c>
      <c r="K156" s="2" t="s">
        <v>100</v>
      </c>
      <c r="L156" s="2" t="s">
        <v>101</v>
      </c>
      <c r="M156" s="2" t="s">
        <v>101</v>
      </c>
      <c r="N156" s="2" t="s">
        <v>101</v>
      </c>
      <c r="O156" s="2" t="s">
        <v>164</v>
      </c>
      <c r="P156" t="s">
        <v>2835</v>
      </c>
      <c r="Q156" s="2" t="s">
        <v>105</v>
      </c>
      <c r="R156" s="2" t="s">
        <v>937</v>
      </c>
      <c r="S156" s="2" t="s">
        <v>941</v>
      </c>
      <c r="T156" s="2" t="s">
        <v>1378</v>
      </c>
      <c r="U156" s="150">
        <v>3.681</v>
      </c>
      <c r="V156" s="150">
        <v>1254.94</v>
      </c>
      <c r="W156" s="150">
        <v>4619.433</v>
      </c>
      <c r="Y156" s="164">
        <v>1.0752705255438399E-2</v>
      </c>
      <c r="Z156" s="164">
        <v>1.9933023338787499E-3</v>
      </c>
    </row>
    <row r="157" spans="1:26">
      <c r="A157" s="2" t="s">
        <v>128</v>
      </c>
      <c r="B157" s="2">
        <v>7228</v>
      </c>
      <c r="C157" s="2" t="s">
        <v>2836</v>
      </c>
      <c r="D157" s="2" t="s">
        <v>2837</v>
      </c>
      <c r="E157" s="2" t="s">
        <v>360</v>
      </c>
      <c r="F157" s="2" t="s">
        <v>2838</v>
      </c>
      <c r="G157" s="2">
        <v>62021431</v>
      </c>
      <c r="H157" s="2" t="s">
        <v>34</v>
      </c>
      <c r="I157" s="2" t="s">
        <v>1070</v>
      </c>
      <c r="J157" s="2" t="s">
        <v>894</v>
      </c>
      <c r="K157" s="2" t="s">
        <v>31</v>
      </c>
      <c r="L157" s="2" t="s">
        <v>268</v>
      </c>
      <c r="M157" s="2" t="s">
        <v>31</v>
      </c>
      <c r="N157" s="2" t="s">
        <v>31</v>
      </c>
      <c r="O157" s="2" t="s">
        <v>164</v>
      </c>
      <c r="P157" t="s">
        <v>2839</v>
      </c>
      <c r="Q157" s="2" t="s">
        <v>105</v>
      </c>
      <c r="R157" s="2" t="s">
        <v>937</v>
      </c>
      <c r="S157" s="2" t="s">
        <v>941</v>
      </c>
      <c r="T157" s="2" t="s">
        <v>1378</v>
      </c>
      <c r="U157" s="150">
        <v>3.681</v>
      </c>
      <c r="V157" s="150">
        <v>107.04900000000001</v>
      </c>
      <c r="W157" s="150">
        <v>394.048</v>
      </c>
      <c r="Y157" s="164">
        <v>9.1722867244960204E-4</v>
      </c>
      <c r="Z157" s="164">
        <v>1.70032936834161E-4</v>
      </c>
    </row>
    <row r="158" spans="1:26">
      <c r="A158" s="2" t="s">
        <v>128</v>
      </c>
      <c r="B158" s="2">
        <v>7228</v>
      </c>
      <c r="C158" s="2" t="s">
        <v>2840</v>
      </c>
      <c r="D158" s="2" t="s">
        <v>2841</v>
      </c>
      <c r="E158" s="2" t="s">
        <v>362</v>
      </c>
      <c r="F158" s="2" t="s">
        <v>2842</v>
      </c>
      <c r="G158" s="2">
        <v>62003800</v>
      </c>
      <c r="H158" s="2" t="s">
        <v>34</v>
      </c>
      <c r="I158" s="2" t="s">
        <v>1070</v>
      </c>
      <c r="J158" s="2" t="s">
        <v>895</v>
      </c>
      <c r="K158" s="2" t="s">
        <v>100</v>
      </c>
      <c r="L158" s="2" t="s">
        <v>268</v>
      </c>
      <c r="M158" s="2" t="s">
        <v>101</v>
      </c>
      <c r="N158" s="2" t="s">
        <v>346</v>
      </c>
      <c r="O158" s="2" t="s">
        <v>164</v>
      </c>
      <c r="P158" t="s">
        <v>2997</v>
      </c>
      <c r="Q158" s="2" t="s">
        <v>105</v>
      </c>
      <c r="R158" s="2" t="s">
        <v>204</v>
      </c>
      <c r="S158" s="2" t="s">
        <v>941</v>
      </c>
      <c r="T158" s="2" t="s">
        <v>1378</v>
      </c>
      <c r="U158" s="150">
        <v>3.681</v>
      </c>
      <c r="V158" s="150">
        <v>2535.6559999999999</v>
      </c>
      <c r="W158" s="150">
        <v>9333.7489999999998</v>
      </c>
      <c r="Y158" s="164">
        <v>2.1726268792149499E-2</v>
      </c>
      <c r="Z158" s="164">
        <v>4.0275466741697703E-3</v>
      </c>
    </row>
    <row r="159" spans="1:26">
      <c r="A159" s="2" t="s">
        <v>128</v>
      </c>
      <c r="B159" s="2">
        <v>7228</v>
      </c>
      <c r="C159" s="2" t="s">
        <v>2840</v>
      </c>
      <c r="D159" s="2" t="s">
        <v>2841</v>
      </c>
      <c r="E159" s="2" t="s">
        <v>362</v>
      </c>
      <c r="F159" s="2" t="s">
        <v>2844</v>
      </c>
      <c r="G159" s="2">
        <v>620101031</v>
      </c>
      <c r="H159" s="2" t="s">
        <v>34</v>
      </c>
      <c r="I159" s="2" t="s">
        <v>1070</v>
      </c>
      <c r="J159" s="2" t="s">
        <v>614</v>
      </c>
      <c r="K159" s="2" t="s">
        <v>100</v>
      </c>
      <c r="L159" s="2" t="s">
        <v>268</v>
      </c>
      <c r="M159" s="2" t="s">
        <v>101</v>
      </c>
      <c r="N159" s="2" t="s">
        <v>101</v>
      </c>
      <c r="O159" s="2" t="s">
        <v>164</v>
      </c>
      <c r="P159" t="s">
        <v>2714</v>
      </c>
      <c r="Q159" s="2" t="s">
        <v>105</v>
      </c>
      <c r="R159" s="2" t="s">
        <v>204</v>
      </c>
      <c r="S159" s="2" t="s">
        <v>941</v>
      </c>
      <c r="T159" s="2" t="s">
        <v>2715</v>
      </c>
      <c r="U159" s="150">
        <v>3.681</v>
      </c>
      <c r="V159" s="150">
        <v>1595.18</v>
      </c>
      <c r="W159" s="150">
        <v>5871.8559999999998</v>
      </c>
      <c r="Y159" s="164">
        <v>1.36679828599675E-2</v>
      </c>
      <c r="Z159" s="164">
        <v>2.5337272330057201E-3</v>
      </c>
    </row>
    <row r="160" spans="1:26">
      <c r="A160" s="2" t="s">
        <v>128</v>
      </c>
      <c r="B160" s="2">
        <v>7228</v>
      </c>
      <c r="C160" s="2" t="s">
        <v>2840</v>
      </c>
      <c r="D160" s="2" t="s">
        <v>2841</v>
      </c>
      <c r="E160" s="2" t="s">
        <v>362</v>
      </c>
      <c r="F160" s="2" t="s">
        <v>2845</v>
      </c>
      <c r="G160" s="2">
        <v>62014857</v>
      </c>
      <c r="H160" s="2" t="s">
        <v>34</v>
      </c>
      <c r="I160" s="2" t="s">
        <v>1070</v>
      </c>
      <c r="J160" s="2" t="s">
        <v>895</v>
      </c>
      <c r="K160" s="2" t="s">
        <v>100</v>
      </c>
      <c r="L160" s="2" t="s">
        <v>268</v>
      </c>
      <c r="M160" s="2" t="s">
        <v>101</v>
      </c>
      <c r="N160" s="2" t="s">
        <v>346</v>
      </c>
      <c r="O160" s="2" t="s">
        <v>164</v>
      </c>
      <c r="P160" t="s">
        <v>2846</v>
      </c>
      <c r="Q160" s="2" t="s">
        <v>105</v>
      </c>
      <c r="R160" s="2" t="s">
        <v>937</v>
      </c>
      <c r="S160" s="2" t="s">
        <v>941</v>
      </c>
      <c r="T160" s="2" t="s">
        <v>1378</v>
      </c>
      <c r="U160" s="150">
        <v>3.681</v>
      </c>
      <c r="V160" s="150">
        <v>1442.684</v>
      </c>
      <c r="W160" s="150">
        <v>5310.5190000000002</v>
      </c>
      <c r="Y160" s="164">
        <v>1.2361351480164999E-2</v>
      </c>
      <c r="Z160" s="164">
        <v>2.2915080595970398E-3</v>
      </c>
    </row>
    <row r="161" spans="1:26">
      <c r="A161" s="2" t="s">
        <v>128</v>
      </c>
      <c r="B161" s="2">
        <v>7228</v>
      </c>
      <c r="C161" s="2" t="s">
        <v>2840</v>
      </c>
      <c r="D161" s="2" t="s">
        <v>2841</v>
      </c>
      <c r="E161" s="2" t="s">
        <v>362</v>
      </c>
      <c r="F161" s="2" t="s">
        <v>2847</v>
      </c>
      <c r="G161" s="2">
        <v>62019476</v>
      </c>
      <c r="H161" s="2" t="s">
        <v>34</v>
      </c>
      <c r="I161" s="2" t="s">
        <v>1070</v>
      </c>
      <c r="J161" s="2" t="s">
        <v>895</v>
      </c>
      <c r="K161" s="2" t="s">
        <v>100</v>
      </c>
      <c r="L161" s="2" t="s">
        <v>268</v>
      </c>
      <c r="M161" s="2" t="s">
        <v>101</v>
      </c>
      <c r="N161" s="2" t="s">
        <v>346</v>
      </c>
      <c r="O161" s="2" t="s">
        <v>164</v>
      </c>
      <c r="P161" t="s">
        <v>2765</v>
      </c>
      <c r="Q161" s="2" t="s">
        <v>105</v>
      </c>
      <c r="R161" s="2" t="s">
        <v>204</v>
      </c>
      <c r="S161" s="2" t="s">
        <v>941</v>
      </c>
      <c r="T161" s="2" t="s">
        <v>1378</v>
      </c>
      <c r="U161" s="150">
        <v>3.681</v>
      </c>
      <c r="V161" s="150">
        <v>1077.3109999999999</v>
      </c>
      <c r="W161" s="150">
        <v>3965.5819999999999</v>
      </c>
      <c r="Y161" s="164">
        <v>9.2307287822293894E-3</v>
      </c>
      <c r="Z161" s="164">
        <v>1.71116317130646E-3</v>
      </c>
    </row>
    <row r="162" spans="1:26">
      <c r="A162" s="2" t="s">
        <v>128</v>
      </c>
      <c r="B162" s="2">
        <v>7228</v>
      </c>
      <c r="C162" s="2" t="s">
        <v>2840</v>
      </c>
      <c r="D162" s="2" t="s">
        <v>2841</v>
      </c>
      <c r="E162" s="2" t="s">
        <v>362</v>
      </c>
      <c r="F162" s="2" t="s">
        <v>2848</v>
      </c>
      <c r="G162" s="2">
        <v>62020458</v>
      </c>
      <c r="H162" s="2" t="s">
        <v>34</v>
      </c>
      <c r="I162" s="2" t="s">
        <v>1070</v>
      </c>
      <c r="J162" s="2" t="s">
        <v>889</v>
      </c>
      <c r="K162" s="2" t="s">
        <v>100</v>
      </c>
      <c r="L162" s="2" t="s">
        <v>268</v>
      </c>
      <c r="M162" s="2" t="s">
        <v>101</v>
      </c>
      <c r="N162" s="2" t="s">
        <v>346</v>
      </c>
      <c r="O162" s="2" t="s">
        <v>164</v>
      </c>
      <c r="P162" t="s">
        <v>2849</v>
      </c>
      <c r="Q162" s="2" t="s">
        <v>105</v>
      </c>
      <c r="R162" s="2" t="s">
        <v>204</v>
      </c>
      <c r="S162" s="2" t="s">
        <v>941</v>
      </c>
      <c r="T162" s="2" t="s">
        <v>1378</v>
      </c>
      <c r="U162" s="150">
        <v>3.681</v>
      </c>
      <c r="V162" s="150">
        <v>824.81700000000001</v>
      </c>
      <c r="W162" s="150">
        <v>3036.1509999999998</v>
      </c>
      <c r="Y162" s="164">
        <v>7.0672807386047403E-3</v>
      </c>
      <c r="Z162" s="164">
        <v>1.3101100472657601E-3</v>
      </c>
    </row>
    <row r="163" spans="1:26">
      <c r="A163" s="2" t="s">
        <v>128</v>
      </c>
      <c r="B163" s="2">
        <v>7228</v>
      </c>
      <c r="C163" s="2" t="s">
        <v>2840</v>
      </c>
      <c r="D163" s="2" t="s">
        <v>2841</v>
      </c>
      <c r="E163" s="2" t="s">
        <v>362</v>
      </c>
      <c r="F163" s="2" t="s">
        <v>2850</v>
      </c>
      <c r="G163" s="2">
        <v>62017678</v>
      </c>
      <c r="H163" s="2" t="s">
        <v>34</v>
      </c>
      <c r="I163" s="2" t="s">
        <v>1070</v>
      </c>
      <c r="J163" s="2" t="s">
        <v>889</v>
      </c>
      <c r="K163" s="2" t="s">
        <v>100</v>
      </c>
      <c r="L163" s="2" t="s">
        <v>268</v>
      </c>
      <c r="M163" s="2" t="s">
        <v>101</v>
      </c>
      <c r="N163" s="2" t="s">
        <v>346</v>
      </c>
      <c r="O163" s="2" t="s">
        <v>164</v>
      </c>
      <c r="P163" t="s">
        <v>2851</v>
      </c>
      <c r="Q163" s="2" t="s">
        <v>105</v>
      </c>
      <c r="R163" s="2" t="s">
        <v>204</v>
      </c>
      <c r="S163" s="2" t="s">
        <v>941</v>
      </c>
      <c r="T163" s="2" t="s">
        <v>1378</v>
      </c>
      <c r="U163" s="150">
        <v>3.681</v>
      </c>
      <c r="V163" s="150">
        <v>2858.0940000000001</v>
      </c>
      <c r="W163" s="150">
        <v>10520.645</v>
      </c>
      <c r="Y163" s="164">
        <v>2.44890198738974E-2</v>
      </c>
      <c r="Z163" s="164">
        <v>4.5396966911516699E-3</v>
      </c>
    </row>
    <row r="164" spans="1:26">
      <c r="A164" s="2" t="s">
        <v>128</v>
      </c>
      <c r="B164" s="2">
        <v>7228</v>
      </c>
      <c r="C164" s="2" t="s">
        <v>2840</v>
      </c>
      <c r="D164" s="2" t="s">
        <v>2841</v>
      </c>
      <c r="E164" s="2" t="s">
        <v>362</v>
      </c>
      <c r="F164" s="2" t="s">
        <v>2852</v>
      </c>
      <c r="G164" s="2">
        <v>62019237</v>
      </c>
      <c r="H164" s="2" t="s">
        <v>34</v>
      </c>
      <c r="I164" s="2" t="s">
        <v>1070</v>
      </c>
      <c r="J164" s="2" t="s">
        <v>888</v>
      </c>
      <c r="K164" s="2" t="s">
        <v>100</v>
      </c>
      <c r="L164" s="2" t="s">
        <v>268</v>
      </c>
      <c r="M164" s="2" t="s">
        <v>101</v>
      </c>
      <c r="N164" s="2" t="s">
        <v>101</v>
      </c>
      <c r="O164" s="2" t="s">
        <v>164</v>
      </c>
      <c r="P164" t="s">
        <v>2853</v>
      </c>
      <c r="Q164" s="2" t="s">
        <v>105</v>
      </c>
      <c r="R164" s="2" t="s">
        <v>937</v>
      </c>
      <c r="S164" s="2" t="s">
        <v>941</v>
      </c>
      <c r="T164" s="2" t="s">
        <v>1378</v>
      </c>
      <c r="U164" s="150">
        <v>3.681</v>
      </c>
      <c r="V164" s="150">
        <v>2297.7950000000001</v>
      </c>
      <c r="W164" s="150">
        <v>8458.1820000000007</v>
      </c>
      <c r="Y164" s="164">
        <v>1.9688200835775799E-2</v>
      </c>
      <c r="Z164" s="164">
        <v>3.6497361123124699E-3</v>
      </c>
    </row>
    <row r="165" spans="1:26">
      <c r="A165" s="2" t="s">
        <v>128</v>
      </c>
      <c r="B165" s="2">
        <v>7228</v>
      </c>
      <c r="C165" s="2" t="s">
        <v>2998</v>
      </c>
      <c r="D165" s="2" t="s">
        <v>2999</v>
      </c>
      <c r="E165" s="2" t="s">
        <v>361</v>
      </c>
      <c r="F165" s="2" t="s">
        <v>3000</v>
      </c>
      <c r="G165" s="2">
        <v>62001875</v>
      </c>
      <c r="H165" s="2" t="s">
        <v>34</v>
      </c>
      <c r="I165" s="2" t="s">
        <v>1070</v>
      </c>
      <c r="J165" s="2" t="s">
        <v>614</v>
      </c>
      <c r="K165" s="2" t="s">
        <v>100</v>
      </c>
      <c r="L165" s="2" t="s">
        <v>268</v>
      </c>
      <c r="M165" s="2" t="s">
        <v>101</v>
      </c>
      <c r="N165" s="2" t="s">
        <v>101</v>
      </c>
      <c r="O165" s="2" t="s">
        <v>164</v>
      </c>
      <c r="P165" t="s">
        <v>3001</v>
      </c>
      <c r="Q165" s="2" t="s">
        <v>105</v>
      </c>
      <c r="R165" s="2" t="s">
        <v>204</v>
      </c>
      <c r="S165" s="2" t="s">
        <v>941</v>
      </c>
      <c r="T165" s="2" t="s">
        <v>1378</v>
      </c>
      <c r="U165" s="150">
        <v>3.681</v>
      </c>
      <c r="V165" s="150">
        <v>182.774</v>
      </c>
      <c r="W165" s="150">
        <v>672.79300000000001</v>
      </c>
      <c r="Y165" s="164">
        <v>1.5660666175365599E-3</v>
      </c>
      <c r="Z165" s="164">
        <v>2.9031245343272001E-4</v>
      </c>
    </row>
    <row r="166" spans="1:26">
      <c r="A166" s="2" t="s">
        <v>128</v>
      </c>
      <c r="B166" s="2">
        <v>7228</v>
      </c>
      <c r="C166" s="2" t="s">
        <v>2854</v>
      </c>
      <c r="D166" s="2" t="s">
        <v>2855</v>
      </c>
      <c r="E166" s="2" t="s">
        <v>362</v>
      </c>
      <c r="F166" s="2" t="s">
        <v>2856</v>
      </c>
      <c r="G166" s="2">
        <v>62020565</v>
      </c>
      <c r="H166" s="2" t="s">
        <v>34</v>
      </c>
      <c r="I166" s="2" t="s">
        <v>1070</v>
      </c>
      <c r="J166" s="2" t="s">
        <v>614</v>
      </c>
      <c r="K166" s="2" t="s">
        <v>100</v>
      </c>
      <c r="L166" s="2" t="s">
        <v>283</v>
      </c>
      <c r="M166" s="2" t="s">
        <v>283</v>
      </c>
      <c r="N166" s="2" t="s">
        <v>343</v>
      </c>
      <c r="O166" s="2" t="s">
        <v>164</v>
      </c>
      <c r="P166" t="s">
        <v>2661</v>
      </c>
      <c r="Q166" s="2" t="s">
        <v>1224</v>
      </c>
      <c r="R166" s="2" t="s">
        <v>204</v>
      </c>
      <c r="S166" s="2" t="s">
        <v>941</v>
      </c>
      <c r="T166" s="2" t="s">
        <v>1378</v>
      </c>
      <c r="U166" s="150">
        <v>3.9790000000000001</v>
      </c>
      <c r="V166" s="150">
        <v>554.05499999999995</v>
      </c>
      <c r="W166" s="150">
        <v>2204.6410000000001</v>
      </c>
      <c r="Y166" s="164">
        <v>5.1317662974427799E-3</v>
      </c>
      <c r="Z166" s="164">
        <v>9.5131053019791598E-4</v>
      </c>
    </row>
    <row r="167" spans="1:26">
      <c r="A167" s="2" t="s">
        <v>128</v>
      </c>
      <c r="B167" s="2">
        <v>7228</v>
      </c>
      <c r="C167" s="2" t="s">
        <v>2857</v>
      </c>
      <c r="D167" s="2" t="s">
        <v>2858</v>
      </c>
      <c r="E167" s="2" t="s">
        <v>361</v>
      </c>
      <c r="F167" s="2" t="s">
        <v>2859</v>
      </c>
      <c r="G167" s="2">
        <v>62017702</v>
      </c>
      <c r="H167" s="2" t="s">
        <v>34</v>
      </c>
      <c r="I167" s="2" t="s">
        <v>1070</v>
      </c>
      <c r="J167" s="2" t="s">
        <v>879</v>
      </c>
      <c r="K167" s="2" t="s">
        <v>100</v>
      </c>
      <c r="L167" s="2" t="s">
        <v>101</v>
      </c>
      <c r="M167" s="2" t="s">
        <v>101</v>
      </c>
      <c r="N167" s="2" t="s">
        <v>101</v>
      </c>
      <c r="O167" s="2" t="s">
        <v>164</v>
      </c>
      <c r="P167" t="s">
        <v>2860</v>
      </c>
      <c r="Q167" s="2" t="s">
        <v>105</v>
      </c>
      <c r="R167" s="2" t="s">
        <v>937</v>
      </c>
      <c r="S167" s="2" t="s">
        <v>941</v>
      </c>
      <c r="T167" s="2" t="s">
        <v>1378</v>
      </c>
      <c r="U167" s="150">
        <v>3.681</v>
      </c>
      <c r="V167" s="150">
        <v>2154.64</v>
      </c>
      <c r="W167" s="150">
        <v>7931.23</v>
      </c>
      <c r="Y167" s="164">
        <v>1.8461608944568102E-2</v>
      </c>
      <c r="Z167" s="164">
        <v>3.4223544049765899E-3</v>
      </c>
    </row>
    <row r="168" spans="1:26">
      <c r="A168" s="2" t="s">
        <v>128</v>
      </c>
      <c r="B168" s="2">
        <v>7228</v>
      </c>
      <c r="C168" s="2" t="s">
        <v>3002</v>
      </c>
      <c r="D168" s="2" t="s">
        <v>3003</v>
      </c>
      <c r="E168" s="2" t="s">
        <v>361</v>
      </c>
      <c r="F168" s="2" t="s">
        <v>3004</v>
      </c>
      <c r="G168" s="2">
        <v>62006754</v>
      </c>
      <c r="H168" s="2" t="s">
        <v>34</v>
      </c>
      <c r="I168" s="2" t="s">
        <v>1070</v>
      </c>
      <c r="J168" s="2" t="s">
        <v>894</v>
      </c>
      <c r="K168" s="2" t="s">
        <v>100</v>
      </c>
      <c r="L168" s="2" t="s">
        <v>101</v>
      </c>
      <c r="M168" s="2" t="s">
        <v>101</v>
      </c>
      <c r="N168" s="2" t="s">
        <v>346</v>
      </c>
      <c r="O168" s="2" t="s">
        <v>164</v>
      </c>
      <c r="P168" t="s">
        <v>3005</v>
      </c>
      <c r="Q168" s="2" t="s">
        <v>105</v>
      </c>
      <c r="R168" s="2" t="s">
        <v>937</v>
      </c>
      <c r="S168" s="2" t="s">
        <v>941</v>
      </c>
      <c r="T168" s="2" t="s">
        <v>1378</v>
      </c>
      <c r="U168" s="150">
        <v>3.681</v>
      </c>
      <c r="V168" s="150">
        <v>1154.3209999999999</v>
      </c>
      <c r="W168" s="150">
        <v>4249.0550000000003</v>
      </c>
      <c r="Y168" s="164">
        <v>9.8905719514701292E-3</v>
      </c>
      <c r="Z168" s="164">
        <v>1.8334828013899099E-3</v>
      </c>
    </row>
    <row r="169" spans="1:26">
      <c r="A169" s="2" t="s">
        <v>128</v>
      </c>
      <c r="B169" s="2">
        <v>7228</v>
      </c>
      <c r="C169" s="2" t="s">
        <v>2861</v>
      </c>
      <c r="D169" s="2" t="s">
        <v>2862</v>
      </c>
      <c r="E169" s="2" t="s">
        <v>362</v>
      </c>
      <c r="F169" s="2" t="s">
        <v>2863</v>
      </c>
      <c r="G169" s="2">
        <v>77847846</v>
      </c>
      <c r="H169" s="2" t="s">
        <v>34</v>
      </c>
      <c r="I169" s="2" t="s">
        <v>1070</v>
      </c>
      <c r="J169" s="2" t="s">
        <v>614</v>
      </c>
      <c r="K169" s="2" t="s">
        <v>100</v>
      </c>
      <c r="L169" s="2" t="s">
        <v>303</v>
      </c>
      <c r="M169" s="2" t="s">
        <v>303</v>
      </c>
      <c r="N169" s="2" t="s">
        <v>101</v>
      </c>
      <c r="O169" s="2" t="s">
        <v>164</v>
      </c>
      <c r="P169" t="s">
        <v>2864</v>
      </c>
      <c r="Q169" s="2" t="s">
        <v>105</v>
      </c>
      <c r="R169" s="2" t="s">
        <v>937</v>
      </c>
      <c r="S169" s="2" t="s">
        <v>941</v>
      </c>
      <c r="T169" s="2" t="s">
        <v>1378</v>
      </c>
      <c r="U169" s="150">
        <v>3.681</v>
      </c>
      <c r="V169" s="150">
        <v>5553.2250000000004</v>
      </c>
      <c r="W169" s="150">
        <v>20441.419999999998</v>
      </c>
      <c r="Y169" s="164">
        <v>4.7581714289959297E-2</v>
      </c>
      <c r="Z169" s="164">
        <v>8.82054700570894E-3</v>
      </c>
    </row>
    <row r="170" spans="1:26">
      <c r="A170" s="2" t="s">
        <v>128</v>
      </c>
      <c r="B170" s="2">
        <v>7228</v>
      </c>
      <c r="C170" s="2" t="s">
        <v>2865</v>
      </c>
      <c r="D170" s="2" t="s">
        <v>2866</v>
      </c>
      <c r="E170" s="2" t="s">
        <v>361</v>
      </c>
      <c r="F170" s="2" t="s">
        <v>2867</v>
      </c>
      <c r="G170" s="2">
        <v>62019013</v>
      </c>
      <c r="H170" s="2" t="s">
        <v>34</v>
      </c>
      <c r="I170" s="2" t="s">
        <v>1070</v>
      </c>
      <c r="J170" s="2" t="s">
        <v>883</v>
      </c>
      <c r="K170" s="2" t="s">
        <v>100</v>
      </c>
      <c r="L170" s="2" t="s">
        <v>101</v>
      </c>
      <c r="M170" s="2" t="s">
        <v>101</v>
      </c>
      <c r="N170" s="2" t="s">
        <v>101</v>
      </c>
      <c r="O170" s="2" t="s">
        <v>164</v>
      </c>
      <c r="P170" t="s">
        <v>2868</v>
      </c>
      <c r="Q170" s="2" t="s">
        <v>105</v>
      </c>
      <c r="R170" s="2" t="s">
        <v>937</v>
      </c>
      <c r="S170" s="2" t="s">
        <v>941</v>
      </c>
      <c r="T170" s="2" t="s">
        <v>1378</v>
      </c>
      <c r="U170" s="150">
        <v>3.681</v>
      </c>
      <c r="V170" s="150">
        <v>3024.69</v>
      </c>
      <c r="W170" s="150">
        <v>11133.885</v>
      </c>
      <c r="Y170" s="164">
        <v>2.59164657854093E-2</v>
      </c>
      <c r="Z170" s="164">
        <v>4.8043120785643597E-3</v>
      </c>
    </row>
    <row r="171" spans="1:26">
      <c r="A171" s="2" t="s">
        <v>128</v>
      </c>
      <c r="B171" s="2">
        <v>7228</v>
      </c>
      <c r="C171" s="2" t="s">
        <v>2869</v>
      </c>
      <c r="D171" s="2" t="s">
        <v>2870</v>
      </c>
      <c r="E171" s="2" t="s">
        <v>361</v>
      </c>
      <c r="F171" s="2" t="s">
        <v>2871</v>
      </c>
      <c r="G171" s="2">
        <v>62006705</v>
      </c>
      <c r="H171" s="2" t="s">
        <v>34</v>
      </c>
      <c r="I171" s="2" t="s">
        <v>1070</v>
      </c>
      <c r="J171" s="2" t="s">
        <v>883</v>
      </c>
      <c r="K171" s="2" t="s">
        <v>100</v>
      </c>
      <c r="L171" s="2" t="s">
        <v>101</v>
      </c>
      <c r="M171" s="2" t="s">
        <v>101</v>
      </c>
      <c r="N171" s="2" t="s">
        <v>346</v>
      </c>
      <c r="O171" s="2" t="s">
        <v>164</v>
      </c>
      <c r="P171" t="s">
        <v>2872</v>
      </c>
      <c r="Q171" s="2" t="s">
        <v>105</v>
      </c>
      <c r="R171" s="2" t="s">
        <v>937</v>
      </c>
      <c r="S171" s="2" t="s">
        <v>941</v>
      </c>
      <c r="T171" s="2" t="s">
        <v>1378</v>
      </c>
      <c r="U171" s="150">
        <v>3.681</v>
      </c>
      <c r="V171" s="150">
        <v>1096.989</v>
      </c>
      <c r="W171" s="150">
        <v>4038.018</v>
      </c>
      <c r="Y171" s="164">
        <v>9.39933786171155E-3</v>
      </c>
      <c r="Z171" s="164">
        <v>1.74241938671095E-3</v>
      </c>
    </row>
    <row r="172" spans="1:26">
      <c r="A172" s="2" t="s">
        <v>128</v>
      </c>
      <c r="B172" s="2">
        <v>7228</v>
      </c>
      <c r="C172" s="2" t="s">
        <v>2873</v>
      </c>
      <c r="D172" s="2" t="s">
        <v>2874</v>
      </c>
      <c r="E172" s="2" t="s">
        <v>361</v>
      </c>
      <c r="F172" s="2" t="s">
        <v>2875</v>
      </c>
      <c r="G172" s="2">
        <v>62017652</v>
      </c>
      <c r="H172" s="2" t="s">
        <v>34</v>
      </c>
      <c r="I172" s="2" t="s">
        <v>1070</v>
      </c>
      <c r="J172" s="2" t="s">
        <v>891</v>
      </c>
      <c r="K172" s="2" t="s">
        <v>100</v>
      </c>
      <c r="L172" s="2" t="s">
        <v>268</v>
      </c>
      <c r="M172" s="2" t="s">
        <v>101</v>
      </c>
      <c r="N172" s="2" t="s">
        <v>346</v>
      </c>
      <c r="O172" s="2" t="s">
        <v>164</v>
      </c>
      <c r="P172" t="s">
        <v>2876</v>
      </c>
      <c r="Q172" s="2" t="s">
        <v>105</v>
      </c>
      <c r="R172" s="2" t="s">
        <v>204</v>
      </c>
      <c r="S172" s="2" t="s">
        <v>941</v>
      </c>
      <c r="T172" s="2" t="s">
        <v>1378</v>
      </c>
      <c r="U172" s="150">
        <v>3.681</v>
      </c>
      <c r="V172" s="150">
        <v>2235.5250000000001</v>
      </c>
      <c r="W172" s="150">
        <v>8228.9670000000006</v>
      </c>
      <c r="Y172" s="164">
        <v>1.91546548961751E-2</v>
      </c>
      <c r="Z172" s="164">
        <v>3.5508290613543202E-3</v>
      </c>
    </row>
    <row r="173" spans="1:26">
      <c r="A173" s="2" t="s">
        <v>128</v>
      </c>
      <c r="B173" s="2">
        <v>7228</v>
      </c>
      <c r="C173" s="2" t="s">
        <v>2877</v>
      </c>
      <c r="D173" s="2" t="s">
        <v>2878</v>
      </c>
      <c r="E173" s="2" t="s">
        <v>361</v>
      </c>
      <c r="F173" s="2" t="s">
        <v>2879</v>
      </c>
      <c r="G173" s="2">
        <v>62021142</v>
      </c>
      <c r="H173" s="2" t="s">
        <v>34</v>
      </c>
      <c r="I173" s="2" t="s">
        <v>1070</v>
      </c>
      <c r="J173" s="2" t="s">
        <v>891</v>
      </c>
      <c r="K173" s="2" t="s">
        <v>100</v>
      </c>
      <c r="L173" s="2" t="s">
        <v>268</v>
      </c>
      <c r="M173" s="2" t="s">
        <v>101</v>
      </c>
      <c r="N173" s="2" t="s">
        <v>346</v>
      </c>
      <c r="O173" s="2" t="s">
        <v>164</v>
      </c>
      <c r="P173" t="s">
        <v>2880</v>
      </c>
      <c r="Q173" s="2" t="s">
        <v>105</v>
      </c>
      <c r="R173" s="2" t="s">
        <v>937</v>
      </c>
      <c r="S173" s="2" t="s">
        <v>941</v>
      </c>
      <c r="T173" s="2" t="s">
        <v>1378</v>
      </c>
      <c r="U173" s="150">
        <v>3.681</v>
      </c>
      <c r="V173" s="150">
        <v>1378.5450000000001</v>
      </c>
      <c r="W173" s="150">
        <v>5074.4229999999998</v>
      </c>
      <c r="Y173" s="164">
        <v>1.18117884571968E-2</v>
      </c>
      <c r="Z173" s="164">
        <v>2.1896318126179799E-3</v>
      </c>
    </row>
    <row r="174" spans="1:26">
      <c r="A174" s="2" t="s">
        <v>128</v>
      </c>
      <c r="B174" s="2">
        <v>7228</v>
      </c>
      <c r="C174" s="2" t="s">
        <v>2881</v>
      </c>
      <c r="D174" s="2" t="s">
        <v>2882</v>
      </c>
      <c r="E174" s="2" t="s">
        <v>361</v>
      </c>
      <c r="F174" s="2" t="s">
        <v>2883</v>
      </c>
      <c r="G174" s="2">
        <v>62020953</v>
      </c>
      <c r="H174" s="2" t="s">
        <v>34</v>
      </c>
      <c r="I174" s="2" t="s">
        <v>1070</v>
      </c>
      <c r="J174" s="2" t="s">
        <v>614</v>
      </c>
      <c r="K174" s="2" t="s">
        <v>100</v>
      </c>
      <c r="L174" s="2" t="s">
        <v>268</v>
      </c>
      <c r="M174" s="2" t="s">
        <v>31</v>
      </c>
      <c r="N174" s="2" t="s">
        <v>346</v>
      </c>
      <c r="O174" s="2" t="s">
        <v>164</v>
      </c>
      <c r="P174" t="s">
        <v>2884</v>
      </c>
      <c r="Q174" s="2" t="s">
        <v>105</v>
      </c>
      <c r="R174" s="2" t="s">
        <v>204</v>
      </c>
      <c r="S174" s="2" t="s">
        <v>941</v>
      </c>
      <c r="T174" s="2" t="s">
        <v>1378</v>
      </c>
      <c r="U174" s="150">
        <v>3.681</v>
      </c>
      <c r="V174" s="150">
        <v>540</v>
      </c>
      <c r="W174" s="150">
        <v>1987.74</v>
      </c>
      <c r="Y174" s="164">
        <v>4.6268839321005097E-3</v>
      </c>
      <c r="Z174" s="164">
        <v>8.5771704155821198E-4</v>
      </c>
    </row>
    <row r="175" spans="1:26">
      <c r="A175" s="2" t="s">
        <v>128</v>
      </c>
      <c r="B175" s="2">
        <v>7228</v>
      </c>
      <c r="C175" s="2" t="s">
        <v>2885</v>
      </c>
      <c r="D175" s="2" t="s">
        <v>2886</v>
      </c>
      <c r="E175" s="2" t="s">
        <v>361</v>
      </c>
      <c r="F175" s="2" t="s">
        <v>2887</v>
      </c>
      <c r="G175" s="2">
        <v>62020425</v>
      </c>
      <c r="H175" s="2" t="s">
        <v>34</v>
      </c>
      <c r="I175" s="2" t="s">
        <v>1070</v>
      </c>
      <c r="J175" s="2" t="s">
        <v>894</v>
      </c>
      <c r="K175" s="2" t="s">
        <v>100</v>
      </c>
      <c r="L175" s="2" t="s">
        <v>101</v>
      </c>
      <c r="M175" s="2" t="s">
        <v>101</v>
      </c>
      <c r="N175" s="2" t="s">
        <v>101</v>
      </c>
      <c r="O175" s="2" t="s">
        <v>164</v>
      </c>
      <c r="P175" t="s">
        <v>2888</v>
      </c>
      <c r="Q175" s="2" t="s">
        <v>105</v>
      </c>
      <c r="R175" s="2" t="s">
        <v>937</v>
      </c>
      <c r="S175" s="2" t="s">
        <v>941</v>
      </c>
      <c r="T175" s="2" t="s">
        <v>1378</v>
      </c>
      <c r="U175" s="150">
        <v>3.681</v>
      </c>
      <c r="V175" s="150">
        <v>3764.6950000000002</v>
      </c>
      <c r="W175" s="150">
        <v>13857.841</v>
      </c>
      <c r="Y175" s="164">
        <v>3.2257047467166199E-2</v>
      </c>
      <c r="Z175" s="164">
        <v>5.97970896373451E-3</v>
      </c>
    </row>
    <row r="176" spans="1:26">
      <c r="A176" s="2" t="s">
        <v>128</v>
      </c>
      <c r="B176" s="2">
        <v>7228</v>
      </c>
      <c r="C176" s="2" t="s">
        <v>2889</v>
      </c>
      <c r="D176" s="2" t="s">
        <v>2890</v>
      </c>
      <c r="E176" s="2" t="s">
        <v>361</v>
      </c>
      <c r="F176" s="2" t="s">
        <v>2891</v>
      </c>
      <c r="G176" s="2">
        <v>62021332</v>
      </c>
      <c r="H176" s="2" t="s">
        <v>34</v>
      </c>
      <c r="I176" s="2" t="s">
        <v>1070</v>
      </c>
      <c r="J176" s="2" t="s">
        <v>888</v>
      </c>
      <c r="K176" s="2" t="s">
        <v>100</v>
      </c>
      <c r="L176" s="2" t="s">
        <v>268</v>
      </c>
      <c r="M176" s="2" t="s">
        <v>101</v>
      </c>
      <c r="N176" s="2" t="s">
        <v>101</v>
      </c>
      <c r="O176" s="2" t="s">
        <v>164</v>
      </c>
      <c r="P176" t="s">
        <v>2892</v>
      </c>
      <c r="Q176" s="2" t="s">
        <v>105</v>
      </c>
      <c r="R176" s="2" t="s">
        <v>937</v>
      </c>
      <c r="S176" s="2" t="s">
        <v>941</v>
      </c>
      <c r="T176" s="2" t="s">
        <v>1378</v>
      </c>
      <c r="U176" s="150">
        <v>3.681</v>
      </c>
      <c r="V176" s="150">
        <v>3587.5839999999998</v>
      </c>
      <c r="W176" s="150">
        <v>13205.897000000001</v>
      </c>
      <c r="Y176" s="164">
        <v>3.0739508635212399E-2</v>
      </c>
      <c r="Z176" s="164">
        <v>5.6983924369976404E-3</v>
      </c>
    </row>
    <row r="177" spans="1:26">
      <c r="A177" s="2" t="s">
        <v>128</v>
      </c>
      <c r="B177" s="2">
        <v>7228</v>
      </c>
      <c r="C177" s="2" t="s">
        <v>2893</v>
      </c>
      <c r="D177" s="2" t="s">
        <v>2894</v>
      </c>
      <c r="E177" s="2" t="s">
        <v>361</v>
      </c>
      <c r="F177" s="2" t="s">
        <v>2895</v>
      </c>
      <c r="G177" s="2">
        <v>62021324</v>
      </c>
      <c r="H177" s="2" t="s">
        <v>34</v>
      </c>
      <c r="I177" s="2" t="s">
        <v>1070</v>
      </c>
      <c r="J177" s="2" t="s">
        <v>888</v>
      </c>
      <c r="K177" s="2" t="s">
        <v>100</v>
      </c>
      <c r="L177" s="2" t="s">
        <v>268</v>
      </c>
      <c r="M177" s="2" t="s">
        <v>101</v>
      </c>
      <c r="N177" s="2" t="s">
        <v>101</v>
      </c>
      <c r="O177" s="2" t="s">
        <v>164</v>
      </c>
      <c r="P177" t="s">
        <v>2892</v>
      </c>
      <c r="Q177" s="2" t="s">
        <v>105</v>
      </c>
      <c r="R177" s="2" t="s">
        <v>937</v>
      </c>
      <c r="S177" s="2" t="s">
        <v>941</v>
      </c>
      <c r="T177" s="2" t="s">
        <v>1378</v>
      </c>
      <c r="U177" s="150">
        <v>3.681</v>
      </c>
      <c r="V177" s="150">
        <v>1628.48</v>
      </c>
      <c r="W177" s="150">
        <v>5994.433</v>
      </c>
      <c r="Y177" s="164">
        <v>1.3953307209473799E-2</v>
      </c>
      <c r="Z177" s="164">
        <v>2.58661975430828E-3</v>
      </c>
    </row>
    <row r="178" spans="1:26">
      <c r="A178" s="2" t="s">
        <v>128</v>
      </c>
      <c r="B178" s="2">
        <v>7228</v>
      </c>
      <c r="C178" s="2" t="s">
        <v>2896</v>
      </c>
      <c r="D178" s="2" t="s">
        <v>2897</v>
      </c>
      <c r="E178" s="2" t="s">
        <v>362</v>
      </c>
      <c r="F178" s="2" t="s">
        <v>2898</v>
      </c>
      <c r="G178" s="2">
        <v>62021571</v>
      </c>
      <c r="H178" s="2" t="s">
        <v>34</v>
      </c>
      <c r="I178" s="2" t="s">
        <v>1070</v>
      </c>
      <c r="J178" s="2" t="s">
        <v>614</v>
      </c>
      <c r="K178" s="2" t="s">
        <v>100</v>
      </c>
      <c r="L178" s="2" t="s">
        <v>303</v>
      </c>
      <c r="M178" s="2" t="s">
        <v>283</v>
      </c>
      <c r="N178" s="2" t="s">
        <v>343</v>
      </c>
      <c r="O178" s="2" t="s">
        <v>164</v>
      </c>
      <c r="P178" t="s">
        <v>2899</v>
      </c>
      <c r="Q178" s="2" t="s">
        <v>1224</v>
      </c>
      <c r="R178" s="2" t="s">
        <v>204</v>
      </c>
      <c r="S178" s="2" t="s">
        <v>941</v>
      </c>
      <c r="T178" s="2" t="s">
        <v>1378</v>
      </c>
      <c r="U178" s="150">
        <v>3.9790000000000001</v>
      </c>
      <c r="V178" s="150">
        <v>686.00699999999995</v>
      </c>
      <c r="W178" s="150">
        <v>2729.6909999999998</v>
      </c>
      <c r="Y178" s="164">
        <v>6.3539307820436302E-3</v>
      </c>
      <c r="Z178" s="164">
        <v>1.1778714989649601E-3</v>
      </c>
    </row>
    <row r="179" spans="1:26">
      <c r="A179" s="2" t="s">
        <v>128</v>
      </c>
      <c r="B179" s="2">
        <v>7228</v>
      </c>
      <c r="C179" s="2" t="s">
        <v>2900</v>
      </c>
      <c r="D179" s="2" t="s">
        <v>2901</v>
      </c>
      <c r="E179" s="2" t="s">
        <v>361</v>
      </c>
      <c r="F179" s="2" t="s">
        <v>2902</v>
      </c>
      <c r="G179" s="2">
        <v>62019849</v>
      </c>
      <c r="H179" s="2" t="s">
        <v>34</v>
      </c>
      <c r="I179" s="2" t="s">
        <v>1070</v>
      </c>
      <c r="J179" s="2" t="s">
        <v>614</v>
      </c>
      <c r="K179" s="2" t="s">
        <v>100</v>
      </c>
      <c r="L179" s="2" t="s">
        <v>303</v>
      </c>
      <c r="M179" s="2" t="s">
        <v>283</v>
      </c>
      <c r="N179" s="2" t="s">
        <v>101</v>
      </c>
      <c r="O179" s="2" t="s">
        <v>164</v>
      </c>
      <c r="P179" t="s">
        <v>2903</v>
      </c>
      <c r="Q179" s="2" t="s">
        <v>105</v>
      </c>
      <c r="R179" s="2" t="s">
        <v>937</v>
      </c>
      <c r="S179" s="2" t="s">
        <v>941</v>
      </c>
      <c r="T179" s="2" t="s">
        <v>1378</v>
      </c>
      <c r="U179" s="150">
        <v>3.681</v>
      </c>
      <c r="V179" s="150">
        <v>2409.752</v>
      </c>
      <c r="W179" s="150">
        <v>8870.2980000000007</v>
      </c>
      <c r="Y179" s="164">
        <v>2.0647488886253E-2</v>
      </c>
      <c r="Z179" s="164">
        <v>3.8275658830030602E-3</v>
      </c>
    </row>
    <row r="180" spans="1:26">
      <c r="A180" s="2" t="s">
        <v>128</v>
      </c>
      <c r="B180" s="2">
        <v>7228</v>
      </c>
      <c r="C180" s="2" t="s">
        <v>2904</v>
      </c>
      <c r="D180" s="2" t="s">
        <v>2905</v>
      </c>
      <c r="E180" s="2" t="s">
        <v>361</v>
      </c>
      <c r="F180" s="2" t="s">
        <v>2906</v>
      </c>
      <c r="G180" s="2">
        <v>62009204</v>
      </c>
      <c r="H180" s="2" t="s">
        <v>34</v>
      </c>
      <c r="I180" s="2" t="s">
        <v>1070</v>
      </c>
      <c r="J180" s="2" t="s">
        <v>878</v>
      </c>
      <c r="K180" s="2" t="s">
        <v>100</v>
      </c>
      <c r="L180" s="2" t="s">
        <v>303</v>
      </c>
      <c r="M180" s="2" t="s">
        <v>283</v>
      </c>
      <c r="N180" s="2" t="s">
        <v>346</v>
      </c>
      <c r="O180" s="2" t="s">
        <v>164</v>
      </c>
      <c r="P180" t="s">
        <v>2907</v>
      </c>
      <c r="Q180" s="2" t="s">
        <v>105</v>
      </c>
      <c r="R180" s="2" t="s">
        <v>204</v>
      </c>
      <c r="S180" s="2" t="s">
        <v>941</v>
      </c>
      <c r="T180" s="2" t="s">
        <v>1378</v>
      </c>
      <c r="U180" s="150">
        <v>3.681</v>
      </c>
      <c r="V180" s="150">
        <v>2082.2190000000001</v>
      </c>
      <c r="W180" s="150">
        <v>7664.65</v>
      </c>
      <c r="Y180" s="164">
        <v>1.7841087871857501E-2</v>
      </c>
      <c r="Z180" s="164">
        <v>3.3073241802032099E-3</v>
      </c>
    </row>
    <row r="181" spans="1:26">
      <c r="A181" s="2" t="s">
        <v>128</v>
      </c>
      <c r="B181" s="2">
        <v>7228</v>
      </c>
      <c r="C181" s="2" t="s">
        <v>2908</v>
      </c>
      <c r="D181" s="2" t="s">
        <v>2909</v>
      </c>
      <c r="E181" s="2" t="s">
        <v>361</v>
      </c>
      <c r="F181" s="2" t="s">
        <v>2910</v>
      </c>
      <c r="G181" s="2">
        <v>62019807</v>
      </c>
      <c r="H181" s="2" t="s">
        <v>34</v>
      </c>
      <c r="I181" s="2" t="s">
        <v>1070</v>
      </c>
      <c r="J181" s="2" t="s">
        <v>878</v>
      </c>
      <c r="K181" s="2" t="s">
        <v>100</v>
      </c>
      <c r="L181" s="2" t="s">
        <v>303</v>
      </c>
      <c r="M181" s="2" t="s">
        <v>283</v>
      </c>
      <c r="N181" s="2" t="s">
        <v>346</v>
      </c>
      <c r="O181" s="2" t="s">
        <v>164</v>
      </c>
      <c r="P181" t="s">
        <v>2789</v>
      </c>
      <c r="Q181" s="2" t="s">
        <v>105</v>
      </c>
      <c r="R181" s="2" t="s">
        <v>937</v>
      </c>
      <c r="S181" s="2" t="s">
        <v>941</v>
      </c>
      <c r="T181" s="2" t="s">
        <v>1378</v>
      </c>
      <c r="U181" s="150">
        <v>3.681</v>
      </c>
      <c r="V181" s="150">
        <v>2384.7069999999999</v>
      </c>
      <c r="W181" s="150">
        <v>8778.1059999999998</v>
      </c>
      <c r="Y181" s="164">
        <v>2.04328931715771E-2</v>
      </c>
      <c r="Z181" s="164">
        <v>3.7877848112874198E-3</v>
      </c>
    </row>
    <row r="182" spans="1:26">
      <c r="A182" s="2" t="s">
        <v>128</v>
      </c>
      <c r="B182" s="2">
        <v>7228</v>
      </c>
      <c r="C182" s="2" t="s">
        <v>2911</v>
      </c>
      <c r="D182" s="2" t="s">
        <v>2905</v>
      </c>
      <c r="E182" s="2" t="s">
        <v>361</v>
      </c>
      <c r="F182" s="2" t="s">
        <v>2912</v>
      </c>
      <c r="G182" s="2">
        <v>62020615</v>
      </c>
      <c r="H182" s="2" t="s">
        <v>34</v>
      </c>
      <c r="I182" s="2" t="s">
        <v>1070</v>
      </c>
      <c r="J182" s="2" t="s">
        <v>883</v>
      </c>
      <c r="K182" s="2" t="s">
        <v>100</v>
      </c>
      <c r="L182" s="2" t="s">
        <v>303</v>
      </c>
      <c r="M182" s="2" t="s">
        <v>283</v>
      </c>
      <c r="N182" s="2" t="s">
        <v>346</v>
      </c>
      <c r="O182" s="2" t="s">
        <v>164</v>
      </c>
      <c r="P182" t="s">
        <v>2913</v>
      </c>
      <c r="Q182" s="2" t="s">
        <v>105</v>
      </c>
      <c r="R182" s="2" t="s">
        <v>937</v>
      </c>
      <c r="S182" s="2" t="s">
        <v>941</v>
      </c>
      <c r="T182" s="2" t="s">
        <v>1378</v>
      </c>
      <c r="U182" s="150">
        <v>3.681</v>
      </c>
      <c r="V182" s="150">
        <v>1361.556</v>
      </c>
      <c r="W182" s="150">
        <v>5011.8890000000001</v>
      </c>
      <c r="Y182" s="164">
        <v>1.1666227272554199E-2</v>
      </c>
      <c r="Z182" s="164">
        <v>2.1626481427249201E-3</v>
      </c>
    </row>
    <row r="183" spans="1:26">
      <c r="A183" s="2" t="s">
        <v>128</v>
      </c>
      <c r="B183" s="2">
        <v>7228</v>
      </c>
      <c r="C183" s="2" t="s">
        <v>2914</v>
      </c>
      <c r="D183" s="2" t="s">
        <v>2915</v>
      </c>
      <c r="E183" s="2" t="s">
        <v>361</v>
      </c>
      <c r="F183" s="2" t="s">
        <v>2916</v>
      </c>
      <c r="G183" s="2">
        <v>62020813</v>
      </c>
      <c r="H183" s="2" t="s">
        <v>34</v>
      </c>
      <c r="I183" s="2" t="s">
        <v>1070</v>
      </c>
      <c r="J183" s="2" t="s">
        <v>898</v>
      </c>
      <c r="K183" s="2" t="s">
        <v>100</v>
      </c>
      <c r="L183" s="2" t="s">
        <v>303</v>
      </c>
      <c r="M183" s="2" t="s">
        <v>283</v>
      </c>
      <c r="N183" s="2" t="s">
        <v>346</v>
      </c>
      <c r="O183" s="2" t="s">
        <v>164</v>
      </c>
      <c r="P183" t="s">
        <v>2917</v>
      </c>
      <c r="Q183" s="2" t="s">
        <v>105</v>
      </c>
      <c r="R183" s="2" t="s">
        <v>204</v>
      </c>
      <c r="S183" s="2" t="s">
        <v>941</v>
      </c>
      <c r="T183" s="2" t="s">
        <v>1378</v>
      </c>
      <c r="U183" s="150">
        <v>3.681</v>
      </c>
      <c r="V183" s="150">
        <v>575.995</v>
      </c>
      <c r="W183" s="150">
        <v>2120.2379999999998</v>
      </c>
      <c r="Y183" s="164">
        <v>4.9353010387603998E-3</v>
      </c>
      <c r="Z183" s="164">
        <v>9.1489042480540604E-4</v>
      </c>
    </row>
    <row r="184" spans="1:26">
      <c r="A184" s="2" t="s">
        <v>128</v>
      </c>
      <c r="B184" s="2">
        <v>7228</v>
      </c>
      <c r="C184" s="2" t="s">
        <v>2918</v>
      </c>
      <c r="D184" s="2" t="s">
        <v>2919</v>
      </c>
      <c r="E184" s="2" t="s">
        <v>361</v>
      </c>
      <c r="F184" s="2" t="s">
        <v>2920</v>
      </c>
      <c r="G184" s="2">
        <v>62010137</v>
      </c>
      <c r="H184" s="2" t="s">
        <v>34</v>
      </c>
      <c r="I184" s="2" t="s">
        <v>1070</v>
      </c>
      <c r="J184" s="2" t="s">
        <v>898</v>
      </c>
      <c r="K184" s="2" t="s">
        <v>100</v>
      </c>
      <c r="L184" s="2" t="s">
        <v>303</v>
      </c>
      <c r="M184" s="2" t="s">
        <v>283</v>
      </c>
      <c r="N184" s="2" t="s">
        <v>346</v>
      </c>
      <c r="O184" s="2" t="s">
        <v>164</v>
      </c>
      <c r="P184" t="s">
        <v>2921</v>
      </c>
      <c r="Q184" s="2" t="s">
        <v>105</v>
      </c>
      <c r="R184" s="2" t="s">
        <v>937</v>
      </c>
      <c r="S184" s="2" t="s">
        <v>941</v>
      </c>
      <c r="T184" s="2" t="s">
        <v>1378</v>
      </c>
      <c r="U184" s="150">
        <v>3.681</v>
      </c>
      <c r="V184" s="150">
        <v>1446.384</v>
      </c>
      <c r="W184" s="150">
        <v>5324.1409999999996</v>
      </c>
      <c r="Y184" s="164">
        <v>1.23930613767359E-2</v>
      </c>
      <c r="Z184" s="164">
        <v>2.2973863394661698E-3</v>
      </c>
    </row>
    <row r="185" spans="1:26">
      <c r="A185" s="2" t="s">
        <v>128</v>
      </c>
      <c r="B185" s="2">
        <v>7228</v>
      </c>
      <c r="C185" s="2" t="s">
        <v>2922</v>
      </c>
      <c r="D185" s="2" t="s">
        <v>2923</v>
      </c>
      <c r="E185" s="2" t="s">
        <v>34</v>
      </c>
      <c r="F185" s="2" t="s">
        <v>2924</v>
      </c>
      <c r="G185" s="2">
        <v>62006366</v>
      </c>
      <c r="H185" s="2" t="s">
        <v>34</v>
      </c>
      <c r="I185" s="2" t="s">
        <v>1070</v>
      </c>
      <c r="J185" s="2" t="s">
        <v>897</v>
      </c>
      <c r="K185" s="2" t="s">
        <v>100</v>
      </c>
      <c r="L185" s="2" t="s">
        <v>31</v>
      </c>
      <c r="M185" s="2" t="s">
        <v>31</v>
      </c>
      <c r="N185" s="2" t="s">
        <v>101</v>
      </c>
      <c r="O185" s="2" t="s">
        <v>164</v>
      </c>
      <c r="P185" t="s">
        <v>2925</v>
      </c>
      <c r="Q185" s="2" t="s">
        <v>105</v>
      </c>
      <c r="R185" s="2" t="s">
        <v>937</v>
      </c>
      <c r="S185" s="2" t="s">
        <v>941</v>
      </c>
      <c r="T185" s="2" t="s">
        <v>1378</v>
      </c>
      <c r="U185" s="150">
        <v>3.681</v>
      </c>
      <c r="V185" s="150">
        <v>197.5</v>
      </c>
      <c r="W185" s="150">
        <v>726.99800000000005</v>
      </c>
      <c r="Y185" s="164">
        <v>1.6922407449318001E-3</v>
      </c>
      <c r="Z185" s="164">
        <v>3.1370221225502699E-4</v>
      </c>
    </row>
    <row r="186" spans="1:26">
      <c r="A186" s="2" t="s">
        <v>128</v>
      </c>
      <c r="B186" s="2">
        <v>7228</v>
      </c>
      <c r="C186" s="2" t="s">
        <v>2926</v>
      </c>
      <c r="D186" s="2" t="s">
        <v>2927</v>
      </c>
      <c r="E186" s="2" t="s">
        <v>361</v>
      </c>
      <c r="F186" s="2" t="s">
        <v>2928</v>
      </c>
      <c r="G186" s="2">
        <v>62018387</v>
      </c>
      <c r="H186" s="2" t="s">
        <v>34</v>
      </c>
      <c r="I186" s="2" t="s">
        <v>1070</v>
      </c>
      <c r="J186" s="2" t="s">
        <v>896</v>
      </c>
      <c r="K186" s="2" t="s">
        <v>100</v>
      </c>
      <c r="L186" s="2" t="s">
        <v>268</v>
      </c>
      <c r="M186" s="2" t="s">
        <v>339</v>
      </c>
      <c r="N186" s="2" t="s">
        <v>101</v>
      </c>
      <c r="O186" s="2" t="s">
        <v>164</v>
      </c>
      <c r="P186" t="s">
        <v>2929</v>
      </c>
      <c r="Q186" s="2" t="s">
        <v>105</v>
      </c>
      <c r="R186" s="2" t="s">
        <v>937</v>
      </c>
      <c r="S186" s="2" t="s">
        <v>941</v>
      </c>
      <c r="T186" s="2" t="s">
        <v>1378</v>
      </c>
      <c r="U186" s="150">
        <v>3.681</v>
      </c>
      <c r="V186" s="150">
        <v>862.40300000000002</v>
      </c>
      <c r="W186" s="150">
        <v>3174.5070000000001</v>
      </c>
      <c r="Y186" s="164">
        <v>7.3893348422650598E-3</v>
      </c>
      <c r="Z186" s="164">
        <v>1.3698114136857799E-3</v>
      </c>
    </row>
    <row r="187" spans="1:26">
      <c r="A187" s="2" t="s">
        <v>128</v>
      </c>
      <c r="B187" s="2">
        <v>7228</v>
      </c>
      <c r="C187" s="2" t="s">
        <v>2930</v>
      </c>
      <c r="D187" s="2" t="s">
        <v>2931</v>
      </c>
      <c r="E187" s="2" t="s">
        <v>362</v>
      </c>
      <c r="F187" s="2" t="s">
        <v>2932</v>
      </c>
      <c r="G187" s="2">
        <v>62018551</v>
      </c>
      <c r="H187" s="2" t="s">
        <v>34</v>
      </c>
      <c r="I187" s="2" t="s">
        <v>1070</v>
      </c>
      <c r="J187" s="2" t="s">
        <v>896</v>
      </c>
      <c r="K187" s="2" t="s">
        <v>100</v>
      </c>
      <c r="L187" s="2" t="s">
        <v>303</v>
      </c>
      <c r="M187" s="2" t="s">
        <v>337</v>
      </c>
      <c r="N187" s="2" t="s">
        <v>339</v>
      </c>
      <c r="O187" s="2" t="s">
        <v>164</v>
      </c>
      <c r="P187" t="s">
        <v>2933</v>
      </c>
      <c r="Q187" s="2" t="s">
        <v>105</v>
      </c>
      <c r="R187" s="2" t="s">
        <v>937</v>
      </c>
      <c r="S187" s="2" t="s">
        <v>941</v>
      </c>
      <c r="T187" s="2" t="s">
        <v>1378</v>
      </c>
      <c r="U187" s="150">
        <v>3.681</v>
      </c>
      <c r="V187" s="150">
        <v>1747.307</v>
      </c>
      <c r="W187" s="150">
        <v>6431.8370000000004</v>
      </c>
      <c r="Y187" s="164">
        <v>1.4971456244111401E-2</v>
      </c>
      <c r="Z187" s="164">
        <v>2.77536098721365E-3</v>
      </c>
    </row>
    <row r="188" spans="1:26">
      <c r="A188" s="2" t="s">
        <v>128</v>
      </c>
      <c r="B188" s="2">
        <v>7228</v>
      </c>
      <c r="C188" s="2" t="s">
        <v>2934</v>
      </c>
      <c r="D188" s="2" t="s">
        <v>2935</v>
      </c>
      <c r="E188" s="2" t="s">
        <v>362</v>
      </c>
      <c r="F188" s="2" t="s">
        <v>2936</v>
      </c>
      <c r="G188" s="2">
        <v>62020169</v>
      </c>
      <c r="H188" s="2" t="s">
        <v>34</v>
      </c>
      <c r="I188" s="2" t="s">
        <v>1070</v>
      </c>
      <c r="J188" s="2" t="s">
        <v>898</v>
      </c>
      <c r="K188" s="2" t="s">
        <v>100</v>
      </c>
      <c r="L188" s="2" t="s">
        <v>303</v>
      </c>
      <c r="M188" s="2" t="s">
        <v>337</v>
      </c>
      <c r="N188" s="2" t="s">
        <v>346</v>
      </c>
      <c r="O188" s="2" t="s">
        <v>164</v>
      </c>
      <c r="P188" t="s">
        <v>2937</v>
      </c>
      <c r="Q188" s="2" t="s">
        <v>105</v>
      </c>
      <c r="R188" s="2" t="s">
        <v>937</v>
      </c>
      <c r="S188" s="2" t="s">
        <v>941</v>
      </c>
      <c r="T188" s="2" t="s">
        <v>1378</v>
      </c>
      <c r="U188" s="150">
        <v>3.681</v>
      </c>
      <c r="V188" s="150">
        <v>1666.7429999999999</v>
      </c>
      <c r="W188" s="150">
        <v>6135.28</v>
      </c>
      <c r="Y188" s="164">
        <v>1.42811574399552E-2</v>
      </c>
      <c r="Z188" s="164">
        <v>2.6473955883013801E-3</v>
      </c>
    </row>
    <row r="189" spans="1:26">
      <c r="A189" s="2" t="s">
        <v>128</v>
      </c>
      <c r="B189" s="2">
        <v>7228</v>
      </c>
      <c r="C189" s="2" t="s">
        <v>2938</v>
      </c>
      <c r="D189" s="2" t="s">
        <v>2939</v>
      </c>
      <c r="E189" s="2" t="s">
        <v>204</v>
      </c>
      <c r="F189" s="2" t="s">
        <v>2940</v>
      </c>
      <c r="G189" s="2">
        <v>62020995</v>
      </c>
      <c r="H189" s="2" t="s">
        <v>34</v>
      </c>
      <c r="I189" s="2" t="s">
        <v>1070</v>
      </c>
      <c r="J189" s="2" t="s">
        <v>877</v>
      </c>
      <c r="K189" s="2" t="s">
        <v>100</v>
      </c>
      <c r="L189" s="2" t="s">
        <v>101</v>
      </c>
      <c r="M189" s="2" t="s">
        <v>31</v>
      </c>
      <c r="N189" s="2" t="s">
        <v>101</v>
      </c>
      <c r="O189" s="2" t="s">
        <v>164</v>
      </c>
      <c r="P189" t="s">
        <v>2941</v>
      </c>
      <c r="Q189" s="2" t="s">
        <v>105</v>
      </c>
      <c r="R189" s="2" t="s">
        <v>937</v>
      </c>
      <c r="S189" s="2" t="s">
        <v>941</v>
      </c>
      <c r="T189" s="2" t="s">
        <v>1378</v>
      </c>
      <c r="U189" s="150">
        <v>3.681</v>
      </c>
      <c r="V189" s="150">
        <v>146.78399999999999</v>
      </c>
      <c r="W189" s="150">
        <v>540.31200000000001</v>
      </c>
      <c r="Y189" s="164">
        <v>1.2576903008030299E-3</v>
      </c>
      <c r="Z189" s="164">
        <v>2.3314663169246799E-4</v>
      </c>
    </row>
    <row r="190" spans="1:26">
      <c r="A190" s="2" t="s">
        <v>128</v>
      </c>
      <c r="B190" s="2">
        <v>7229</v>
      </c>
      <c r="C190" s="2" t="s">
        <v>2674</v>
      </c>
      <c r="D190" s="2" t="s">
        <v>2675</v>
      </c>
      <c r="E190" s="2" t="s">
        <v>34</v>
      </c>
      <c r="F190" s="2" t="s">
        <v>2676</v>
      </c>
      <c r="G190" s="2">
        <v>77419109</v>
      </c>
      <c r="H190" s="2" t="s">
        <v>34</v>
      </c>
      <c r="I190" s="2" t="s">
        <v>1072</v>
      </c>
      <c r="J190" s="2" t="s">
        <v>614</v>
      </c>
      <c r="K190" s="2" t="s">
        <v>31</v>
      </c>
      <c r="L190" s="2" t="s">
        <v>268</v>
      </c>
      <c r="M190" s="2" t="s">
        <v>31</v>
      </c>
      <c r="N190" s="2" t="s">
        <v>31</v>
      </c>
      <c r="O190" s="2" t="s">
        <v>164</v>
      </c>
      <c r="P190" t="s">
        <v>2677</v>
      </c>
      <c r="Q190" s="2" t="s">
        <v>105</v>
      </c>
      <c r="R190" s="2" t="s">
        <v>204</v>
      </c>
      <c r="S190" s="2" t="s">
        <v>941</v>
      </c>
      <c r="T190" s="2" t="s">
        <v>1378</v>
      </c>
      <c r="U190" s="150">
        <v>3.681</v>
      </c>
      <c r="V190" s="150">
        <v>351.38099999999997</v>
      </c>
      <c r="W190" s="150">
        <v>1293.432</v>
      </c>
      <c r="Y190" s="164">
        <v>8.7621421956333503E-2</v>
      </c>
      <c r="Z190" s="164">
        <v>9.0226362123321004E-3</v>
      </c>
    </row>
    <row r="191" spans="1:26">
      <c r="A191" s="2" t="s">
        <v>128</v>
      </c>
      <c r="B191" s="2">
        <v>7229</v>
      </c>
      <c r="C191" s="2" t="s">
        <v>2682</v>
      </c>
      <c r="D191" s="2" t="s">
        <v>2683</v>
      </c>
      <c r="E191" s="2" t="s">
        <v>34</v>
      </c>
      <c r="F191" s="2" t="s">
        <v>2684</v>
      </c>
      <c r="G191" s="2">
        <v>62017538</v>
      </c>
      <c r="H191" s="2" t="s">
        <v>34</v>
      </c>
      <c r="I191" s="2" t="s">
        <v>1070</v>
      </c>
      <c r="J191" s="2" t="s">
        <v>883</v>
      </c>
      <c r="K191" s="2" t="s">
        <v>31</v>
      </c>
      <c r="L191" s="2" t="s">
        <v>31</v>
      </c>
      <c r="M191" s="2" t="s">
        <v>31</v>
      </c>
      <c r="N191" s="2" t="s">
        <v>31</v>
      </c>
      <c r="O191" s="2" t="s">
        <v>164</v>
      </c>
      <c r="P191" t="s">
        <v>2685</v>
      </c>
      <c r="Q191" s="2" t="s">
        <v>105</v>
      </c>
      <c r="R191" s="2" t="s">
        <v>204</v>
      </c>
      <c r="S191" s="2" t="s">
        <v>941</v>
      </c>
      <c r="T191" s="2" t="s">
        <v>1378</v>
      </c>
      <c r="U191" s="150">
        <v>3.681</v>
      </c>
      <c r="V191" s="150">
        <v>207.93</v>
      </c>
      <c r="W191" s="150">
        <v>765.38900000000001</v>
      </c>
      <c r="Y191" s="164">
        <v>5.1849997412380798E-2</v>
      </c>
      <c r="Z191" s="164">
        <v>5.3391471379614702E-3</v>
      </c>
    </row>
    <row r="192" spans="1:26">
      <c r="A192" s="2" t="s">
        <v>128</v>
      </c>
      <c r="B192" s="2">
        <v>7229</v>
      </c>
      <c r="C192" s="2" t="s">
        <v>2686</v>
      </c>
      <c r="D192" s="2" t="s">
        <v>2687</v>
      </c>
      <c r="E192" s="2" t="s">
        <v>34</v>
      </c>
      <c r="F192" s="2" t="s">
        <v>2688</v>
      </c>
      <c r="G192" s="2">
        <v>62001189</v>
      </c>
      <c r="H192" s="2" t="s">
        <v>34</v>
      </c>
      <c r="I192" s="2" t="s">
        <v>1070</v>
      </c>
      <c r="J192" s="2" t="s">
        <v>898</v>
      </c>
      <c r="K192" s="2" t="s">
        <v>31</v>
      </c>
      <c r="L192" s="2" t="s">
        <v>268</v>
      </c>
      <c r="M192" s="2" t="s">
        <v>31</v>
      </c>
      <c r="N192" s="2" t="s">
        <v>31</v>
      </c>
      <c r="O192" s="2" t="s">
        <v>164</v>
      </c>
      <c r="P192" t="s">
        <v>3006</v>
      </c>
      <c r="Q192" s="2" t="s">
        <v>105</v>
      </c>
      <c r="R192" s="2" t="s">
        <v>937</v>
      </c>
      <c r="S192" s="2" t="s">
        <v>941</v>
      </c>
      <c r="T192" s="2" t="s">
        <v>1378</v>
      </c>
      <c r="U192" s="150">
        <v>3.681</v>
      </c>
      <c r="V192" s="150">
        <v>62.03</v>
      </c>
      <c r="W192" s="150">
        <v>228.333</v>
      </c>
      <c r="Y192" s="164">
        <v>1.54680754560934E-2</v>
      </c>
      <c r="Z192" s="164">
        <v>1.5927933447004001E-3</v>
      </c>
    </row>
    <row r="193" spans="1:26">
      <c r="A193" s="2" t="s">
        <v>128</v>
      </c>
      <c r="B193" s="2">
        <v>7229</v>
      </c>
      <c r="C193" s="2" t="s">
        <v>2693</v>
      </c>
      <c r="D193" s="2" t="s">
        <v>2694</v>
      </c>
      <c r="E193" s="2" t="s">
        <v>361</v>
      </c>
      <c r="F193" s="2" t="s">
        <v>2695</v>
      </c>
      <c r="G193" s="2">
        <v>50000983</v>
      </c>
      <c r="H193" s="2" t="s">
        <v>34</v>
      </c>
      <c r="I193" s="2" t="s">
        <v>1070</v>
      </c>
      <c r="J193" s="2" t="s">
        <v>890</v>
      </c>
      <c r="K193" s="2" t="s">
        <v>100</v>
      </c>
      <c r="L193" s="2" t="s">
        <v>268</v>
      </c>
      <c r="M193" s="2" t="s">
        <v>31</v>
      </c>
      <c r="N193" s="2" t="s">
        <v>346</v>
      </c>
      <c r="O193" s="2" t="s">
        <v>164</v>
      </c>
      <c r="P193" t="s">
        <v>2696</v>
      </c>
      <c r="Q193" s="2" t="s">
        <v>35</v>
      </c>
      <c r="R193" s="2" t="s">
        <v>937</v>
      </c>
      <c r="S193" s="2" t="s">
        <v>941</v>
      </c>
      <c r="T193" s="2" t="s">
        <v>1378</v>
      </c>
      <c r="U193" s="150">
        <v>1</v>
      </c>
      <c r="V193" s="150">
        <v>320.08499999999998</v>
      </c>
      <c r="W193" s="150">
        <v>320.08499999999998</v>
      </c>
      <c r="Y193" s="164">
        <v>2.1683645404353202E-2</v>
      </c>
      <c r="Z193" s="164">
        <v>2.2328289118406001E-3</v>
      </c>
    </row>
    <row r="194" spans="1:26">
      <c r="A194" s="2" t="s">
        <v>128</v>
      </c>
      <c r="B194" s="2">
        <v>7229</v>
      </c>
      <c r="C194" s="2" t="s">
        <v>2701</v>
      </c>
      <c r="D194" s="2" t="s">
        <v>2702</v>
      </c>
      <c r="E194" s="2" t="s">
        <v>359</v>
      </c>
      <c r="F194" s="2" t="s">
        <v>2705</v>
      </c>
      <c r="G194" s="2">
        <v>62002785</v>
      </c>
      <c r="H194" s="2" t="s">
        <v>34</v>
      </c>
      <c r="I194" s="2" t="s">
        <v>1070</v>
      </c>
      <c r="J194" s="2" t="s">
        <v>896</v>
      </c>
      <c r="K194" s="2" t="s">
        <v>31</v>
      </c>
      <c r="L194" s="2" t="s">
        <v>268</v>
      </c>
      <c r="M194" s="2" t="s">
        <v>31</v>
      </c>
      <c r="N194" s="2" t="s">
        <v>31</v>
      </c>
      <c r="O194" s="2" t="s">
        <v>164</v>
      </c>
      <c r="P194" t="s">
        <v>3007</v>
      </c>
      <c r="Q194" s="2" t="s">
        <v>105</v>
      </c>
      <c r="R194" s="2" t="s">
        <v>937</v>
      </c>
      <c r="S194" s="2" t="s">
        <v>941</v>
      </c>
      <c r="T194" s="2" t="s">
        <v>1378</v>
      </c>
      <c r="U194" s="150">
        <v>3.681</v>
      </c>
      <c r="V194" s="150">
        <v>51.167999999999999</v>
      </c>
      <c r="W194" s="150">
        <v>188.34899999999999</v>
      </c>
      <c r="Y194" s="164">
        <v>1.2759426647592701E-2</v>
      </c>
      <c r="Z194" s="164">
        <v>1.3138757891482001E-3</v>
      </c>
    </row>
    <row r="195" spans="1:26">
      <c r="A195" s="2" t="s">
        <v>128</v>
      </c>
      <c r="B195" s="2">
        <v>7229</v>
      </c>
      <c r="C195" s="2" t="s">
        <v>2711</v>
      </c>
      <c r="D195" s="2" t="s">
        <v>2712</v>
      </c>
      <c r="E195" s="2" t="s">
        <v>34</v>
      </c>
      <c r="F195" s="2" t="s">
        <v>2713</v>
      </c>
      <c r="G195" s="2">
        <v>62013487</v>
      </c>
      <c r="H195" s="2" t="s">
        <v>34</v>
      </c>
      <c r="I195" s="2" t="s">
        <v>1070</v>
      </c>
      <c r="J195" s="2" t="s">
        <v>878</v>
      </c>
      <c r="K195" s="2" t="s">
        <v>31</v>
      </c>
      <c r="L195" s="2" t="s">
        <v>31</v>
      </c>
      <c r="M195" s="2" t="s">
        <v>31</v>
      </c>
      <c r="N195" s="2" t="s">
        <v>31</v>
      </c>
      <c r="O195" s="2" t="s">
        <v>164</v>
      </c>
      <c r="P195" t="s">
        <v>2714</v>
      </c>
      <c r="Q195" s="2" t="s">
        <v>105</v>
      </c>
      <c r="R195" s="2" t="s">
        <v>937</v>
      </c>
      <c r="S195" s="2" t="s">
        <v>941</v>
      </c>
      <c r="T195" s="2" t="s">
        <v>2715</v>
      </c>
      <c r="U195" s="150">
        <v>3.681</v>
      </c>
      <c r="V195" s="150">
        <v>44.972000000000001</v>
      </c>
      <c r="W195" s="150">
        <v>165.54300000000001</v>
      </c>
      <c r="Y195" s="164">
        <v>1.12144674004372E-2</v>
      </c>
      <c r="Z195" s="164">
        <v>1.1547867794205399E-3</v>
      </c>
    </row>
    <row r="196" spans="1:26">
      <c r="A196" s="2" t="s">
        <v>128</v>
      </c>
      <c r="B196" s="2">
        <v>7229</v>
      </c>
      <c r="C196" s="2" t="s">
        <v>2762</v>
      </c>
      <c r="D196" s="2" t="s">
        <v>2763</v>
      </c>
      <c r="E196" s="2" t="s">
        <v>1380</v>
      </c>
      <c r="F196" s="2" t="s">
        <v>2764</v>
      </c>
      <c r="G196" s="2">
        <v>50007004</v>
      </c>
      <c r="H196" s="2" t="s">
        <v>34</v>
      </c>
      <c r="I196" s="2" t="s">
        <v>1070</v>
      </c>
      <c r="J196" s="2" t="s">
        <v>881</v>
      </c>
      <c r="K196" s="2" t="s">
        <v>31</v>
      </c>
      <c r="L196" s="2" t="s">
        <v>31</v>
      </c>
      <c r="M196" s="2" t="s">
        <v>31</v>
      </c>
      <c r="N196" s="2" t="s">
        <v>31</v>
      </c>
      <c r="O196" s="2" t="s">
        <v>164</v>
      </c>
      <c r="P196" t="s">
        <v>2765</v>
      </c>
      <c r="Q196" s="2" t="s">
        <v>35</v>
      </c>
      <c r="R196" s="2" t="s">
        <v>937</v>
      </c>
      <c r="S196" s="2" t="s">
        <v>941</v>
      </c>
      <c r="T196" s="2" t="s">
        <v>1378</v>
      </c>
      <c r="U196" s="150">
        <v>1</v>
      </c>
      <c r="V196" s="150">
        <v>494.995</v>
      </c>
      <c r="W196" s="150">
        <v>494.995</v>
      </c>
      <c r="Y196" s="164">
        <v>3.3532641473056603E-2</v>
      </c>
      <c r="Z196" s="164">
        <v>3.4529549794424502E-3</v>
      </c>
    </row>
    <row r="197" spans="1:26">
      <c r="A197" s="2" t="s">
        <v>128</v>
      </c>
      <c r="B197" s="2">
        <v>7229</v>
      </c>
      <c r="C197" s="2" t="s">
        <v>2766</v>
      </c>
      <c r="D197" s="2" t="s">
        <v>2767</v>
      </c>
      <c r="E197" s="2" t="s">
        <v>1380</v>
      </c>
      <c r="F197" s="2" t="s">
        <v>2766</v>
      </c>
      <c r="G197" s="2">
        <v>50007350</v>
      </c>
      <c r="H197" s="2" t="s">
        <v>34</v>
      </c>
      <c r="I197" s="2" t="s">
        <v>1070</v>
      </c>
      <c r="J197" s="2" t="s">
        <v>889</v>
      </c>
      <c r="K197" s="2" t="s">
        <v>31</v>
      </c>
      <c r="L197" s="2" t="s">
        <v>31</v>
      </c>
      <c r="M197" s="2" t="s">
        <v>31</v>
      </c>
      <c r="N197" s="2" t="s">
        <v>31</v>
      </c>
      <c r="O197" s="2" t="s">
        <v>164</v>
      </c>
      <c r="P197" t="s">
        <v>2768</v>
      </c>
      <c r="Q197" s="2" t="s">
        <v>35</v>
      </c>
      <c r="R197" s="2" t="s">
        <v>204</v>
      </c>
      <c r="S197" s="2" t="s">
        <v>941</v>
      </c>
      <c r="T197" s="2" t="s">
        <v>1378</v>
      </c>
      <c r="U197" s="150">
        <v>1</v>
      </c>
      <c r="V197" s="150">
        <v>559.13099999999997</v>
      </c>
      <c r="W197" s="150">
        <v>559.13099999999997</v>
      </c>
      <c r="Y197" s="164">
        <v>3.7877396078363497E-2</v>
      </c>
      <c r="Z197" s="164">
        <v>3.9003471737288501E-3</v>
      </c>
    </row>
    <row r="198" spans="1:26">
      <c r="A198" s="2" t="s">
        <v>128</v>
      </c>
      <c r="B198" s="2">
        <v>7229</v>
      </c>
      <c r="C198" s="2" t="s">
        <v>2762</v>
      </c>
      <c r="D198" s="2" t="s">
        <v>2763</v>
      </c>
      <c r="E198" s="2" t="s">
        <v>1380</v>
      </c>
      <c r="F198" s="2" t="s">
        <v>2762</v>
      </c>
      <c r="G198" s="2">
        <v>18952</v>
      </c>
      <c r="H198" s="2" t="s">
        <v>34</v>
      </c>
      <c r="I198" s="2" t="s">
        <v>1070</v>
      </c>
      <c r="J198" s="2" t="s">
        <v>881</v>
      </c>
      <c r="K198" s="2" t="s">
        <v>31</v>
      </c>
      <c r="L198" s="2" t="s">
        <v>31</v>
      </c>
      <c r="M198" s="2" t="s">
        <v>31</v>
      </c>
      <c r="N198" s="2" t="s">
        <v>31</v>
      </c>
      <c r="O198" s="2" t="s">
        <v>164</v>
      </c>
      <c r="P198" t="s">
        <v>2771</v>
      </c>
      <c r="Q198" s="2" t="s">
        <v>35</v>
      </c>
      <c r="R198" s="2" t="s">
        <v>937</v>
      </c>
      <c r="S198" s="2" t="s">
        <v>941</v>
      </c>
      <c r="T198" s="2" t="s">
        <v>1378</v>
      </c>
      <c r="U198" s="150">
        <v>1</v>
      </c>
      <c r="V198" s="150">
        <v>112.343</v>
      </c>
      <c r="W198" s="150">
        <v>112.343</v>
      </c>
      <c r="Y198" s="164">
        <v>7.6105138299529104E-3</v>
      </c>
      <c r="Z198" s="164">
        <v>7.8367705229444697E-4</v>
      </c>
    </row>
    <row r="199" spans="1:26">
      <c r="A199" s="2" t="s">
        <v>128</v>
      </c>
      <c r="B199" s="2">
        <v>7229</v>
      </c>
      <c r="C199" s="2" t="s">
        <v>2772</v>
      </c>
      <c r="D199" s="2" t="s">
        <v>2773</v>
      </c>
      <c r="E199" s="2" t="s">
        <v>204</v>
      </c>
      <c r="F199" s="2" t="s">
        <v>2774</v>
      </c>
      <c r="G199" s="2">
        <v>50007160</v>
      </c>
      <c r="H199" s="2" t="s">
        <v>34</v>
      </c>
      <c r="I199" s="2" t="s">
        <v>1070</v>
      </c>
      <c r="J199" s="2" t="s">
        <v>614</v>
      </c>
      <c r="K199" s="2" t="s">
        <v>31</v>
      </c>
      <c r="L199" s="2" t="s">
        <v>31</v>
      </c>
      <c r="M199" s="2" t="s">
        <v>31</v>
      </c>
      <c r="N199" s="2" t="s">
        <v>31</v>
      </c>
      <c r="O199" s="2" t="s">
        <v>164</v>
      </c>
      <c r="P199" t="s">
        <v>2775</v>
      </c>
      <c r="Q199" s="2" t="s">
        <v>35</v>
      </c>
      <c r="R199" s="2" t="s">
        <v>204</v>
      </c>
      <c r="S199" s="2" t="s">
        <v>941</v>
      </c>
      <c r="T199" s="2" t="s">
        <v>1378</v>
      </c>
      <c r="U199" s="150">
        <v>1</v>
      </c>
      <c r="V199" s="150">
        <v>281.07100000000003</v>
      </c>
      <c r="W199" s="150">
        <v>281.07100000000003</v>
      </c>
      <c r="Y199" s="164">
        <v>1.9040706142616399E-2</v>
      </c>
      <c r="Z199" s="164">
        <v>1.9606776620945598E-3</v>
      </c>
    </row>
    <row r="200" spans="1:26">
      <c r="A200" s="2" t="s">
        <v>128</v>
      </c>
      <c r="B200" s="2">
        <v>7229</v>
      </c>
      <c r="C200" s="2" t="s">
        <v>2780</v>
      </c>
      <c r="D200" s="2" t="s">
        <v>2781</v>
      </c>
      <c r="E200" s="2" t="s">
        <v>362</v>
      </c>
      <c r="F200" s="2" t="s">
        <v>2780</v>
      </c>
      <c r="G200" s="2">
        <v>62021365</v>
      </c>
      <c r="H200" s="2" t="s">
        <v>34</v>
      </c>
      <c r="I200" s="2" t="s">
        <v>1070</v>
      </c>
      <c r="J200" s="2" t="s">
        <v>880</v>
      </c>
      <c r="K200" s="2" t="s">
        <v>100</v>
      </c>
      <c r="L200" s="2" t="s">
        <v>303</v>
      </c>
      <c r="M200" s="2" t="s">
        <v>303</v>
      </c>
      <c r="N200" s="2" t="s">
        <v>343</v>
      </c>
      <c r="O200" s="2" t="s">
        <v>164</v>
      </c>
      <c r="P200" t="s">
        <v>2782</v>
      </c>
      <c r="Q200" s="2" t="s">
        <v>105</v>
      </c>
      <c r="R200" s="2" t="s">
        <v>937</v>
      </c>
      <c r="S200" s="2" t="s">
        <v>941</v>
      </c>
      <c r="T200" s="2" t="s">
        <v>1378</v>
      </c>
      <c r="U200" s="150">
        <v>3.681</v>
      </c>
      <c r="V200" s="150">
        <v>23.021000000000001</v>
      </c>
      <c r="W200" s="150">
        <v>84.74</v>
      </c>
      <c r="Y200" s="164">
        <v>5.7405447081363198E-3</v>
      </c>
      <c r="Z200" s="164">
        <v>5.9112081732654801E-4</v>
      </c>
    </row>
    <row r="201" spans="1:26">
      <c r="A201" s="2" t="s">
        <v>128</v>
      </c>
      <c r="B201" s="2">
        <v>7229</v>
      </c>
      <c r="C201" s="2" t="s">
        <v>2787</v>
      </c>
      <c r="D201" s="2" t="s">
        <v>2788</v>
      </c>
      <c r="E201" s="2" t="s">
        <v>362</v>
      </c>
      <c r="F201" s="2" t="s">
        <v>2787</v>
      </c>
      <c r="G201" s="2">
        <v>62019815</v>
      </c>
      <c r="H201" s="2" t="s">
        <v>34</v>
      </c>
      <c r="I201" s="2" t="s">
        <v>1070</v>
      </c>
      <c r="J201" s="2" t="s">
        <v>898</v>
      </c>
      <c r="K201" s="2" t="s">
        <v>100</v>
      </c>
      <c r="L201" s="2" t="s">
        <v>283</v>
      </c>
      <c r="M201" s="2" t="s">
        <v>2785</v>
      </c>
      <c r="N201" s="2" t="s">
        <v>346</v>
      </c>
      <c r="O201" s="2" t="s">
        <v>164</v>
      </c>
      <c r="P201" t="s">
        <v>2789</v>
      </c>
      <c r="Q201" s="2" t="s">
        <v>105</v>
      </c>
      <c r="R201" s="2" t="s">
        <v>937</v>
      </c>
      <c r="S201" s="2" t="s">
        <v>941</v>
      </c>
      <c r="T201" s="2" t="s">
        <v>1378</v>
      </c>
      <c r="U201" s="150">
        <v>3.681</v>
      </c>
      <c r="V201" s="150">
        <v>93.632000000000005</v>
      </c>
      <c r="W201" s="150">
        <v>344.66</v>
      </c>
      <c r="Y201" s="164">
        <v>2.3348440375884499E-2</v>
      </c>
      <c r="Z201" s="164">
        <v>2.4042577594999299E-3</v>
      </c>
    </row>
    <row r="202" spans="1:26">
      <c r="A202" s="2" t="s">
        <v>128</v>
      </c>
      <c r="B202" s="2">
        <v>7229</v>
      </c>
      <c r="C202" s="2" t="s">
        <v>2794</v>
      </c>
      <c r="D202" s="2" t="s">
        <v>2795</v>
      </c>
      <c r="E202" s="2" t="s">
        <v>361</v>
      </c>
      <c r="F202" s="2" t="s">
        <v>2796</v>
      </c>
      <c r="G202" s="2">
        <v>62013909</v>
      </c>
      <c r="H202" s="2" t="s">
        <v>34</v>
      </c>
      <c r="I202" s="2" t="s">
        <v>1070</v>
      </c>
      <c r="J202" s="2" t="s">
        <v>884</v>
      </c>
      <c r="K202" s="2" t="s">
        <v>100</v>
      </c>
      <c r="L202" s="2" t="s">
        <v>268</v>
      </c>
      <c r="M202" s="2" t="s">
        <v>101</v>
      </c>
      <c r="N202" s="2" t="s">
        <v>101</v>
      </c>
      <c r="O202" s="2" t="s">
        <v>164</v>
      </c>
      <c r="P202" t="s">
        <v>2797</v>
      </c>
      <c r="Q202" s="2" t="s">
        <v>105</v>
      </c>
      <c r="R202" s="2" t="s">
        <v>937</v>
      </c>
      <c r="S202" s="2" t="s">
        <v>941</v>
      </c>
      <c r="T202" s="2" t="s">
        <v>1378</v>
      </c>
      <c r="U202" s="150">
        <v>3.681</v>
      </c>
      <c r="V202" s="150">
        <v>95.790999999999997</v>
      </c>
      <c r="W202" s="150">
        <v>352.60599999999999</v>
      </c>
      <c r="Y202" s="164">
        <v>2.3886700357073E-2</v>
      </c>
      <c r="Z202" s="164">
        <v>2.4596839770787901E-3</v>
      </c>
    </row>
    <row r="203" spans="1:26">
      <c r="A203" s="2" t="s">
        <v>128</v>
      </c>
      <c r="B203" s="2">
        <v>7229</v>
      </c>
      <c r="C203" s="2" t="s">
        <v>2798</v>
      </c>
      <c r="D203" s="2" t="s">
        <v>2799</v>
      </c>
      <c r="E203" s="2" t="s">
        <v>361</v>
      </c>
      <c r="F203" s="2" t="s">
        <v>2800</v>
      </c>
      <c r="G203" s="2">
        <v>62011226</v>
      </c>
      <c r="H203" s="2" t="s">
        <v>34</v>
      </c>
      <c r="I203" s="2" t="s">
        <v>1070</v>
      </c>
      <c r="J203" s="2" t="s">
        <v>888</v>
      </c>
      <c r="K203" s="2" t="s">
        <v>100</v>
      </c>
      <c r="L203" s="2" t="s">
        <v>268</v>
      </c>
      <c r="M203" s="2" t="s">
        <v>101</v>
      </c>
      <c r="N203" s="2" t="s">
        <v>101</v>
      </c>
      <c r="O203" s="2" t="s">
        <v>164</v>
      </c>
      <c r="P203" t="s">
        <v>2801</v>
      </c>
      <c r="Q203" s="2" t="s">
        <v>105</v>
      </c>
      <c r="R203" s="2" t="s">
        <v>937</v>
      </c>
      <c r="S203" s="2" t="s">
        <v>941</v>
      </c>
      <c r="T203" s="2" t="s">
        <v>1378</v>
      </c>
      <c r="U203" s="150">
        <v>3.681</v>
      </c>
      <c r="V203" s="150">
        <v>5.4080000000000004</v>
      </c>
      <c r="W203" s="150">
        <v>19.905999999999999</v>
      </c>
      <c r="Y203" s="164">
        <v>1.34847691923095E-3</v>
      </c>
      <c r="Z203" s="164">
        <v>1.38856644999559E-4</v>
      </c>
    </row>
    <row r="204" spans="1:26">
      <c r="A204" s="2" t="s">
        <v>128</v>
      </c>
      <c r="B204" s="2">
        <v>7229</v>
      </c>
      <c r="C204" s="2" t="s">
        <v>2806</v>
      </c>
      <c r="D204" s="2" t="s">
        <v>2807</v>
      </c>
      <c r="E204" s="2" t="s">
        <v>361</v>
      </c>
      <c r="F204" s="2" t="s">
        <v>2808</v>
      </c>
      <c r="G204" s="2">
        <v>62016654</v>
      </c>
      <c r="H204" s="2" t="s">
        <v>34</v>
      </c>
      <c r="I204" s="2" t="s">
        <v>1070</v>
      </c>
      <c r="J204" s="2" t="s">
        <v>898</v>
      </c>
      <c r="K204" s="2" t="s">
        <v>100</v>
      </c>
      <c r="L204" s="2" t="s">
        <v>268</v>
      </c>
      <c r="M204" s="2" t="s">
        <v>101</v>
      </c>
      <c r="N204" s="2" t="s">
        <v>346</v>
      </c>
      <c r="O204" s="2" t="s">
        <v>164</v>
      </c>
      <c r="P204" t="s">
        <v>2809</v>
      </c>
      <c r="Q204" s="2" t="s">
        <v>105</v>
      </c>
      <c r="R204" s="2" t="s">
        <v>937</v>
      </c>
      <c r="S204" s="2" t="s">
        <v>941</v>
      </c>
      <c r="T204" s="2" t="s">
        <v>1378</v>
      </c>
      <c r="U204" s="150">
        <v>3.681</v>
      </c>
      <c r="V204" s="150">
        <v>153.81299999999999</v>
      </c>
      <c r="W204" s="150">
        <v>566.18499999999995</v>
      </c>
      <c r="Y204" s="164">
        <v>3.83552804338506E-2</v>
      </c>
      <c r="Z204" s="164">
        <v>3.94955633508295E-3</v>
      </c>
    </row>
    <row r="205" spans="1:26">
      <c r="A205" s="2" t="s">
        <v>128</v>
      </c>
      <c r="B205" s="2">
        <v>7229</v>
      </c>
      <c r="C205" s="2" t="s">
        <v>2814</v>
      </c>
      <c r="D205" s="2" t="s">
        <v>2815</v>
      </c>
      <c r="E205" s="2" t="s">
        <v>362</v>
      </c>
      <c r="F205" s="2" t="s">
        <v>2816</v>
      </c>
      <c r="G205" s="2">
        <v>62018064</v>
      </c>
      <c r="H205" s="2" t="s">
        <v>34</v>
      </c>
      <c r="I205" s="2" t="s">
        <v>1070</v>
      </c>
      <c r="J205" s="2" t="s">
        <v>883</v>
      </c>
      <c r="K205" s="2" t="s">
        <v>100</v>
      </c>
      <c r="L205" s="2" t="s">
        <v>268</v>
      </c>
      <c r="M205" s="2" t="s">
        <v>101</v>
      </c>
      <c r="N205" s="2" t="s">
        <v>341</v>
      </c>
      <c r="O205" s="2" t="s">
        <v>164</v>
      </c>
      <c r="P205" t="s">
        <v>2817</v>
      </c>
      <c r="Q205" s="2" t="s">
        <v>105</v>
      </c>
      <c r="R205" s="2" t="s">
        <v>204</v>
      </c>
      <c r="S205" s="2" t="s">
        <v>941</v>
      </c>
      <c r="T205" s="2" t="s">
        <v>1378</v>
      </c>
      <c r="U205" s="150">
        <v>3.681</v>
      </c>
      <c r="V205" s="150">
        <v>135.184</v>
      </c>
      <c r="W205" s="150">
        <v>497.61200000000002</v>
      </c>
      <c r="Y205" s="164">
        <v>3.3709921670362603E-2</v>
      </c>
      <c r="Z205" s="164">
        <v>3.4712100441541302E-3</v>
      </c>
    </row>
    <row r="206" spans="1:26">
      <c r="A206" s="2" t="s">
        <v>128</v>
      </c>
      <c r="B206" s="2">
        <v>7229</v>
      </c>
      <c r="C206" s="2" t="s">
        <v>2820</v>
      </c>
      <c r="D206" s="2" t="s">
        <v>2821</v>
      </c>
      <c r="E206" s="2" t="s">
        <v>361</v>
      </c>
      <c r="F206" s="2" t="s">
        <v>2822</v>
      </c>
      <c r="G206" s="2">
        <v>62018908</v>
      </c>
      <c r="H206" s="2" t="s">
        <v>34</v>
      </c>
      <c r="I206" s="2" t="s">
        <v>1070</v>
      </c>
      <c r="J206" s="2" t="s">
        <v>883</v>
      </c>
      <c r="K206" s="2" t="s">
        <v>100</v>
      </c>
      <c r="L206" s="2" t="s">
        <v>303</v>
      </c>
      <c r="M206" s="2" t="s">
        <v>303</v>
      </c>
      <c r="N206" s="2" t="s">
        <v>346</v>
      </c>
      <c r="O206" s="2" t="s">
        <v>164</v>
      </c>
      <c r="P206" t="s">
        <v>2823</v>
      </c>
      <c r="Q206" s="2" t="s">
        <v>105</v>
      </c>
      <c r="R206" s="2" t="s">
        <v>937</v>
      </c>
      <c r="S206" s="2" t="s">
        <v>941</v>
      </c>
      <c r="T206" s="2" t="s">
        <v>1378</v>
      </c>
      <c r="U206" s="150">
        <v>3.681</v>
      </c>
      <c r="V206" s="150">
        <v>185.084</v>
      </c>
      <c r="W206" s="150">
        <v>681.29399999999998</v>
      </c>
      <c r="Y206" s="164">
        <v>4.6153132922965703E-2</v>
      </c>
      <c r="Z206" s="164">
        <v>4.7525242015685702E-3</v>
      </c>
    </row>
    <row r="207" spans="1:26">
      <c r="A207" s="2" t="s">
        <v>128</v>
      </c>
      <c r="B207" s="2">
        <v>7229</v>
      </c>
      <c r="C207" s="2" t="s">
        <v>2840</v>
      </c>
      <c r="D207" s="2" t="s">
        <v>2841</v>
      </c>
      <c r="E207" s="2" t="s">
        <v>362</v>
      </c>
      <c r="F207" s="2" t="s">
        <v>2842</v>
      </c>
      <c r="G207" s="2">
        <v>62003800</v>
      </c>
      <c r="H207" s="2" t="s">
        <v>34</v>
      </c>
      <c r="I207" s="2" t="s">
        <v>1070</v>
      </c>
      <c r="J207" s="2" t="s">
        <v>895</v>
      </c>
      <c r="K207" s="2" t="s">
        <v>100</v>
      </c>
      <c r="L207" s="2" t="s">
        <v>268</v>
      </c>
      <c r="M207" s="2" t="s">
        <v>101</v>
      </c>
      <c r="N207" s="2" t="s">
        <v>346</v>
      </c>
      <c r="O207" s="2" t="s">
        <v>164</v>
      </c>
      <c r="P207" t="s">
        <v>2921</v>
      </c>
      <c r="Q207" s="2" t="s">
        <v>105</v>
      </c>
      <c r="R207" s="2" t="s">
        <v>204</v>
      </c>
      <c r="S207" s="2" t="s">
        <v>941</v>
      </c>
      <c r="T207" s="2" t="s">
        <v>1378</v>
      </c>
      <c r="U207" s="150">
        <v>3.681</v>
      </c>
      <c r="V207" s="150">
        <v>202.852</v>
      </c>
      <c r="W207" s="150">
        <v>746.7</v>
      </c>
      <c r="Y207" s="164">
        <v>5.0583966123304999E-2</v>
      </c>
      <c r="Z207" s="164">
        <v>5.2087801626291902E-3</v>
      </c>
    </row>
    <row r="208" spans="1:26">
      <c r="A208" s="2" t="s">
        <v>128</v>
      </c>
      <c r="B208" s="2">
        <v>7229</v>
      </c>
      <c r="C208" s="2" t="s">
        <v>2840</v>
      </c>
      <c r="D208" s="2" t="s">
        <v>2841</v>
      </c>
      <c r="E208" s="2" t="s">
        <v>362</v>
      </c>
      <c r="F208" s="2" t="s">
        <v>2844</v>
      </c>
      <c r="G208" s="2">
        <v>620101031</v>
      </c>
      <c r="H208" s="2" t="s">
        <v>34</v>
      </c>
      <c r="I208" s="2" t="s">
        <v>1070</v>
      </c>
      <c r="J208" s="2" t="s">
        <v>614</v>
      </c>
      <c r="K208" s="2" t="s">
        <v>100</v>
      </c>
      <c r="L208" s="2" t="s">
        <v>268</v>
      </c>
      <c r="M208" s="2" t="s">
        <v>101</v>
      </c>
      <c r="N208" s="2" t="s">
        <v>101</v>
      </c>
      <c r="O208" s="2" t="s">
        <v>164</v>
      </c>
      <c r="P208" t="s">
        <v>2714</v>
      </c>
      <c r="Q208" s="2" t="s">
        <v>105</v>
      </c>
      <c r="R208" s="2" t="s">
        <v>204</v>
      </c>
      <c r="S208" s="2" t="s">
        <v>941</v>
      </c>
      <c r="T208" s="2" t="s">
        <v>2715</v>
      </c>
      <c r="U208" s="150">
        <v>3.681</v>
      </c>
      <c r="V208" s="150">
        <v>127.614</v>
      </c>
      <c r="W208" s="150">
        <v>469.74799999999999</v>
      </c>
      <c r="Y208" s="164">
        <v>3.1822343200150802E-2</v>
      </c>
      <c r="Z208" s="164">
        <v>3.2768405226524201E-3</v>
      </c>
    </row>
    <row r="209" spans="1:26">
      <c r="A209" s="2" t="s">
        <v>128</v>
      </c>
      <c r="B209" s="2">
        <v>7229</v>
      </c>
      <c r="C209" s="2" t="s">
        <v>2840</v>
      </c>
      <c r="D209" s="2" t="s">
        <v>2841</v>
      </c>
      <c r="E209" s="2" t="s">
        <v>362</v>
      </c>
      <c r="F209" s="2" t="s">
        <v>2845</v>
      </c>
      <c r="G209" s="2">
        <v>62014857</v>
      </c>
      <c r="H209" s="2" t="s">
        <v>34</v>
      </c>
      <c r="I209" s="2" t="s">
        <v>1070</v>
      </c>
      <c r="J209" s="2" t="s">
        <v>895</v>
      </c>
      <c r="K209" s="2" t="s">
        <v>100</v>
      </c>
      <c r="L209" s="2" t="s">
        <v>268</v>
      </c>
      <c r="M209" s="2" t="s">
        <v>101</v>
      </c>
      <c r="N209" s="2" t="s">
        <v>346</v>
      </c>
      <c r="O209" s="2" t="s">
        <v>164</v>
      </c>
      <c r="P209" t="s">
        <v>2846</v>
      </c>
      <c r="Q209" s="2" t="s">
        <v>105</v>
      </c>
      <c r="R209" s="2" t="s">
        <v>937</v>
      </c>
      <c r="S209" s="2" t="s">
        <v>941</v>
      </c>
      <c r="T209" s="2" t="s">
        <v>1378</v>
      </c>
      <c r="U209" s="150">
        <v>3.681</v>
      </c>
      <c r="V209" s="150">
        <v>115.41500000000001</v>
      </c>
      <c r="W209" s="150">
        <v>424.84100000000001</v>
      </c>
      <c r="Y209" s="164">
        <v>2.87801918724707E-2</v>
      </c>
      <c r="Z209" s="164">
        <v>2.9635812292093202E-3</v>
      </c>
    </row>
    <row r="210" spans="1:26">
      <c r="A210" s="2" t="s">
        <v>128</v>
      </c>
      <c r="B210" s="2">
        <v>7229</v>
      </c>
      <c r="C210" s="2" t="s">
        <v>2840</v>
      </c>
      <c r="D210" s="2" t="s">
        <v>2841</v>
      </c>
      <c r="E210" s="2" t="s">
        <v>362</v>
      </c>
      <c r="F210" s="2" t="s">
        <v>2847</v>
      </c>
      <c r="G210" s="2">
        <v>62019476</v>
      </c>
      <c r="H210" s="2" t="s">
        <v>34</v>
      </c>
      <c r="I210" s="2" t="s">
        <v>1070</v>
      </c>
      <c r="J210" s="2" t="s">
        <v>895</v>
      </c>
      <c r="K210" s="2" t="s">
        <v>100</v>
      </c>
      <c r="L210" s="2" t="s">
        <v>268</v>
      </c>
      <c r="M210" s="2" t="s">
        <v>101</v>
      </c>
      <c r="N210" s="2" t="s">
        <v>346</v>
      </c>
      <c r="O210" s="2" t="s">
        <v>164</v>
      </c>
      <c r="P210" t="s">
        <v>2765</v>
      </c>
      <c r="Q210" s="2" t="s">
        <v>105</v>
      </c>
      <c r="R210" s="2" t="s">
        <v>204</v>
      </c>
      <c r="S210" s="2" t="s">
        <v>941</v>
      </c>
      <c r="T210" s="2" t="s">
        <v>1378</v>
      </c>
      <c r="U210" s="150">
        <v>3.681</v>
      </c>
      <c r="V210" s="150">
        <v>73.873000000000005</v>
      </c>
      <c r="W210" s="150">
        <v>271.92599999999999</v>
      </c>
      <c r="Y210" s="164">
        <v>1.84211686677869E-2</v>
      </c>
      <c r="Z210" s="164">
        <v>1.8968820613100899E-3</v>
      </c>
    </row>
    <row r="211" spans="1:26">
      <c r="A211" s="2" t="s">
        <v>128</v>
      </c>
      <c r="B211" s="2">
        <v>7229</v>
      </c>
      <c r="C211" s="2" t="s">
        <v>2840</v>
      </c>
      <c r="D211" s="2" t="s">
        <v>2841</v>
      </c>
      <c r="E211" s="2" t="s">
        <v>362</v>
      </c>
      <c r="F211" s="2" t="s">
        <v>2848</v>
      </c>
      <c r="G211" s="2">
        <v>62020458</v>
      </c>
      <c r="H211" s="2" t="s">
        <v>34</v>
      </c>
      <c r="I211" s="2" t="s">
        <v>1070</v>
      </c>
      <c r="J211" s="2" t="s">
        <v>889</v>
      </c>
      <c r="K211" s="2" t="s">
        <v>100</v>
      </c>
      <c r="L211" s="2" t="s">
        <v>268</v>
      </c>
      <c r="M211" s="2" t="s">
        <v>101</v>
      </c>
      <c r="N211" s="2" t="s">
        <v>346</v>
      </c>
      <c r="O211" s="2" t="s">
        <v>164</v>
      </c>
      <c r="P211" t="s">
        <v>2849</v>
      </c>
      <c r="Q211" s="2" t="s">
        <v>105</v>
      </c>
      <c r="R211" s="2" t="s">
        <v>204</v>
      </c>
      <c r="S211" s="2" t="s">
        <v>941</v>
      </c>
      <c r="T211" s="2" t="s">
        <v>1378</v>
      </c>
      <c r="U211" s="150">
        <v>3.681</v>
      </c>
      <c r="V211" s="150">
        <v>82.481999999999999</v>
      </c>
      <c r="W211" s="150">
        <v>303.61500000000001</v>
      </c>
      <c r="Y211" s="164">
        <v>2.0567906349078399E-2</v>
      </c>
      <c r="Z211" s="164">
        <v>2.1179379710310202E-3</v>
      </c>
    </row>
    <row r="212" spans="1:26">
      <c r="A212" s="2" t="s">
        <v>128</v>
      </c>
      <c r="B212" s="2">
        <v>7229</v>
      </c>
      <c r="C212" s="2" t="s">
        <v>2840</v>
      </c>
      <c r="D212" s="2" t="s">
        <v>2841</v>
      </c>
      <c r="E212" s="2" t="s">
        <v>362</v>
      </c>
      <c r="F212" s="2" t="s">
        <v>2850</v>
      </c>
      <c r="G212" s="2">
        <v>62017678</v>
      </c>
      <c r="H212" s="2" t="s">
        <v>34</v>
      </c>
      <c r="I212" s="2" t="s">
        <v>1070</v>
      </c>
      <c r="J212" s="2" t="s">
        <v>889</v>
      </c>
      <c r="K212" s="2" t="s">
        <v>100</v>
      </c>
      <c r="L212" s="2" t="s">
        <v>268</v>
      </c>
      <c r="M212" s="2" t="s">
        <v>101</v>
      </c>
      <c r="N212" s="2" t="s">
        <v>346</v>
      </c>
      <c r="O212" s="2" t="s">
        <v>164</v>
      </c>
      <c r="P212" t="s">
        <v>2851</v>
      </c>
      <c r="Q212" s="2" t="s">
        <v>105</v>
      </c>
      <c r="R212" s="2" t="s">
        <v>204</v>
      </c>
      <c r="S212" s="2" t="s">
        <v>941</v>
      </c>
      <c r="T212" s="2" t="s">
        <v>1378</v>
      </c>
      <c r="U212" s="150">
        <v>3.681</v>
      </c>
      <c r="V212" s="150">
        <v>228.648</v>
      </c>
      <c r="W212" s="150">
        <v>841.65200000000004</v>
      </c>
      <c r="Y212" s="164">
        <v>5.7016313456536703E-2</v>
      </c>
      <c r="Z212" s="164">
        <v>5.8711379363712898E-3</v>
      </c>
    </row>
    <row r="213" spans="1:26">
      <c r="A213" s="2" t="s">
        <v>128</v>
      </c>
      <c r="B213" s="2">
        <v>7229</v>
      </c>
      <c r="C213" s="2" t="s">
        <v>2854</v>
      </c>
      <c r="D213" s="2" t="s">
        <v>2855</v>
      </c>
      <c r="E213" s="2" t="s">
        <v>362</v>
      </c>
      <c r="F213" s="2" t="s">
        <v>2856</v>
      </c>
      <c r="G213" s="2">
        <v>62020565</v>
      </c>
      <c r="H213" s="2" t="s">
        <v>34</v>
      </c>
      <c r="I213" s="2" t="s">
        <v>1070</v>
      </c>
      <c r="J213" s="2" t="s">
        <v>614</v>
      </c>
      <c r="K213" s="2" t="s">
        <v>100</v>
      </c>
      <c r="L213" s="2" t="s">
        <v>283</v>
      </c>
      <c r="M213" s="2" t="s">
        <v>283</v>
      </c>
      <c r="N213" s="2" t="s">
        <v>343</v>
      </c>
      <c r="O213" s="2" t="s">
        <v>164</v>
      </c>
      <c r="P213" t="s">
        <v>2661</v>
      </c>
      <c r="Q213" s="2" t="s">
        <v>1224</v>
      </c>
      <c r="R213" s="2" t="s">
        <v>204</v>
      </c>
      <c r="S213" s="2" t="s">
        <v>941</v>
      </c>
      <c r="T213" s="2" t="s">
        <v>1378</v>
      </c>
      <c r="U213" s="150">
        <v>3.9790000000000001</v>
      </c>
      <c r="V213" s="150">
        <v>73.519000000000005</v>
      </c>
      <c r="W213" s="150">
        <v>292.53899999999999</v>
      </c>
      <c r="Y213" s="164">
        <v>1.98175638137001E-2</v>
      </c>
      <c r="Z213" s="164">
        <v>2.0406729874208299E-3</v>
      </c>
    </row>
    <row r="214" spans="1:26">
      <c r="A214" s="2" t="s">
        <v>128</v>
      </c>
      <c r="B214" s="2">
        <v>7229</v>
      </c>
      <c r="C214" s="2" t="s">
        <v>2861</v>
      </c>
      <c r="D214" s="2" t="s">
        <v>2862</v>
      </c>
      <c r="E214" s="2" t="s">
        <v>362</v>
      </c>
      <c r="F214" s="2" t="s">
        <v>2863</v>
      </c>
      <c r="G214" s="2">
        <v>77847846</v>
      </c>
      <c r="H214" s="2" t="s">
        <v>34</v>
      </c>
      <c r="I214" s="2" t="s">
        <v>1070</v>
      </c>
      <c r="J214" s="2" t="s">
        <v>614</v>
      </c>
      <c r="K214" s="2" t="s">
        <v>100</v>
      </c>
      <c r="L214" s="2" t="s">
        <v>303</v>
      </c>
      <c r="M214" s="2" t="s">
        <v>303</v>
      </c>
      <c r="N214" s="2" t="s">
        <v>101</v>
      </c>
      <c r="O214" s="2" t="s">
        <v>164</v>
      </c>
      <c r="P214" t="s">
        <v>2864</v>
      </c>
      <c r="Q214" s="2" t="s">
        <v>105</v>
      </c>
      <c r="R214" s="2" t="s">
        <v>937</v>
      </c>
      <c r="S214" s="2" t="s">
        <v>941</v>
      </c>
      <c r="T214" s="2" t="s">
        <v>1378</v>
      </c>
      <c r="U214" s="150">
        <v>3.681</v>
      </c>
      <c r="V214" s="150">
        <v>288.09899999999999</v>
      </c>
      <c r="W214" s="150">
        <v>1060.492</v>
      </c>
      <c r="Y214" s="164">
        <v>7.1841311732045804E-2</v>
      </c>
      <c r="Z214" s="164">
        <v>7.3977117273676197E-3</v>
      </c>
    </row>
    <row r="215" spans="1:26">
      <c r="A215" s="2" t="s">
        <v>128</v>
      </c>
      <c r="B215" s="2">
        <v>7229</v>
      </c>
      <c r="C215" s="2" t="s">
        <v>2873</v>
      </c>
      <c r="D215" s="2" t="s">
        <v>2874</v>
      </c>
      <c r="E215" s="2" t="s">
        <v>361</v>
      </c>
      <c r="F215" s="2" t="s">
        <v>2875</v>
      </c>
      <c r="G215" s="2">
        <v>62017652</v>
      </c>
      <c r="H215" s="2" t="s">
        <v>34</v>
      </c>
      <c r="I215" s="2" t="s">
        <v>1070</v>
      </c>
      <c r="J215" s="2" t="s">
        <v>891</v>
      </c>
      <c r="K215" s="2" t="s">
        <v>100</v>
      </c>
      <c r="L215" s="2" t="s">
        <v>268</v>
      </c>
      <c r="M215" s="2" t="s">
        <v>101</v>
      </c>
      <c r="N215" s="2" t="s">
        <v>346</v>
      </c>
      <c r="O215" s="2" t="s">
        <v>164</v>
      </c>
      <c r="P215" t="s">
        <v>2876</v>
      </c>
      <c r="Q215" s="2" t="s">
        <v>105</v>
      </c>
      <c r="R215" s="2" t="s">
        <v>204</v>
      </c>
      <c r="S215" s="2" t="s">
        <v>941</v>
      </c>
      <c r="T215" s="2" t="s">
        <v>1378</v>
      </c>
      <c r="U215" s="150">
        <v>3.681</v>
      </c>
      <c r="V215" s="150">
        <v>203.23</v>
      </c>
      <c r="W215" s="150">
        <v>748.08799999999997</v>
      </c>
      <c r="Y215" s="164">
        <v>5.0677993614868501E-2</v>
      </c>
      <c r="Z215" s="164">
        <v>5.2184624507203197E-3</v>
      </c>
    </row>
    <row r="216" spans="1:26">
      <c r="A216" s="2" t="s">
        <v>128</v>
      </c>
      <c r="B216" s="2">
        <v>7229</v>
      </c>
      <c r="C216" s="2" t="s">
        <v>2877</v>
      </c>
      <c r="D216" s="2" t="s">
        <v>2878</v>
      </c>
      <c r="E216" s="2" t="s">
        <v>361</v>
      </c>
      <c r="F216" s="2" t="s">
        <v>2879</v>
      </c>
      <c r="G216" s="2">
        <v>62021142</v>
      </c>
      <c r="H216" s="2" t="s">
        <v>34</v>
      </c>
      <c r="I216" s="2" t="s">
        <v>1070</v>
      </c>
      <c r="J216" s="2" t="s">
        <v>891</v>
      </c>
      <c r="K216" s="2" t="s">
        <v>100</v>
      </c>
      <c r="L216" s="2" t="s">
        <v>268</v>
      </c>
      <c r="M216" s="2" t="s">
        <v>101</v>
      </c>
      <c r="N216" s="2" t="s">
        <v>346</v>
      </c>
      <c r="O216" s="2" t="s">
        <v>164</v>
      </c>
      <c r="P216" t="s">
        <v>2880</v>
      </c>
      <c r="Q216" s="2" t="s">
        <v>105</v>
      </c>
      <c r="R216" s="2" t="s">
        <v>937</v>
      </c>
      <c r="S216" s="2" t="s">
        <v>941</v>
      </c>
      <c r="T216" s="2" t="s">
        <v>1378</v>
      </c>
      <c r="U216" s="150">
        <v>3.681</v>
      </c>
      <c r="V216" s="150">
        <v>103.39100000000001</v>
      </c>
      <c r="W216" s="150">
        <v>380.58199999999999</v>
      </c>
      <c r="Y216" s="164">
        <v>2.57818849768848E-2</v>
      </c>
      <c r="Z216" s="164">
        <v>2.6548367262351599E-3</v>
      </c>
    </row>
    <row r="217" spans="1:26">
      <c r="A217" s="2" t="s">
        <v>128</v>
      </c>
      <c r="B217" s="2">
        <v>7229</v>
      </c>
      <c r="C217" s="2" t="s">
        <v>2893</v>
      </c>
      <c r="D217" s="2" t="s">
        <v>2894</v>
      </c>
      <c r="E217" s="2" t="s">
        <v>361</v>
      </c>
      <c r="F217" s="2" t="s">
        <v>2895</v>
      </c>
      <c r="G217" s="2">
        <v>62021324</v>
      </c>
      <c r="H217" s="2" t="s">
        <v>34</v>
      </c>
      <c r="I217" s="2" t="s">
        <v>1070</v>
      </c>
      <c r="J217" s="2" t="s">
        <v>888</v>
      </c>
      <c r="K217" s="2" t="s">
        <v>100</v>
      </c>
      <c r="L217" s="2" t="s">
        <v>268</v>
      </c>
      <c r="M217" s="2" t="s">
        <v>101</v>
      </c>
      <c r="N217" s="2" t="s">
        <v>101</v>
      </c>
      <c r="O217" s="2" t="s">
        <v>164</v>
      </c>
      <c r="P217" t="s">
        <v>2892</v>
      </c>
      <c r="Q217" s="2" t="s">
        <v>105</v>
      </c>
      <c r="R217" s="2" t="s">
        <v>937</v>
      </c>
      <c r="S217" s="2" t="s">
        <v>941</v>
      </c>
      <c r="T217" s="2" t="s">
        <v>1378</v>
      </c>
      <c r="U217" s="150">
        <v>3.681</v>
      </c>
      <c r="V217" s="150">
        <v>66.081999999999994</v>
      </c>
      <c r="W217" s="150">
        <v>243.249</v>
      </c>
      <c r="Y217" s="164">
        <v>1.6478483444768599E-2</v>
      </c>
      <c r="Z217" s="164">
        <v>1.69683803496341E-3</v>
      </c>
    </row>
    <row r="218" spans="1:26">
      <c r="A218" s="2" t="s">
        <v>128</v>
      </c>
      <c r="B218" s="2">
        <v>7229</v>
      </c>
      <c r="C218" s="2" t="s">
        <v>2896</v>
      </c>
      <c r="D218" s="2" t="s">
        <v>2897</v>
      </c>
      <c r="E218" s="2" t="s">
        <v>362</v>
      </c>
      <c r="F218" s="2" t="s">
        <v>2898</v>
      </c>
      <c r="G218" s="2">
        <v>62021571</v>
      </c>
      <c r="H218" s="2" t="s">
        <v>34</v>
      </c>
      <c r="I218" s="2" t="s">
        <v>1070</v>
      </c>
      <c r="J218" s="2" t="s">
        <v>614</v>
      </c>
      <c r="K218" s="2" t="s">
        <v>100</v>
      </c>
      <c r="L218" s="2" t="s">
        <v>303</v>
      </c>
      <c r="M218" s="2" t="s">
        <v>283</v>
      </c>
      <c r="N218" s="2" t="s">
        <v>343</v>
      </c>
      <c r="O218" s="2" t="s">
        <v>164</v>
      </c>
      <c r="P218" t="s">
        <v>2899</v>
      </c>
      <c r="Q218" s="2" t="s">
        <v>1224</v>
      </c>
      <c r="R218" s="2" t="s">
        <v>204</v>
      </c>
      <c r="S218" s="2" t="s">
        <v>941</v>
      </c>
      <c r="T218" s="2" t="s">
        <v>1378</v>
      </c>
      <c r="U218" s="150">
        <v>3.9790000000000001</v>
      </c>
      <c r="V218" s="150">
        <v>42.875</v>
      </c>
      <c r="W218" s="150">
        <v>170.60599999999999</v>
      </c>
      <c r="Y218" s="164">
        <v>1.1557401857157101E-2</v>
      </c>
      <c r="Z218" s="164">
        <v>1.1900997517345401E-3</v>
      </c>
    </row>
    <row r="219" spans="1:26">
      <c r="A219" s="2" t="s">
        <v>128</v>
      </c>
      <c r="B219" s="2">
        <v>7229</v>
      </c>
      <c r="C219" s="2" t="s">
        <v>2904</v>
      </c>
      <c r="D219" s="2" t="s">
        <v>2905</v>
      </c>
      <c r="E219" s="2" t="s">
        <v>361</v>
      </c>
      <c r="F219" s="2" t="s">
        <v>2906</v>
      </c>
      <c r="G219" s="2">
        <v>62009204</v>
      </c>
      <c r="H219" s="2" t="s">
        <v>34</v>
      </c>
      <c r="I219" s="2" t="s">
        <v>1070</v>
      </c>
      <c r="J219" s="2" t="s">
        <v>878</v>
      </c>
      <c r="K219" s="2" t="s">
        <v>100</v>
      </c>
      <c r="L219" s="2" t="s">
        <v>303</v>
      </c>
      <c r="M219" s="2" t="s">
        <v>283</v>
      </c>
      <c r="N219" s="2" t="s">
        <v>346</v>
      </c>
      <c r="O219" s="2" t="s">
        <v>164</v>
      </c>
      <c r="P219" t="s">
        <v>2907</v>
      </c>
      <c r="Q219" s="2" t="s">
        <v>105</v>
      </c>
      <c r="R219" s="2" t="s">
        <v>204</v>
      </c>
      <c r="S219" s="2" t="s">
        <v>941</v>
      </c>
      <c r="T219" s="2" t="s">
        <v>1378</v>
      </c>
      <c r="U219" s="150">
        <v>3.681</v>
      </c>
      <c r="V219" s="150">
        <v>166.57599999999999</v>
      </c>
      <c r="W219" s="150">
        <v>613.16800000000001</v>
      </c>
      <c r="Y219" s="164">
        <v>4.1538043190170598E-2</v>
      </c>
      <c r="Z219" s="164">
        <v>4.2772948019928498E-3</v>
      </c>
    </row>
    <row r="220" spans="1:26">
      <c r="A220" s="2" t="s">
        <v>128</v>
      </c>
      <c r="B220" s="2">
        <v>7229</v>
      </c>
      <c r="C220" s="2" t="s">
        <v>2908</v>
      </c>
      <c r="D220" s="2" t="s">
        <v>2909</v>
      </c>
      <c r="E220" s="2" t="s">
        <v>361</v>
      </c>
      <c r="F220" s="2" t="s">
        <v>2910</v>
      </c>
      <c r="G220" s="2">
        <v>62019807</v>
      </c>
      <c r="H220" s="2" t="s">
        <v>34</v>
      </c>
      <c r="I220" s="2" t="s">
        <v>1070</v>
      </c>
      <c r="J220" s="2" t="s">
        <v>878</v>
      </c>
      <c r="K220" s="2" t="s">
        <v>100</v>
      </c>
      <c r="L220" s="2" t="s">
        <v>303</v>
      </c>
      <c r="M220" s="2" t="s">
        <v>283</v>
      </c>
      <c r="N220" s="2" t="s">
        <v>346</v>
      </c>
      <c r="O220" s="2" t="s">
        <v>164</v>
      </c>
      <c r="P220" t="s">
        <v>2789</v>
      </c>
      <c r="Q220" s="2" t="s">
        <v>105</v>
      </c>
      <c r="R220" s="2" t="s">
        <v>937</v>
      </c>
      <c r="S220" s="2" t="s">
        <v>941</v>
      </c>
      <c r="T220" s="2" t="s">
        <v>1378</v>
      </c>
      <c r="U220" s="150">
        <v>3.681</v>
      </c>
      <c r="V220" s="150">
        <v>220.80699999999999</v>
      </c>
      <c r="W220" s="150">
        <v>812.79</v>
      </c>
      <c r="Y220" s="164">
        <v>5.5061152165706097E-2</v>
      </c>
      <c r="Z220" s="164">
        <v>5.6698092125303402E-3</v>
      </c>
    </row>
    <row r="221" spans="1:26">
      <c r="A221" s="2" t="s">
        <v>128</v>
      </c>
      <c r="B221" s="2">
        <v>7229</v>
      </c>
      <c r="C221" s="2" t="s">
        <v>2918</v>
      </c>
      <c r="D221" s="2" t="s">
        <v>2919</v>
      </c>
      <c r="E221" s="2" t="s">
        <v>361</v>
      </c>
      <c r="F221" s="2" t="s">
        <v>2920</v>
      </c>
      <c r="G221" s="2">
        <v>62010137</v>
      </c>
      <c r="H221" s="2" t="s">
        <v>34</v>
      </c>
      <c r="I221" s="2" t="s">
        <v>1070</v>
      </c>
      <c r="J221" s="2" t="s">
        <v>898</v>
      </c>
      <c r="K221" s="2" t="s">
        <v>100</v>
      </c>
      <c r="L221" s="2" t="s">
        <v>303</v>
      </c>
      <c r="M221" s="2" t="s">
        <v>283</v>
      </c>
      <c r="N221" s="2" t="s">
        <v>346</v>
      </c>
      <c r="O221" s="2" t="s">
        <v>164</v>
      </c>
      <c r="P221" t="s">
        <v>2921</v>
      </c>
      <c r="Q221" s="2" t="s">
        <v>105</v>
      </c>
      <c r="R221" s="2" t="s">
        <v>937</v>
      </c>
      <c r="S221" s="2" t="s">
        <v>941</v>
      </c>
      <c r="T221" s="2" t="s">
        <v>1378</v>
      </c>
      <c r="U221" s="150">
        <v>3.681</v>
      </c>
      <c r="V221" s="150">
        <v>115.709</v>
      </c>
      <c r="W221" s="150">
        <v>425.923</v>
      </c>
      <c r="Y221" s="164">
        <v>2.8853486346686399E-2</v>
      </c>
      <c r="Z221" s="164">
        <v>2.9711285773629799E-3</v>
      </c>
    </row>
    <row r="222" spans="1:26">
      <c r="A222" s="2" t="s">
        <v>144</v>
      </c>
      <c r="B222" s="2">
        <v>969</v>
      </c>
      <c r="C222" s="2" t="s">
        <v>2662</v>
      </c>
      <c r="D222" s="2" t="s">
        <v>2663</v>
      </c>
      <c r="E222" s="2" t="s">
        <v>360</v>
      </c>
      <c r="F222" s="2" t="s">
        <v>2664</v>
      </c>
      <c r="G222" s="2">
        <v>62018312</v>
      </c>
      <c r="H222" s="2" t="s">
        <v>34</v>
      </c>
      <c r="I222" s="2" t="s">
        <v>1070</v>
      </c>
      <c r="J222" s="2" t="s">
        <v>614</v>
      </c>
      <c r="K222" s="2" t="s">
        <v>31</v>
      </c>
      <c r="L222" s="2" t="s">
        <v>31</v>
      </c>
      <c r="M222" s="2" t="s">
        <v>31</v>
      </c>
      <c r="N222" s="2" t="s">
        <v>31</v>
      </c>
      <c r="O222" s="2" t="s">
        <v>164</v>
      </c>
      <c r="P222" t="s">
        <v>2665</v>
      </c>
      <c r="Q222" s="2" t="s">
        <v>105</v>
      </c>
      <c r="R222" s="2" t="s">
        <v>937</v>
      </c>
      <c r="S222" s="2" t="s">
        <v>941</v>
      </c>
      <c r="T222" s="2" t="s">
        <v>1378</v>
      </c>
      <c r="U222" s="150">
        <v>3.681</v>
      </c>
      <c r="V222" s="150">
        <v>80.543999999999997</v>
      </c>
      <c r="W222" s="150">
        <v>296.48200000000003</v>
      </c>
      <c r="Y222" s="164">
        <v>2.8440072610960099E-2</v>
      </c>
      <c r="Z222" s="164">
        <v>4.03666744974014E-3</v>
      </c>
    </row>
    <row r="223" spans="1:26">
      <c r="A223" s="2" t="s">
        <v>144</v>
      </c>
      <c r="B223" s="2">
        <v>969</v>
      </c>
      <c r="C223" s="2" t="s">
        <v>2678</v>
      </c>
      <c r="D223" s="2" t="s">
        <v>2679</v>
      </c>
      <c r="E223" s="2" t="s">
        <v>361</v>
      </c>
      <c r="F223" s="2" t="s">
        <v>2680</v>
      </c>
      <c r="G223" s="2">
        <v>60415775</v>
      </c>
      <c r="H223" s="2" t="s">
        <v>34</v>
      </c>
      <c r="I223" s="2" t="s">
        <v>1070</v>
      </c>
      <c r="J223" s="2" t="s">
        <v>883</v>
      </c>
      <c r="K223" s="2" t="s">
        <v>100</v>
      </c>
      <c r="L223" s="2" t="s">
        <v>268</v>
      </c>
      <c r="M223" s="2" t="s">
        <v>31</v>
      </c>
      <c r="N223" s="2" t="s">
        <v>31</v>
      </c>
      <c r="O223" s="2" t="s">
        <v>164</v>
      </c>
      <c r="P223" t="s">
        <v>3008</v>
      </c>
      <c r="Q223" s="2" t="s">
        <v>105</v>
      </c>
      <c r="R223" s="2" t="s">
        <v>937</v>
      </c>
      <c r="S223" s="2" t="s">
        <v>941</v>
      </c>
      <c r="T223" s="2" t="s">
        <v>1378</v>
      </c>
      <c r="U223" s="150">
        <v>3.681</v>
      </c>
      <c r="V223" s="150">
        <v>107.755</v>
      </c>
      <c r="W223" s="150">
        <v>396.64499999999998</v>
      </c>
      <c r="Y223" s="164">
        <v>3.8048177459878901E-2</v>
      </c>
      <c r="Z223" s="164">
        <v>5.4004025086434003E-3</v>
      </c>
    </row>
    <row r="224" spans="1:26">
      <c r="A224" s="2" t="s">
        <v>144</v>
      </c>
      <c r="B224" s="2">
        <v>969</v>
      </c>
      <c r="C224" s="2" t="s">
        <v>2686</v>
      </c>
      <c r="D224" s="2" t="s">
        <v>2687</v>
      </c>
      <c r="E224" s="2" t="s">
        <v>34</v>
      </c>
      <c r="F224" s="2" t="s">
        <v>2688</v>
      </c>
      <c r="G224" s="2">
        <v>62001189</v>
      </c>
      <c r="H224" s="2" t="s">
        <v>34</v>
      </c>
      <c r="I224" s="2" t="s">
        <v>1070</v>
      </c>
      <c r="J224" s="2" t="s">
        <v>898</v>
      </c>
      <c r="K224" s="2" t="s">
        <v>31</v>
      </c>
      <c r="L224" s="2" t="s">
        <v>268</v>
      </c>
      <c r="M224" s="2" t="s">
        <v>31</v>
      </c>
      <c r="N224" s="2" t="s">
        <v>31</v>
      </c>
      <c r="O224" s="2" t="s">
        <v>164</v>
      </c>
      <c r="P224" t="s">
        <v>3006</v>
      </c>
      <c r="Q224" s="2" t="s">
        <v>105</v>
      </c>
      <c r="R224" s="2" t="s">
        <v>937</v>
      </c>
      <c r="S224" s="2" t="s">
        <v>941</v>
      </c>
      <c r="T224" s="2" t="s">
        <v>1378</v>
      </c>
      <c r="U224" s="150">
        <v>3.681</v>
      </c>
      <c r="V224" s="150">
        <v>44.307000000000002</v>
      </c>
      <c r="W224" s="150">
        <v>163.095</v>
      </c>
      <c r="Y224" s="164">
        <v>1.5644918124210198E-2</v>
      </c>
      <c r="Z224" s="164">
        <v>2.2205756156020201E-3</v>
      </c>
    </row>
    <row r="225" spans="1:26">
      <c r="A225" s="2" t="s">
        <v>144</v>
      </c>
      <c r="B225" s="2">
        <v>969</v>
      </c>
      <c r="C225" s="2" t="s">
        <v>2690</v>
      </c>
      <c r="D225" s="2" t="s">
        <v>2691</v>
      </c>
      <c r="E225" s="2" t="s">
        <v>34</v>
      </c>
      <c r="F225" s="2" t="s">
        <v>2690</v>
      </c>
      <c r="G225" s="2">
        <v>60401809</v>
      </c>
      <c r="H225" s="2" t="s">
        <v>34</v>
      </c>
      <c r="I225" s="2" t="s">
        <v>1070</v>
      </c>
      <c r="J225" s="2" t="s">
        <v>896</v>
      </c>
      <c r="K225" s="2" t="s">
        <v>100</v>
      </c>
      <c r="L225" s="2" t="s">
        <v>268</v>
      </c>
      <c r="M225" s="2" t="s">
        <v>31</v>
      </c>
      <c r="N225" s="2" t="s">
        <v>101</v>
      </c>
      <c r="O225" s="2" t="s">
        <v>164</v>
      </c>
      <c r="P225" t="s">
        <v>3009</v>
      </c>
      <c r="Q225" s="2" t="s">
        <v>105</v>
      </c>
      <c r="R225" s="2" t="s">
        <v>937</v>
      </c>
      <c r="S225" s="2" t="s">
        <v>941</v>
      </c>
      <c r="T225" s="2" t="s">
        <v>1378</v>
      </c>
      <c r="U225" s="150">
        <v>3.681</v>
      </c>
      <c r="V225" s="150">
        <v>198.63800000000001</v>
      </c>
      <c r="W225" s="150">
        <v>731.18600000000004</v>
      </c>
      <c r="Y225" s="164">
        <v>7.0139014199715105E-2</v>
      </c>
      <c r="Z225" s="164">
        <v>9.9552444696551397E-3</v>
      </c>
    </row>
    <row r="226" spans="1:26">
      <c r="A226" s="2" t="s">
        <v>144</v>
      </c>
      <c r="B226" s="2">
        <v>969</v>
      </c>
      <c r="C226" s="2" t="s">
        <v>2693</v>
      </c>
      <c r="D226" s="2" t="s">
        <v>2694</v>
      </c>
      <c r="E226" s="2" t="s">
        <v>361</v>
      </c>
      <c r="F226" s="2" t="s">
        <v>2695</v>
      </c>
      <c r="G226" s="2">
        <v>50000983</v>
      </c>
      <c r="H226" s="2" t="s">
        <v>34</v>
      </c>
      <c r="I226" s="2" t="s">
        <v>1070</v>
      </c>
      <c r="J226" s="2" t="s">
        <v>890</v>
      </c>
      <c r="K226" s="2" t="s">
        <v>100</v>
      </c>
      <c r="L226" s="2" t="s">
        <v>268</v>
      </c>
      <c r="M226" s="2" t="s">
        <v>31</v>
      </c>
      <c r="N226" s="2" t="s">
        <v>346</v>
      </c>
      <c r="O226" s="2" t="s">
        <v>164</v>
      </c>
      <c r="P226" t="s">
        <v>2696</v>
      </c>
      <c r="Q226" s="2" t="s">
        <v>35</v>
      </c>
      <c r="R226" s="2" t="s">
        <v>937</v>
      </c>
      <c r="S226" s="2" t="s">
        <v>941</v>
      </c>
      <c r="T226" s="2" t="s">
        <v>1378</v>
      </c>
      <c r="U226" s="150">
        <v>1</v>
      </c>
      <c r="V226" s="150">
        <v>192.05099999999999</v>
      </c>
      <c r="W226" s="150">
        <v>192.05099999999999</v>
      </c>
      <c r="Y226" s="164">
        <v>1.8422501278630401E-2</v>
      </c>
      <c r="Z226" s="164">
        <v>2.61481439486848E-3</v>
      </c>
    </row>
    <row r="227" spans="1:26">
      <c r="A227" s="2" t="s">
        <v>144</v>
      </c>
      <c r="B227" s="2">
        <v>969</v>
      </c>
      <c r="C227" s="2" t="s">
        <v>2701</v>
      </c>
      <c r="D227" s="2" t="s">
        <v>2702</v>
      </c>
      <c r="E227" s="2" t="s">
        <v>359</v>
      </c>
      <c r="F227" s="2" t="s">
        <v>2703</v>
      </c>
      <c r="G227" s="2">
        <v>60364742</v>
      </c>
      <c r="H227" s="2" t="s">
        <v>34</v>
      </c>
      <c r="I227" s="2" t="s">
        <v>1070</v>
      </c>
      <c r="J227" s="2" t="s">
        <v>896</v>
      </c>
      <c r="K227" s="2" t="s">
        <v>31</v>
      </c>
      <c r="L227" s="2" t="s">
        <v>268</v>
      </c>
      <c r="M227" s="2" t="s">
        <v>31</v>
      </c>
      <c r="N227" s="2" t="s">
        <v>31</v>
      </c>
      <c r="O227" s="2" t="s">
        <v>164</v>
      </c>
      <c r="P227" t="s">
        <v>3010</v>
      </c>
      <c r="Q227" s="2" t="s">
        <v>105</v>
      </c>
      <c r="R227" s="2" t="s">
        <v>937</v>
      </c>
      <c r="S227" s="2" t="s">
        <v>941</v>
      </c>
      <c r="T227" s="2" t="s">
        <v>1378</v>
      </c>
      <c r="U227" s="150">
        <v>3.681</v>
      </c>
      <c r="V227" s="150">
        <v>88.814999999999998</v>
      </c>
      <c r="W227" s="150">
        <v>326.92700000000002</v>
      </c>
      <c r="Y227" s="164">
        <v>3.1360429399628603E-2</v>
      </c>
      <c r="Z227" s="164">
        <v>4.4511709340210696E-3</v>
      </c>
    </row>
    <row r="228" spans="1:26">
      <c r="A228" s="2" t="s">
        <v>144</v>
      </c>
      <c r="B228" s="2">
        <v>969</v>
      </c>
      <c r="C228" s="2" t="s">
        <v>2701</v>
      </c>
      <c r="D228" s="2" t="s">
        <v>2702</v>
      </c>
      <c r="E228" s="2" t="s">
        <v>359</v>
      </c>
      <c r="F228" s="2" t="s">
        <v>2705</v>
      </c>
      <c r="G228" s="2">
        <v>62002785</v>
      </c>
      <c r="H228" s="2" t="s">
        <v>34</v>
      </c>
      <c r="I228" s="2" t="s">
        <v>1070</v>
      </c>
      <c r="J228" s="2" t="s">
        <v>896</v>
      </c>
      <c r="K228" s="2" t="s">
        <v>31</v>
      </c>
      <c r="L228" s="2" t="s">
        <v>268</v>
      </c>
      <c r="M228" s="2" t="s">
        <v>31</v>
      </c>
      <c r="N228" s="2" t="s">
        <v>31</v>
      </c>
      <c r="O228" s="2" t="s">
        <v>164</v>
      </c>
      <c r="P228" t="s">
        <v>3007</v>
      </c>
      <c r="Q228" s="2" t="s">
        <v>105</v>
      </c>
      <c r="R228" s="2" t="s">
        <v>937</v>
      </c>
      <c r="S228" s="2" t="s">
        <v>941</v>
      </c>
      <c r="T228" s="2" t="s">
        <v>1378</v>
      </c>
      <c r="U228" s="150">
        <v>3.681</v>
      </c>
      <c r="V228" s="150">
        <v>51.167999999999999</v>
      </c>
      <c r="W228" s="150">
        <v>188.34899999999999</v>
      </c>
      <c r="Y228" s="164">
        <v>1.8067422808488099E-2</v>
      </c>
      <c r="Z228" s="164">
        <v>2.56441601079492E-3</v>
      </c>
    </row>
    <row r="229" spans="1:26">
      <c r="A229" s="2" t="s">
        <v>144</v>
      </c>
      <c r="B229" s="2">
        <v>969</v>
      </c>
      <c r="C229" s="2" t="s">
        <v>2727</v>
      </c>
      <c r="D229" s="2" t="s">
        <v>2728</v>
      </c>
      <c r="E229" s="2" t="s">
        <v>204</v>
      </c>
      <c r="F229" s="2" t="s">
        <v>2729</v>
      </c>
      <c r="G229" s="2">
        <v>60406600</v>
      </c>
      <c r="H229" s="2" t="s">
        <v>34</v>
      </c>
      <c r="I229" s="2" t="s">
        <v>1070</v>
      </c>
      <c r="J229" s="2" t="s">
        <v>877</v>
      </c>
      <c r="K229" s="2" t="s">
        <v>100</v>
      </c>
      <c r="L229" s="2" t="s">
        <v>268</v>
      </c>
      <c r="M229" s="2" t="s">
        <v>31</v>
      </c>
      <c r="N229" s="2" t="s">
        <v>31</v>
      </c>
      <c r="O229" s="2" t="s">
        <v>164</v>
      </c>
      <c r="P229" t="s">
        <v>3011</v>
      </c>
      <c r="Q229" s="2" t="s">
        <v>105</v>
      </c>
      <c r="R229" s="2" t="s">
        <v>937</v>
      </c>
      <c r="S229" s="2" t="s">
        <v>941</v>
      </c>
      <c r="T229" s="2" t="s">
        <v>1378</v>
      </c>
      <c r="U229" s="150">
        <v>3.681</v>
      </c>
      <c r="V229" s="150">
        <v>228.34399999999999</v>
      </c>
      <c r="W229" s="150">
        <v>840.53499999999997</v>
      </c>
      <c r="Y229" s="164">
        <v>8.0628282368241003E-2</v>
      </c>
      <c r="Z229" s="164">
        <v>1.1444048241948101E-2</v>
      </c>
    </row>
    <row r="230" spans="1:26">
      <c r="A230" s="2" t="s">
        <v>144</v>
      </c>
      <c r="B230" s="2">
        <v>969</v>
      </c>
      <c r="C230" s="2" t="s">
        <v>2750</v>
      </c>
      <c r="E230" s="2" t="s">
        <v>204</v>
      </c>
      <c r="F230" s="2" t="s">
        <v>2753</v>
      </c>
      <c r="G230" s="2">
        <v>62007349</v>
      </c>
      <c r="H230" s="2" t="s">
        <v>34</v>
      </c>
      <c r="I230" s="2" t="s">
        <v>1070</v>
      </c>
      <c r="J230" s="2" t="s">
        <v>898</v>
      </c>
      <c r="K230" s="2" t="s">
        <v>100</v>
      </c>
      <c r="L230" s="2" t="s">
        <v>268</v>
      </c>
      <c r="M230" s="2" t="s">
        <v>31</v>
      </c>
      <c r="N230" s="2" t="s">
        <v>31</v>
      </c>
      <c r="O230" s="2" t="s">
        <v>164</v>
      </c>
      <c r="P230" t="s">
        <v>2754</v>
      </c>
      <c r="Q230" s="2" t="s">
        <v>105</v>
      </c>
      <c r="R230" s="2" t="s">
        <v>937</v>
      </c>
      <c r="S230" s="2" t="s">
        <v>941</v>
      </c>
      <c r="T230" s="2" t="s">
        <v>1378</v>
      </c>
      <c r="U230" s="150">
        <v>3.681</v>
      </c>
      <c r="V230" s="150">
        <v>131.702</v>
      </c>
      <c r="W230" s="150">
        <v>484.79500000000002</v>
      </c>
      <c r="Y230" s="164">
        <v>4.6503989875082301E-2</v>
      </c>
      <c r="Z230" s="164">
        <v>6.6005858979222998E-3</v>
      </c>
    </row>
    <row r="231" spans="1:26">
      <c r="A231" s="2" t="s">
        <v>144</v>
      </c>
      <c r="B231" s="2">
        <v>969</v>
      </c>
      <c r="C231" s="2" t="s">
        <v>2662</v>
      </c>
      <c r="D231" s="2" t="s">
        <v>2663</v>
      </c>
      <c r="E231" s="2" t="s">
        <v>360</v>
      </c>
      <c r="F231" s="2" t="s">
        <v>2769</v>
      </c>
      <c r="G231" s="2">
        <v>60400892</v>
      </c>
      <c r="H231" s="2" t="s">
        <v>34</v>
      </c>
      <c r="I231" s="2" t="s">
        <v>1070</v>
      </c>
      <c r="J231" s="2" t="s">
        <v>614</v>
      </c>
      <c r="K231" s="2" t="s">
        <v>31</v>
      </c>
      <c r="L231" s="2" t="s">
        <v>31</v>
      </c>
      <c r="M231" s="2" t="s">
        <v>31</v>
      </c>
      <c r="N231" s="2" t="s">
        <v>31</v>
      </c>
      <c r="O231" s="2" t="s">
        <v>164</v>
      </c>
      <c r="P231" t="s">
        <v>3012</v>
      </c>
      <c r="Q231" s="2" t="s">
        <v>105</v>
      </c>
      <c r="R231" s="2" t="s">
        <v>937</v>
      </c>
      <c r="S231" s="2" t="s">
        <v>941</v>
      </c>
      <c r="T231" s="2" t="s">
        <v>1378</v>
      </c>
      <c r="U231" s="150">
        <v>3.681</v>
      </c>
      <c r="V231" s="150">
        <v>397.54</v>
      </c>
      <c r="W231" s="150">
        <v>1463.3440000000001</v>
      </c>
      <c r="Y231" s="164">
        <v>0.140371308400421</v>
      </c>
      <c r="Z231" s="164">
        <v>1.9923728720687098E-2</v>
      </c>
    </row>
    <row r="232" spans="1:26">
      <c r="A232" s="2" t="s">
        <v>144</v>
      </c>
      <c r="B232" s="2">
        <v>969</v>
      </c>
      <c r="C232" s="2" t="s">
        <v>2762</v>
      </c>
      <c r="D232" s="2" t="s">
        <v>2763</v>
      </c>
      <c r="E232" s="2" t="s">
        <v>1380</v>
      </c>
      <c r="F232" s="2" t="s">
        <v>2762</v>
      </c>
      <c r="G232" s="2">
        <v>18952</v>
      </c>
      <c r="H232" s="2" t="s">
        <v>34</v>
      </c>
      <c r="I232" s="2" t="s">
        <v>1070</v>
      </c>
      <c r="J232" s="2" t="s">
        <v>881</v>
      </c>
      <c r="K232" s="2" t="s">
        <v>31</v>
      </c>
      <c r="L232" s="2" t="s">
        <v>31</v>
      </c>
      <c r="M232" s="2" t="s">
        <v>31</v>
      </c>
      <c r="N232" s="2" t="s">
        <v>31</v>
      </c>
      <c r="O232" s="2" t="s">
        <v>164</v>
      </c>
      <c r="P232" t="s">
        <v>2771</v>
      </c>
      <c r="Q232" s="2" t="s">
        <v>35</v>
      </c>
      <c r="R232" s="2" t="s">
        <v>937</v>
      </c>
      <c r="S232" s="2" t="s">
        <v>941</v>
      </c>
      <c r="T232" s="2" t="s">
        <v>1378</v>
      </c>
      <c r="U232" s="150">
        <v>1</v>
      </c>
      <c r="V232" s="150">
        <v>77.775000000000006</v>
      </c>
      <c r="W232" s="150">
        <v>77.775000000000006</v>
      </c>
      <c r="Y232" s="164">
        <v>7.4605413796522196E-3</v>
      </c>
      <c r="Z232" s="164">
        <v>1.0589186939373601E-3</v>
      </c>
    </row>
    <row r="233" spans="1:26">
      <c r="A233" s="2" t="s">
        <v>144</v>
      </c>
      <c r="B233" s="2">
        <v>969</v>
      </c>
      <c r="C233" s="2" t="s">
        <v>2794</v>
      </c>
      <c r="D233" s="2" t="s">
        <v>2795</v>
      </c>
      <c r="E233" s="2" t="s">
        <v>361</v>
      </c>
      <c r="F233" s="2" t="s">
        <v>2796</v>
      </c>
      <c r="G233" s="2">
        <v>62013909</v>
      </c>
      <c r="H233" s="2" t="s">
        <v>34</v>
      </c>
      <c r="I233" s="2" t="s">
        <v>1070</v>
      </c>
      <c r="J233" s="2" t="s">
        <v>884</v>
      </c>
      <c r="K233" s="2" t="s">
        <v>100</v>
      </c>
      <c r="L233" s="2" t="s">
        <v>268</v>
      </c>
      <c r="M233" s="2" t="s">
        <v>101</v>
      </c>
      <c r="N233" s="2" t="s">
        <v>101</v>
      </c>
      <c r="O233" s="2" t="s">
        <v>164</v>
      </c>
      <c r="P233" t="s">
        <v>2797</v>
      </c>
      <c r="Q233" s="2" t="s">
        <v>105</v>
      </c>
      <c r="R233" s="2" t="s">
        <v>937</v>
      </c>
      <c r="S233" s="2" t="s">
        <v>941</v>
      </c>
      <c r="T233" s="2" t="s">
        <v>1378</v>
      </c>
      <c r="U233" s="150">
        <v>3.681</v>
      </c>
      <c r="V233" s="150">
        <v>63.860999999999997</v>
      </c>
      <c r="W233" s="150">
        <v>235.071</v>
      </c>
      <c r="Y233" s="164">
        <v>2.2549138336207999E-2</v>
      </c>
      <c r="Z233" s="164">
        <v>3.2005323610313201E-3</v>
      </c>
    </row>
    <row r="234" spans="1:26">
      <c r="A234" s="2" t="s">
        <v>144</v>
      </c>
      <c r="B234" s="2">
        <v>969</v>
      </c>
      <c r="C234" s="2" t="s">
        <v>2802</v>
      </c>
      <c r="D234" s="2" t="s">
        <v>2803</v>
      </c>
      <c r="E234" s="2" t="s">
        <v>361</v>
      </c>
      <c r="F234" s="2" t="s">
        <v>2804</v>
      </c>
      <c r="G234" s="2">
        <v>60419041</v>
      </c>
      <c r="H234" s="2" t="s">
        <v>34</v>
      </c>
      <c r="I234" s="2" t="s">
        <v>1070</v>
      </c>
      <c r="J234" s="2" t="s">
        <v>898</v>
      </c>
      <c r="K234" s="2" t="s">
        <v>100</v>
      </c>
      <c r="L234" s="2" t="s">
        <v>268</v>
      </c>
      <c r="M234" s="2" t="s">
        <v>101</v>
      </c>
      <c r="N234" s="2" t="s">
        <v>346</v>
      </c>
      <c r="O234" s="2" t="s">
        <v>164</v>
      </c>
      <c r="P234" t="s">
        <v>3013</v>
      </c>
      <c r="Q234" s="2" t="s">
        <v>105</v>
      </c>
      <c r="R234" s="2" t="s">
        <v>937</v>
      </c>
      <c r="S234" s="2" t="s">
        <v>941</v>
      </c>
      <c r="T234" s="2" t="s">
        <v>1378</v>
      </c>
      <c r="U234" s="150">
        <v>3.681</v>
      </c>
      <c r="V234" s="150">
        <v>59.680999999999997</v>
      </c>
      <c r="W234" s="150">
        <v>219.68700000000001</v>
      </c>
      <c r="Y234" s="164">
        <v>2.1073450380372099E-2</v>
      </c>
      <c r="Z234" s="164">
        <v>2.99107925523999E-3</v>
      </c>
    </row>
    <row r="235" spans="1:26">
      <c r="A235" s="2" t="s">
        <v>144</v>
      </c>
      <c r="B235" s="2">
        <v>969</v>
      </c>
      <c r="C235" s="2" t="s">
        <v>2806</v>
      </c>
      <c r="D235" s="2" t="s">
        <v>2807</v>
      </c>
      <c r="E235" s="2" t="s">
        <v>361</v>
      </c>
      <c r="F235" s="2" t="s">
        <v>2808</v>
      </c>
      <c r="G235" s="2">
        <v>62016654</v>
      </c>
      <c r="H235" s="2" t="s">
        <v>34</v>
      </c>
      <c r="I235" s="2" t="s">
        <v>1070</v>
      </c>
      <c r="J235" s="2" t="s">
        <v>898</v>
      </c>
      <c r="K235" s="2" t="s">
        <v>100</v>
      </c>
      <c r="L235" s="2" t="s">
        <v>268</v>
      </c>
      <c r="M235" s="2" t="s">
        <v>101</v>
      </c>
      <c r="N235" s="2" t="s">
        <v>346</v>
      </c>
      <c r="O235" s="2" t="s">
        <v>164</v>
      </c>
      <c r="P235" t="s">
        <v>2809</v>
      </c>
      <c r="Q235" s="2" t="s">
        <v>105</v>
      </c>
      <c r="R235" s="2" t="s">
        <v>937</v>
      </c>
      <c r="S235" s="2" t="s">
        <v>941</v>
      </c>
      <c r="T235" s="2" t="s">
        <v>1378</v>
      </c>
      <c r="U235" s="150">
        <v>3.681</v>
      </c>
      <c r="V235" s="150">
        <v>102.542</v>
      </c>
      <c r="W235" s="150">
        <v>377.45699999999999</v>
      </c>
      <c r="Y235" s="164">
        <v>3.6207534380982703E-2</v>
      </c>
      <c r="Z235" s="164">
        <v>5.13914916710634E-3</v>
      </c>
    </row>
    <row r="236" spans="1:26">
      <c r="A236" s="2" t="s">
        <v>144</v>
      </c>
      <c r="B236" s="2">
        <v>969</v>
      </c>
      <c r="C236" s="2" t="s">
        <v>2814</v>
      </c>
      <c r="D236" s="2" t="s">
        <v>2815</v>
      </c>
      <c r="E236" s="2" t="s">
        <v>362</v>
      </c>
      <c r="F236" s="2" t="s">
        <v>2816</v>
      </c>
      <c r="G236" s="2">
        <v>62018064</v>
      </c>
      <c r="H236" s="2" t="s">
        <v>34</v>
      </c>
      <c r="I236" s="2" t="s">
        <v>1070</v>
      </c>
      <c r="J236" s="2" t="s">
        <v>883</v>
      </c>
      <c r="K236" s="2" t="s">
        <v>100</v>
      </c>
      <c r="L236" s="2" t="s">
        <v>268</v>
      </c>
      <c r="M236" s="2" t="s">
        <v>101</v>
      </c>
      <c r="N236" s="2" t="s">
        <v>341</v>
      </c>
      <c r="O236" s="2" t="s">
        <v>164</v>
      </c>
      <c r="P236" t="s">
        <v>2817</v>
      </c>
      <c r="Q236" s="2" t="s">
        <v>105</v>
      </c>
      <c r="R236" s="2" t="s">
        <v>204</v>
      </c>
      <c r="S236" s="2" t="s">
        <v>941</v>
      </c>
      <c r="T236" s="2" t="s">
        <v>1378</v>
      </c>
      <c r="U236" s="150">
        <v>3.681</v>
      </c>
      <c r="V236" s="150">
        <v>135.184</v>
      </c>
      <c r="W236" s="150">
        <v>497.61200000000002</v>
      </c>
      <c r="Y236" s="164">
        <v>4.7733446375066102E-2</v>
      </c>
      <c r="Z236" s="164">
        <v>6.7750899191406999E-3</v>
      </c>
    </row>
    <row r="237" spans="1:26">
      <c r="A237" s="2" t="s">
        <v>144</v>
      </c>
      <c r="B237" s="2">
        <v>969</v>
      </c>
      <c r="C237" s="2" t="s">
        <v>2840</v>
      </c>
      <c r="D237" s="2" t="s">
        <v>2841</v>
      </c>
      <c r="E237" s="2" t="s">
        <v>362</v>
      </c>
      <c r="F237" s="2" t="s">
        <v>2842</v>
      </c>
      <c r="G237" s="2">
        <v>62003800</v>
      </c>
      <c r="H237" s="2" t="s">
        <v>34</v>
      </c>
      <c r="I237" s="2" t="s">
        <v>1070</v>
      </c>
      <c r="J237" s="2" t="s">
        <v>895</v>
      </c>
      <c r="K237" s="2" t="s">
        <v>100</v>
      </c>
      <c r="L237" s="2" t="s">
        <v>268</v>
      </c>
      <c r="M237" s="2" t="s">
        <v>101</v>
      </c>
      <c r="N237" s="2" t="s">
        <v>346</v>
      </c>
      <c r="O237" s="2" t="s">
        <v>164</v>
      </c>
      <c r="P237" t="s">
        <v>2921</v>
      </c>
      <c r="Q237" s="2" t="s">
        <v>105</v>
      </c>
      <c r="R237" s="2" t="s">
        <v>204</v>
      </c>
      <c r="S237" s="2" t="s">
        <v>941</v>
      </c>
      <c r="T237" s="2" t="s">
        <v>1378</v>
      </c>
      <c r="U237" s="150">
        <v>3.681</v>
      </c>
      <c r="V237" s="150">
        <v>135.23500000000001</v>
      </c>
      <c r="W237" s="150">
        <v>497.8</v>
      </c>
      <c r="Y237" s="164">
        <v>4.7751461384691399E-2</v>
      </c>
      <c r="Z237" s="164">
        <v>6.7776468958388996E-3</v>
      </c>
    </row>
    <row r="238" spans="1:26">
      <c r="A238" s="2" t="s">
        <v>144</v>
      </c>
      <c r="B238" s="2">
        <v>969</v>
      </c>
      <c r="C238" s="2" t="s">
        <v>2840</v>
      </c>
      <c r="D238" s="2" t="s">
        <v>2841</v>
      </c>
      <c r="E238" s="2" t="s">
        <v>362</v>
      </c>
      <c r="F238" s="2" t="s">
        <v>2844</v>
      </c>
      <c r="G238" s="2">
        <v>620101031</v>
      </c>
      <c r="H238" s="2" t="s">
        <v>34</v>
      </c>
      <c r="I238" s="2" t="s">
        <v>1070</v>
      </c>
      <c r="J238" s="2" t="s">
        <v>614</v>
      </c>
      <c r="K238" s="2" t="s">
        <v>100</v>
      </c>
      <c r="L238" s="2" t="s">
        <v>268</v>
      </c>
      <c r="M238" s="2" t="s">
        <v>101</v>
      </c>
      <c r="N238" s="2" t="s">
        <v>101</v>
      </c>
      <c r="O238" s="2" t="s">
        <v>164</v>
      </c>
      <c r="P238" t="s">
        <v>2714</v>
      </c>
      <c r="Q238" s="2" t="s">
        <v>105</v>
      </c>
      <c r="R238" s="2" t="s">
        <v>204</v>
      </c>
      <c r="S238" s="2" t="s">
        <v>941</v>
      </c>
      <c r="T238" s="2" t="s">
        <v>2715</v>
      </c>
      <c r="U238" s="150">
        <v>3.681</v>
      </c>
      <c r="V238" s="150">
        <v>85.075999999999993</v>
      </c>
      <c r="W238" s="150">
        <v>313.166</v>
      </c>
      <c r="Y238" s="164">
        <v>3.00404161427015E-2</v>
      </c>
      <c r="Z238" s="164">
        <v>4.2638136575347298E-3</v>
      </c>
    </row>
    <row r="239" spans="1:26">
      <c r="A239" s="2" t="s">
        <v>144</v>
      </c>
      <c r="B239" s="2">
        <v>969</v>
      </c>
      <c r="C239" s="2" t="s">
        <v>2840</v>
      </c>
      <c r="D239" s="2" t="s">
        <v>2841</v>
      </c>
      <c r="E239" s="2" t="s">
        <v>362</v>
      </c>
      <c r="F239" s="2" t="s">
        <v>2845</v>
      </c>
      <c r="G239" s="2">
        <v>62014857</v>
      </c>
      <c r="H239" s="2" t="s">
        <v>34</v>
      </c>
      <c r="I239" s="2" t="s">
        <v>1070</v>
      </c>
      <c r="J239" s="2" t="s">
        <v>895</v>
      </c>
      <c r="K239" s="2" t="s">
        <v>100</v>
      </c>
      <c r="L239" s="2" t="s">
        <v>268</v>
      </c>
      <c r="M239" s="2" t="s">
        <v>101</v>
      </c>
      <c r="N239" s="2" t="s">
        <v>346</v>
      </c>
      <c r="O239" s="2" t="s">
        <v>164</v>
      </c>
      <c r="P239" t="s">
        <v>2846</v>
      </c>
      <c r="Q239" s="2" t="s">
        <v>105</v>
      </c>
      <c r="R239" s="2" t="s">
        <v>937</v>
      </c>
      <c r="S239" s="2" t="s">
        <v>941</v>
      </c>
      <c r="T239" s="2" t="s">
        <v>1378</v>
      </c>
      <c r="U239" s="150">
        <v>3.681</v>
      </c>
      <c r="V239" s="150">
        <v>76.942999999999998</v>
      </c>
      <c r="W239" s="150">
        <v>283.22800000000001</v>
      </c>
      <c r="Y239" s="164">
        <v>2.71686134197597E-2</v>
      </c>
      <c r="Z239" s="164">
        <v>3.85620173852342E-3</v>
      </c>
    </row>
    <row r="240" spans="1:26">
      <c r="A240" s="2" t="s">
        <v>144</v>
      </c>
      <c r="B240" s="2">
        <v>969</v>
      </c>
      <c r="C240" s="2" t="s">
        <v>2840</v>
      </c>
      <c r="D240" s="2" t="s">
        <v>2841</v>
      </c>
      <c r="E240" s="2" t="s">
        <v>362</v>
      </c>
      <c r="F240" s="2" t="s">
        <v>2850</v>
      </c>
      <c r="G240" s="2">
        <v>62017678</v>
      </c>
      <c r="H240" s="2" t="s">
        <v>34</v>
      </c>
      <c r="I240" s="2" t="s">
        <v>1070</v>
      </c>
      <c r="J240" s="2" t="s">
        <v>889</v>
      </c>
      <c r="K240" s="2" t="s">
        <v>100</v>
      </c>
      <c r="L240" s="2" t="s">
        <v>268</v>
      </c>
      <c r="M240" s="2" t="s">
        <v>101</v>
      </c>
      <c r="N240" s="2" t="s">
        <v>346</v>
      </c>
      <c r="O240" s="2" t="s">
        <v>164</v>
      </c>
      <c r="P240" t="s">
        <v>2851</v>
      </c>
      <c r="Q240" s="2" t="s">
        <v>105</v>
      </c>
      <c r="R240" s="2" t="s">
        <v>204</v>
      </c>
      <c r="S240" s="2" t="s">
        <v>941</v>
      </c>
      <c r="T240" s="2" t="s">
        <v>1378</v>
      </c>
      <c r="U240" s="150">
        <v>3.681</v>
      </c>
      <c r="V240" s="150">
        <v>152.43199999999999</v>
      </c>
      <c r="W240" s="150">
        <v>561.101</v>
      </c>
      <c r="Y240" s="164">
        <v>5.3823622364457403E-2</v>
      </c>
      <c r="Z240" s="164">
        <v>7.6395045609686796E-3</v>
      </c>
    </row>
    <row r="241" spans="1:26">
      <c r="A241" s="2" t="s">
        <v>144</v>
      </c>
      <c r="B241" s="2">
        <v>969</v>
      </c>
      <c r="C241" s="2" t="s">
        <v>2861</v>
      </c>
      <c r="D241" s="2" t="s">
        <v>2862</v>
      </c>
      <c r="E241" s="2" t="s">
        <v>362</v>
      </c>
      <c r="F241" s="2" t="s">
        <v>2863</v>
      </c>
      <c r="G241" s="2">
        <v>77847846</v>
      </c>
      <c r="H241" s="2" t="s">
        <v>34</v>
      </c>
      <c r="I241" s="2" t="s">
        <v>1070</v>
      </c>
      <c r="J241" s="2" t="s">
        <v>614</v>
      </c>
      <c r="K241" s="2" t="s">
        <v>100</v>
      </c>
      <c r="L241" s="2" t="s">
        <v>303</v>
      </c>
      <c r="M241" s="2" t="s">
        <v>303</v>
      </c>
      <c r="N241" s="2" t="s">
        <v>101</v>
      </c>
      <c r="O241" s="2" t="s">
        <v>164</v>
      </c>
      <c r="P241" t="s">
        <v>2864</v>
      </c>
      <c r="Q241" s="2" t="s">
        <v>105</v>
      </c>
      <c r="R241" s="2" t="s">
        <v>937</v>
      </c>
      <c r="S241" s="2" t="s">
        <v>941</v>
      </c>
      <c r="T241" s="2" t="s">
        <v>1378</v>
      </c>
      <c r="U241" s="150">
        <v>3.681</v>
      </c>
      <c r="V241" s="150">
        <v>397.755</v>
      </c>
      <c r="W241" s="150">
        <v>1464.134</v>
      </c>
      <c r="Y241" s="164">
        <v>0.140447093336382</v>
      </c>
      <c r="Z241" s="164">
        <v>1.99344853241726E-2</v>
      </c>
    </row>
    <row r="242" spans="1:26">
      <c r="A242" s="2" t="s">
        <v>144</v>
      </c>
      <c r="B242" s="2">
        <v>969</v>
      </c>
      <c r="C242" s="2" t="s">
        <v>2893</v>
      </c>
      <c r="D242" s="2" t="s">
        <v>2894</v>
      </c>
      <c r="E242" s="2" t="s">
        <v>361</v>
      </c>
      <c r="F242" s="2" t="s">
        <v>2895</v>
      </c>
      <c r="G242" s="2">
        <v>62021324</v>
      </c>
      <c r="H242" s="2" t="s">
        <v>34</v>
      </c>
      <c r="I242" s="2" t="s">
        <v>1070</v>
      </c>
      <c r="J242" s="2" t="s">
        <v>888</v>
      </c>
      <c r="K242" s="2" t="s">
        <v>100</v>
      </c>
      <c r="L242" s="2" t="s">
        <v>268</v>
      </c>
      <c r="M242" s="2" t="s">
        <v>101</v>
      </c>
      <c r="N242" s="2" t="s">
        <v>101</v>
      </c>
      <c r="O242" s="2" t="s">
        <v>164</v>
      </c>
      <c r="P242" t="s">
        <v>2892</v>
      </c>
      <c r="Q242" s="2" t="s">
        <v>105</v>
      </c>
      <c r="R242" s="2" t="s">
        <v>937</v>
      </c>
      <c r="S242" s="2" t="s">
        <v>941</v>
      </c>
      <c r="T242" s="2" t="s">
        <v>1378</v>
      </c>
      <c r="U242" s="150">
        <v>3.681</v>
      </c>
      <c r="V242" s="150">
        <v>33.045999999999999</v>
      </c>
      <c r="W242" s="150">
        <v>121.64100000000001</v>
      </c>
      <c r="Y242" s="164">
        <v>1.1668382830699001E-2</v>
      </c>
      <c r="Z242" s="164">
        <v>1.65616247919274E-3</v>
      </c>
    </row>
    <row r="243" spans="1:26">
      <c r="A243" s="2" t="s">
        <v>144</v>
      </c>
      <c r="B243" s="2">
        <v>969</v>
      </c>
      <c r="C243" s="2" t="s">
        <v>2904</v>
      </c>
      <c r="D243" s="2" t="s">
        <v>2905</v>
      </c>
      <c r="E243" s="2" t="s">
        <v>361</v>
      </c>
      <c r="F243" s="2" t="s">
        <v>2906</v>
      </c>
      <c r="G243" s="2">
        <v>62009204</v>
      </c>
      <c r="H243" s="2" t="s">
        <v>34</v>
      </c>
      <c r="I243" s="2" t="s">
        <v>1070</v>
      </c>
      <c r="J243" s="2" t="s">
        <v>878</v>
      </c>
      <c r="K243" s="2" t="s">
        <v>100</v>
      </c>
      <c r="L243" s="2" t="s">
        <v>303</v>
      </c>
      <c r="M243" s="2" t="s">
        <v>283</v>
      </c>
      <c r="N243" s="2" t="s">
        <v>346</v>
      </c>
      <c r="O243" s="2" t="s">
        <v>164</v>
      </c>
      <c r="P243" t="s">
        <v>2907</v>
      </c>
      <c r="Q243" s="2" t="s">
        <v>105</v>
      </c>
      <c r="R243" s="2" t="s">
        <v>204</v>
      </c>
      <c r="S243" s="2" t="s">
        <v>941</v>
      </c>
      <c r="T243" s="2" t="s">
        <v>1378</v>
      </c>
      <c r="U243" s="150">
        <v>3.681</v>
      </c>
      <c r="V243" s="150">
        <v>111.05</v>
      </c>
      <c r="W243" s="150">
        <v>408.77699999999999</v>
      </c>
      <c r="Y243" s="164">
        <v>3.9211894951129402E-2</v>
      </c>
      <c r="Z243" s="164">
        <v>5.5655758041508801E-3</v>
      </c>
    </row>
    <row r="244" spans="1:26">
      <c r="A244" s="2" t="s">
        <v>144</v>
      </c>
      <c r="B244" s="2">
        <v>969</v>
      </c>
      <c r="C244" s="2" t="s">
        <v>2918</v>
      </c>
      <c r="D244" s="2" t="s">
        <v>2919</v>
      </c>
      <c r="E244" s="2" t="s">
        <v>361</v>
      </c>
      <c r="F244" s="2" t="s">
        <v>2920</v>
      </c>
      <c r="G244" s="2">
        <v>62010137</v>
      </c>
      <c r="H244" s="2" t="s">
        <v>34</v>
      </c>
      <c r="I244" s="2" t="s">
        <v>1070</v>
      </c>
      <c r="J244" s="2" t="s">
        <v>898</v>
      </c>
      <c r="K244" s="2" t="s">
        <v>100</v>
      </c>
      <c r="L244" s="2" t="s">
        <v>303</v>
      </c>
      <c r="M244" s="2" t="s">
        <v>283</v>
      </c>
      <c r="N244" s="2" t="s">
        <v>346</v>
      </c>
      <c r="O244" s="2" t="s">
        <v>164</v>
      </c>
      <c r="P244" t="s">
        <v>2921</v>
      </c>
      <c r="Q244" s="2" t="s">
        <v>105</v>
      </c>
      <c r="R244" s="2" t="s">
        <v>937</v>
      </c>
      <c r="S244" s="2" t="s">
        <v>941</v>
      </c>
      <c r="T244" s="2" t="s">
        <v>1378</v>
      </c>
      <c r="U244" s="150">
        <v>3.681</v>
      </c>
      <c r="V244" s="150">
        <v>77.14</v>
      </c>
      <c r="W244" s="150">
        <v>283.95400000000001</v>
      </c>
      <c r="Y244" s="164">
        <v>2.7238288192643199E-2</v>
      </c>
      <c r="Z244" s="164">
        <v>3.8660910904816498E-3</v>
      </c>
    </row>
    <row r="1048574" spans="12:12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6</v>
      </c>
      <c r="J1" s="19" t="s">
        <v>7</v>
      </c>
      <c r="K1" s="19" t="s">
        <v>373</v>
      </c>
      <c r="L1" s="19" t="s">
        <v>1161</v>
      </c>
      <c r="M1" s="19" t="s">
        <v>186</v>
      </c>
      <c r="N1" s="19" t="s">
        <v>1162</v>
      </c>
      <c r="O1" s="19" t="s">
        <v>150</v>
      </c>
      <c r="P1" s="19" t="s">
        <v>194</v>
      </c>
      <c r="Q1" s="19" t="s">
        <v>11</v>
      </c>
      <c r="R1" s="19" t="s">
        <v>187</v>
      </c>
      <c r="S1" s="19" t="s">
        <v>188</v>
      </c>
      <c r="T1" s="19" t="s">
        <v>159</v>
      </c>
      <c r="U1" s="19" t="s">
        <v>1163</v>
      </c>
      <c r="V1" s="19" t="s">
        <v>1164</v>
      </c>
      <c r="W1" s="19" t="s">
        <v>17</v>
      </c>
      <c r="X1" s="19" t="s">
        <v>19</v>
      </c>
      <c r="Y1" s="19" t="s">
        <v>18</v>
      </c>
      <c r="Z1" s="19" t="s">
        <v>20</v>
      </c>
      <c r="AA1" s="163" t="s">
        <v>24</v>
      </c>
      <c r="AB1" s="163" t="s">
        <v>25</v>
      </c>
    </row>
    <row r="2" spans="1:28">
      <c r="A2" s="20" t="s">
        <v>26</v>
      </c>
      <c r="B2" s="20">
        <v>1182</v>
      </c>
      <c r="C2" s="20" t="s">
        <v>1563</v>
      </c>
      <c r="D2" s="20" t="s">
        <v>1564</v>
      </c>
      <c r="E2" s="18" t="s">
        <v>362</v>
      </c>
      <c r="F2" s="20" t="s">
        <v>1565</v>
      </c>
      <c r="G2" s="20" t="s">
        <v>1566</v>
      </c>
      <c r="H2" s="20" t="s">
        <v>34</v>
      </c>
      <c r="I2" s="18" t="s">
        <v>31</v>
      </c>
      <c r="J2" s="18" t="s">
        <v>31</v>
      </c>
      <c r="K2" s="20" t="s">
        <v>204</v>
      </c>
      <c r="L2" s="20" t="s">
        <v>204</v>
      </c>
      <c r="M2" s="20" t="s">
        <v>579</v>
      </c>
      <c r="N2" s="20" t="s">
        <v>1567</v>
      </c>
      <c r="O2" s="20" t="s">
        <v>164</v>
      </c>
      <c r="P2" s="20" t="s">
        <v>1568</v>
      </c>
      <c r="Q2" s="18" t="s">
        <v>105</v>
      </c>
      <c r="R2" s="20" t="s">
        <v>204</v>
      </c>
      <c r="S2" s="20" t="s">
        <v>941</v>
      </c>
      <c r="T2" s="20" t="s">
        <v>1378</v>
      </c>
      <c r="U2" s="153">
        <v>0</v>
      </c>
      <c r="V2" s="153">
        <v>0</v>
      </c>
      <c r="W2" s="153">
        <v>100000</v>
      </c>
      <c r="X2" s="153">
        <v>0</v>
      </c>
      <c r="Y2" s="153">
        <v>3.681</v>
      </c>
      <c r="Z2" s="153">
        <v>3.6999999999999998E-2</v>
      </c>
      <c r="AA2" s="168">
        <v>1</v>
      </c>
      <c r="AB2" s="168">
        <v>9.6908661975555399E-8</v>
      </c>
    </row>
    <row r="3" spans="1:28">
      <c r="A3" s="20" t="s">
        <v>128</v>
      </c>
      <c r="B3" s="20">
        <v>7228</v>
      </c>
      <c r="C3" s="20" t="s">
        <v>1563</v>
      </c>
      <c r="D3" s="20" t="s">
        <v>1564</v>
      </c>
      <c r="E3" s="18" t="s">
        <v>362</v>
      </c>
      <c r="F3" s="20" t="s">
        <v>1565</v>
      </c>
      <c r="G3" s="20" t="s">
        <v>1566</v>
      </c>
      <c r="H3" s="20" t="s">
        <v>34</v>
      </c>
      <c r="I3" s="18" t="s">
        <v>31</v>
      </c>
      <c r="J3" s="18" t="s">
        <v>31</v>
      </c>
      <c r="K3" s="20" t="s">
        <v>204</v>
      </c>
      <c r="L3" s="20" t="s">
        <v>204</v>
      </c>
      <c r="M3" s="20" t="s">
        <v>579</v>
      </c>
      <c r="N3" s="20" t="s">
        <v>1567</v>
      </c>
      <c r="O3" s="20" t="s">
        <v>164</v>
      </c>
      <c r="P3" s="20" t="s">
        <v>1568</v>
      </c>
      <c r="Q3" s="18" t="s">
        <v>105</v>
      </c>
      <c r="R3" s="20" t="s">
        <v>204</v>
      </c>
      <c r="S3" s="20" t="s">
        <v>941</v>
      </c>
      <c r="T3" s="20" t="s">
        <v>1378</v>
      </c>
      <c r="U3" s="153">
        <v>0</v>
      </c>
      <c r="V3" s="153">
        <v>0</v>
      </c>
      <c r="W3" s="153">
        <v>580000</v>
      </c>
      <c r="X3" s="153">
        <v>0</v>
      </c>
      <c r="Y3" s="153">
        <v>3.681</v>
      </c>
      <c r="Z3" s="153">
        <v>0.21299999999999999</v>
      </c>
      <c r="AA3" s="168">
        <v>1</v>
      </c>
      <c r="AB3" s="168">
        <v>9.2125163722919097E-8</v>
      </c>
    </row>
    <row r="4" spans="1:28">
      <c r="A4" s="20" t="s">
        <v>128</v>
      </c>
      <c r="B4" s="20">
        <v>7229</v>
      </c>
      <c r="C4" s="20" t="s">
        <v>1563</v>
      </c>
      <c r="D4" s="20" t="s">
        <v>1564</v>
      </c>
      <c r="E4" s="18" t="s">
        <v>362</v>
      </c>
      <c r="F4" s="20" t="s">
        <v>1565</v>
      </c>
      <c r="G4" s="20" t="s">
        <v>1566</v>
      </c>
      <c r="H4" s="20" t="s">
        <v>34</v>
      </c>
      <c r="I4" s="18" t="s">
        <v>31</v>
      </c>
      <c r="J4" s="18" t="s">
        <v>31</v>
      </c>
      <c r="K4" s="20" t="s">
        <v>204</v>
      </c>
      <c r="L4" s="20" t="s">
        <v>204</v>
      </c>
      <c r="M4" s="20" t="s">
        <v>579</v>
      </c>
      <c r="N4" s="20" t="s">
        <v>1567</v>
      </c>
      <c r="O4" s="20" t="s">
        <v>164</v>
      </c>
      <c r="P4" s="20" t="s">
        <v>1568</v>
      </c>
      <c r="Q4" s="18" t="s">
        <v>105</v>
      </c>
      <c r="R4" s="20" t="s">
        <v>204</v>
      </c>
      <c r="S4" s="20" t="s">
        <v>941</v>
      </c>
      <c r="T4" s="20" t="s">
        <v>1378</v>
      </c>
      <c r="U4" s="153">
        <v>0</v>
      </c>
      <c r="V4" s="153">
        <v>0</v>
      </c>
      <c r="W4" s="153">
        <v>20000</v>
      </c>
      <c r="X4" s="153">
        <v>0</v>
      </c>
      <c r="Y4" s="153">
        <v>3.681</v>
      </c>
      <c r="Z4" s="153">
        <v>7.0000000000000001E-3</v>
      </c>
      <c r="AA4" s="168">
        <v>1</v>
      </c>
      <c r="AB4" s="168">
        <v>5.1355354814087699E-8</v>
      </c>
    </row>
    <row r="5" spans="1:28">
      <c r="A5" s="20" t="s">
        <v>128</v>
      </c>
      <c r="B5" s="20">
        <v>9817</v>
      </c>
      <c r="C5" s="20" t="s">
        <v>1563</v>
      </c>
      <c r="D5" s="20" t="s">
        <v>1564</v>
      </c>
      <c r="E5" s="18" t="s">
        <v>362</v>
      </c>
      <c r="F5" s="20" t="s">
        <v>1565</v>
      </c>
      <c r="G5" s="20" t="s">
        <v>1566</v>
      </c>
      <c r="H5" s="20" t="s">
        <v>34</v>
      </c>
      <c r="I5" s="18" t="s">
        <v>31</v>
      </c>
      <c r="J5" s="18" t="s">
        <v>31</v>
      </c>
      <c r="K5" s="20" t="s">
        <v>204</v>
      </c>
      <c r="L5" s="20" t="s">
        <v>204</v>
      </c>
      <c r="M5" s="20" t="s">
        <v>579</v>
      </c>
      <c r="N5" s="20" t="s">
        <v>1567</v>
      </c>
      <c r="O5" s="20" t="s">
        <v>164</v>
      </c>
      <c r="P5" s="20" t="s">
        <v>1568</v>
      </c>
      <c r="Q5" s="18" t="s">
        <v>105</v>
      </c>
      <c r="R5" s="20" t="s">
        <v>204</v>
      </c>
      <c r="S5" s="20" t="s">
        <v>941</v>
      </c>
      <c r="T5" s="20" t="s">
        <v>1378</v>
      </c>
      <c r="U5" s="153">
        <v>0</v>
      </c>
      <c r="V5" s="153">
        <v>0</v>
      </c>
      <c r="W5" s="153">
        <v>2000</v>
      </c>
      <c r="X5" s="153">
        <v>0</v>
      </c>
      <c r="Y5" s="153">
        <v>3.681</v>
      </c>
      <c r="Z5" s="153">
        <v>1E-3</v>
      </c>
      <c r="AA5" s="168">
        <v>1</v>
      </c>
      <c r="AB5" s="168">
        <v>5.0751085868616901E-7</v>
      </c>
    </row>
    <row r="6" spans="1:28">
      <c r="A6" s="20" t="s">
        <v>144</v>
      </c>
      <c r="B6" s="20">
        <v>969</v>
      </c>
      <c r="C6" s="20" t="s">
        <v>1563</v>
      </c>
      <c r="D6" s="20" t="s">
        <v>1564</v>
      </c>
      <c r="E6" s="18" t="s">
        <v>362</v>
      </c>
      <c r="F6" s="20" t="s">
        <v>1565</v>
      </c>
      <c r="G6" s="20" t="s">
        <v>1566</v>
      </c>
      <c r="H6" s="20" t="s">
        <v>34</v>
      </c>
      <c r="I6" s="18" t="s">
        <v>31</v>
      </c>
      <c r="J6" s="18" t="s">
        <v>31</v>
      </c>
      <c r="K6" s="20" t="s">
        <v>204</v>
      </c>
      <c r="L6" s="20" t="s">
        <v>204</v>
      </c>
      <c r="M6" s="20" t="s">
        <v>579</v>
      </c>
      <c r="N6" s="20" t="s">
        <v>1567</v>
      </c>
      <c r="O6" s="20" t="s">
        <v>164</v>
      </c>
      <c r="P6" s="20" t="s">
        <v>1568</v>
      </c>
      <c r="Q6" s="18" t="s">
        <v>105</v>
      </c>
      <c r="R6" s="20" t="s">
        <v>204</v>
      </c>
      <c r="S6" s="20" t="s">
        <v>941</v>
      </c>
      <c r="T6" s="20" t="s">
        <v>1378</v>
      </c>
      <c r="U6" s="153">
        <v>0</v>
      </c>
      <c r="V6" s="153">
        <v>0</v>
      </c>
      <c r="W6" s="153">
        <v>28000</v>
      </c>
      <c r="X6" s="153">
        <v>0</v>
      </c>
      <c r="Y6" s="153">
        <v>3.681</v>
      </c>
      <c r="Z6" s="153">
        <v>0.01</v>
      </c>
      <c r="AA6" s="168">
        <v>1</v>
      </c>
      <c r="AB6" s="168">
        <v>1.40329164520912E-7</v>
      </c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186</v>
      </c>
      <c r="M1" s="19" t="s">
        <v>222</v>
      </c>
      <c r="N1" s="19" t="s">
        <v>1162</v>
      </c>
      <c r="O1" s="19" t="s">
        <v>150</v>
      </c>
      <c r="P1" s="19" t="s">
        <v>194</v>
      </c>
      <c r="Q1" s="19" t="s">
        <v>11</v>
      </c>
      <c r="R1" s="19" t="s">
        <v>187</v>
      </c>
      <c r="S1" s="19" t="s">
        <v>188</v>
      </c>
      <c r="T1" s="19" t="s">
        <v>159</v>
      </c>
      <c r="U1" s="19" t="s">
        <v>1163</v>
      </c>
      <c r="V1" s="19" t="s">
        <v>1164</v>
      </c>
      <c r="W1" s="19" t="s">
        <v>17</v>
      </c>
      <c r="X1" s="19" t="s">
        <v>19</v>
      </c>
      <c r="Y1" s="19" t="s">
        <v>18</v>
      </c>
      <c r="Z1" s="19" t="s">
        <v>1569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4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1177</v>
      </c>
      <c r="E1" s="19" t="s">
        <v>1178</v>
      </c>
      <c r="F1" s="19" t="s">
        <v>18</v>
      </c>
      <c r="G1" s="19" t="s">
        <v>1179</v>
      </c>
      <c r="H1" s="19" t="s">
        <v>1180</v>
      </c>
      <c r="I1" s="19" t="s">
        <v>1181</v>
      </c>
      <c r="J1" s="19" t="s">
        <v>1182</v>
      </c>
      <c r="K1" s="19" t="s">
        <v>1183</v>
      </c>
      <c r="L1" s="19" t="s">
        <v>1184</v>
      </c>
      <c r="M1" s="19" t="s">
        <v>18</v>
      </c>
      <c r="N1" s="19" t="s">
        <v>1185</v>
      </c>
      <c r="O1" s="19" t="s">
        <v>1186</v>
      </c>
      <c r="P1" s="19" t="s">
        <v>1339</v>
      </c>
      <c r="Q1" s="19" t="s">
        <v>1340</v>
      </c>
      <c r="R1" s="19" t="s">
        <v>1341</v>
      </c>
      <c r="S1" s="19" t="s">
        <v>6</v>
      </c>
      <c r="T1" s="19" t="s">
        <v>7</v>
      </c>
      <c r="U1" s="19" t="s">
        <v>1190</v>
      </c>
      <c r="V1" s="19" t="s">
        <v>972</v>
      </c>
      <c r="W1" s="19" t="s">
        <v>979</v>
      </c>
      <c r="X1" s="19" t="s">
        <v>371</v>
      </c>
      <c r="Y1" s="19" t="s">
        <v>150</v>
      </c>
      <c r="Z1" s="19" t="s">
        <v>1191</v>
      </c>
      <c r="AA1" s="19" t="s">
        <v>1192</v>
      </c>
      <c r="AB1" s="19" t="s">
        <v>943</v>
      </c>
      <c r="AC1" s="19" t="s">
        <v>951</v>
      </c>
      <c r="AD1" s="19" t="s">
        <v>1193</v>
      </c>
      <c r="AE1" s="19" t="s">
        <v>969</v>
      </c>
      <c r="AF1" s="19" t="s">
        <v>954</v>
      </c>
      <c r="AG1" s="19" t="s">
        <v>965</v>
      </c>
      <c r="AH1" s="159" t="s">
        <v>1194</v>
      </c>
      <c r="AI1" s="19" t="s">
        <v>1195</v>
      </c>
      <c r="AJ1" s="19" t="s">
        <v>1196</v>
      </c>
      <c r="AK1" s="19" t="s">
        <v>994</v>
      </c>
      <c r="AL1" s="19" t="s">
        <v>1197</v>
      </c>
      <c r="AM1" s="19" t="s">
        <v>1198</v>
      </c>
      <c r="AN1" s="163" t="s">
        <v>24</v>
      </c>
      <c r="AO1" s="163" t="s">
        <v>25</v>
      </c>
    </row>
    <row r="2" spans="1:41">
      <c r="A2" s="12" t="s">
        <v>144</v>
      </c>
      <c r="B2" s="12" t="s">
        <v>144</v>
      </c>
      <c r="C2" s="12" t="s">
        <v>1089</v>
      </c>
      <c r="D2" s="1" t="s">
        <v>1342</v>
      </c>
      <c r="E2" s="12" t="s">
        <v>105</v>
      </c>
      <c r="F2" s="157">
        <v>3.681</v>
      </c>
      <c r="G2" s="157">
        <v>-3745440</v>
      </c>
      <c r="H2" s="149">
        <v>13881804.789999999</v>
      </c>
      <c r="I2" s="158">
        <v>0.94332700000000003</v>
      </c>
      <c r="J2" s="149">
        <v>0.15745600000000001</v>
      </c>
      <c r="K2" s="11" t="s">
        <v>1342</v>
      </c>
      <c r="L2" s="12" t="s">
        <v>35</v>
      </c>
      <c r="M2" s="158">
        <v>1</v>
      </c>
      <c r="N2" s="158">
        <v>13895582.4</v>
      </c>
      <c r="O2" s="158">
        <v>-13770583.949999999</v>
      </c>
      <c r="P2" s="158">
        <v>-0.23411699999999999</v>
      </c>
      <c r="Q2" s="158">
        <v>0.941384</v>
      </c>
      <c r="R2" s="157">
        <v>111.221</v>
      </c>
      <c r="S2" s="11" t="s">
        <v>31</v>
      </c>
      <c r="T2" s="18" t="s">
        <v>31</v>
      </c>
      <c r="U2" s="12" t="s">
        <v>792</v>
      </c>
      <c r="V2" s="12" t="s">
        <v>204</v>
      </c>
      <c r="W2" s="11" t="s">
        <v>204</v>
      </c>
      <c r="X2" s="12" t="s">
        <v>1343</v>
      </c>
      <c r="Y2" s="12" t="s">
        <v>164</v>
      </c>
      <c r="Z2" s="1" t="s">
        <v>1344</v>
      </c>
      <c r="AA2" s="24" t="s">
        <v>1345</v>
      </c>
      <c r="AB2" s="12" t="s">
        <v>947</v>
      </c>
      <c r="AC2" s="12" t="s">
        <v>953</v>
      </c>
      <c r="AD2" s="12" t="s">
        <v>164</v>
      </c>
      <c r="AE2" s="12" t="s">
        <v>971</v>
      </c>
      <c r="AF2" s="12" t="s">
        <v>614</v>
      </c>
      <c r="AG2" s="12" t="s">
        <v>945</v>
      </c>
      <c r="AH2" s="173">
        <v>5.4429999999999996</v>
      </c>
      <c r="AI2" s="157">
        <v>-370.63200000000001</v>
      </c>
      <c r="AJ2" s="11" t="s">
        <v>1346</v>
      </c>
      <c r="AK2" s="12" t="s">
        <v>164</v>
      </c>
      <c r="AL2" s="11" t="s">
        <v>165</v>
      </c>
      <c r="AM2" s="11" t="s">
        <v>1347</v>
      </c>
      <c r="AN2" s="168">
        <v>1.2670710000000001</v>
      </c>
      <c r="AO2" s="168">
        <v>1.9999999999999999E-6</v>
      </c>
    </row>
    <row r="3" spans="1:41">
      <c r="A3" s="12" t="s">
        <v>144</v>
      </c>
      <c r="B3" s="12" t="s">
        <v>144</v>
      </c>
      <c r="C3" s="12" t="s">
        <v>1089</v>
      </c>
      <c r="D3" s="1" t="s">
        <v>1348</v>
      </c>
      <c r="E3" s="12" t="s">
        <v>105</v>
      </c>
      <c r="F3" s="157">
        <v>3.681</v>
      </c>
      <c r="G3" s="157">
        <v>-35000</v>
      </c>
      <c r="H3" s="149">
        <v>127972.75</v>
      </c>
      <c r="I3" s="158">
        <v>8.6960000000000006E-3</v>
      </c>
      <c r="J3" s="149">
        <v>1.4519999999999999E-3</v>
      </c>
      <c r="K3" s="11" t="s">
        <v>1348</v>
      </c>
      <c r="L3" s="12" t="s">
        <v>35</v>
      </c>
      <c r="M3" s="158">
        <v>1</v>
      </c>
      <c r="N3" s="158">
        <v>128100</v>
      </c>
      <c r="O3" s="158">
        <v>-128682.13</v>
      </c>
      <c r="P3" s="158">
        <v>-2.1879999999999998E-3</v>
      </c>
      <c r="Q3" s="158">
        <v>8.7969999999999993E-3</v>
      </c>
      <c r="R3" s="157">
        <v>-0.70899999999999996</v>
      </c>
      <c r="S3" s="11" t="s">
        <v>31</v>
      </c>
      <c r="T3" s="18" t="s">
        <v>31</v>
      </c>
      <c r="U3" s="12" t="s">
        <v>792</v>
      </c>
      <c r="V3" s="12" t="s">
        <v>204</v>
      </c>
      <c r="W3" s="11" t="s">
        <v>204</v>
      </c>
      <c r="X3" s="12" t="s">
        <v>1343</v>
      </c>
      <c r="Y3" s="12" t="s">
        <v>164</v>
      </c>
      <c r="Z3" s="1" t="s">
        <v>1349</v>
      </c>
      <c r="AA3" s="24" t="s">
        <v>1345</v>
      </c>
      <c r="AB3" s="12" t="s">
        <v>946</v>
      </c>
      <c r="AC3" s="12" t="s">
        <v>953</v>
      </c>
      <c r="AD3" s="12" t="s">
        <v>164</v>
      </c>
      <c r="AE3" s="12" t="s">
        <v>971</v>
      </c>
      <c r="AF3" s="12" t="s">
        <v>614</v>
      </c>
      <c r="AG3" s="12" t="s">
        <v>945</v>
      </c>
      <c r="AH3" s="161">
        <v>5.4429999999999996</v>
      </c>
      <c r="AI3" s="157">
        <v>-365.63600000000002</v>
      </c>
      <c r="AJ3" s="12" t="s">
        <v>1350</v>
      </c>
      <c r="AK3" s="12" t="s">
        <v>164</v>
      </c>
      <c r="AL3" s="11" t="s">
        <v>165</v>
      </c>
      <c r="AM3" s="11" t="s">
        <v>1347</v>
      </c>
      <c r="AN3" s="168">
        <v>-8.0770000000000008E-3</v>
      </c>
      <c r="AO3" s="168">
        <v>0</v>
      </c>
    </row>
    <row r="4" spans="1:41">
      <c r="A4" s="12" t="s">
        <v>144</v>
      </c>
      <c r="B4" s="12" t="s">
        <v>144</v>
      </c>
      <c r="C4" s="12" t="s">
        <v>1089</v>
      </c>
      <c r="D4" s="1" t="s">
        <v>1351</v>
      </c>
      <c r="E4" s="12" t="s">
        <v>105</v>
      </c>
      <c r="F4" s="157">
        <v>3.681</v>
      </c>
      <c r="G4" s="157">
        <v>-200000</v>
      </c>
      <c r="H4" s="149">
        <v>706022.15</v>
      </c>
      <c r="I4" s="158">
        <v>4.7976999999999999E-2</v>
      </c>
      <c r="J4" s="149">
        <v>8.0079999999999995E-3</v>
      </c>
      <c r="K4" s="11" t="s">
        <v>1351</v>
      </c>
      <c r="L4" s="12" t="s">
        <v>35</v>
      </c>
      <c r="M4" s="158">
        <v>1</v>
      </c>
      <c r="N4" s="158">
        <v>711400</v>
      </c>
      <c r="O4" s="158">
        <v>-728756.05</v>
      </c>
      <c r="P4" s="158">
        <v>-1.239E-2</v>
      </c>
      <c r="Q4" s="158">
        <v>4.9819000000000002E-2</v>
      </c>
      <c r="R4" s="157">
        <v>-22.734000000000002</v>
      </c>
      <c r="S4" s="11" t="s">
        <v>31</v>
      </c>
      <c r="T4" s="18" t="s">
        <v>31</v>
      </c>
      <c r="U4" s="12" t="s">
        <v>792</v>
      </c>
      <c r="V4" s="12" t="s">
        <v>204</v>
      </c>
      <c r="W4" s="11" t="s">
        <v>204</v>
      </c>
      <c r="X4" s="12" t="s">
        <v>1343</v>
      </c>
      <c r="Y4" s="12" t="s">
        <v>164</v>
      </c>
      <c r="Z4" s="1" t="s">
        <v>1352</v>
      </c>
      <c r="AA4" s="24" t="s">
        <v>1353</v>
      </c>
      <c r="AB4" s="12" t="s">
        <v>947</v>
      </c>
      <c r="AC4" s="12" t="s">
        <v>953</v>
      </c>
      <c r="AD4" s="12" t="s">
        <v>164</v>
      </c>
      <c r="AE4" s="12" t="s">
        <v>971</v>
      </c>
      <c r="AF4" s="12" t="s">
        <v>614</v>
      </c>
      <c r="AG4" s="12" t="s">
        <v>947</v>
      </c>
      <c r="AH4" s="161">
        <v>5.5110000000000001</v>
      </c>
      <c r="AI4" s="157">
        <v>-353.01100000000002</v>
      </c>
      <c r="AJ4" s="12" t="s">
        <v>1354</v>
      </c>
      <c r="AK4" s="12" t="s">
        <v>164</v>
      </c>
      <c r="AL4" s="11" t="s">
        <v>165</v>
      </c>
      <c r="AM4" s="11" t="s">
        <v>1347</v>
      </c>
      <c r="AN4" s="168">
        <v>-0.258994</v>
      </c>
      <c r="AO4" s="168">
        <v>0</v>
      </c>
    </row>
    <row r="5" spans="1:41">
      <c r="A5" s="12" t="s">
        <v>26</v>
      </c>
      <c r="B5" s="12" t="s">
        <v>26</v>
      </c>
      <c r="C5" s="12" t="s">
        <v>1089</v>
      </c>
      <c r="D5" s="1" t="s">
        <v>1342</v>
      </c>
      <c r="E5" s="12" t="s">
        <v>105</v>
      </c>
      <c r="F5" s="157">
        <v>3.681</v>
      </c>
      <c r="G5" s="157">
        <v>-15809158</v>
      </c>
      <c r="H5" s="149">
        <v>58593822.189999998</v>
      </c>
      <c r="I5" s="158">
        <v>0.76134500000000005</v>
      </c>
      <c r="J5" s="149">
        <v>0.12826899999999999</v>
      </c>
      <c r="K5" s="11" t="s">
        <v>1342</v>
      </c>
      <c r="L5" s="12" t="s">
        <v>35</v>
      </c>
      <c r="M5" s="158">
        <v>1</v>
      </c>
      <c r="N5" s="158">
        <v>58651976.18</v>
      </c>
      <c r="O5" s="158">
        <v>-58124369.240000002</v>
      </c>
      <c r="P5" s="158">
        <v>-0.19193299999999999</v>
      </c>
      <c r="Q5" s="158">
        <v>0.75480499999999995</v>
      </c>
      <c r="R5" s="157">
        <v>469.45299999999997</v>
      </c>
      <c r="S5" s="11" t="s">
        <v>31</v>
      </c>
      <c r="T5" s="18" t="s">
        <v>31</v>
      </c>
      <c r="U5" s="12" t="s">
        <v>792</v>
      </c>
      <c r="V5" s="12" t="s">
        <v>204</v>
      </c>
      <c r="W5" s="11" t="s">
        <v>204</v>
      </c>
      <c r="X5" s="12" t="s">
        <v>1343</v>
      </c>
      <c r="Y5" s="12" t="s">
        <v>164</v>
      </c>
      <c r="Z5" s="1" t="s">
        <v>1344</v>
      </c>
      <c r="AA5" s="24" t="s">
        <v>1345</v>
      </c>
      <c r="AB5" s="12" t="s">
        <v>947</v>
      </c>
      <c r="AC5" s="12" t="s">
        <v>953</v>
      </c>
      <c r="AD5" s="12" t="s">
        <v>164</v>
      </c>
      <c r="AE5" s="12" t="s">
        <v>971</v>
      </c>
      <c r="AF5" s="12" t="s">
        <v>614</v>
      </c>
      <c r="AG5" s="12" t="s">
        <v>945</v>
      </c>
      <c r="AH5" s="161">
        <v>5.4429999999999996</v>
      </c>
      <c r="AI5" s="157">
        <v>-370.63200000000001</v>
      </c>
      <c r="AJ5" s="12" t="s">
        <v>1346</v>
      </c>
      <c r="AK5" s="12" t="s">
        <v>164</v>
      </c>
      <c r="AL5" s="11" t="s">
        <v>165</v>
      </c>
      <c r="AM5" s="11" t="s">
        <v>1347</v>
      </c>
      <c r="AN5" s="168">
        <v>-10.470447999999999</v>
      </c>
      <c r="AO5" s="168">
        <v>9.9999999999999995E-7</v>
      </c>
    </row>
    <row r="6" spans="1:41">
      <c r="A6" s="12" t="s">
        <v>26</v>
      </c>
      <c r="B6" s="12" t="s">
        <v>26</v>
      </c>
      <c r="C6" s="12" t="s">
        <v>1089</v>
      </c>
      <c r="D6" s="1" t="s">
        <v>1348</v>
      </c>
      <c r="E6" s="12" t="s">
        <v>105</v>
      </c>
      <c r="F6" s="157">
        <v>3.681</v>
      </c>
      <c r="G6" s="157">
        <v>-380000</v>
      </c>
      <c r="H6" s="149">
        <v>1389418.56</v>
      </c>
      <c r="I6" s="158">
        <v>1.8054000000000001E-2</v>
      </c>
      <c r="J6" s="149">
        <v>3.042E-3</v>
      </c>
      <c r="K6" s="11" t="s">
        <v>1348</v>
      </c>
      <c r="L6" s="12" t="s">
        <v>35</v>
      </c>
      <c r="M6" s="158">
        <v>1</v>
      </c>
      <c r="N6" s="158">
        <v>1390800</v>
      </c>
      <c r="O6" s="158">
        <v>-1397120.3</v>
      </c>
      <c r="P6" s="158">
        <v>-4.6129999999999999E-3</v>
      </c>
      <c r="Q6" s="158">
        <v>1.8142999999999999E-2</v>
      </c>
      <c r="R6" s="157">
        <v>-7.702</v>
      </c>
      <c r="S6" s="11" t="s">
        <v>31</v>
      </c>
      <c r="T6" s="18" t="s">
        <v>31</v>
      </c>
      <c r="U6" s="12" t="s">
        <v>792</v>
      </c>
      <c r="V6" s="12" t="s">
        <v>204</v>
      </c>
      <c r="W6" s="11" t="s">
        <v>204</v>
      </c>
      <c r="X6" s="12" t="s">
        <v>1343</v>
      </c>
      <c r="Y6" s="12" t="s">
        <v>164</v>
      </c>
      <c r="Z6" s="1" t="s">
        <v>1349</v>
      </c>
      <c r="AA6" s="24" t="s">
        <v>1345</v>
      </c>
      <c r="AB6" s="12" t="s">
        <v>946</v>
      </c>
      <c r="AC6" s="12" t="s">
        <v>953</v>
      </c>
      <c r="AD6" s="12" t="s">
        <v>164</v>
      </c>
      <c r="AE6" s="12" t="s">
        <v>971</v>
      </c>
      <c r="AF6" s="12" t="s">
        <v>614</v>
      </c>
      <c r="AG6" s="12" t="s">
        <v>945</v>
      </c>
      <c r="AH6" s="161">
        <v>5.4429999999999996</v>
      </c>
      <c r="AI6" s="157">
        <v>-365.63600000000002</v>
      </c>
      <c r="AJ6" s="12" t="s">
        <v>1350</v>
      </c>
      <c r="AK6" s="12" t="s">
        <v>164</v>
      </c>
      <c r="AL6" s="11" t="s">
        <v>165</v>
      </c>
      <c r="AM6" s="11" t="s">
        <v>1347</v>
      </c>
      <c r="AN6" s="168">
        <v>0.17178199999999999</v>
      </c>
      <c r="AO6" s="168">
        <v>0</v>
      </c>
    </row>
    <row r="7" spans="1:41">
      <c r="A7" s="12" t="s">
        <v>26</v>
      </c>
      <c r="B7" s="12" t="s">
        <v>26</v>
      </c>
      <c r="C7" s="12" t="s">
        <v>1089</v>
      </c>
      <c r="D7" s="1" t="s">
        <v>1351</v>
      </c>
      <c r="E7" s="12" t="s">
        <v>105</v>
      </c>
      <c r="F7" s="157">
        <v>3.681</v>
      </c>
      <c r="G7" s="157">
        <v>-2660000</v>
      </c>
      <c r="H7" s="149">
        <v>9390094.5500000007</v>
      </c>
      <c r="I7" s="158">
        <v>0.12201099999999999</v>
      </c>
      <c r="J7" s="149">
        <v>2.0556000000000001E-2</v>
      </c>
      <c r="K7" s="11" t="s">
        <v>1351</v>
      </c>
      <c r="L7" s="12" t="s">
        <v>35</v>
      </c>
      <c r="M7" s="158">
        <v>1</v>
      </c>
      <c r="N7" s="158">
        <v>9461620</v>
      </c>
      <c r="O7" s="158">
        <v>-9692455.5099999998</v>
      </c>
      <c r="P7" s="158">
        <v>-3.2006E-2</v>
      </c>
      <c r="Q7" s="158">
        <v>0.12586700000000001</v>
      </c>
      <c r="R7" s="157">
        <v>-302.36099999999999</v>
      </c>
      <c r="S7" s="11" t="s">
        <v>31</v>
      </c>
      <c r="T7" s="18" t="s">
        <v>31</v>
      </c>
      <c r="U7" s="12" t="s">
        <v>792</v>
      </c>
      <c r="V7" s="12" t="s">
        <v>204</v>
      </c>
      <c r="W7" s="11" t="s">
        <v>204</v>
      </c>
      <c r="X7" s="12" t="s">
        <v>1343</v>
      </c>
      <c r="Y7" s="12" t="s">
        <v>164</v>
      </c>
      <c r="Z7" s="1" t="s">
        <v>1352</v>
      </c>
      <c r="AA7" s="24" t="s">
        <v>1353</v>
      </c>
      <c r="AB7" s="12" t="s">
        <v>947</v>
      </c>
      <c r="AC7" s="12" t="s">
        <v>953</v>
      </c>
      <c r="AD7" s="12" t="s">
        <v>164</v>
      </c>
      <c r="AE7" s="12" t="s">
        <v>971</v>
      </c>
      <c r="AF7" s="12" t="s">
        <v>614</v>
      </c>
      <c r="AG7" s="12" t="s">
        <v>947</v>
      </c>
      <c r="AH7" s="161">
        <v>5.5110000000000001</v>
      </c>
      <c r="AI7" s="157">
        <v>-353.01100000000002</v>
      </c>
      <c r="AJ7" s="12" t="s">
        <v>1354</v>
      </c>
      <c r="AK7" s="12" t="s">
        <v>164</v>
      </c>
      <c r="AL7" s="11" t="s">
        <v>165</v>
      </c>
      <c r="AM7" s="11" t="s">
        <v>1347</v>
      </c>
      <c r="AN7" s="168">
        <v>6.7437100000000001</v>
      </c>
      <c r="AO7" s="168">
        <v>-9.9999999999999995E-7</v>
      </c>
    </row>
    <row r="8" spans="1:41">
      <c r="A8" s="12" t="s">
        <v>26</v>
      </c>
      <c r="B8" s="12" t="s">
        <v>26</v>
      </c>
      <c r="C8" s="12" t="s">
        <v>1089</v>
      </c>
      <c r="D8" s="1" t="s">
        <v>1355</v>
      </c>
      <c r="E8" s="12" t="s">
        <v>1224</v>
      </c>
      <c r="F8" s="157">
        <v>3.9790999999999999</v>
      </c>
      <c r="G8" s="157">
        <v>-1820000</v>
      </c>
      <c r="H8" s="149">
        <v>6991619.7300000004</v>
      </c>
      <c r="I8" s="158">
        <v>9.0845999999999996E-2</v>
      </c>
      <c r="J8" s="149">
        <v>1.5306E-2</v>
      </c>
      <c r="K8" s="11" t="s">
        <v>1355</v>
      </c>
      <c r="L8" s="12" t="s">
        <v>35</v>
      </c>
      <c r="M8" s="158">
        <v>1</v>
      </c>
      <c r="N8" s="158">
        <v>7043764</v>
      </c>
      <c r="O8" s="158">
        <v>-7188819.2699999996</v>
      </c>
      <c r="P8" s="158">
        <v>-2.3737999999999999E-2</v>
      </c>
      <c r="Q8" s="158">
        <v>9.3354000000000006E-2</v>
      </c>
      <c r="R8" s="157">
        <v>-197.2</v>
      </c>
      <c r="S8" s="11" t="s">
        <v>31</v>
      </c>
      <c r="T8" s="18" t="s">
        <v>31</v>
      </c>
      <c r="U8" s="12" t="s">
        <v>792</v>
      </c>
      <c r="V8" s="12" t="s">
        <v>204</v>
      </c>
      <c r="W8" s="11" t="s">
        <v>204</v>
      </c>
      <c r="X8" s="12" t="s">
        <v>1356</v>
      </c>
      <c r="Y8" s="12" t="s">
        <v>164</v>
      </c>
      <c r="Z8" s="1" t="s">
        <v>1352</v>
      </c>
      <c r="AA8" s="24" t="s">
        <v>1353</v>
      </c>
      <c r="AB8" s="12" t="s">
        <v>947</v>
      </c>
      <c r="AC8" s="12" t="s">
        <v>953</v>
      </c>
      <c r="AD8" s="12" t="s">
        <v>164</v>
      </c>
      <c r="AE8" s="12" t="s">
        <v>971</v>
      </c>
      <c r="AF8" s="12" t="s">
        <v>614</v>
      </c>
      <c r="AG8" s="12" t="s">
        <v>947</v>
      </c>
      <c r="AH8" s="161">
        <v>3.8759999999999999</v>
      </c>
      <c r="AI8" s="157">
        <v>-384.154</v>
      </c>
      <c r="AJ8" s="12" t="s">
        <v>1357</v>
      </c>
      <c r="AK8" s="12" t="s">
        <v>164</v>
      </c>
      <c r="AL8" s="11" t="s">
        <v>165</v>
      </c>
      <c r="AM8" s="11" t="s">
        <v>1347</v>
      </c>
      <c r="AN8" s="168">
        <v>4.3982510000000001</v>
      </c>
      <c r="AO8" s="168">
        <v>-9.9999999999999995E-7</v>
      </c>
    </row>
    <row r="9" spans="1:41">
      <c r="A9" s="12" t="s">
        <v>26</v>
      </c>
      <c r="B9" s="12" t="s">
        <v>26</v>
      </c>
      <c r="C9" s="12" t="s">
        <v>1089</v>
      </c>
      <c r="D9" s="1" t="s">
        <v>1358</v>
      </c>
      <c r="E9" s="12" t="s">
        <v>1224</v>
      </c>
      <c r="F9" s="157">
        <v>3.9790999999999999</v>
      </c>
      <c r="G9" s="157">
        <v>-125000</v>
      </c>
      <c r="H9" s="149">
        <v>487053.27</v>
      </c>
      <c r="I9" s="158">
        <v>6.3290000000000004E-3</v>
      </c>
      <c r="J9" s="149">
        <v>1.0660000000000001E-3</v>
      </c>
      <c r="K9" s="11" t="s">
        <v>1358</v>
      </c>
      <c r="L9" s="12" t="s">
        <v>35</v>
      </c>
      <c r="M9" s="158">
        <v>1</v>
      </c>
      <c r="N9" s="158">
        <v>490687.5</v>
      </c>
      <c r="O9" s="158">
        <v>-493736.73</v>
      </c>
      <c r="P9" s="158">
        <v>-1.6299999999999999E-3</v>
      </c>
      <c r="Q9" s="158">
        <v>6.4120000000000002E-3</v>
      </c>
      <c r="R9" s="157">
        <v>-6.6829999999999998</v>
      </c>
      <c r="S9" s="11" t="s">
        <v>31</v>
      </c>
      <c r="T9" s="18" t="s">
        <v>31</v>
      </c>
      <c r="U9" s="12" t="s">
        <v>792</v>
      </c>
      <c r="V9" s="12" t="s">
        <v>204</v>
      </c>
      <c r="W9" s="11" t="s">
        <v>204</v>
      </c>
      <c r="X9" s="12" t="s">
        <v>1356</v>
      </c>
      <c r="Y9" s="12" t="s">
        <v>164</v>
      </c>
      <c r="Z9" s="1" t="s">
        <v>1359</v>
      </c>
      <c r="AA9" s="24" t="s">
        <v>1353</v>
      </c>
      <c r="AB9" s="12" t="s">
        <v>947</v>
      </c>
      <c r="AC9" s="12" t="s">
        <v>953</v>
      </c>
      <c r="AD9" s="12" t="s">
        <v>164</v>
      </c>
      <c r="AE9" s="12" t="s">
        <v>971</v>
      </c>
      <c r="AF9" s="12" t="s">
        <v>614</v>
      </c>
      <c r="AG9" s="12" t="s">
        <v>947</v>
      </c>
      <c r="AH9" s="161">
        <v>3.8759999999999999</v>
      </c>
      <c r="AI9" s="157">
        <v>-389.642</v>
      </c>
      <c r="AJ9" s="12" t="s">
        <v>1360</v>
      </c>
      <c r="AK9" s="12" t="s">
        <v>164</v>
      </c>
      <c r="AL9" s="11" t="s">
        <v>165</v>
      </c>
      <c r="AM9" s="11" t="s">
        <v>1347</v>
      </c>
      <c r="AN9" s="168">
        <v>0.14905399999999999</v>
      </c>
      <c r="AO9" s="168">
        <v>0</v>
      </c>
    </row>
    <row r="10" spans="1:41">
      <c r="A10" s="12" t="s">
        <v>26</v>
      </c>
      <c r="B10" s="12" t="s">
        <v>26</v>
      </c>
      <c r="C10" s="12" t="s">
        <v>1089</v>
      </c>
      <c r="D10" s="1" t="s">
        <v>1361</v>
      </c>
      <c r="E10" s="12" t="s">
        <v>105</v>
      </c>
      <c r="F10" s="157">
        <v>3.681</v>
      </c>
      <c r="G10" s="157">
        <v>-30000</v>
      </c>
      <c r="H10" s="149">
        <v>108969.67</v>
      </c>
      <c r="I10" s="158">
        <v>1.4159999999999999E-3</v>
      </c>
      <c r="J10" s="149">
        <v>2.3900000000000001E-4</v>
      </c>
      <c r="K10" s="11" t="s">
        <v>1361</v>
      </c>
      <c r="L10" s="12" t="s">
        <v>35</v>
      </c>
      <c r="M10" s="158">
        <v>1</v>
      </c>
      <c r="N10" s="158">
        <v>109800</v>
      </c>
      <c r="O10" s="158">
        <v>-109313.02</v>
      </c>
      <c r="P10" s="158">
        <v>-3.6099999999999999E-4</v>
      </c>
      <c r="Q10" s="158">
        <v>1.42E-3</v>
      </c>
      <c r="R10" s="157">
        <v>-0.34300000000000003</v>
      </c>
      <c r="S10" s="11" t="s">
        <v>31</v>
      </c>
      <c r="T10" s="18" t="s">
        <v>31</v>
      </c>
      <c r="U10" s="12" t="s">
        <v>792</v>
      </c>
      <c r="V10" s="12" t="s">
        <v>204</v>
      </c>
      <c r="W10" s="11" t="s">
        <v>204</v>
      </c>
      <c r="X10" s="12" t="s">
        <v>1343</v>
      </c>
      <c r="Y10" s="12" t="s">
        <v>164</v>
      </c>
      <c r="Z10" s="1" t="s">
        <v>1362</v>
      </c>
      <c r="AA10" s="24" t="s">
        <v>1353</v>
      </c>
      <c r="AB10" s="12" t="s">
        <v>947</v>
      </c>
      <c r="AC10" s="12" t="s">
        <v>953</v>
      </c>
      <c r="AD10" s="12" t="s">
        <v>164</v>
      </c>
      <c r="AE10" s="12" t="s">
        <v>971</v>
      </c>
      <c r="AF10" s="12" t="s">
        <v>614</v>
      </c>
      <c r="AG10" s="12" t="s">
        <v>947</v>
      </c>
      <c r="AH10" s="161">
        <v>5.5110000000000001</v>
      </c>
      <c r="AI10" s="157">
        <v>-363.23200000000003</v>
      </c>
      <c r="AJ10" s="12" t="s">
        <v>1363</v>
      </c>
      <c r="AK10" s="12" t="s">
        <v>164</v>
      </c>
      <c r="AL10" s="11" t="s">
        <v>165</v>
      </c>
      <c r="AM10" s="11" t="s">
        <v>1347</v>
      </c>
      <c r="AN10" s="168">
        <v>7.6499999999999997E-3</v>
      </c>
      <c r="AO10" s="168">
        <v>0</v>
      </c>
    </row>
    <row r="11" spans="1:41">
      <c r="A11" s="12" t="s">
        <v>128</v>
      </c>
      <c r="B11" s="12" t="s">
        <v>1364</v>
      </c>
      <c r="C11" s="12" t="s">
        <v>1089</v>
      </c>
      <c r="D11" s="1" t="s">
        <v>1342</v>
      </c>
      <c r="E11" s="12" t="s">
        <v>105</v>
      </c>
      <c r="F11" s="157">
        <v>3.681</v>
      </c>
      <c r="G11" s="157">
        <v>-92031902</v>
      </c>
      <c r="H11" s="149">
        <v>341099817.10000002</v>
      </c>
      <c r="I11" s="158">
        <v>0.77712499999999995</v>
      </c>
      <c r="J11" s="149">
        <v>0.123748</v>
      </c>
      <c r="K11" s="11" t="s">
        <v>1342</v>
      </c>
      <c r="L11" s="12" t="s">
        <v>35</v>
      </c>
      <c r="M11" s="158">
        <v>1</v>
      </c>
      <c r="N11" s="158">
        <v>341438356.42000002</v>
      </c>
      <c r="O11" s="158">
        <v>-338366929.70999998</v>
      </c>
      <c r="P11" s="158">
        <v>-0.18013599999999999</v>
      </c>
      <c r="Q11" s="158">
        <v>0.770625</v>
      </c>
      <c r="R11" s="157">
        <v>2732.8870000000002</v>
      </c>
      <c r="S11" s="11" t="s">
        <v>31</v>
      </c>
      <c r="T11" s="18" t="s">
        <v>31</v>
      </c>
      <c r="U11" s="12" t="s">
        <v>792</v>
      </c>
      <c r="V11" s="12" t="s">
        <v>204</v>
      </c>
      <c r="W11" s="11" t="s">
        <v>204</v>
      </c>
      <c r="X11" s="12" t="s">
        <v>1343</v>
      </c>
      <c r="Y11" s="12" t="s">
        <v>164</v>
      </c>
      <c r="Z11" s="1" t="s">
        <v>1344</v>
      </c>
      <c r="AA11" s="24" t="s">
        <v>1345</v>
      </c>
      <c r="AB11" s="12" t="s">
        <v>947</v>
      </c>
      <c r="AC11" s="12" t="s">
        <v>953</v>
      </c>
      <c r="AD11" s="12" t="s">
        <v>164</v>
      </c>
      <c r="AE11" s="12" t="s">
        <v>971</v>
      </c>
      <c r="AF11" s="12" t="s">
        <v>614</v>
      </c>
      <c r="AG11" s="12" t="s">
        <v>945</v>
      </c>
      <c r="AH11" s="161">
        <v>5.4429999999999996</v>
      </c>
      <c r="AI11" s="157">
        <v>-370.63200000000001</v>
      </c>
      <c r="AJ11" s="12" t="s">
        <v>1346</v>
      </c>
      <c r="AK11" s="12" t="s">
        <v>164</v>
      </c>
      <c r="AL11" s="11" t="s">
        <v>165</v>
      </c>
      <c r="AM11" s="11" t="s">
        <v>1347</v>
      </c>
      <c r="AN11" s="168">
        <v>-17.476607000000001</v>
      </c>
      <c r="AO11" s="168">
        <v>9.9999999999999995E-7</v>
      </c>
    </row>
    <row r="12" spans="1:41">
      <c r="A12" s="12" t="s">
        <v>128</v>
      </c>
      <c r="B12" s="12" t="s">
        <v>1364</v>
      </c>
      <c r="C12" s="12" t="s">
        <v>1089</v>
      </c>
      <c r="D12" s="1" t="s">
        <v>1351</v>
      </c>
      <c r="E12" s="12" t="s">
        <v>105</v>
      </c>
      <c r="F12" s="157">
        <v>3.681</v>
      </c>
      <c r="G12" s="157">
        <v>-12680000</v>
      </c>
      <c r="H12" s="149">
        <v>44761804.090000004</v>
      </c>
      <c r="I12" s="158">
        <v>0.101981</v>
      </c>
      <c r="J12" s="149">
        <v>1.6239E-2</v>
      </c>
      <c r="K12" s="11" t="s">
        <v>1351</v>
      </c>
      <c r="L12" s="12" t="s">
        <v>35</v>
      </c>
      <c r="M12" s="158">
        <v>1</v>
      </c>
      <c r="N12" s="158">
        <v>45102760</v>
      </c>
      <c r="O12" s="158">
        <v>-46203133.780000001</v>
      </c>
      <c r="P12" s="158">
        <v>-2.4597000000000001E-2</v>
      </c>
      <c r="Q12" s="158">
        <v>0.105227</v>
      </c>
      <c r="R12" s="157">
        <v>-1441.33</v>
      </c>
      <c r="S12" s="11" t="s">
        <v>31</v>
      </c>
      <c r="T12" s="18" t="s">
        <v>31</v>
      </c>
      <c r="U12" s="12" t="s">
        <v>792</v>
      </c>
      <c r="V12" s="12" t="s">
        <v>204</v>
      </c>
      <c r="W12" s="11" t="s">
        <v>204</v>
      </c>
      <c r="X12" s="12" t="s">
        <v>1343</v>
      </c>
      <c r="Y12" s="12" t="s">
        <v>164</v>
      </c>
      <c r="Z12" s="1" t="s">
        <v>1352</v>
      </c>
      <c r="AA12" s="24" t="s">
        <v>1353</v>
      </c>
      <c r="AB12" s="12" t="s">
        <v>947</v>
      </c>
      <c r="AC12" s="12" t="s">
        <v>953</v>
      </c>
      <c r="AD12" s="12" t="s">
        <v>164</v>
      </c>
      <c r="AE12" s="12" t="s">
        <v>971</v>
      </c>
      <c r="AF12" s="12" t="s">
        <v>614</v>
      </c>
      <c r="AG12" s="12" t="s">
        <v>947</v>
      </c>
      <c r="AH12" s="161">
        <v>5.5110000000000001</v>
      </c>
      <c r="AI12" s="157">
        <v>-353.01100000000002</v>
      </c>
      <c r="AJ12" s="12" t="s">
        <v>1354</v>
      </c>
      <c r="AK12" s="12" t="s">
        <v>164</v>
      </c>
      <c r="AL12" s="11" t="s">
        <v>165</v>
      </c>
      <c r="AM12" s="11" t="s">
        <v>1347</v>
      </c>
      <c r="AN12" s="168">
        <v>9.2171970000000005</v>
      </c>
      <c r="AO12" s="168">
        <v>-9.9999999999999995E-7</v>
      </c>
    </row>
    <row r="13" spans="1:41">
      <c r="A13" s="12" t="s">
        <v>128</v>
      </c>
      <c r="B13" s="12" t="s">
        <v>1364</v>
      </c>
      <c r="C13" s="12" t="s">
        <v>1089</v>
      </c>
      <c r="D13" s="1" t="s">
        <v>1355</v>
      </c>
      <c r="E13" s="12" t="s">
        <v>1224</v>
      </c>
      <c r="F13" s="157">
        <v>3.9790999999999999</v>
      </c>
      <c r="G13" s="157">
        <v>-13020000</v>
      </c>
      <c r="H13" s="149">
        <v>50016971.920000002</v>
      </c>
      <c r="I13" s="158">
        <v>0.113953</v>
      </c>
      <c r="J13" s="149">
        <v>1.8145999999999999E-2</v>
      </c>
      <c r="K13" s="11" t="s">
        <v>1355</v>
      </c>
      <c r="L13" s="12" t="s">
        <v>35</v>
      </c>
      <c r="M13" s="158">
        <v>1</v>
      </c>
      <c r="N13" s="158">
        <v>50390004</v>
      </c>
      <c r="O13" s="158">
        <v>-51427707.079999998</v>
      </c>
      <c r="P13" s="158">
        <v>-2.7379000000000001E-2</v>
      </c>
      <c r="Q13" s="158">
        <v>0.11712599999999999</v>
      </c>
      <c r="R13" s="157">
        <v>-1410.7349999999999</v>
      </c>
      <c r="S13" s="11" t="s">
        <v>31</v>
      </c>
      <c r="T13" s="18" t="s">
        <v>31</v>
      </c>
      <c r="U13" s="12" t="s">
        <v>792</v>
      </c>
      <c r="V13" s="12" t="s">
        <v>204</v>
      </c>
      <c r="W13" s="11" t="s">
        <v>204</v>
      </c>
      <c r="X13" s="12" t="s">
        <v>1356</v>
      </c>
      <c r="Y13" s="12" t="s">
        <v>164</v>
      </c>
      <c r="Z13" s="1" t="s">
        <v>1352</v>
      </c>
      <c r="AA13" s="24" t="s">
        <v>1353</v>
      </c>
      <c r="AB13" s="12" t="s">
        <v>947</v>
      </c>
      <c r="AC13" s="12" t="s">
        <v>953</v>
      </c>
      <c r="AD13" s="12" t="s">
        <v>164</v>
      </c>
      <c r="AE13" s="12" t="s">
        <v>971</v>
      </c>
      <c r="AF13" s="12" t="s">
        <v>614</v>
      </c>
      <c r="AG13" s="12" t="s">
        <v>947</v>
      </c>
      <c r="AH13" s="161">
        <v>3.8759999999999999</v>
      </c>
      <c r="AI13" s="157">
        <v>-384.154</v>
      </c>
      <c r="AJ13" s="12" t="s">
        <v>1357</v>
      </c>
      <c r="AK13" s="12" t="s">
        <v>164</v>
      </c>
      <c r="AL13" s="11" t="s">
        <v>165</v>
      </c>
      <c r="AM13" s="11" t="s">
        <v>1347</v>
      </c>
      <c r="AN13" s="168">
        <v>9.0215449999999997</v>
      </c>
      <c r="AO13" s="168">
        <v>-9.9999999999999995E-7</v>
      </c>
    </row>
    <row r="14" spans="1:41">
      <c r="A14" s="12" t="s">
        <v>128</v>
      </c>
      <c r="B14" s="12" t="s">
        <v>1364</v>
      </c>
      <c r="C14" s="12" t="s">
        <v>1089</v>
      </c>
      <c r="D14" s="1" t="s">
        <v>1358</v>
      </c>
      <c r="E14" s="12" t="s">
        <v>1224</v>
      </c>
      <c r="F14" s="157">
        <v>3.9790999999999999</v>
      </c>
      <c r="G14" s="157">
        <v>-670000</v>
      </c>
      <c r="H14" s="149">
        <v>2610605.52</v>
      </c>
      <c r="I14" s="158">
        <v>5.9480000000000002E-3</v>
      </c>
      <c r="J14" s="149">
        <v>9.4700000000000003E-4</v>
      </c>
      <c r="K14" s="11" t="s">
        <v>1358</v>
      </c>
      <c r="L14" s="12" t="s">
        <v>35</v>
      </c>
      <c r="M14" s="158">
        <v>1</v>
      </c>
      <c r="N14" s="158">
        <v>2630085</v>
      </c>
      <c r="O14" s="158">
        <v>-2646428.87</v>
      </c>
      <c r="P14" s="158">
        <v>-1.4090000000000001E-3</v>
      </c>
      <c r="Q14" s="158">
        <v>6.0270000000000002E-3</v>
      </c>
      <c r="R14" s="157">
        <v>-35.823</v>
      </c>
      <c r="S14" s="11" t="s">
        <v>31</v>
      </c>
      <c r="T14" s="18" t="s">
        <v>31</v>
      </c>
      <c r="U14" s="12" t="s">
        <v>792</v>
      </c>
      <c r="V14" s="12" t="s">
        <v>204</v>
      </c>
      <c r="W14" s="11" t="s">
        <v>204</v>
      </c>
      <c r="X14" s="12" t="s">
        <v>1356</v>
      </c>
      <c r="Y14" s="12" t="s">
        <v>164</v>
      </c>
      <c r="Z14" s="1" t="s">
        <v>1359</v>
      </c>
      <c r="AA14" s="24" t="s">
        <v>1353</v>
      </c>
      <c r="AB14" s="12" t="s">
        <v>947</v>
      </c>
      <c r="AC14" s="12" t="s">
        <v>953</v>
      </c>
      <c r="AD14" s="12" t="s">
        <v>164</v>
      </c>
      <c r="AE14" s="12" t="s">
        <v>971</v>
      </c>
      <c r="AF14" s="12" t="s">
        <v>614</v>
      </c>
      <c r="AG14" s="12" t="s">
        <v>947</v>
      </c>
      <c r="AH14" s="161">
        <v>3.8759999999999999</v>
      </c>
      <c r="AI14" s="157">
        <v>-389.642</v>
      </c>
      <c r="AJ14" s="12" t="s">
        <v>1360</v>
      </c>
      <c r="AK14" s="12" t="s">
        <v>164</v>
      </c>
      <c r="AL14" s="11" t="s">
        <v>165</v>
      </c>
      <c r="AM14" s="11" t="s">
        <v>1347</v>
      </c>
      <c r="AN14" s="168">
        <v>0.22908500000000001</v>
      </c>
      <c r="AO14" s="168">
        <v>0</v>
      </c>
    </row>
    <row r="15" spans="1:41">
      <c r="A15" s="12" t="s">
        <v>128</v>
      </c>
      <c r="B15" s="12" t="s">
        <v>1364</v>
      </c>
      <c r="C15" s="12" t="s">
        <v>1089</v>
      </c>
      <c r="D15" s="1" t="s">
        <v>1361</v>
      </c>
      <c r="E15" s="12" t="s">
        <v>105</v>
      </c>
      <c r="F15" s="157">
        <v>3.681</v>
      </c>
      <c r="G15" s="157">
        <v>-120000</v>
      </c>
      <c r="H15" s="149">
        <v>435878.7</v>
      </c>
      <c r="I15" s="158">
        <v>9.9299999999999996E-4</v>
      </c>
      <c r="J15" s="149">
        <v>1.5799999999999999E-4</v>
      </c>
      <c r="K15" s="11" t="s">
        <v>1361</v>
      </c>
      <c r="L15" s="12" t="s">
        <v>35</v>
      </c>
      <c r="M15" s="158">
        <v>1</v>
      </c>
      <c r="N15" s="158">
        <v>439200</v>
      </c>
      <c r="O15" s="158">
        <v>-437252.09</v>
      </c>
      <c r="P15" s="158">
        <v>-2.33E-4</v>
      </c>
      <c r="Q15" s="158">
        <v>9.9599999999999992E-4</v>
      </c>
      <c r="R15" s="157">
        <v>-1.373</v>
      </c>
      <c r="S15" s="11" t="s">
        <v>31</v>
      </c>
      <c r="T15" s="18" t="s">
        <v>31</v>
      </c>
      <c r="U15" s="12" t="s">
        <v>792</v>
      </c>
      <c r="V15" s="12" t="s">
        <v>204</v>
      </c>
      <c r="W15" s="11" t="s">
        <v>204</v>
      </c>
      <c r="X15" s="12" t="s">
        <v>1343</v>
      </c>
      <c r="Y15" s="12" t="s">
        <v>164</v>
      </c>
      <c r="Z15" s="1" t="s">
        <v>1362</v>
      </c>
      <c r="AA15" s="24" t="s">
        <v>1353</v>
      </c>
      <c r="AB15" s="12" t="s">
        <v>947</v>
      </c>
      <c r="AC15" s="12" t="s">
        <v>953</v>
      </c>
      <c r="AD15" s="12" t="s">
        <v>164</v>
      </c>
      <c r="AE15" s="12" t="s">
        <v>971</v>
      </c>
      <c r="AF15" s="12" t="s">
        <v>614</v>
      </c>
      <c r="AG15" s="12" t="s">
        <v>947</v>
      </c>
      <c r="AH15" s="161">
        <v>5.5110000000000001</v>
      </c>
      <c r="AI15" s="157">
        <v>-363.23200000000003</v>
      </c>
      <c r="AJ15" s="12" t="s">
        <v>1363</v>
      </c>
      <c r="AK15" s="12" t="s">
        <v>164</v>
      </c>
      <c r="AL15" s="11" t="s">
        <v>165</v>
      </c>
      <c r="AM15" s="11" t="s">
        <v>1347</v>
      </c>
      <c r="AN15" s="168">
        <v>8.7799999999999996E-3</v>
      </c>
      <c r="AO15" s="168">
        <v>0</v>
      </c>
    </row>
    <row r="16" spans="1:41">
      <c r="A16" s="12" t="s">
        <v>128</v>
      </c>
      <c r="B16" s="12" t="s">
        <v>1365</v>
      </c>
      <c r="C16" s="12" t="s">
        <v>1089</v>
      </c>
      <c r="D16" s="1" t="s">
        <v>1342</v>
      </c>
      <c r="E16" s="12" t="s">
        <v>105</v>
      </c>
      <c r="F16" s="157">
        <v>3.681</v>
      </c>
      <c r="G16" s="157">
        <v>-5489500</v>
      </c>
      <c r="H16" s="149">
        <v>20345851.870000001</v>
      </c>
      <c r="I16" s="158">
        <v>0.70231900000000003</v>
      </c>
      <c r="J16" s="149">
        <v>0.11806800000000001</v>
      </c>
      <c r="K16" s="11" t="s">
        <v>1342</v>
      </c>
      <c r="L16" s="12" t="s">
        <v>35</v>
      </c>
      <c r="M16" s="158">
        <v>1</v>
      </c>
      <c r="N16" s="158">
        <v>20366045</v>
      </c>
      <c r="O16" s="158">
        <v>-20182841.16</v>
      </c>
      <c r="P16" s="158">
        <v>-0.17658099999999999</v>
      </c>
      <c r="Q16" s="158">
        <v>0.69461799999999996</v>
      </c>
      <c r="R16" s="157">
        <v>163.011</v>
      </c>
      <c r="S16" s="11" t="s">
        <v>31</v>
      </c>
      <c r="T16" s="18" t="s">
        <v>31</v>
      </c>
      <c r="U16" s="12" t="s">
        <v>792</v>
      </c>
      <c r="V16" s="12" t="s">
        <v>204</v>
      </c>
      <c r="W16" s="11" t="s">
        <v>204</v>
      </c>
      <c r="X16" s="12" t="s">
        <v>1343</v>
      </c>
      <c r="Y16" s="12" t="s">
        <v>164</v>
      </c>
      <c r="Z16" s="1" t="s">
        <v>1344</v>
      </c>
      <c r="AA16" s="24" t="s">
        <v>1345</v>
      </c>
      <c r="AB16" s="12" t="s">
        <v>947</v>
      </c>
      <c r="AC16" s="12" t="s">
        <v>953</v>
      </c>
      <c r="AD16" s="12" t="s">
        <v>164</v>
      </c>
      <c r="AE16" s="12" t="s">
        <v>971</v>
      </c>
      <c r="AF16" s="12" t="s">
        <v>614</v>
      </c>
      <c r="AG16" s="12" t="s">
        <v>945</v>
      </c>
      <c r="AH16" s="161">
        <v>5.4429999999999996</v>
      </c>
      <c r="AI16" s="157">
        <v>-370.63200000000001</v>
      </c>
      <c r="AJ16" s="12" t="s">
        <v>1346</v>
      </c>
      <c r="AK16" s="12" t="s">
        <v>164</v>
      </c>
      <c r="AL16" s="11" t="s">
        <v>165</v>
      </c>
      <c r="AM16" s="11" t="s">
        <v>1347</v>
      </c>
      <c r="AN16" s="168">
        <v>-1.884368</v>
      </c>
      <c r="AO16" s="168">
        <v>9.9999999999999995E-7</v>
      </c>
    </row>
    <row r="17" spans="1:41">
      <c r="A17" s="12" t="s">
        <v>128</v>
      </c>
      <c r="B17" s="12" t="s">
        <v>1365</v>
      </c>
      <c r="C17" s="12" t="s">
        <v>1089</v>
      </c>
      <c r="D17" s="1" t="s">
        <v>1348</v>
      </c>
      <c r="E17" s="12" t="s">
        <v>105</v>
      </c>
      <c r="F17" s="157">
        <v>3.681</v>
      </c>
      <c r="G17" s="157">
        <v>-150000</v>
      </c>
      <c r="H17" s="149">
        <v>548454.68999999994</v>
      </c>
      <c r="I17" s="158">
        <v>1.8932000000000001E-2</v>
      </c>
      <c r="J17" s="149">
        <v>3.1830000000000001E-3</v>
      </c>
      <c r="K17" s="11" t="s">
        <v>1348</v>
      </c>
      <c r="L17" s="12" t="s">
        <v>35</v>
      </c>
      <c r="M17" s="158">
        <v>1</v>
      </c>
      <c r="N17" s="158">
        <v>549000</v>
      </c>
      <c r="O17" s="158">
        <v>-551494.85</v>
      </c>
      <c r="P17" s="158">
        <v>-4.8250000000000003E-3</v>
      </c>
      <c r="Q17" s="158">
        <v>1.898E-2</v>
      </c>
      <c r="R17" s="157">
        <v>-3.04</v>
      </c>
      <c r="S17" s="11" t="s">
        <v>31</v>
      </c>
      <c r="T17" s="18" t="s">
        <v>31</v>
      </c>
      <c r="U17" s="12" t="s">
        <v>792</v>
      </c>
      <c r="V17" s="12" t="s">
        <v>204</v>
      </c>
      <c r="W17" s="11" t="s">
        <v>204</v>
      </c>
      <c r="X17" s="12" t="s">
        <v>1343</v>
      </c>
      <c r="Y17" s="12" t="s">
        <v>164</v>
      </c>
      <c r="Z17" s="1" t="s">
        <v>1349</v>
      </c>
      <c r="AA17" s="24" t="s">
        <v>1345</v>
      </c>
      <c r="AB17" s="12" t="s">
        <v>946</v>
      </c>
      <c r="AC17" s="12" t="s">
        <v>953</v>
      </c>
      <c r="AD17" s="12" t="s">
        <v>164</v>
      </c>
      <c r="AE17" s="12" t="s">
        <v>971</v>
      </c>
      <c r="AF17" s="12" t="s">
        <v>614</v>
      </c>
      <c r="AG17" s="12" t="s">
        <v>945</v>
      </c>
      <c r="AH17" s="161">
        <v>5.4429999999999996</v>
      </c>
      <c r="AI17" s="157">
        <v>-365.63600000000002</v>
      </c>
      <c r="AJ17" s="12" t="s">
        <v>1350</v>
      </c>
      <c r="AK17" s="12" t="s">
        <v>164</v>
      </c>
      <c r="AL17" s="11" t="s">
        <v>165</v>
      </c>
      <c r="AM17" s="11" t="s">
        <v>1347</v>
      </c>
      <c r="AN17" s="168">
        <v>3.5142E-2</v>
      </c>
      <c r="AO17" s="168">
        <v>0</v>
      </c>
    </row>
    <row r="18" spans="1:41">
      <c r="A18" s="12" t="s">
        <v>128</v>
      </c>
      <c r="B18" s="12" t="s">
        <v>1365</v>
      </c>
      <c r="C18" s="12" t="s">
        <v>1089</v>
      </c>
      <c r="D18" s="1" t="s">
        <v>1351</v>
      </c>
      <c r="E18" s="12" t="s">
        <v>105</v>
      </c>
      <c r="F18" s="157">
        <v>3.681</v>
      </c>
      <c r="G18" s="157">
        <v>-1521000</v>
      </c>
      <c r="H18" s="149">
        <v>5369298.4199999999</v>
      </c>
      <c r="I18" s="158">
        <v>0.18534300000000001</v>
      </c>
      <c r="J18" s="149">
        <v>3.1158000000000002E-2</v>
      </c>
      <c r="K18" s="11" t="s">
        <v>1351</v>
      </c>
      <c r="L18" s="12" t="s">
        <v>35</v>
      </c>
      <c r="M18" s="158">
        <v>1</v>
      </c>
      <c r="N18" s="158">
        <v>5410197</v>
      </c>
      <c r="O18" s="158">
        <v>-5542189.7800000003</v>
      </c>
      <c r="P18" s="158">
        <v>-4.8488999999999997E-2</v>
      </c>
      <c r="Q18" s="158">
        <v>0.19074099999999999</v>
      </c>
      <c r="R18" s="157">
        <v>-172.89099999999999</v>
      </c>
      <c r="S18" s="11" t="s">
        <v>31</v>
      </c>
      <c r="T18" s="18" t="s">
        <v>31</v>
      </c>
      <c r="U18" s="12" t="s">
        <v>792</v>
      </c>
      <c r="V18" s="12" t="s">
        <v>204</v>
      </c>
      <c r="W18" s="11" t="s">
        <v>204</v>
      </c>
      <c r="X18" s="12" t="s">
        <v>1343</v>
      </c>
      <c r="Y18" s="12" t="s">
        <v>164</v>
      </c>
      <c r="Z18" s="1" t="s">
        <v>1352</v>
      </c>
      <c r="AA18" s="24" t="s">
        <v>1353</v>
      </c>
      <c r="AB18" s="12" t="s">
        <v>947</v>
      </c>
      <c r="AC18" s="12" t="s">
        <v>953</v>
      </c>
      <c r="AD18" s="12" t="s">
        <v>164</v>
      </c>
      <c r="AE18" s="12" t="s">
        <v>971</v>
      </c>
      <c r="AF18" s="12" t="s">
        <v>614</v>
      </c>
      <c r="AG18" s="12" t="s">
        <v>947</v>
      </c>
      <c r="AH18" s="161">
        <v>5.5110000000000001</v>
      </c>
      <c r="AI18" s="157">
        <v>-353.01100000000002</v>
      </c>
      <c r="AJ18" s="12" t="s">
        <v>1354</v>
      </c>
      <c r="AK18" s="12" t="s">
        <v>164</v>
      </c>
      <c r="AL18" s="11" t="s">
        <v>165</v>
      </c>
      <c r="AM18" s="11" t="s">
        <v>1347</v>
      </c>
      <c r="AN18" s="168">
        <v>1.998578</v>
      </c>
      <c r="AO18" s="168">
        <v>-9.9999999999999995E-7</v>
      </c>
    </row>
    <row r="19" spans="1:41">
      <c r="A19" s="12" t="s">
        <v>128</v>
      </c>
      <c r="B19" s="12" t="s">
        <v>1365</v>
      </c>
      <c r="C19" s="12" t="s">
        <v>1089</v>
      </c>
      <c r="D19" s="1" t="s">
        <v>1355</v>
      </c>
      <c r="E19" s="12" t="s">
        <v>1224</v>
      </c>
      <c r="F19" s="157">
        <v>3.9790999999999999</v>
      </c>
      <c r="G19" s="157">
        <v>-658000</v>
      </c>
      <c r="H19" s="149">
        <v>2527739.4300000002</v>
      </c>
      <c r="I19" s="158">
        <v>8.7254999999999999E-2</v>
      </c>
      <c r="J19" s="149">
        <v>1.4669E-2</v>
      </c>
      <c r="K19" s="11" t="s">
        <v>1355</v>
      </c>
      <c r="L19" s="12" t="s">
        <v>35</v>
      </c>
      <c r="M19" s="158">
        <v>1</v>
      </c>
      <c r="N19" s="158">
        <v>2546591.6</v>
      </c>
      <c r="O19" s="158">
        <v>-2599034.65</v>
      </c>
      <c r="P19" s="158">
        <v>-2.2738999999999999E-2</v>
      </c>
      <c r="Q19" s="158">
        <v>8.9449000000000001E-2</v>
      </c>
      <c r="R19" s="157">
        <v>-71.295000000000002</v>
      </c>
      <c r="S19" s="11" t="s">
        <v>31</v>
      </c>
      <c r="T19" s="18" t="s">
        <v>31</v>
      </c>
      <c r="U19" s="12" t="s">
        <v>792</v>
      </c>
      <c r="V19" s="12" t="s">
        <v>204</v>
      </c>
      <c r="W19" s="11" t="s">
        <v>204</v>
      </c>
      <c r="X19" s="12" t="s">
        <v>1356</v>
      </c>
      <c r="Y19" s="12" t="s">
        <v>164</v>
      </c>
      <c r="Z19" s="1" t="s">
        <v>1352</v>
      </c>
      <c r="AA19" s="24" t="s">
        <v>1353</v>
      </c>
      <c r="AB19" s="12" t="s">
        <v>947</v>
      </c>
      <c r="AC19" s="12" t="s">
        <v>953</v>
      </c>
      <c r="AD19" s="12" t="s">
        <v>164</v>
      </c>
      <c r="AE19" s="12" t="s">
        <v>971</v>
      </c>
      <c r="AF19" s="12" t="s">
        <v>614</v>
      </c>
      <c r="AG19" s="12" t="s">
        <v>947</v>
      </c>
      <c r="AH19" s="161">
        <v>3.8759999999999999</v>
      </c>
      <c r="AI19" s="157">
        <v>-384.154</v>
      </c>
      <c r="AJ19" s="12" t="s">
        <v>1357</v>
      </c>
      <c r="AK19" s="12" t="s">
        <v>164</v>
      </c>
      <c r="AL19" s="11" t="s">
        <v>165</v>
      </c>
      <c r="AM19" s="11" t="s">
        <v>1347</v>
      </c>
      <c r="AN19" s="168">
        <v>0.82415300000000002</v>
      </c>
      <c r="AO19" s="168">
        <v>0</v>
      </c>
    </row>
    <row r="20" spans="1:41">
      <c r="A20" s="11" t="s">
        <v>128</v>
      </c>
      <c r="B20" s="11" t="s">
        <v>1365</v>
      </c>
      <c r="C20" s="12" t="s">
        <v>1089</v>
      </c>
      <c r="D20" s="11" t="s">
        <v>1358</v>
      </c>
      <c r="E20" s="12" t="s">
        <v>1224</v>
      </c>
      <c r="F20" s="158">
        <v>3.9790999999999999</v>
      </c>
      <c r="G20" s="158">
        <v>-42000</v>
      </c>
      <c r="H20" s="158">
        <v>163649.89000000001</v>
      </c>
      <c r="I20" s="158">
        <v>5.6490000000000004E-3</v>
      </c>
      <c r="J20" s="158">
        <v>9.5E-4</v>
      </c>
      <c r="K20" s="11" t="s">
        <v>1358</v>
      </c>
      <c r="L20" s="11" t="s">
        <v>35</v>
      </c>
      <c r="M20" s="158">
        <v>1</v>
      </c>
      <c r="N20" s="158">
        <v>164871</v>
      </c>
      <c r="O20" s="158">
        <v>-165895.54</v>
      </c>
      <c r="P20" s="158">
        <v>-1.451E-3</v>
      </c>
      <c r="Q20" s="158">
        <v>5.7099999999999998E-3</v>
      </c>
      <c r="R20" s="158">
        <v>-2.246</v>
      </c>
      <c r="S20" s="11" t="s">
        <v>31</v>
      </c>
      <c r="T20" s="18" t="s">
        <v>31</v>
      </c>
      <c r="U20" s="12" t="s">
        <v>792</v>
      </c>
      <c r="V20" s="12" t="s">
        <v>204</v>
      </c>
      <c r="W20" s="11" t="s">
        <v>204</v>
      </c>
      <c r="X20" s="11" t="s">
        <v>1356</v>
      </c>
      <c r="Y20" s="12" t="s">
        <v>164</v>
      </c>
      <c r="Z20" s="11" t="s">
        <v>1359</v>
      </c>
      <c r="AA20" s="11" t="s">
        <v>1353</v>
      </c>
      <c r="AB20" s="12" t="s">
        <v>947</v>
      </c>
      <c r="AC20" s="12" t="s">
        <v>953</v>
      </c>
      <c r="AD20" s="12" t="s">
        <v>164</v>
      </c>
      <c r="AE20" s="12" t="s">
        <v>971</v>
      </c>
      <c r="AF20" s="12" t="s">
        <v>614</v>
      </c>
      <c r="AG20" s="12" t="s">
        <v>947</v>
      </c>
      <c r="AH20" s="161">
        <v>3.8759999999999999</v>
      </c>
      <c r="AI20" s="158">
        <v>-389.642</v>
      </c>
      <c r="AJ20" s="11" t="s">
        <v>1360</v>
      </c>
      <c r="AK20" s="12" t="s">
        <v>164</v>
      </c>
      <c r="AL20" s="11" t="s">
        <v>165</v>
      </c>
      <c r="AM20" s="11" t="s">
        <v>1347</v>
      </c>
      <c r="AN20" s="164">
        <v>2.5963E-2</v>
      </c>
      <c r="AO20" s="164">
        <v>0</v>
      </c>
    </row>
    <row r="21" spans="1:41">
      <c r="A21" s="11" t="s">
        <v>128</v>
      </c>
      <c r="B21" s="11" t="s">
        <v>1365</v>
      </c>
      <c r="C21" s="11" t="s">
        <v>1089</v>
      </c>
      <c r="D21" s="11" t="s">
        <v>1361</v>
      </c>
      <c r="E21" s="11" t="s">
        <v>105</v>
      </c>
      <c r="F21" s="158">
        <v>3.681</v>
      </c>
      <c r="G21" s="158">
        <v>-4000</v>
      </c>
      <c r="H21" s="158">
        <v>14529.28</v>
      </c>
      <c r="I21" s="158">
        <v>5.0199999999999995E-4</v>
      </c>
      <c r="J21" s="158">
        <v>8.3999999999999995E-5</v>
      </c>
      <c r="K21" s="11" t="s">
        <v>1361</v>
      </c>
      <c r="L21" s="11" t="s">
        <v>35</v>
      </c>
      <c r="M21" s="158">
        <v>1</v>
      </c>
      <c r="N21" s="158">
        <v>14640</v>
      </c>
      <c r="O21" s="158">
        <v>-14575.06</v>
      </c>
      <c r="P21" s="158">
        <v>-1.2799999999999999E-4</v>
      </c>
      <c r="Q21" s="158">
        <v>5.0199999999999995E-4</v>
      </c>
      <c r="R21" s="158">
        <v>-4.5999999999999999E-2</v>
      </c>
      <c r="S21" s="11" t="s">
        <v>31</v>
      </c>
      <c r="T21" s="11" t="s">
        <v>31</v>
      </c>
      <c r="U21" s="11" t="s">
        <v>792</v>
      </c>
      <c r="V21" s="11" t="s">
        <v>204</v>
      </c>
      <c r="W21" s="11" t="s">
        <v>204</v>
      </c>
      <c r="X21" s="11" t="s">
        <v>1343</v>
      </c>
      <c r="Y21" s="11" t="s">
        <v>164</v>
      </c>
      <c r="Z21" s="11" t="s">
        <v>1362</v>
      </c>
      <c r="AA21" s="11" t="s">
        <v>1353</v>
      </c>
      <c r="AB21" s="11" t="s">
        <v>947</v>
      </c>
      <c r="AC21" s="11" t="s">
        <v>953</v>
      </c>
      <c r="AD21" s="11" t="s">
        <v>164</v>
      </c>
      <c r="AE21" s="11" t="s">
        <v>971</v>
      </c>
      <c r="AF21" s="11" t="s">
        <v>614</v>
      </c>
      <c r="AG21" s="11" t="s">
        <v>947</v>
      </c>
      <c r="AH21" s="161">
        <v>5.5110000000000001</v>
      </c>
      <c r="AI21" s="158">
        <v>-363.23200000000003</v>
      </c>
      <c r="AJ21" s="11" t="s">
        <v>1363</v>
      </c>
      <c r="AK21" s="11" t="s">
        <v>164</v>
      </c>
      <c r="AL21" s="11" t="s">
        <v>165</v>
      </c>
      <c r="AM21" s="11" t="s">
        <v>1347</v>
      </c>
      <c r="AN21" s="164">
        <v>5.3200000000000003E-4</v>
      </c>
      <c r="AO21" s="164">
        <v>0</v>
      </c>
    </row>
    <row r="22" spans="1:41">
      <c r="A22" s="11" t="s">
        <v>119</v>
      </c>
      <c r="B22" s="11" t="s">
        <v>1366</v>
      </c>
      <c r="C22" s="12" t="s">
        <v>1089</v>
      </c>
      <c r="D22" s="11" t="s">
        <v>1342</v>
      </c>
      <c r="E22" s="12" t="s">
        <v>105</v>
      </c>
      <c r="F22" s="158">
        <v>3.681</v>
      </c>
      <c r="G22" s="158">
        <v>-189200</v>
      </c>
      <c r="H22" s="158">
        <v>701236.03</v>
      </c>
      <c r="I22" s="158">
        <v>0.21318599999999999</v>
      </c>
      <c r="J22" s="158">
        <v>2.1749999999999999E-2</v>
      </c>
      <c r="K22" s="11" t="s">
        <v>1342</v>
      </c>
      <c r="L22" s="11" t="s">
        <v>35</v>
      </c>
      <c r="M22" s="158">
        <v>1</v>
      </c>
      <c r="N22" s="158">
        <v>701932</v>
      </c>
      <c r="O22" s="158">
        <v>-695617.73</v>
      </c>
      <c r="P22" s="158">
        <v>-2.7182000000000001E-2</v>
      </c>
      <c r="Q22" s="158">
        <v>0.20699300000000001</v>
      </c>
      <c r="R22" s="158">
        <v>5.6180000000000003</v>
      </c>
      <c r="S22" s="11" t="s">
        <v>31</v>
      </c>
      <c r="T22" s="18" t="s">
        <v>31</v>
      </c>
      <c r="U22" s="11" t="s">
        <v>792</v>
      </c>
      <c r="V22" s="11" t="s">
        <v>204</v>
      </c>
      <c r="W22" s="11" t="s">
        <v>204</v>
      </c>
      <c r="X22" s="11" t="s">
        <v>1343</v>
      </c>
      <c r="Y22" s="11" t="s">
        <v>164</v>
      </c>
      <c r="Z22" s="11" t="s">
        <v>1344</v>
      </c>
      <c r="AA22" s="11" t="s">
        <v>1345</v>
      </c>
      <c r="AB22" s="11" t="s">
        <v>947</v>
      </c>
      <c r="AC22" s="11" t="s">
        <v>953</v>
      </c>
      <c r="AD22" s="11" t="s">
        <v>164</v>
      </c>
      <c r="AE22" s="12" t="s">
        <v>971</v>
      </c>
      <c r="AF22" s="12" t="s">
        <v>614</v>
      </c>
      <c r="AG22" s="11" t="s">
        <v>945</v>
      </c>
      <c r="AH22" s="161">
        <v>5.4429999999999996</v>
      </c>
      <c r="AI22" s="158">
        <v>-370.63200000000001</v>
      </c>
      <c r="AJ22" s="11" t="s">
        <v>1346</v>
      </c>
      <c r="AK22" s="11" t="s">
        <v>164</v>
      </c>
      <c r="AL22" s="11" t="s">
        <v>165</v>
      </c>
      <c r="AM22" s="11" t="s">
        <v>1347</v>
      </c>
      <c r="AN22" s="164">
        <v>-7.8824000000000005E-2</v>
      </c>
      <c r="AO22" s="164">
        <v>0</v>
      </c>
    </row>
    <row r="23" spans="1:41">
      <c r="A23" s="11" t="s">
        <v>119</v>
      </c>
      <c r="B23" s="11" t="s">
        <v>1366</v>
      </c>
      <c r="C23" s="12" t="s">
        <v>1089</v>
      </c>
      <c r="D23" s="11" t="s">
        <v>1348</v>
      </c>
      <c r="E23" s="12" t="s">
        <v>105</v>
      </c>
      <c r="F23" s="158">
        <v>3.681</v>
      </c>
      <c r="G23" s="158">
        <v>-37000</v>
      </c>
      <c r="H23" s="158">
        <v>135285.48000000001</v>
      </c>
      <c r="I23" s="158">
        <v>4.1128999999999999E-2</v>
      </c>
      <c r="J23" s="158">
        <v>4.1960000000000001E-3</v>
      </c>
      <c r="K23" s="11" t="s">
        <v>1348</v>
      </c>
      <c r="L23" s="11" t="s">
        <v>35</v>
      </c>
      <c r="M23" s="158">
        <v>1</v>
      </c>
      <c r="N23" s="158">
        <v>135420</v>
      </c>
      <c r="O23" s="158">
        <v>-136035.39000000001</v>
      </c>
      <c r="P23" s="158">
        <v>-5.3160000000000004E-3</v>
      </c>
      <c r="Q23" s="158">
        <v>4.0480000000000002E-2</v>
      </c>
      <c r="R23" s="158">
        <v>-0.75</v>
      </c>
      <c r="S23" s="11" t="s">
        <v>31</v>
      </c>
      <c r="T23" s="18" t="s">
        <v>31</v>
      </c>
      <c r="U23" s="11" t="s">
        <v>792</v>
      </c>
      <c r="V23" s="11" t="s">
        <v>204</v>
      </c>
      <c r="W23" s="11" t="s">
        <v>204</v>
      </c>
      <c r="X23" s="11" t="s">
        <v>1343</v>
      </c>
      <c r="Y23" s="11" t="s">
        <v>164</v>
      </c>
      <c r="Z23" s="11" t="s">
        <v>1349</v>
      </c>
      <c r="AA23" s="11" t="s">
        <v>1345</v>
      </c>
      <c r="AB23" s="11" t="s">
        <v>946</v>
      </c>
      <c r="AC23" s="11" t="s">
        <v>953</v>
      </c>
      <c r="AD23" s="11" t="s">
        <v>164</v>
      </c>
      <c r="AE23" s="12" t="s">
        <v>971</v>
      </c>
      <c r="AF23" s="12" t="s">
        <v>614</v>
      </c>
      <c r="AG23" s="11" t="s">
        <v>945</v>
      </c>
      <c r="AH23" s="161">
        <v>5.4429999999999996</v>
      </c>
      <c r="AI23" s="158">
        <v>-365.63600000000002</v>
      </c>
      <c r="AJ23" s="11" t="s">
        <v>1350</v>
      </c>
      <c r="AK23" s="11" t="s">
        <v>164</v>
      </c>
      <c r="AL23" s="11" t="s">
        <v>165</v>
      </c>
      <c r="AM23" s="11" t="s">
        <v>1347</v>
      </c>
      <c r="AN23" s="164">
        <v>1.0522999999999999E-2</v>
      </c>
      <c r="AO23" s="164">
        <v>0</v>
      </c>
    </row>
    <row r="24" spans="1:41">
      <c r="A24" s="11" t="s">
        <v>119</v>
      </c>
      <c r="B24" s="11" t="s">
        <v>1366</v>
      </c>
      <c r="C24" s="12" t="s">
        <v>1089</v>
      </c>
      <c r="D24" s="11" t="s">
        <v>1351</v>
      </c>
      <c r="E24" s="12" t="s">
        <v>105</v>
      </c>
      <c r="F24" s="158">
        <v>3.681</v>
      </c>
      <c r="G24" s="158">
        <v>-493500</v>
      </c>
      <c r="H24" s="158">
        <v>1742109.64</v>
      </c>
      <c r="I24" s="158">
        <v>0.52962600000000004</v>
      </c>
      <c r="J24" s="158">
        <v>5.4033999999999999E-2</v>
      </c>
      <c r="K24" s="11" t="s">
        <v>1351</v>
      </c>
      <c r="L24" s="11" t="s">
        <v>35</v>
      </c>
      <c r="M24" s="158">
        <v>1</v>
      </c>
      <c r="N24" s="158">
        <v>1755379.5</v>
      </c>
      <c r="O24" s="158">
        <v>-1798205.56</v>
      </c>
      <c r="P24" s="158">
        <v>-7.0265999999999995E-2</v>
      </c>
      <c r="Q24" s="158">
        <v>0.53508599999999995</v>
      </c>
      <c r="R24" s="158">
        <v>-56.095999999999997</v>
      </c>
      <c r="S24" s="11" t="s">
        <v>31</v>
      </c>
      <c r="T24" s="18" t="s">
        <v>31</v>
      </c>
      <c r="U24" s="11" t="s">
        <v>792</v>
      </c>
      <c r="V24" s="11" t="s">
        <v>204</v>
      </c>
      <c r="W24" s="11" t="s">
        <v>204</v>
      </c>
      <c r="X24" s="11" t="s">
        <v>1343</v>
      </c>
      <c r="Y24" s="11" t="s">
        <v>164</v>
      </c>
      <c r="Z24" s="11" t="s">
        <v>1352</v>
      </c>
      <c r="AA24" s="11" t="s">
        <v>1353</v>
      </c>
      <c r="AB24" s="11" t="s">
        <v>947</v>
      </c>
      <c r="AC24" s="11" t="s">
        <v>953</v>
      </c>
      <c r="AD24" s="11" t="s">
        <v>164</v>
      </c>
      <c r="AE24" s="12" t="s">
        <v>971</v>
      </c>
      <c r="AF24" s="12" t="s">
        <v>614</v>
      </c>
      <c r="AG24" s="11" t="s">
        <v>947</v>
      </c>
      <c r="AH24" s="161">
        <v>5.5110000000000001</v>
      </c>
      <c r="AI24" s="158">
        <v>-353.01100000000002</v>
      </c>
      <c r="AJ24" s="11" t="s">
        <v>1354</v>
      </c>
      <c r="AK24" s="11" t="s">
        <v>164</v>
      </c>
      <c r="AL24" s="11" t="s">
        <v>165</v>
      </c>
      <c r="AM24" s="11" t="s">
        <v>1347</v>
      </c>
      <c r="AN24" s="164">
        <v>0.78705800000000004</v>
      </c>
      <c r="AO24" s="164">
        <v>-1.9999999999999999E-6</v>
      </c>
    </row>
    <row r="25" spans="1:41">
      <c r="A25" s="11" t="s">
        <v>119</v>
      </c>
      <c r="B25" s="11" t="s">
        <v>1366</v>
      </c>
      <c r="C25" s="12" t="s">
        <v>1089</v>
      </c>
      <c r="D25" s="11" t="s">
        <v>1355</v>
      </c>
      <c r="E25" s="12" t="s">
        <v>1224</v>
      </c>
      <c r="F25" s="158">
        <v>3.9790999999999999</v>
      </c>
      <c r="G25" s="158">
        <v>-185000</v>
      </c>
      <c r="H25" s="158">
        <v>710686.62</v>
      </c>
      <c r="I25" s="158">
        <v>0.216059</v>
      </c>
      <c r="J25" s="158">
        <v>2.2043E-2</v>
      </c>
      <c r="K25" s="11" t="s">
        <v>1355</v>
      </c>
      <c r="L25" s="11" t="s">
        <v>35</v>
      </c>
      <c r="M25" s="158">
        <v>1</v>
      </c>
      <c r="N25" s="158">
        <v>715987</v>
      </c>
      <c r="O25" s="158">
        <v>-730731.62</v>
      </c>
      <c r="P25" s="158">
        <v>-2.8554E-2</v>
      </c>
      <c r="Q25" s="158">
        <v>0.217441</v>
      </c>
      <c r="R25" s="158">
        <v>-20.045000000000002</v>
      </c>
      <c r="S25" s="11" t="s">
        <v>31</v>
      </c>
      <c r="T25" s="18" t="s">
        <v>31</v>
      </c>
      <c r="U25" s="11" t="s">
        <v>792</v>
      </c>
      <c r="V25" s="11" t="s">
        <v>204</v>
      </c>
      <c r="W25" s="11" t="s">
        <v>204</v>
      </c>
      <c r="X25" s="11" t="s">
        <v>1356</v>
      </c>
      <c r="Y25" s="11" t="s">
        <v>164</v>
      </c>
      <c r="Z25" s="11" t="s">
        <v>1352</v>
      </c>
      <c r="AA25" s="11" t="s">
        <v>1353</v>
      </c>
      <c r="AB25" s="11" t="s">
        <v>947</v>
      </c>
      <c r="AC25" s="11" t="s">
        <v>953</v>
      </c>
      <c r="AD25" s="11" t="s">
        <v>164</v>
      </c>
      <c r="AE25" s="12" t="s">
        <v>971</v>
      </c>
      <c r="AF25" s="12" t="s">
        <v>614</v>
      </c>
      <c r="AG25" s="11" t="s">
        <v>947</v>
      </c>
      <c r="AH25" s="161">
        <v>3.8759999999999999</v>
      </c>
      <c r="AI25" s="158">
        <v>-384.154</v>
      </c>
      <c r="AJ25" s="11" t="s">
        <v>1357</v>
      </c>
      <c r="AK25" s="11" t="s">
        <v>164</v>
      </c>
      <c r="AL25" s="11" t="s">
        <v>165</v>
      </c>
      <c r="AM25" s="11" t="s">
        <v>1347</v>
      </c>
      <c r="AN25" s="164">
        <v>0.28124300000000002</v>
      </c>
      <c r="AO25" s="164">
        <v>-9.9999999999999995E-7</v>
      </c>
    </row>
    <row r="26" spans="1:41">
      <c r="A26" s="11" t="s">
        <v>119</v>
      </c>
      <c r="B26" s="11" t="s">
        <v>1367</v>
      </c>
      <c r="C26" s="12" t="s">
        <v>1089</v>
      </c>
      <c r="D26" s="11" t="s">
        <v>1342</v>
      </c>
      <c r="E26" s="12" t="s">
        <v>105</v>
      </c>
      <c r="F26" s="158">
        <v>3.681</v>
      </c>
      <c r="G26" s="158">
        <v>-79160</v>
      </c>
      <c r="H26" s="158">
        <v>293392.40000000002</v>
      </c>
      <c r="I26" s="158">
        <v>0.32128499999999999</v>
      </c>
      <c r="J26" s="158">
        <v>9.7269999999999995E-3</v>
      </c>
      <c r="K26" s="11" t="s">
        <v>1342</v>
      </c>
      <c r="L26" s="11" t="s">
        <v>35</v>
      </c>
      <c r="M26" s="158">
        <v>1</v>
      </c>
      <c r="N26" s="158">
        <v>293683.59999999998</v>
      </c>
      <c r="O26" s="158">
        <v>-291041.74</v>
      </c>
      <c r="P26" s="158">
        <v>-1.0276E-2</v>
      </c>
      <c r="Q26" s="158">
        <v>0.313668</v>
      </c>
      <c r="R26" s="158">
        <v>2.351</v>
      </c>
      <c r="S26" s="11" t="s">
        <v>31</v>
      </c>
      <c r="T26" s="18" t="s">
        <v>31</v>
      </c>
      <c r="U26" s="11" t="s">
        <v>792</v>
      </c>
      <c r="V26" s="11" t="s">
        <v>204</v>
      </c>
      <c r="W26" s="11" t="s">
        <v>204</v>
      </c>
      <c r="X26" s="11" t="s">
        <v>1343</v>
      </c>
      <c r="Y26" s="11" t="s">
        <v>164</v>
      </c>
      <c r="Z26" s="11" t="s">
        <v>1344</v>
      </c>
      <c r="AA26" s="11" t="s">
        <v>1345</v>
      </c>
      <c r="AB26" s="11" t="s">
        <v>947</v>
      </c>
      <c r="AC26" s="11" t="s">
        <v>953</v>
      </c>
      <c r="AD26" s="11" t="s">
        <v>164</v>
      </c>
      <c r="AE26" s="12" t="s">
        <v>971</v>
      </c>
      <c r="AF26" s="12" t="s">
        <v>614</v>
      </c>
      <c r="AG26" s="11" t="s">
        <v>945</v>
      </c>
      <c r="AH26" s="161">
        <v>5.4429999999999996</v>
      </c>
      <c r="AI26" s="158">
        <v>-370.63200000000001</v>
      </c>
      <c r="AJ26" s="11" t="s">
        <v>1346</v>
      </c>
      <c r="AK26" s="11" t="s">
        <v>164</v>
      </c>
      <c r="AL26" s="11" t="s">
        <v>165</v>
      </c>
      <c r="AM26" s="11" t="s">
        <v>1347</v>
      </c>
      <c r="AN26" s="164">
        <v>-0.16012799999999999</v>
      </c>
      <c r="AO26" s="164">
        <v>0</v>
      </c>
    </row>
    <row r="27" spans="1:41">
      <c r="A27" s="11" t="s">
        <v>119</v>
      </c>
      <c r="B27" s="11" t="s">
        <v>1367</v>
      </c>
      <c r="C27" s="12" t="s">
        <v>1089</v>
      </c>
      <c r="D27" s="11" t="s">
        <v>1348</v>
      </c>
      <c r="E27" s="12" t="s">
        <v>105</v>
      </c>
      <c r="F27" s="158">
        <v>3.681</v>
      </c>
      <c r="G27" s="158">
        <v>-30000</v>
      </c>
      <c r="H27" s="158">
        <v>109690.94</v>
      </c>
      <c r="I27" s="158">
        <v>0.120119</v>
      </c>
      <c r="J27" s="158">
        <v>3.637E-3</v>
      </c>
      <c r="K27" s="11" t="s">
        <v>1348</v>
      </c>
      <c r="L27" s="11" t="s">
        <v>35</v>
      </c>
      <c r="M27" s="158">
        <v>1</v>
      </c>
      <c r="N27" s="158">
        <v>109800</v>
      </c>
      <c r="O27" s="158">
        <v>-110298.97</v>
      </c>
      <c r="P27" s="158">
        <v>-3.8939999999999999E-3</v>
      </c>
      <c r="Q27" s="158">
        <v>0.11887399999999999</v>
      </c>
      <c r="R27" s="158">
        <v>-0.60799999999999998</v>
      </c>
      <c r="S27" s="11" t="s">
        <v>31</v>
      </c>
      <c r="T27" s="18" t="s">
        <v>31</v>
      </c>
      <c r="U27" s="11" t="s">
        <v>792</v>
      </c>
      <c r="V27" s="11" t="s">
        <v>204</v>
      </c>
      <c r="W27" s="11" t="s">
        <v>204</v>
      </c>
      <c r="X27" s="11" t="s">
        <v>1343</v>
      </c>
      <c r="Y27" s="11" t="s">
        <v>164</v>
      </c>
      <c r="Z27" s="11" t="s">
        <v>1349</v>
      </c>
      <c r="AA27" s="11" t="s">
        <v>1345</v>
      </c>
      <c r="AB27" s="11" t="s">
        <v>946</v>
      </c>
      <c r="AC27" s="11" t="s">
        <v>953</v>
      </c>
      <c r="AD27" s="11" t="s">
        <v>164</v>
      </c>
      <c r="AE27" s="11" t="s">
        <v>971</v>
      </c>
      <c r="AF27" s="11" t="s">
        <v>614</v>
      </c>
      <c r="AG27" s="11" t="s">
        <v>945</v>
      </c>
      <c r="AH27" s="161">
        <v>5.4429999999999996</v>
      </c>
      <c r="AI27" s="158">
        <v>-365.63600000000002</v>
      </c>
      <c r="AJ27" s="11" t="s">
        <v>1350</v>
      </c>
      <c r="AK27" s="11" t="s">
        <v>164</v>
      </c>
      <c r="AL27" s="11" t="s">
        <v>165</v>
      </c>
      <c r="AM27" s="11" t="s">
        <v>1347</v>
      </c>
      <c r="AN27" s="164">
        <v>4.1411000000000003E-2</v>
      </c>
      <c r="AO27" s="164">
        <v>0</v>
      </c>
    </row>
    <row r="28" spans="1:41">
      <c r="A28" s="11" t="s">
        <v>119</v>
      </c>
      <c r="B28" s="11" t="s">
        <v>1367</v>
      </c>
      <c r="C28" s="12" t="s">
        <v>1089</v>
      </c>
      <c r="D28" s="11" t="s">
        <v>1351</v>
      </c>
      <c r="E28" s="12" t="s">
        <v>105</v>
      </c>
      <c r="F28" s="158">
        <v>3.681</v>
      </c>
      <c r="G28" s="158">
        <v>-144500</v>
      </c>
      <c r="H28" s="158">
        <v>510100.99</v>
      </c>
      <c r="I28" s="158">
        <v>0.55859599999999998</v>
      </c>
      <c r="J28" s="158">
        <v>1.6910999999999999E-2</v>
      </c>
      <c r="K28" s="11" t="s">
        <v>1351</v>
      </c>
      <c r="L28" s="11" t="s">
        <v>35</v>
      </c>
      <c r="M28" s="158">
        <v>1</v>
      </c>
      <c r="N28" s="158">
        <v>513986.5</v>
      </c>
      <c r="O28" s="158">
        <v>-526526.24</v>
      </c>
      <c r="P28" s="158">
        <v>-1.8591E-2</v>
      </c>
      <c r="Q28" s="158">
        <v>0.56745900000000005</v>
      </c>
      <c r="R28" s="158">
        <v>-16.425000000000001</v>
      </c>
      <c r="S28" s="11" t="s">
        <v>31</v>
      </c>
      <c r="T28" s="18" t="s">
        <v>31</v>
      </c>
      <c r="U28" s="11" t="s">
        <v>792</v>
      </c>
      <c r="V28" s="11" t="s">
        <v>204</v>
      </c>
      <c r="W28" s="11" t="s">
        <v>204</v>
      </c>
      <c r="X28" s="11" t="s">
        <v>1343</v>
      </c>
      <c r="Y28" s="11" t="s">
        <v>164</v>
      </c>
      <c r="Z28" s="11" t="s">
        <v>1352</v>
      </c>
      <c r="AA28" s="11" t="s">
        <v>1353</v>
      </c>
      <c r="AB28" s="11" t="s">
        <v>947</v>
      </c>
      <c r="AC28" s="11" t="s">
        <v>953</v>
      </c>
      <c r="AD28" s="11" t="s">
        <v>164</v>
      </c>
      <c r="AE28" s="11" t="s">
        <v>971</v>
      </c>
      <c r="AF28" s="11" t="s">
        <v>614</v>
      </c>
      <c r="AG28" s="11" t="s">
        <v>947</v>
      </c>
      <c r="AH28" s="161">
        <v>5.5110000000000001</v>
      </c>
      <c r="AI28" s="158">
        <v>-353.01100000000002</v>
      </c>
      <c r="AJ28" s="11" t="s">
        <v>1354</v>
      </c>
      <c r="AK28" s="11" t="s">
        <v>164</v>
      </c>
      <c r="AL28" s="11" t="s">
        <v>165</v>
      </c>
      <c r="AM28" s="11" t="s">
        <v>1347</v>
      </c>
      <c r="AN28" s="164">
        <v>1.118717</v>
      </c>
      <c r="AO28" s="164">
        <v>-9.9999999999999995E-7</v>
      </c>
    </row>
    <row r="29" spans="1:41">
      <c r="A29" s="11" t="s">
        <v>26</v>
      </c>
      <c r="B29" s="11" t="s">
        <v>1368</v>
      </c>
      <c r="C29" s="12" t="s">
        <v>1089</v>
      </c>
      <c r="D29" s="11" t="s">
        <v>1348</v>
      </c>
      <c r="E29" s="12" t="s">
        <v>105</v>
      </c>
      <c r="F29" s="158">
        <v>3.681</v>
      </c>
      <c r="G29" s="158">
        <v>-4500</v>
      </c>
      <c r="H29" s="158">
        <v>16453.64</v>
      </c>
      <c r="I29" s="158">
        <v>1</v>
      </c>
      <c r="J29" s="158">
        <v>2.1050000000000001E-3</v>
      </c>
      <c r="K29" s="11" t="s">
        <v>1348</v>
      </c>
      <c r="L29" s="11" t="s">
        <v>35</v>
      </c>
      <c r="M29" s="158">
        <v>1</v>
      </c>
      <c r="N29" s="158">
        <v>16470</v>
      </c>
      <c r="O29" s="158">
        <v>-16544.84</v>
      </c>
      <c r="P29" s="158">
        <v>-2.1250000000000002E-3</v>
      </c>
      <c r="Q29" s="158">
        <v>1</v>
      </c>
      <c r="R29" s="158">
        <v>-9.0999999999999998E-2</v>
      </c>
      <c r="S29" s="11" t="s">
        <v>31</v>
      </c>
      <c r="T29" s="18" t="s">
        <v>31</v>
      </c>
      <c r="U29" s="11" t="s">
        <v>792</v>
      </c>
      <c r="V29" s="11" t="s">
        <v>204</v>
      </c>
      <c r="W29" s="11" t="s">
        <v>204</v>
      </c>
      <c r="X29" s="11" t="s">
        <v>1343</v>
      </c>
      <c r="Y29" s="11" t="s">
        <v>164</v>
      </c>
      <c r="Z29" s="11" t="s">
        <v>1349</v>
      </c>
      <c r="AA29" s="11" t="s">
        <v>1345</v>
      </c>
      <c r="AB29" s="11" t="s">
        <v>946</v>
      </c>
      <c r="AC29" s="11" t="s">
        <v>953</v>
      </c>
      <c r="AD29" s="11" t="s">
        <v>164</v>
      </c>
      <c r="AE29" s="11" t="s">
        <v>971</v>
      </c>
      <c r="AF29" s="11" t="s">
        <v>614</v>
      </c>
      <c r="AG29" s="11" t="s">
        <v>945</v>
      </c>
      <c r="AH29" s="161">
        <v>5.4429999999999996</v>
      </c>
      <c r="AI29" s="158">
        <v>-365.63600000000002</v>
      </c>
      <c r="AJ29" s="11" t="s">
        <v>1350</v>
      </c>
      <c r="AK29" s="11" t="s">
        <v>164</v>
      </c>
      <c r="AL29" s="11" t="s">
        <v>165</v>
      </c>
      <c r="AM29" s="11" t="s">
        <v>1347</v>
      </c>
      <c r="AN29" s="164">
        <v>1</v>
      </c>
      <c r="AO29" s="164">
        <v>0</v>
      </c>
    </row>
    <row r="30" spans="1:41">
      <c r="C30" s="12"/>
      <c r="E30" s="12"/>
      <c r="T30" s="18"/>
    </row>
    <row r="31" spans="1:41">
      <c r="C31" s="12"/>
      <c r="E31" s="12"/>
      <c r="T31" s="18"/>
    </row>
    <row r="32" spans="1:41">
      <c r="C32" s="12"/>
      <c r="E32" s="12"/>
      <c r="T32" s="18"/>
    </row>
    <row r="33" spans="3:20">
      <c r="C33" s="12"/>
      <c r="T33" s="18"/>
    </row>
    <row r="34" spans="3:20">
      <c r="C34" s="12"/>
      <c r="T34" s="18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09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5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5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19" t="s">
        <v>0</v>
      </c>
      <c r="B1" s="19" t="s">
        <v>1</v>
      </c>
      <c r="C1" s="19" t="s">
        <v>145</v>
      </c>
      <c r="D1" s="19" t="s">
        <v>146</v>
      </c>
      <c r="E1" s="19" t="s">
        <v>147</v>
      </c>
      <c r="F1" s="19" t="s">
        <v>148</v>
      </c>
      <c r="G1" s="19" t="s">
        <v>5</v>
      </c>
      <c r="H1" s="19" t="s">
        <v>1199</v>
      </c>
      <c r="I1" s="19" t="s">
        <v>6</v>
      </c>
      <c r="J1" s="19" t="s">
        <v>7</v>
      </c>
      <c r="K1" s="19" t="s">
        <v>186</v>
      </c>
      <c r="L1" s="19" t="s">
        <v>150</v>
      </c>
      <c r="M1" s="19" t="s">
        <v>1200</v>
      </c>
      <c r="N1" s="19" t="s">
        <v>1201</v>
      </c>
      <c r="O1" s="19" t="s">
        <v>1202</v>
      </c>
      <c r="P1" s="19" t="s">
        <v>9</v>
      </c>
      <c r="Q1" s="19" t="s">
        <v>10</v>
      </c>
      <c r="R1" s="19" t="s">
        <v>151</v>
      </c>
      <c r="S1" s="19" t="s">
        <v>11</v>
      </c>
      <c r="T1" s="19" t="s">
        <v>12</v>
      </c>
      <c r="U1" s="19" t="s">
        <v>152</v>
      </c>
      <c r="V1" s="159" t="s">
        <v>14</v>
      </c>
      <c r="W1" s="19" t="s">
        <v>799</v>
      </c>
      <c r="X1" s="19" t="s">
        <v>954</v>
      </c>
      <c r="Y1" s="170" t="s">
        <v>1204</v>
      </c>
      <c r="Z1" s="163" t="s">
        <v>15</v>
      </c>
      <c r="AA1" s="19" t="s">
        <v>13</v>
      </c>
      <c r="AB1" s="19" t="s">
        <v>457</v>
      </c>
      <c r="AC1" s="19" t="s">
        <v>802</v>
      </c>
      <c r="AD1" s="170" t="s">
        <v>1205</v>
      </c>
      <c r="AE1" s="170" t="s">
        <v>1206</v>
      </c>
      <c r="AF1" s="19" t="s">
        <v>1207</v>
      </c>
      <c r="AG1" s="19" t="s">
        <v>825</v>
      </c>
      <c r="AH1" s="19" t="s">
        <v>826</v>
      </c>
      <c r="AI1" s="19" t="s">
        <v>1208</v>
      </c>
      <c r="AJ1" s="19" t="s">
        <v>832</v>
      </c>
      <c r="AK1" s="19" t="s">
        <v>187</v>
      </c>
      <c r="AL1" s="19" t="s">
        <v>200</v>
      </c>
      <c r="AM1" s="19" t="s">
        <v>188</v>
      </c>
      <c r="AN1" s="19" t="s">
        <v>159</v>
      </c>
      <c r="AO1" s="19" t="s">
        <v>189</v>
      </c>
      <c r="AP1" s="159" t="s">
        <v>1209</v>
      </c>
      <c r="AQ1" s="19" t="s">
        <v>1210</v>
      </c>
      <c r="AR1" s="19" t="s">
        <v>1211</v>
      </c>
      <c r="AS1" s="19" t="s">
        <v>18</v>
      </c>
      <c r="AT1" s="19" t="s">
        <v>20</v>
      </c>
      <c r="AU1" s="19" t="s">
        <v>201</v>
      </c>
      <c r="AV1" s="19" t="s">
        <v>21</v>
      </c>
      <c r="AW1" s="19" t="s">
        <v>202</v>
      </c>
      <c r="AX1" s="19" t="s">
        <v>875</v>
      </c>
      <c r="AY1" s="19" t="s">
        <v>22</v>
      </c>
      <c r="AZ1" s="163" t="s">
        <v>24</v>
      </c>
      <c r="BA1" s="163" t="s">
        <v>25</v>
      </c>
    </row>
    <row r="2" spans="1:53">
      <c r="A2" s="2" t="s">
        <v>26</v>
      </c>
      <c r="B2" s="2">
        <v>1182</v>
      </c>
      <c r="C2" s="20" t="s">
        <v>1369</v>
      </c>
      <c r="D2" s="20" t="s">
        <v>34</v>
      </c>
      <c r="E2" s="20" t="s">
        <v>1370</v>
      </c>
      <c r="F2" s="20" t="s">
        <v>1371</v>
      </c>
      <c r="G2" s="20" t="s">
        <v>1084</v>
      </c>
      <c r="H2" s="2" t="s">
        <v>1372</v>
      </c>
      <c r="I2" s="18" t="s">
        <v>31</v>
      </c>
      <c r="J2" s="18" t="s">
        <v>31</v>
      </c>
      <c r="K2" s="20" t="s">
        <v>493</v>
      </c>
      <c r="L2" s="20" t="s">
        <v>164</v>
      </c>
      <c r="M2" s="20" t="s">
        <v>164</v>
      </c>
      <c r="N2" s="20"/>
      <c r="O2" s="20" t="s">
        <v>1373</v>
      </c>
      <c r="P2" s="20" t="s">
        <v>1374</v>
      </c>
      <c r="Q2" s="20" t="s">
        <v>104</v>
      </c>
      <c r="R2" s="20" t="s">
        <v>454</v>
      </c>
      <c r="S2" s="18" t="s">
        <v>35</v>
      </c>
      <c r="T2" s="153">
        <v>1.63</v>
      </c>
      <c r="U2" s="20" t="s">
        <v>204</v>
      </c>
      <c r="V2" s="167">
        <v>5.5E-2</v>
      </c>
      <c r="W2" s="20" t="s">
        <v>801</v>
      </c>
      <c r="X2" s="20" t="s">
        <v>955</v>
      </c>
      <c r="Y2" s="171">
        <v>5.5</v>
      </c>
      <c r="Z2" s="168">
        <v>0.2452</v>
      </c>
      <c r="AA2" s="20" t="s">
        <v>1375</v>
      </c>
      <c r="AB2" s="18" t="s">
        <v>459</v>
      </c>
      <c r="AC2" s="20"/>
      <c r="AD2" s="20"/>
      <c r="AE2" s="20"/>
      <c r="AF2" s="20"/>
      <c r="AG2" s="20" t="s">
        <v>387</v>
      </c>
      <c r="AH2" s="20" t="s">
        <v>829</v>
      </c>
      <c r="AI2" s="2" t="s">
        <v>1376</v>
      </c>
      <c r="AJ2" s="2" t="s">
        <v>387</v>
      </c>
      <c r="AK2" s="20" t="s">
        <v>938</v>
      </c>
      <c r="AL2" s="20" t="s">
        <v>1377</v>
      </c>
      <c r="AM2" s="20"/>
      <c r="AN2" s="2" t="s">
        <v>1378</v>
      </c>
      <c r="AQ2" s="150">
        <v>205882</v>
      </c>
      <c r="AR2" s="153">
        <v>59.978000000000002</v>
      </c>
      <c r="AS2" s="153">
        <v>1</v>
      </c>
      <c r="AT2" s="153">
        <v>123.483</v>
      </c>
      <c r="AU2" s="156">
        <v>123.483</v>
      </c>
      <c r="AV2" s="27"/>
      <c r="AW2" s="27"/>
      <c r="AX2" s="18" t="s">
        <v>387</v>
      </c>
      <c r="AY2" s="20" t="s">
        <v>37</v>
      </c>
      <c r="AZ2" s="168">
        <v>1.33494353072676E-2</v>
      </c>
      <c r="BA2" s="168">
        <v>3.2508993054477598E-4</v>
      </c>
    </row>
    <row r="3" spans="1:53">
      <c r="A3" s="2" t="s">
        <v>26</v>
      </c>
      <c r="B3" s="2">
        <v>1182</v>
      </c>
      <c r="C3" s="20" t="s">
        <v>1379</v>
      </c>
      <c r="D3" s="20" t="s">
        <v>1380</v>
      </c>
      <c r="E3" s="20" t="s">
        <v>1381</v>
      </c>
      <c r="F3" s="20" t="s">
        <v>1382</v>
      </c>
      <c r="G3" s="20" t="s">
        <v>1084</v>
      </c>
      <c r="I3" s="18" t="s">
        <v>31</v>
      </c>
      <c r="J3" s="18" t="s">
        <v>31</v>
      </c>
      <c r="K3" s="20" t="s">
        <v>484</v>
      </c>
      <c r="L3" s="20" t="s">
        <v>164</v>
      </c>
      <c r="M3" s="20" t="s">
        <v>164</v>
      </c>
      <c r="N3" s="20"/>
      <c r="O3" s="20" t="s">
        <v>1383</v>
      </c>
      <c r="P3" s="20" t="s">
        <v>1384</v>
      </c>
      <c r="Q3" s="20" t="s">
        <v>104</v>
      </c>
      <c r="R3" s="20" t="s">
        <v>454</v>
      </c>
      <c r="S3" s="18" t="s">
        <v>35</v>
      </c>
      <c r="T3" s="153">
        <v>4.9000000000000004</v>
      </c>
      <c r="U3" s="20" t="s">
        <v>204</v>
      </c>
      <c r="V3" s="167">
        <v>3.5499999999999997E-2</v>
      </c>
      <c r="W3" s="20" t="s">
        <v>801</v>
      </c>
      <c r="X3" s="20" t="s">
        <v>955</v>
      </c>
      <c r="Y3" s="171">
        <v>3.55</v>
      </c>
      <c r="Z3" s="168">
        <v>5.425E-2</v>
      </c>
      <c r="AA3" s="20" t="s">
        <v>1385</v>
      </c>
      <c r="AB3" s="18" t="s">
        <v>459</v>
      </c>
      <c r="AC3" s="20"/>
      <c r="AD3" s="20"/>
      <c r="AE3" s="20"/>
      <c r="AF3" s="20"/>
      <c r="AG3" s="20" t="s">
        <v>164</v>
      </c>
      <c r="AH3" s="20"/>
      <c r="AI3" s="2" t="s">
        <v>1386</v>
      </c>
      <c r="AJ3" s="2" t="s">
        <v>387</v>
      </c>
      <c r="AK3" s="20" t="s">
        <v>938</v>
      </c>
      <c r="AL3" s="20" t="s">
        <v>1377</v>
      </c>
      <c r="AM3" s="20"/>
      <c r="AN3" s="2" t="s">
        <v>1378</v>
      </c>
      <c r="AQ3" s="150">
        <v>350382.59</v>
      </c>
      <c r="AR3" s="153">
        <v>109.09</v>
      </c>
      <c r="AS3" s="153">
        <v>1</v>
      </c>
      <c r="AT3" s="153">
        <v>382.23200000000003</v>
      </c>
      <c r="AU3" s="153">
        <v>382.23200000000003</v>
      </c>
      <c r="AV3" s="20"/>
      <c r="AW3" s="20"/>
      <c r="AX3" s="18" t="s">
        <v>164</v>
      </c>
      <c r="AY3" s="20" t="s">
        <v>37</v>
      </c>
      <c r="AZ3" s="168">
        <v>4.1322217330252799E-2</v>
      </c>
      <c r="BA3" s="168">
        <v>1.0062925099561799E-3</v>
      </c>
    </row>
    <row r="4" spans="1:53">
      <c r="A4" s="2" t="s">
        <v>26</v>
      </c>
      <c r="B4" s="2">
        <v>1182</v>
      </c>
      <c r="C4" s="20" t="s">
        <v>1387</v>
      </c>
      <c r="D4" s="20" t="s">
        <v>34</v>
      </c>
      <c r="E4" s="20" t="s">
        <v>1388</v>
      </c>
      <c r="F4" s="20" t="s">
        <v>1389</v>
      </c>
      <c r="G4" s="20" t="s">
        <v>1084</v>
      </c>
      <c r="I4" s="18" t="s">
        <v>31</v>
      </c>
      <c r="J4" s="18" t="s">
        <v>31</v>
      </c>
      <c r="K4" s="20" t="s">
        <v>498</v>
      </c>
      <c r="L4" s="20" t="s">
        <v>164</v>
      </c>
      <c r="M4" s="20" t="s">
        <v>387</v>
      </c>
      <c r="N4" s="20"/>
      <c r="O4" s="20" t="s">
        <v>1390</v>
      </c>
      <c r="P4" s="20" t="s">
        <v>1391</v>
      </c>
      <c r="Q4" s="20" t="s">
        <v>217</v>
      </c>
      <c r="R4" s="20" t="s">
        <v>454</v>
      </c>
      <c r="S4" s="18" t="s">
        <v>35</v>
      </c>
      <c r="T4" s="153">
        <v>3.44</v>
      </c>
      <c r="U4" s="20" t="s">
        <v>204</v>
      </c>
      <c r="V4" s="167">
        <v>5.5E-2</v>
      </c>
      <c r="W4" s="20" t="s">
        <v>801</v>
      </c>
      <c r="X4" s="20" t="s">
        <v>1392</v>
      </c>
      <c r="Y4" s="171">
        <v>5.5</v>
      </c>
      <c r="Z4" s="168">
        <v>2.8799999999999999E-2</v>
      </c>
      <c r="AA4" s="20" t="s">
        <v>1393</v>
      </c>
      <c r="AB4" s="18" t="s">
        <v>459</v>
      </c>
      <c r="AC4" s="20"/>
      <c r="AD4" s="20"/>
      <c r="AE4" s="20"/>
      <c r="AF4" s="20"/>
      <c r="AG4" s="20" t="s">
        <v>164</v>
      </c>
      <c r="AH4" s="20"/>
      <c r="AJ4" s="2" t="s">
        <v>164</v>
      </c>
      <c r="AK4" s="20" t="s">
        <v>204</v>
      </c>
      <c r="AL4" s="20"/>
      <c r="AM4" s="20"/>
      <c r="AN4" s="2" t="s">
        <v>1378</v>
      </c>
      <c r="AQ4" s="150">
        <v>6664.24</v>
      </c>
      <c r="AR4" s="153">
        <v>122.46</v>
      </c>
      <c r="AS4" s="153">
        <v>1</v>
      </c>
      <c r="AT4" s="153">
        <v>8.1609999999999996</v>
      </c>
      <c r="AU4" s="156">
        <v>8.1609999999999996</v>
      </c>
      <c r="AV4" s="27"/>
      <c r="AW4" s="27"/>
      <c r="AX4" s="18" t="s">
        <v>164</v>
      </c>
      <c r="AY4" s="20" t="s">
        <v>37</v>
      </c>
      <c r="AZ4" s="168">
        <v>8.82269043521306E-4</v>
      </c>
      <c r="BA4" s="168">
        <v>2.14853119610235E-5</v>
      </c>
    </row>
    <row r="5" spans="1:53">
      <c r="A5" s="2" t="s">
        <v>26</v>
      </c>
      <c r="B5" s="2">
        <v>1182</v>
      </c>
      <c r="C5" s="20" t="s">
        <v>1387</v>
      </c>
      <c r="D5" s="20" t="s">
        <v>34</v>
      </c>
      <c r="E5" s="20" t="s">
        <v>1394</v>
      </c>
      <c r="F5" s="20" t="s">
        <v>1395</v>
      </c>
      <c r="G5" s="20" t="s">
        <v>1084</v>
      </c>
      <c r="I5" s="18" t="s">
        <v>31</v>
      </c>
      <c r="J5" s="18" t="s">
        <v>31</v>
      </c>
      <c r="K5" s="20" t="s">
        <v>498</v>
      </c>
      <c r="L5" s="20" t="s">
        <v>164</v>
      </c>
      <c r="M5" s="20" t="s">
        <v>387</v>
      </c>
      <c r="N5" s="20"/>
      <c r="O5" s="20" t="s">
        <v>1390</v>
      </c>
      <c r="P5" s="20" t="s">
        <v>1396</v>
      </c>
      <c r="Q5" s="20" t="s">
        <v>104</v>
      </c>
      <c r="R5" s="20" t="s">
        <v>454</v>
      </c>
      <c r="S5" s="18" t="s">
        <v>35</v>
      </c>
      <c r="T5" s="153">
        <v>3.21</v>
      </c>
      <c r="U5" s="20" t="s">
        <v>1397</v>
      </c>
      <c r="V5" s="167">
        <v>5.5E-2</v>
      </c>
      <c r="W5" s="20" t="s">
        <v>801</v>
      </c>
      <c r="X5" s="20" t="s">
        <v>1392</v>
      </c>
      <c r="Y5" s="171">
        <v>5.5</v>
      </c>
      <c r="Z5" s="168">
        <v>2.01E-2</v>
      </c>
      <c r="AA5" s="20" t="s">
        <v>1393</v>
      </c>
      <c r="AB5" s="18" t="s">
        <v>459</v>
      </c>
      <c r="AC5" s="20"/>
      <c r="AD5" s="20"/>
      <c r="AE5" s="20"/>
      <c r="AF5" s="20"/>
      <c r="AG5" s="20" t="s">
        <v>164</v>
      </c>
      <c r="AH5" s="20"/>
      <c r="AJ5" s="2" t="s">
        <v>164</v>
      </c>
      <c r="AK5" s="20" t="s">
        <v>204</v>
      </c>
      <c r="AL5" s="20"/>
      <c r="AM5" s="20"/>
      <c r="AN5" s="2" t="s">
        <v>1378</v>
      </c>
      <c r="AQ5" s="150">
        <v>9599.91</v>
      </c>
      <c r="AR5" s="153">
        <v>126.7</v>
      </c>
      <c r="AS5" s="153">
        <v>1</v>
      </c>
      <c r="AT5" s="153">
        <v>12.163</v>
      </c>
      <c r="AU5" s="156">
        <v>12.163</v>
      </c>
      <c r="AV5" s="27"/>
      <c r="AW5" s="27"/>
      <c r="AX5" s="18" t="s">
        <v>164</v>
      </c>
      <c r="AY5" s="20" t="s">
        <v>37</v>
      </c>
      <c r="AZ5" s="168">
        <v>1.3149218242215399E-3</v>
      </c>
      <c r="BA5" s="168">
        <v>3.2021417735570497E-5</v>
      </c>
    </row>
    <row r="6" spans="1:53">
      <c r="A6" s="2" t="s">
        <v>26</v>
      </c>
      <c r="B6" s="2">
        <v>1182</v>
      </c>
      <c r="C6" s="20" t="s">
        <v>1387</v>
      </c>
      <c r="D6" s="20" t="s">
        <v>34</v>
      </c>
      <c r="E6" s="20" t="s">
        <v>1398</v>
      </c>
      <c r="F6" s="20" t="s">
        <v>1399</v>
      </c>
      <c r="G6" s="20" t="s">
        <v>1084</v>
      </c>
      <c r="I6" s="18" t="s">
        <v>31</v>
      </c>
      <c r="J6" s="18" t="s">
        <v>31</v>
      </c>
      <c r="K6" s="20" t="s">
        <v>498</v>
      </c>
      <c r="L6" s="20" t="s">
        <v>164</v>
      </c>
      <c r="M6" s="20" t="s">
        <v>387</v>
      </c>
      <c r="N6" s="20"/>
      <c r="O6" s="20" t="s">
        <v>1390</v>
      </c>
      <c r="P6" s="20" t="s">
        <v>1396</v>
      </c>
      <c r="Q6" s="20" t="s">
        <v>104</v>
      </c>
      <c r="R6" s="20" t="s">
        <v>454</v>
      </c>
      <c r="S6" s="18" t="s">
        <v>35</v>
      </c>
      <c r="T6" s="153">
        <v>3.21</v>
      </c>
      <c r="U6" s="20" t="s">
        <v>1397</v>
      </c>
      <c r="V6" s="167">
        <v>5.5E-2</v>
      </c>
      <c r="W6" s="20" t="s">
        <v>801</v>
      </c>
      <c r="X6" s="20" t="s">
        <v>1392</v>
      </c>
      <c r="Y6" s="171">
        <v>5.5</v>
      </c>
      <c r="Z6" s="168">
        <v>1.966E-2</v>
      </c>
      <c r="AA6" s="20" t="s">
        <v>1393</v>
      </c>
      <c r="AB6" s="18" t="s">
        <v>459</v>
      </c>
      <c r="AC6" s="20"/>
      <c r="AD6" s="20"/>
      <c r="AE6" s="20"/>
      <c r="AF6" s="20"/>
      <c r="AG6" s="20" t="s">
        <v>164</v>
      </c>
      <c r="AH6" s="20"/>
      <c r="AJ6" s="2" t="s">
        <v>164</v>
      </c>
      <c r="AK6" s="20" t="s">
        <v>204</v>
      </c>
      <c r="AL6" s="20"/>
      <c r="AM6" s="20"/>
      <c r="AN6" s="2" t="s">
        <v>1378</v>
      </c>
      <c r="AQ6" s="150">
        <v>1057.71</v>
      </c>
      <c r="AR6" s="153">
        <v>126.7</v>
      </c>
      <c r="AS6" s="153">
        <v>1</v>
      </c>
      <c r="AT6" s="153">
        <v>1.34</v>
      </c>
      <c r="AU6" s="156">
        <v>1.34</v>
      </c>
      <c r="AV6" s="27"/>
      <c r="AW6" s="27"/>
      <c r="AX6" s="18" t="s">
        <v>164</v>
      </c>
      <c r="AY6" s="20" t="s">
        <v>37</v>
      </c>
      <c r="AZ6" s="168">
        <v>1.4487697933598999E-4</v>
      </c>
      <c r="BA6" s="168">
        <v>3.5280928418172999E-6</v>
      </c>
    </row>
    <row r="7" spans="1:53">
      <c r="A7" s="2" t="s">
        <v>26</v>
      </c>
      <c r="B7" s="2">
        <v>1182</v>
      </c>
      <c r="C7" s="20" t="s">
        <v>1387</v>
      </c>
      <c r="D7" s="20" t="s">
        <v>34</v>
      </c>
      <c r="E7" s="20" t="s">
        <v>1400</v>
      </c>
      <c r="F7" s="20" t="s">
        <v>1401</v>
      </c>
      <c r="G7" s="20" t="s">
        <v>1084</v>
      </c>
      <c r="I7" s="18" t="s">
        <v>31</v>
      </c>
      <c r="J7" s="18" t="s">
        <v>31</v>
      </c>
      <c r="K7" s="20" t="s">
        <v>498</v>
      </c>
      <c r="L7" s="20" t="s">
        <v>164</v>
      </c>
      <c r="M7" s="20" t="s">
        <v>387</v>
      </c>
      <c r="N7" s="20" t="s">
        <v>1387</v>
      </c>
      <c r="O7" s="20" t="s">
        <v>1402</v>
      </c>
      <c r="P7" s="20" t="s">
        <v>1396</v>
      </c>
      <c r="Q7" s="20" t="s">
        <v>104</v>
      </c>
      <c r="R7" s="20" t="s">
        <v>454</v>
      </c>
      <c r="S7" s="18" t="s">
        <v>35</v>
      </c>
      <c r="T7" s="153">
        <v>3.32</v>
      </c>
      <c r="U7" s="20" t="s">
        <v>204</v>
      </c>
      <c r="V7" s="167">
        <v>5.5300000000000002E-2</v>
      </c>
      <c r="W7" s="20" t="s">
        <v>801</v>
      </c>
      <c r="X7" s="20" t="s">
        <v>955</v>
      </c>
      <c r="Y7" s="171">
        <v>5.53</v>
      </c>
      <c r="Z7" s="168">
        <v>2.3369999999999998E-2</v>
      </c>
      <c r="AA7" s="20" t="s">
        <v>1403</v>
      </c>
      <c r="AB7" s="18" t="s">
        <v>459</v>
      </c>
      <c r="AC7" s="20" t="s">
        <v>530</v>
      </c>
      <c r="AD7" s="153">
        <v>4791</v>
      </c>
      <c r="AE7" s="153">
        <v>0.78</v>
      </c>
      <c r="AF7" s="20" t="s">
        <v>1404</v>
      </c>
      <c r="AG7" s="20" t="s">
        <v>164</v>
      </c>
      <c r="AH7" s="20"/>
      <c r="AI7" s="2" t="s">
        <v>1405</v>
      </c>
      <c r="AJ7" s="2" t="s">
        <v>387</v>
      </c>
      <c r="AK7" s="20" t="s">
        <v>938</v>
      </c>
      <c r="AL7" s="20" t="s">
        <v>1377</v>
      </c>
      <c r="AM7" s="20"/>
      <c r="AN7" s="2" t="s">
        <v>1378</v>
      </c>
      <c r="AO7" s="2" t="s">
        <v>1404</v>
      </c>
      <c r="AP7" s="151">
        <v>0</v>
      </c>
      <c r="AQ7" s="150">
        <v>13218.82</v>
      </c>
      <c r="AR7" s="153">
        <v>128.29</v>
      </c>
      <c r="AS7" s="153">
        <v>1</v>
      </c>
      <c r="AT7" s="153">
        <v>16.957999999999998</v>
      </c>
      <c r="AU7" s="156">
        <v>16.957999999999998</v>
      </c>
      <c r="AV7" s="27"/>
      <c r="AW7" s="27"/>
      <c r="AX7" s="18" t="s">
        <v>164</v>
      </c>
      <c r="AY7" s="20" t="s">
        <v>37</v>
      </c>
      <c r="AZ7" s="168">
        <v>1.83333424683986E-3</v>
      </c>
      <c r="BA7" s="168">
        <v>4.4645971103066799E-5</v>
      </c>
    </row>
    <row r="8" spans="1:53">
      <c r="A8" s="2" t="s">
        <v>26</v>
      </c>
      <c r="B8" s="2">
        <v>1182</v>
      </c>
      <c r="C8" s="20" t="s">
        <v>1387</v>
      </c>
      <c r="D8" s="20" t="s">
        <v>34</v>
      </c>
      <c r="E8" s="20" t="s">
        <v>1406</v>
      </c>
      <c r="F8" s="20" t="s">
        <v>1407</v>
      </c>
      <c r="G8" s="20" t="s">
        <v>1084</v>
      </c>
      <c r="I8" s="18" t="s">
        <v>31</v>
      </c>
      <c r="J8" s="18" t="s">
        <v>31</v>
      </c>
      <c r="K8" s="20" t="s">
        <v>498</v>
      </c>
      <c r="L8" s="20" t="s">
        <v>164</v>
      </c>
      <c r="M8" s="20" t="s">
        <v>387</v>
      </c>
      <c r="N8" s="20" t="s">
        <v>1387</v>
      </c>
      <c r="O8" s="20" t="s">
        <v>1408</v>
      </c>
      <c r="P8" s="20" t="s">
        <v>1396</v>
      </c>
      <c r="Q8" s="20" t="s">
        <v>104</v>
      </c>
      <c r="R8" s="20" t="s">
        <v>454</v>
      </c>
      <c r="S8" s="18" t="s">
        <v>35</v>
      </c>
      <c r="T8" s="153">
        <v>3.32</v>
      </c>
      <c r="U8" s="20" t="s">
        <v>204</v>
      </c>
      <c r="V8" s="167">
        <v>5.5301000000000003E-2</v>
      </c>
      <c r="W8" s="20" t="s">
        <v>801</v>
      </c>
      <c r="X8" s="20" t="s">
        <v>955</v>
      </c>
      <c r="Y8" s="171">
        <v>5.5301</v>
      </c>
      <c r="Z8" s="168">
        <v>2.3369999999999998E-2</v>
      </c>
      <c r="AA8" s="20" t="s">
        <v>1403</v>
      </c>
      <c r="AB8" s="18" t="s">
        <v>459</v>
      </c>
      <c r="AC8" s="20" t="s">
        <v>530</v>
      </c>
      <c r="AD8" s="153">
        <v>4596</v>
      </c>
      <c r="AE8" s="153">
        <v>0.78</v>
      </c>
      <c r="AF8" s="20" t="s">
        <v>1404</v>
      </c>
      <c r="AG8" s="20" t="s">
        <v>164</v>
      </c>
      <c r="AH8" s="20"/>
      <c r="AI8" s="2" t="s">
        <v>1405</v>
      </c>
      <c r="AJ8" s="2" t="s">
        <v>387</v>
      </c>
      <c r="AK8" s="20" t="s">
        <v>938</v>
      </c>
      <c r="AL8" s="20" t="s">
        <v>1377</v>
      </c>
      <c r="AM8" s="20"/>
      <c r="AN8" s="2" t="s">
        <v>1378</v>
      </c>
      <c r="AO8" s="2" t="s">
        <v>1404</v>
      </c>
      <c r="AP8" s="151">
        <v>0</v>
      </c>
      <c r="AQ8" s="150">
        <v>12682.27</v>
      </c>
      <c r="AR8" s="153">
        <v>128.29</v>
      </c>
      <c r="AS8" s="153">
        <v>1</v>
      </c>
      <c r="AT8" s="153">
        <v>16.27</v>
      </c>
      <c r="AU8" s="153">
        <v>16.27</v>
      </c>
      <c r="AV8" s="20"/>
      <c r="AW8" s="20"/>
      <c r="AX8" s="18" t="s">
        <v>164</v>
      </c>
      <c r="AY8" s="20" t="s">
        <v>37</v>
      </c>
      <c r="AZ8" s="168">
        <v>1.7589194738009701E-3</v>
      </c>
      <c r="BA8" s="168">
        <v>4.2833797565992303E-5</v>
      </c>
    </row>
    <row r="9" spans="1:53">
      <c r="A9" s="2" t="s">
        <v>26</v>
      </c>
      <c r="B9" s="2">
        <v>1182</v>
      </c>
      <c r="C9" s="20" t="s">
        <v>1387</v>
      </c>
      <c r="D9" s="20" t="s">
        <v>34</v>
      </c>
      <c r="E9" s="20" t="s">
        <v>1409</v>
      </c>
      <c r="F9" s="20" t="s">
        <v>1410</v>
      </c>
      <c r="G9" s="20" t="s">
        <v>1084</v>
      </c>
      <c r="I9" s="18" t="s">
        <v>31</v>
      </c>
      <c r="J9" s="18" t="s">
        <v>31</v>
      </c>
      <c r="K9" s="20" t="s">
        <v>498</v>
      </c>
      <c r="L9" s="20" t="s">
        <v>164</v>
      </c>
      <c r="M9" s="20" t="s">
        <v>387</v>
      </c>
      <c r="N9" s="20" t="s">
        <v>1387</v>
      </c>
      <c r="O9" s="20" t="s">
        <v>1411</v>
      </c>
      <c r="P9" s="20" t="s">
        <v>1396</v>
      </c>
      <c r="Q9" s="20" t="s">
        <v>104</v>
      </c>
      <c r="R9" s="20" t="s">
        <v>454</v>
      </c>
      <c r="S9" s="18" t="s">
        <v>35</v>
      </c>
      <c r="T9" s="153">
        <v>3.32</v>
      </c>
      <c r="U9" s="20" t="s">
        <v>204</v>
      </c>
      <c r="V9" s="167">
        <v>5.5300000000000002E-2</v>
      </c>
      <c r="W9" s="20" t="s">
        <v>801</v>
      </c>
      <c r="X9" s="20" t="s">
        <v>955</v>
      </c>
      <c r="Y9" s="171">
        <v>5.53</v>
      </c>
      <c r="Z9" s="168">
        <v>2.333E-2</v>
      </c>
      <c r="AA9" s="20" t="s">
        <v>1403</v>
      </c>
      <c r="AB9" s="18" t="s">
        <v>459</v>
      </c>
      <c r="AC9" s="20" t="s">
        <v>530</v>
      </c>
      <c r="AD9" s="153">
        <v>4622</v>
      </c>
      <c r="AE9" s="153">
        <v>0.78</v>
      </c>
      <c r="AF9" s="20" t="s">
        <v>1404</v>
      </c>
      <c r="AG9" s="20" t="s">
        <v>164</v>
      </c>
      <c r="AH9" s="20"/>
      <c r="AI9" s="2" t="s">
        <v>1405</v>
      </c>
      <c r="AJ9" s="2" t="s">
        <v>387</v>
      </c>
      <c r="AK9" s="20" t="s">
        <v>938</v>
      </c>
      <c r="AL9" s="20" t="s">
        <v>1377</v>
      </c>
      <c r="AM9" s="20"/>
      <c r="AN9" s="2" t="s">
        <v>1378</v>
      </c>
      <c r="AO9" s="2" t="s">
        <v>1404</v>
      </c>
      <c r="AP9" s="151">
        <v>0</v>
      </c>
      <c r="AQ9" s="150">
        <v>12754.62</v>
      </c>
      <c r="AR9" s="153">
        <v>126.7</v>
      </c>
      <c r="AS9" s="153">
        <v>1</v>
      </c>
      <c r="AT9" s="153">
        <v>16.16</v>
      </c>
      <c r="AU9" s="156">
        <v>16.16</v>
      </c>
      <c r="AV9" s="27"/>
      <c r="AW9" s="27"/>
      <c r="AX9" s="18" t="s">
        <v>164</v>
      </c>
      <c r="AY9" s="20" t="s">
        <v>37</v>
      </c>
      <c r="AZ9" s="168">
        <v>1.74702973232588E-3</v>
      </c>
      <c r="BA9" s="168">
        <v>4.2544254589726597E-5</v>
      </c>
    </row>
    <row r="10" spans="1:53">
      <c r="A10" s="2" t="s">
        <v>26</v>
      </c>
      <c r="B10" s="2">
        <v>1182</v>
      </c>
      <c r="C10" s="20" t="s">
        <v>1387</v>
      </c>
      <c r="D10" s="20" t="s">
        <v>34</v>
      </c>
      <c r="E10" s="20" t="s">
        <v>1412</v>
      </c>
      <c r="F10" s="20" t="s">
        <v>1413</v>
      </c>
      <c r="G10" s="20" t="s">
        <v>1084</v>
      </c>
      <c r="I10" s="18" t="s">
        <v>31</v>
      </c>
      <c r="J10" s="18" t="s">
        <v>31</v>
      </c>
      <c r="K10" s="20" t="s">
        <v>498</v>
      </c>
      <c r="L10" s="20" t="s">
        <v>164</v>
      </c>
      <c r="M10" s="20" t="s">
        <v>387</v>
      </c>
      <c r="N10" s="20" t="s">
        <v>1387</v>
      </c>
      <c r="O10" s="20" t="s">
        <v>1414</v>
      </c>
      <c r="P10" s="20" t="s">
        <v>1396</v>
      </c>
      <c r="Q10" s="20" t="s">
        <v>104</v>
      </c>
      <c r="R10" s="20" t="s">
        <v>454</v>
      </c>
      <c r="S10" s="18" t="s">
        <v>35</v>
      </c>
      <c r="T10" s="153">
        <v>3.32</v>
      </c>
      <c r="U10" s="20" t="s">
        <v>204</v>
      </c>
      <c r="V10" s="167">
        <v>5.5E-2</v>
      </c>
      <c r="W10" s="20" t="s">
        <v>801</v>
      </c>
      <c r="X10" s="20" t="s">
        <v>1392</v>
      </c>
      <c r="Y10" s="171">
        <v>5.5</v>
      </c>
      <c r="Z10" s="168">
        <v>2.333E-2</v>
      </c>
      <c r="AA10" s="20" t="s">
        <v>1403</v>
      </c>
      <c r="AB10" s="18" t="s">
        <v>459</v>
      </c>
      <c r="AC10" s="20" t="s">
        <v>530</v>
      </c>
      <c r="AD10" s="153">
        <v>3155</v>
      </c>
      <c r="AE10" s="153">
        <v>0.78</v>
      </c>
      <c r="AF10" s="20" t="s">
        <v>1404</v>
      </c>
      <c r="AG10" s="20" t="s">
        <v>164</v>
      </c>
      <c r="AH10" s="20"/>
      <c r="AI10" s="2" t="s">
        <v>1405</v>
      </c>
      <c r="AJ10" s="2" t="s">
        <v>387</v>
      </c>
      <c r="AK10" s="20" t="s">
        <v>204</v>
      </c>
      <c r="AL10" s="20"/>
      <c r="AM10" s="20"/>
      <c r="AN10" s="2" t="s">
        <v>1378</v>
      </c>
      <c r="AO10" s="2" t="s">
        <v>1404</v>
      </c>
      <c r="AP10" s="151">
        <v>0</v>
      </c>
      <c r="AQ10" s="150">
        <v>4027.77</v>
      </c>
      <c r="AR10" s="153">
        <v>126.19</v>
      </c>
      <c r="AS10" s="153">
        <v>1</v>
      </c>
      <c r="AT10" s="153">
        <v>5.0830000000000002</v>
      </c>
      <c r="AU10" s="153">
        <v>5.0830000000000002</v>
      </c>
      <c r="AV10" s="20"/>
      <c r="AW10" s="20"/>
      <c r="AX10" s="18" t="s">
        <v>164</v>
      </c>
      <c r="AY10" s="20" t="s">
        <v>37</v>
      </c>
      <c r="AZ10" s="168">
        <v>5.4947224522287398E-4</v>
      </c>
      <c r="BA10" s="168">
        <v>1.33809325955937E-5</v>
      </c>
    </row>
    <row r="11" spans="1:53">
      <c r="A11" s="2" t="s">
        <v>26</v>
      </c>
      <c r="B11" s="2">
        <v>1182</v>
      </c>
      <c r="C11" s="20" t="s">
        <v>1387</v>
      </c>
      <c r="D11" s="20" t="s">
        <v>34</v>
      </c>
      <c r="E11" s="20" t="s">
        <v>1415</v>
      </c>
      <c r="F11" s="20" t="s">
        <v>1416</v>
      </c>
      <c r="G11" s="20" t="s">
        <v>1084</v>
      </c>
      <c r="I11" s="18" t="s">
        <v>31</v>
      </c>
      <c r="J11" s="18" t="s">
        <v>31</v>
      </c>
      <c r="K11" s="20" t="s">
        <v>498</v>
      </c>
      <c r="L11" s="20" t="s">
        <v>164</v>
      </c>
      <c r="M11" s="20" t="s">
        <v>387</v>
      </c>
      <c r="N11" s="20" t="s">
        <v>1387</v>
      </c>
      <c r="O11" s="20" t="s">
        <v>1417</v>
      </c>
      <c r="P11" s="20" t="s">
        <v>1396</v>
      </c>
      <c r="Q11" s="20" t="s">
        <v>104</v>
      </c>
      <c r="R11" s="20" t="s">
        <v>454</v>
      </c>
      <c r="S11" s="18" t="s">
        <v>35</v>
      </c>
      <c r="T11" s="153">
        <v>3.32</v>
      </c>
      <c r="U11" s="20" t="s">
        <v>1397</v>
      </c>
      <c r="V11" s="167">
        <v>5.6132000000000001E-2</v>
      </c>
      <c r="W11" s="20" t="s">
        <v>801</v>
      </c>
      <c r="X11" s="20" t="s">
        <v>955</v>
      </c>
      <c r="Y11" s="171">
        <v>5.6132</v>
      </c>
      <c r="Z11" s="168">
        <v>2.3130000000000001E-2</v>
      </c>
      <c r="AA11" s="20" t="s">
        <v>1403</v>
      </c>
      <c r="AB11" s="18" t="s">
        <v>459</v>
      </c>
      <c r="AC11" s="20" t="s">
        <v>530</v>
      </c>
      <c r="AD11" s="153">
        <v>465</v>
      </c>
      <c r="AE11" s="153">
        <v>0.78</v>
      </c>
      <c r="AF11" s="20" t="s">
        <v>1404</v>
      </c>
      <c r="AG11" s="20" t="s">
        <v>164</v>
      </c>
      <c r="AH11" s="20"/>
      <c r="AI11" s="2" t="s">
        <v>1405</v>
      </c>
      <c r="AJ11" s="2" t="s">
        <v>387</v>
      </c>
      <c r="AK11" s="20" t="s">
        <v>938</v>
      </c>
      <c r="AL11" s="20" t="s">
        <v>1377</v>
      </c>
      <c r="AM11" s="20"/>
      <c r="AN11" s="2" t="s">
        <v>1378</v>
      </c>
      <c r="AO11" s="2" t="s">
        <v>1404</v>
      </c>
      <c r="AP11" s="151">
        <v>0</v>
      </c>
      <c r="AQ11" s="150">
        <v>591.55999999999995</v>
      </c>
      <c r="AR11" s="153">
        <v>128.9</v>
      </c>
      <c r="AS11" s="153">
        <v>1</v>
      </c>
      <c r="AT11" s="153">
        <v>0.76300000000000001</v>
      </c>
      <c r="AU11" s="153">
        <v>0.76300000000000001</v>
      </c>
      <c r="AV11" s="20"/>
      <c r="AW11" s="20"/>
      <c r="AX11" s="18" t="s">
        <v>164</v>
      </c>
      <c r="AY11" s="20" t="s">
        <v>37</v>
      </c>
      <c r="AZ11" s="168">
        <v>8.2434284885658999E-5</v>
      </c>
      <c r="BA11" s="168">
        <v>2.0074673820395699E-6</v>
      </c>
    </row>
    <row r="12" spans="1:53">
      <c r="A12" s="2" t="s">
        <v>26</v>
      </c>
      <c r="B12" s="2">
        <v>1182</v>
      </c>
      <c r="C12" s="20" t="s">
        <v>1387</v>
      </c>
      <c r="D12" s="20" t="s">
        <v>34</v>
      </c>
      <c r="E12" s="20" t="s">
        <v>1418</v>
      </c>
      <c r="F12" s="20" t="s">
        <v>1419</v>
      </c>
      <c r="G12" s="20" t="s">
        <v>1084</v>
      </c>
      <c r="I12" s="18" t="s">
        <v>31</v>
      </c>
      <c r="J12" s="18" t="s">
        <v>31</v>
      </c>
      <c r="K12" s="20" t="s">
        <v>498</v>
      </c>
      <c r="L12" s="20" t="s">
        <v>164</v>
      </c>
      <c r="M12" s="20" t="s">
        <v>387</v>
      </c>
      <c r="N12" s="20"/>
      <c r="O12" s="20" t="s">
        <v>1390</v>
      </c>
      <c r="P12" s="20" t="s">
        <v>1396</v>
      </c>
      <c r="Q12" s="20" t="s">
        <v>104</v>
      </c>
      <c r="R12" s="20" t="s">
        <v>454</v>
      </c>
      <c r="S12" s="18" t="s">
        <v>35</v>
      </c>
      <c r="T12" s="153">
        <v>3.2</v>
      </c>
      <c r="U12" s="20" t="s">
        <v>1397</v>
      </c>
      <c r="V12" s="167">
        <v>5.6691999999999999E-2</v>
      </c>
      <c r="W12" s="20" t="s">
        <v>801</v>
      </c>
      <c r="X12" s="20" t="s">
        <v>1392</v>
      </c>
      <c r="Y12" s="171">
        <v>5.6692</v>
      </c>
      <c r="Z12" s="168">
        <v>2.1930000000000002E-2</v>
      </c>
      <c r="AA12" s="20" t="s">
        <v>1420</v>
      </c>
      <c r="AB12" s="18" t="s">
        <v>459</v>
      </c>
      <c r="AC12" s="20"/>
      <c r="AD12" s="20"/>
      <c r="AE12" s="20"/>
      <c r="AF12" s="20"/>
      <c r="AG12" s="20" t="s">
        <v>164</v>
      </c>
      <c r="AH12" s="20"/>
      <c r="AJ12" s="2" t="s">
        <v>164</v>
      </c>
      <c r="AK12" s="20" t="s">
        <v>204</v>
      </c>
      <c r="AL12" s="20"/>
      <c r="AM12" s="20"/>
      <c r="AN12" s="2" t="s">
        <v>1378</v>
      </c>
      <c r="AQ12" s="150">
        <v>1191.1099999999999</v>
      </c>
      <c r="AR12" s="153">
        <v>129.34</v>
      </c>
      <c r="AS12" s="153">
        <v>1</v>
      </c>
      <c r="AT12" s="153">
        <v>1.5409999999999999</v>
      </c>
      <c r="AU12" s="153">
        <v>1.5409999999999999</v>
      </c>
      <c r="AV12" s="20"/>
      <c r="AW12" s="20"/>
      <c r="AX12" s="18" t="s">
        <v>164</v>
      </c>
      <c r="AY12" s="20" t="s">
        <v>37</v>
      </c>
      <c r="AZ12" s="168">
        <v>1.6654856096017201E-4</v>
      </c>
      <c r="BA12" s="168">
        <v>4.0558464735506999E-6</v>
      </c>
    </row>
    <row r="13" spans="1:53">
      <c r="A13" s="2" t="s">
        <v>26</v>
      </c>
      <c r="B13" s="2">
        <v>1182</v>
      </c>
      <c r="C13" s="20" t="s">
        <v>1387</v>
      </c>
      <c r="D13" s="20" t="s">
        <v>34</v>
      </c>
      <c r="E13" s="20" t="s">
        <v>1421</v>
      </c>
      <c r="F13" s="20" t="s">
        <v>1422</v>
      </c>
      <c r="G13" s="20" t="s">
        <v>1084</v>
      </c>
      <c r="I13" s="18" t="s">
        <v>31</v>
      </c>
      <c r="J13" s="18" t="s">
        <v>31</v>
      </c>
      <c r="K13" s="20" t="s">
        <v>498</v>
      </c>
      <c r="L13" s="20" t="s">
        <v>164</v>
      </c>
      <c r="M13" s="20" t="s">
        <v>387</v>
      </c>
      <c r="N13" s="20" t="s">
        <v>1387</v>
      </c>
      <c r="O13" s="20" t="s">
        <v>1423</v>
      </c>
      <c r="P13" s="20" t="s">
        <v>1396</v>
      </c>
      <c r="Q13" s="20" t="s">
        <v>104</v>
      </c>
      <c r="R13" s="20" t="s">
        <v>454</v>
      </c>
      <c r="S13" s="18" t="s">
        <v>35</v>
      </c>
      <c r="T13" s="153">
        <v>3.32</v>
      </c>
      <c r="U13" s="20" t="s">
        <v>1397</v>
      </c>
      <c r="V13" s="167">
        <v>5.5E-2</v>
      </c>
      <c r="W13" s="20" t="s">
        <v>801</v>
      </c>
      <c r="X13" s="20" t="s">
        <v>955</v>
      </c>
      <c r="Y13" s="171">
        <v>5.5</v>
      </c>
      <c r="Z13" s="168">
        <v>2.2169999999999999E-2</v>
      </c>
      <c r="AA13" s="20" t="s">
        <v>1403</v>
      </c>
      <c r="AB13" s="18" t="s">
        <v>459</v>
      </c>
      <c r="AC13" s="20" t="s">
        <v>530</v>
      </c>
      <c r="AD13" s="153">
        <v>562</v>
      </c>
      <c r="AE13" s="153">
        <v>0.78</v>
      </c>
      <c r="AF13" s="20" t="s">
        <v>1404</v>
      </c>
      <c r="AG13" s="20" t="s">
        <v>164</v>
      </c>
      <c r="AH13" s="20"/>
      <c r="AI13" s="2" t="s">
        <v>1405</v>
      </c>
      <c r="AJ13" s="2" t="s">
        <v>387</v>
      </c>
      <c r="AK13" s="20" t="s">
        <v>938</v>
      </c>
      <c r="AL13" s="20" t="s">
        <v>1377</v>
      </c>
      <c r="AM13" s="20"/>
      <c r="AN13" s="2" t="s">
        <v>1378</v>
      </c>
      <c r="AO13" s="2" t="s">
        <v>1404</v>
      </c>
      <c r="AP13" s="151">
        <v>0</v>
      </c>
      <c r="AQ13" s="150">
        <v>714.71</v>
      </c>
      <c r="AR13" s="153">
        <v>129.29</v>
      </c>
      <c r="AS13" s="153">
        <v>1</v>
      </c>
      <c r="AT13" s="153">
        <v>0.92400000000000004</v>
      </c>
      <c r="AU13" s="153">
        <v>0.92400000000000004</v>
      </c>
      <c r="AV13" s="20"/>
      <c r="AW13" s="20"/>
      <c r="AX13" s="18" t="s">
        <v>164</v>
      </c>
      <c r="AY13" s="20" t="s">
        <v>37</v>
      </c>
      <c r="AZ13" s="168">
        <v>9.9896656150130506E-5</v>
      </c>
      <c r="BA13" s="168">
        <v>2.43271690989215E-6</v>
      </c>
    </row>
    <row r="14" spans="1:53">
      <c r="A14" s="2" t="s">
        <v>26</v>
      </c>
      <c r="B14" s="2">
        <v>1182</v>
      </c>
      <c r="C14" s="20" t="s">
        <v>1387</v>
      </c>
      <c r="D14" s="20" t="s">
        <v>34</v>
      </c>
      <c r="E14" s="20" t="s">
        <v>1424</v>
      </c>
      <c r="F14" s="20" t="s">
        <v>1425</v>
      </c>
      <c r="G14" s="20" t="s">
        <v>1084</v>
      </c>
      <c r="I14" s="18" t="s">
        <v>31</v>
      </c>
      <c r="J14" s="18" t="s">
        <v>31</v>
      </c>
      <c r="K14" s="20" t="s">
        <v>498</v>
      </c>
      <c r="L14" s="20" t="s">
        <v>164</v>
      </c>
      <c r="M14" s="20" t="s">
        <v>387</v>
      </c>
      <c r="N14" s="20" t="s">
        <v>1387</v>
      </c>
      <c r="O14" s="20" t="s">
        <v>1426</v>
      </c>
      <c r="P14" s="20" t="s">
        <v>1396</v>
      </c>
      <c r="Q14" s="20" t="s">
        <v>104</v>
      </c>
      <c r="R14" s="20" t="s">
        <v>454</v>
      </c>
      <c r="S14" s="18" t="s">
        <v>35</v>
      </c>
      <c r="T14" s="153">
        <v>3.32</v>
      </c>
      <c r="U14" s="20" t="s">
        <v>1397</v>
      </c>
      <c r="V14" s="167">
        <v>5.5E-2</v>
      </c>
      <c r="W14" s="20" t="s">
        <v>801</v>
      </c>
      <c r="X14" s="20" t="s">
        <v>955</v>
      </c>
      <c r="Y14" s="171">
        <v>5.5</v>
      </c>
      <c r="Z14" s="168">
        <v>2.3359999999999999E-2</v>
      </c>
      <c r="AA14" s="20" t="s">
        <v>1403</v>
      </c>
      <c r="AB14" s="18" t="s">
        <v>459</v>
      </c>
      <c r="AC14" s="20" t="s">
        <v>530</v>
      </c>
      <c r="AD14" s="153">
        <v>4665</v>
      </c>
      <c r="AE14" s="153">
        <v>0.78</v>
      </c>
      <c r="AF14" s="20" t="s">
        <v>1404</v>
      </c>
      <c r="AG14" s="20" t="s">
        <v>164</v>
      </c>
      <c r="AH14" s="20"/>
      <c r="AI14" s="2" t="s">
        <v>1405</v>
      </c>
      <c r="AJ14" s="2" t="s">
        <v>387</v>
      </c>
      <c r="AK14" s="20" t="s">
        <v>938</v>
      </c>
      <c r="AL14" s="20" t="s">
        <v>1377</v>
      </c>
      <c r="AM14" s="20"/>
      <c r="AN14" s="2" t="s">
        <v>1378</v>
      </c>
      <c r="AO14" s="2" t="s">
        <v>1404</v>
      </c>
      <c r="AP14" s="151">
        <v>0</v>
      </c>
      <c r="AQ14" s="150">
        <v>12871.69</v>
      </c>
      <c r="AR14" s="153">
        <v>128.94</v>
      </c>
      <c r="AS14" s="153">
        <v>1</v>
      </c>
      <c r="AT14" s="153">
        <v>16.597000000000001</v>
      </c>
      <c r="AU14" s="153">
        <v>16.597000000000001</v>
      </c>
      <c r="AV14" s="20"/>
      <c r="AW14" s="20"/>
      <c r="AX14" s="18" t="s">
        <v>164</v>
      </c>
      <c r="AY14" s="20" t="s">
        <v>37</v>
      </c>
      <c r="AZ14" s="168">
        <v>1.7942352917271101E-3</v>
      </c>
      <c r="BA14" s="168">
        <v>4.3693820221069798E-5</v>
      </c>
    </row>
    <row r="15" spans="1:53">
      <c r="A15" s="2" t="s">
        <v>26</v>
      </c>
      <c r="B15" s="2">
        <v>1182</v>
      </c>
      <c r="C15" s="20" t="s">
        <v>1387</v>
      </c>
      <c r="D15" s="20" t="s">
        <v>34</v>
      </c>
      <c r="E15" s="20" t="s">
        <v>1427</v>
      </c>
      <c r="F15" s="20" t="s">
        <v>1428</v>
      </c>
      <c r="G15" s="20" t="s">
        <v>1084</v>
      </c>
      <c r="I15" s="18" t="s">
        <v>31</v>
      </c>
      <c r="J15" s="18" t="s">
        <v>31</v>
      </c>
      <c r="K15" s="20" t="s">
        <v>498</v>
      </c>
      <c r="L15" s="20" t="s">
        <v>164</v>
      </c>
      <c r="M15" s="20" t="s">
        <v>387</v>
      </c>
      <c r="N15" s="20" t="s">
        <v>1387</v>
      </c>
      <c r="O15" s="20" t="s">
        <v>1429</v>
      </c>
      <c r="P15" s="20" t="s">
        <v>1396</v>
      </c>
      <c r="Q15" s="20" t="s">
        <v>104</v>
      </c>
      <c r="R15" s="20" t="s">
        <v>454</v>
      </c>
      <c r="S15" s="18" t="s">
        <v>35</v>
      </c>
      <c r="T15" s="153">
        <v>3.46</v>
      </c>
      <c r="U15" s="20" t="s">
        <v>1397</v>
      </c>
      <c r="V15" s="167">
        <v>5.5E-2</v>
      </c>
      <c r="W15" s="20" t="s">
        <v>801</v>
      </c>
      <c r="X15" s="20" t="s">
        <v>955</v>
      </c>
      <c r="Y15" s="171">
        <v>5.5</v>
      </c>
      <c r="Z15" s="168">
        <v>2.3599999999999999E-2</v>
      </c>
      <c r="AA15" s="20" t="s">
        <v>1393</v>
      </c>
      <c r="AB15" s="18" t="s">
        <v>459</v>
      </c>
      <c r="AC15" s="20" t="s">
        <v>530</v>
      </c>
      <c r="AD15" s="153">
        <v>534</v>
      </c>
      <c r="AE15" s="153">
        <v>0.78</v>
      </c>
      <c r="AF15" s="20" t="s">
        <v>1404</v>
      </c>
      <c r="AG15" s="20" t="s">
        <v>164</v>
      </c>
      <c r="AH15" s="20"/>
      <c r="AI15" s="2" t="s">
        <v>1405</v>
      </c>
      <c r="AJ15" s="2" t="s">
        <v>387</v>
      </c>
      <c r="AK15" s="20" t="s">
        <v>938</v>
      </c>
      <c r="AL15" s="20" t="s">
        <v>1377</v>
      </c>
      <c r="AM15" s="20"/>
      <c r="AN15" s="2" t="s">
        <v>1378</v>
      </c>
      <c r="AO15" s="2" t="s">
        <v>1404</v>
      </c>
      <c r="AP15" s="151">
        <v>0</v>
      </c>
      <c r="AQ15" s="150">
        <v>1473.55</v>
      </c>
      <c r="AR15" s="153">
        <v>126.1</v>
      </c>
      <c r="AS15" s="153">
        <v>1</v>
      </c>
      <c r="AT15" s="153">
        <v>1.8580000000000001</v>
      </c>
      <c r="AU15" s="153">
        <v>1.8580000000000001</v>
      </c>
      <c r="AV15" s="20"/>
      <c r="AW15" s="20"/>
      <c r="AX15" s="18" t="s">
        <v>164</v>
      </c>
      <c r="AY15" s="20" t="s">
        <v>37</v>
      </c>
      <c r="AZ15" s="168">
        <v>2.0087973210280299E-4</v>
      </c>
      <c r="BA15" s="168">
        <v>4.8918906795706201E-6</v>
      </c>
    </row>
    <row r="16" spans="1:53">
      <c r="A16" s="2" t="s">
        <v>26</v>
      </c>
      <c r="B16" s="2">
        <v>1182</v>
      </c>
      <c r="C16" s="20" t="s">
        <v>1387</v>
      </c>
      <c r="D16" s="20" t="s">
        <v>34</v>
      </c>
      <c r="E16" s="20" t="s">
        <v>1430</v>
      </c>
      <c r="F16" s="20" t="s">
        <v>1431</v>
      </c>
      <c r="G16" s="20" t="s">
        <v>1084</v>
      </c>
      <c r="I16" s="18" t="s">
        <v>31</v>
      </c>
      <c r="J16" s="18" t="s">
        <v>31</v>
      </c>
      <c r="K16" s="20" t="s">
        <v>498</v>
      </c>
      <c r="L16" s="20" t="s">
        <v>164</v>
      </c>
      <c r="M16" s="20" t="s">
        <v>387</v>
      </c>
      <c r="N16" s="20"/>
      <c r="O16" s="20" t="s">
        <v>1390</v>
      </c>
      <c r="P16" s="20" t="s">
        <v>1391</v>
      </c>
      <c r="Q16" s="20" t="s">
        <v>217</v>
      </c>
      <c r="R16" s="20" t="s">
        <v>454</v>
      </c>
      <c r="S16" s="18" t="s">
        <v>35</v>
      </c>
      <c r="T16" s="153">
        <v>3.46</v>
      </c>
      <c r="U16" s="20" t="s">
        <v>204</v>
      </c>
      <c r="V16" s="167">
        <v>5.5E-2</v>
      </c>
      <c r="W16" s="20" t="s">
        <v>801</v>
      </c>
      <c r="X16" s="20" t="s">
        <v>1392</v>
      </c>
      <c r="Y16" s="171">
        <v>5.5</v>
      </c>
      <c r="Z16" s="168">
        <v>2.3599999999999999E-2</v>
      </c>
      <c r="AA16" s="20" t="s">
        <v>1393</v>
      </c>
      <c r="AB16" s="18" t="s">
        <v>459</v>
      </c>
      <c r="AC16" s="20"/>
      <c r="AD16" s="20"/>
      <c r="AE16" s="20"/>
      <c r="AF16" s="20"/>
      <c r="AG16" s="20" t="s">
        <v>164</v>
      </c>
      <c r="AH16" s="20"/>
      <c r="AJ16" s="2" t="s">
        <v>164</v>
      </c>
      <c r="AK16" s="20" t="s">
        <v>204</v>
      </c>
      <c r="AL16" s="20"/>
      <c r="AM16" s="20"/>
      <c r="AN16" s="2" t="s">
        <v>1378</v>
      </c>
      <c r="AQ16" s="150">
        <v>1220.57</v>
      </c>
      <c r="AR16" s="153">
        <v>126.04</v>
      </c>
      <c r="AS16" s="153">
        <v>1</v>
      </c>
      <c r="AT16" s="153">
        <v>1.538</v>
      </c>
      <c r="AU16" s="153">
        <v>1.538</v>
      </c>
      <c r="AV16" s="20"/>
      <c r="AW16" s="20"/>
      <c r="AX16" s="18" t="s">
        <v>164</v>
      </c>
      <c r="AY16" s="20" t="s">
        <v>37</v>
      </c>
      <c r="AZ16" s="168">
        <v>1.6631340037300601E-4</v>
      </c>
      <c r="BA16" s="168">
        <v>4.0501197639791796E-6</v>
      </c>
    </row>
    <row r="17" spans="1:53">
      <c r="A17" s="2" t="s">
        <v>26</v>
      </c>
      <c r="B17" s="2">
        <v>1182</v>
      </c>
      <c r="C17" s="20" t="s">
        <v>1387</v>
      </c>
      <c r="D17" s="20" t="s">
        <v>34</v>
      </c>
      <c r="E17" s="20" t="s">
        <v>1432</v>
      </c>
      <c r="F17" s="20" t="s">
        <v>1433</v>
      </c>
      <c r="G17" s="20" t="s">
        <v>1084</v>
      </c>
      <c r="I17" s="18" t="s">
        <v>31</v>
      </c>
      <c r="J17" s="18" t="s">
        <v>31</v>
      </c>
      <c r="K17" s="20" t="s">
        <v>498</v>
      </c>
      <c r="L17" s="20" t="s">
        <v>164</v>
      </c>
      <c r="M17" s="20" t="s">
        <v>387</v>
      </c>
      <c r="N17" s="20" t="s">
        <v>1387</v>
      </c>
      <c r="O17" s="20" t="s">
        <v>1434</v>
      </c>
      <c r="P17" s="20" t="s">
        <v>1396</v>
      </c>
      <c r="Q17" s="20" t="s">
        <v>104</v>
      </c>
      <c r="R17" s="20" t="s">
        <v>454</v>
      </c>
      <c r="S17" s="18" t="s">
        <v>35</v>
      </c>
      <c r="T17" s="153">
        <v>3.18</v>
      </c>
      <c r="U17" s="20" t="s">
        <v>1397</v>
      </c>
      <c r="V17" s="167">
        <v>5.5E-2</v>
      </c>
      <c r="W17" s="20" t="s">
        <v>801</v>
      </c>
      <c r="X17" s="20" t="s">
        <v>955</v>
      </c>
      <c r="Y17" s="171">
        <v>5.5</v>
      </c>
      <c r="Z17" s="168">
        <v>2.3050000000000001E-2</v>
      </c>
      <c r="AA17" s="20" t="s">
        <v>1403</v>
      </c>
      <c r="AB17" s="18" t="s">
        <v>459</v>
      </c>
      <c r="AC17" s="20" t="s">
        <v>530</v>
      </c>
      <c r="AD17" s="153">
        <v>2192</v>
      </c>
      <c r="AE17" s="153">
        <v>0.78</v>
      </c>
      <c r="AF17" s="20" t="s">
        <v>1404</v>
      </c>
      <c r="AG17" s="20" t="s">
        <v>164</v>
      </c>
      <c r="AH17" s="20"/>
      <c r="AI17" s="2" t="s">
        <v>1405</v>
      </c>
      <c r="AJ17" s="2" t="s">
        <v>387</v>
      </c>
      <c r="AK17" s="20" t="s">
        <v>938</v>
      </c>
      <c r="AL17" s="20" t="s">
        <v>1377</v>
      </c>
      <c r="AM17" s="20"/>
      <c r="AN17" s="2" t="s">
        <v>1378</v>
      </c>
      <c r="AO17" s="2" t="s">
        <v>1404</v>
      </c>
      <c r="AP17" s="151">
        <v>0</v>
      </c>
      <c r="AQ17" s="150">
        <v>2790.68</v>
      </c>
      <c r="AR17" s="153">
        <v>128.21</v>
      </c>
      <c r="AS17" s="153">
        <v>1</v>
      </c>
      <c r="AT17" s="153">
        <v>3.5779999999999998</v>
      </c>
      <c r="AU17" s="153">
        <v>3.5779999999999998</v>
      </c>
      <c r="AV17" s="20"/>
      <c r="AW17" s="20"/>
      <c r="AX17" s="18" t="s">
        <v>164</v>
      </c>
      <c r="AY17" s="20" t="s">
        <v>37</v>
      </c>
      <c r="AZ17" s="168">
        <v>3.8680145342196001E-4</v>
      </c>
      <c r="BA17" s="168">
        <v>9.4195188585322202E-6</v>
      </c>
    </row>
    <row r="18" spans="1:53">
      <c r="A18" s="2" t="s">
        <v>26</v>
      </c>
      <c r="B18" s="2">
        <v>1182</v>
      </c>
      <c r="C18" s="20" t="s">
        <v>1387</v>
      </c>
      <c r="D18" s="20" t="s">
        <v>34</v>
      </c>
      <c r="E18" s="20" t="s">
        <v>1435</v>
      </c>
      <c r="F18" s="20" t="s">
        <v>1436</v>
      </c>
      <c r="G18" s="20" t="s">
        <v>1084</v>
      </c>
      <c r="I18" s="18" t="s">
        <v>31</v>
      </c>
      <c r="J18" s="18" t="s">
        <v>31</v>
      </c>
      <c r="K18" s="20" t="s">
        <v>498</v>
      </c>
      <c r="L18" s="20" t="s">
        <v>164</v>
      </c>
      <c r="M18" s="20" t="s">
        <v>387</v>
      </c>
      <c r="N18" s="20" t="s">
        <v>1387</v>
      </c>
      <c r="O18" s="20" t="s">
        <v>1437</v>
      </c>
      <c r="P18" s="20" t="s">
        <v>1396</v>
      </c>
      <c r="Q18" s="20" t="s">
        <v>104</v>
      </c>
      <c r="R18" s="20" t="s">
        <v>454</v>
      </c>
      <c r="S18" s="18" t="s">
        <v>35</v>
      </c>
      <c r="T18" s="153">
        <v>3.46</v>
      </c>
      <c r="U18" s="20" t="s">
        <v>1397</v>
      </c>
      <c r="V18" s="167">
        <v>5.5E-2</v>
      </c>
      <c r="W18" s="20" t="s">
        <v>801</v>
      </c>
      <c r="X18" s="20" t="s">
        <v>955</v>
      </c>
      <c r="Y18" s="171">
        <v>5.5</v>
      </c>
      <c r="Z18" s="168">
        <v>2.4500000000000001E-2</v>
      </c>
      <c r="AA18" s="20" t="s">
        <v>1393</v>
      </c>
      <c r="AB18" s="18" t="s">
        <v>459</v>
      </c>
      <c r="AC18" s="20" t="s">
        <v>530</v>
      </c>
      <c r="AD18" s="153">
        <v>3904</v>
      </c>
      <c r="AE18" s="153">
        <v>0.78</v>
      </c>
      <c r="AF18" s="20" t="s">
        <v>1404</v>
      </c>
      <c r="AG18" s="20" t="s">
        <v>164</v>
      </c>
      <c r="AH18" s="20"/>
      <c r="AI18" s="2" t="s">
        <v>1405</v>
      </c>
      <c r="AJ18" s="2" t="s">
        <v>387</v>
      </c>
      <c r="AK18" s="20" t="s">
        <v>938</v>
      </c>
      <c r="AL18" s="20" t="s">
        <v>1377</v>
      </c>
      <c r="AM18" s="20"/>
      <c r="AN18" s="2" t="s">
        <v>1378</v>
      </c>
      <c r="AO18" s="2" t="s">
        <v>1404</v>
      </c>
      <c r="AP18" s="151">
        <v>0</v>
      </c>
      <c r="AQ18" s="150">
        <v>10773.09</v>
      </c>
      <c r="AR18" s="153">
        <v>125.87</v>
      </c>
      <c r="AS18" s="153">
        <v>1</v>
      </c>
      <c r="AT18" s="153">
        <v>13.56</v>
      </c>
      <c r="AU18" s="153">
        <v>13.56</v>
      </c>
      <c r="AV18" s="20"/>
      <c r="AW18" s="20"/>
      <c r="AX18" s="18" t="s">
        <v>164</v>
      </c>
      <c r="AY18" s="20" t="s">
        <v>37</v>
      </c>
      <c r="AZ18" s="168">
        <v>1.46594837832752E-3</v>
      </c>
      <c r="BA18" s="168">
        <v>3.5699267086845999E-5</v>
      </c>
    </row>
    <row r="19" spans="1:53">
      <c r="A19" s="2" t="s">
        <v>26</v>
      </c>
      <c r="B19" s="2">
        <v>1182</v>
      </c>
      <c r="C19" s="20" t="s">
        <v>1387</v>
      </c>
      <c r="D19" s="20" t="s">
        <v>34</v>
      </c>
      <c r="E19" s="20" t="s">
        <v>1438</v>
      </c>
      <c r="F19" s="20" t="s">
        <v>1439</v>
      </c>
      <c r="G19" s="20" t="s">
        <v>1084</v>
      </c>
      <c r="I19" s="18" t="s">
        <v>31</v>
      </c>
      <c r="J19" s="18" t="s">
        <v>31</v>
      </c>
      <c r="K19" s="20" t="s">
        <v>498</v>
      </c>
      <c r="L19" s="20" t="s">
        <v>164</v>
      </c>
      <c r="M19" s="20" t="s">
        <v>164</v>
      </c>
      <c r="N19" s="20"/>
      <c r="O19" s="20" t="s">
        <v>1390</v>
      </c>
      <c r="P19" s="20" t="s">
        <v>1396</v>
      </c>
      <c r="Q19" s="20" t="s">
        <v>104</v>
      </c>
      <c r="R19" s="20" t="s">
        <v>454</v>
      </c>
      <c r="S19" s="18" t="s">
        <v>35</v>
      </c>
      <c r="T19" s="153">
        <v>3.31</v>
      </c>
      <c r="U19" s="20" t="s">
        <v>1397</v>
      </c>
      <c r="V19" s="167">
        <v>5.5E-2</v>
      </c>
      <c r="W19" s="20" t="s">
        <v>801</v>
      </c>
      <c r="X19" s="20" t="s">
        <v>1392</v>
      </c>
      <c r="Y19" s="171">
        <v>5.5</v>
      </c>
      <c r="Z19" s="168">
        <v>2.443E-2</v>
      </c>
      <c r="AA19" s="20" t="s">
        <v>1403</v>
      </c>
      <c r="AB19" s="18" t="s">
        <v>459</v>
      </c>
      <c r="AC19" s="20"/>
      <c r="AD19" s="20"/>
      <c r="AE19" s="20"/>
      <c r="AF19" s="20"/>
      <c r="AG19" s="20" t="s">
        <v>164</v>
      </c>
      <c r="AH19" s="20"/>
      <c r="AJ19" s="2" t="s">
        <v>164</v>
      </c>
      <c r="AK19" s="20" t="s">
        <v>204</v>
      </c>
      <c r="AL19" s="20"/>
      <c r="AM19" s="20"/>
      <c r="AN19" s="2" t="s">
        <v>1378</v>
      </c>
      <c r="AQ19" s="150">
        <v>13085.55</v>
      </c>
      <c r="AR19" s="153">
        <v>127.82</v>
      </c>
      <c r="AS19" s="153">
        <v>1</v>
      </c>
      <c r="AT19" s="153">
        <v>16.725999999999999</v>
      </c>
      <c r="AU19" s="153">
        <v>16.725999999999999</v>
      </c>
      <c r="AV19" s="20"/>
      <c r="AW19" s="20"/>
      <c r="AX19" s="18" t="s">
        <v>164</v>
      </c>
      <c r="AY19" s="20" t="s">
        <v>37</v>
      </c>
      <c r="AZ19" s="168">
        <v>1.80820202646216E-3</v>
      </c>
      <c r="BA19" s="168">
        <v>4.4033942834532103E-5</v>
      </c>
    </row>
    <row r="20" spans="1:53">
      <c r="A20" s="2" t="s">
        <v>26</v>
      </c>
      <c r="B20" s="2">
        <v>1182</v>
      </c>
      <c r="C20" s="2" t="s">
        <v>1387</v>
      </c>
      <c r="D20" s="20" t="s">
        <v>34</v>
      </c>
      <c r="E20" s="2" t="s">
        <v>1440</v>
      </c>
      <c r="F20" s="2" t="s">
        <v>1441</v>
      </c>
      <c r="G20" s="20" t="s">
        <v>1084</v>
      </c>
      <c r="I20" s="18" t="s">
        <v>31</v>
      </c>
      <c r="J20" s="18" t="s">
        <v>31</v>
      </c>
      <c r="K20" s="20" t="s">
        <v>498</v>
      </c>
      <c r="L20" s="20" t="s">
        <v>164</v>
      </c>
      <c r="M20" s="20" t="s">
        <v>164</v>
      </c>
      <c r="O20" s="2" t="s">
        <v>1390</v>
      </c>
      <c r="P20" s="2" t="s">
        <v>1396</v>
      </c>
      <c r="Q20" s="20" t="s">
        <v>104</v>
      </c>
      <c r="R20" s="20" t="s">
        <v>454</v>
      </c>
      <c r="S20" s="18" t="s">
        <v>35</v>
      </c>
      <c r="T20" s="150">
        <v>3.32</v>
      </c>
      <c r="U20" s="20" t="s">
        <v>1397</v>
      </c>
      <c r="V20" s="162">
        <v>5.5888E-2</v>
      </c>
      <c r="W20" s="20" t="s">
        <v>801</v>
      </c>
      <c r="X20" s="20" t="s">
        <v>1392</v>
      </c>
      <c r="Y20" s="172">
        <v>5.5888</v>
      </c>
      <c r="Z20" s="164">
        <v>2.179E-2</v>
      </c>
      <c r="AA20" s="2" t="s">
        <v>1403</v>
      </c>
      <c r="AB20" s="18" t="s">
        <v>459</v>
      </c>
      <c r="AC20" s="20"/>
      <c r="AG20" s="20" t="s">
        <v>164</v>
      </c>
      <c r="AH20" s="20"/>
      <c r="AJ20" s="2" t="s">
        <v>164</v>
      </c>
      <c r="AK20" s="20" t="s">
        <v>204</v>
      </c>
      <c r="AM20" s="20"/>
      <c r="AN20" s="2" t="s">
        <v>1378</v>
      </c>
      <c r="AQ20" s="150">
        <v>2739.45</v>
      </c>
      <c r="AR20" s="150">
        <v>129.58000000000001</v>
      </c>
      <c r="AS20" s="150">
        <v>1</v>
      </c>
      <c r="AT20" s="150">
        <v>3.55</v>
      </c>
      <c r="AU20" s="150">
        <v>3.55</v>
      </c>
      <c r="AX20" s="18" t="s">
        <v>164</v>
      </c>
      <c r="AY20" s="20" t="s">
        <v>37</v>
      </c>
      <c r="AZ20" s="164">
        <v>3.8375806085740299E-4</v>
      </c>
      <c r="BA20" s="164">
        <v>9.3454051410108795E-6</v>
      </c>
    </row>
    <row r="21" spans="1:53">
      <c r="A21" s="2" t="s">
        <v>26</v>
      </c>
      <c r="B21" s="2">
        <v>1182</v>
      </c>
      <c r="C21" s="2" t="s">
        <v>1387</v>
      </c>
      <c r="D21" s="4" t="s">
        <v>34</v>
      </c>
      <c r="E21" s="2" t="s">
        <v>1442</v>
      </c>
      <c r="F21" s="2" t="s">
        <v>1443</v>
      </c>
      <c r="G21" s="2" t="s">
        <v>1084</v>
      </c>
      <c r="I21" s="2" t="s">
        <v>31</v>
      </c>
      <c r="J21" s="2" t="s">
        <v>31</v>
      </c>
      <c r="K21" s="2" t="s">
        <v>498</v>
      </c>
      <c r="L21" s="2" t="s">
        <v>164</v>
      </c>
      <c r="M21" s="2" t="s">
        <v>387</v>
      </c>
      <c r="N21" s="2" t="s">
        <v>1387</v>
      </c>
      <c r="O21" s="2" t="s">
        <v>1444</v>
      </c>
      <c r="P21" s="2" t="s">
        <v>1396</v>
      </c>
      <c r="Q21" s="2" t="s">
        <v>104</v>
      </c>
      <c r="R21" s="2" t="s">
        <v>454</v>
      </c>
      <c r="S21" s="18" t="s">
        <v>35</v>
      </c>
      <c r="T21" s="150">
        <v>3.31</v>
      </c>
      <c r="U21" s="2" t="s">
        <v>1397</v>
      </c>
      <c r="V21" s="162">
        <v>5.6193E-2</v>
      </c>
      <c r="W21" s="2" t="s">
        <v>801</v>
      </c>
      <c r="X21" s="2" t="s">
        <v>955</v>
      </c>
      <c r="Y21" s="172">
        <v>5.6193</v>
      </c>
      <c r="Z21" s="164">
        <v>2.333E-2</v>
      </c>
      <c r="AA21" s="2" t="s">
        <v>1403</v>
      </c>
      <c r="AB21" s="4" t="s">
        <v>459</v>
      </c>
      <c r="AC21" s="2" t="s">
        <v>530</v>
      </c>
      <c r="AD21" s="150">
        <v>3026</v>
      </c>
      <c r="AE21" s="150">
        <v>0.78</v>
      </c>
      <c r="AF21" s="2" t="s">
        <v>1404</v>
      </c>
      <c r="AG21" s="2" t="s">
        <v>164</v>
      </c>
      <c r="AI21" s="2" t="s">
        <v>1405</v>
      </c>
      <c r="AJ21" s="2" t="s">
        <v>387</v>
      </c>
      <c r="AK21" s="2" t="s">
        <v>938</v>
      </c>
      <c r="AL21" s="2" t="s">
        <v>1377</v>
      </c>
      <c r="AN21" s="2" t="s">
        <v>1378</v>
      </c>
      <c r="AO21" s="2" t="s">
        <v>1404</v>
      </c>
      <c r="AP21" s="151">
        <v>0</v>
      </c>
      <c r="AQ21" s="150">
        <v>3849.9</v>
      </c>
      <c r="AR21" s="150">
        <v>128.57</v>
      </c>
      <c r="AS21" s="150">
        <v>1</v>
      </c>
      <c r="AT21" s="150">
        <v>4.95</v>
      </c>
      <c r="AU21" s="150">
        <v>4.95</v>
      </c>
      <c r="AX21" s="4" t="s">
        <v>164</v>
      </c>
      <c r="AY21" s="2" t="s">
        <v>37</v>
      </c>
      <c r="AZ21" s="164">
        <v>5.3511268980180999E-4</v>
      </c>
      <c r="BA21" s="164">
        <v>1.30312438808998E-5</v>
      </c>
    </row>
    <row r="22" spans="1:53">
      <c r="A22" s="2" t="s">
        <v>26</v>
      </c>
      <c r="B22" s="2">
        <v>1182</v>
      </c>
      <c r="C22" s="2" t="s">
        <v>1387</v>
      </c>
      <c r="D22" s="4" t="s">
        <v>34</v>
      </c>
      <c r="E22" s="2" t="s">
        <v>1445</v>
      </c>
      <c r="F22" s="2" t="s">
        <v>1446</v>
      </c>
      <c r="G22" s="2" t="s">
        <v>1084</v>
      </c>
      <c r="I22" s="2" t="s">
        <v>31</v>
      </c>
      <c r="J22" s="2" t="s">
        <v>31</v>
      </c>
      <c r="K22" s="2" t="s">
        <v>498</v>
      </c>
      <c r="L22" s="2" t="s">
        <v>164</v>
      </c>
      <c r="M22" s="2" t="s">
        <v>387</v>
      </c>
      <c r="O22" s="2" t="s">
        <v>1390</v>
      </c>
      <c r="P22" s="2" t="s">
        <v>1391</v>
      </c>
      <c r="Q22" s="2" t="s">
        <v>217</v>
      </c>
      <c r="R22" s="2" t="s">
        <v>454</v>
      </c>
      <c r="S22" s="18" t="s">
        <v>35</v>
      </c>
      <c r="T22" s="150">
        <v>3.44</v>
      </c>
      <c r="U22" s="2" t="s">
        <v>204</v>
      </c>
      <c r="V22" s="162">
        <v>5.5E-2</v>
      </c>
      <c r="W22" s="2" t="s">
        <v>801</v>
      </c>
      <c r="X22" s="2" t="s">
        <v>1392</v>
      </c>
      <c r="Y22" s="172">
        <v>5.5</v>
      </c>
      <c r="Z22" s="164">
        <v>2.8799999999999999E-2</v>
      </c>
      <c r="AA22" s="2" t="s">
        <v>1393</v>
      </c>
      <c r="AB22" s="4" t="s">
        <v>459</v>
      </c>
      <c r="AG22" s="2" t="s">
        <v>164</v>
      </c>
      <c r="AJ22" s="2" t="s">
        <v>164</v>
      </c>
      <c r="AK22" s="2" t="s">
        <v>204</v>
      </c>
      <c r="AN22" s="2" t="s">
        <v>1378</v>
      </c>
      <c r="AQ22" s="150">
        <v>4876.66</v>
      </c>
      <c r="AR22" s="150">
        <v>122.22</v>
      </c>
      <c r="AS22" s="150">
        <v>1</v>
      </c>
      <c r="AT22" s="150">
        <v>5.96</v>
      </c>
      <c r="AU22" s="150">
        <v>5.96</v>
      </c>
      <c r="AX22" s="4" t="s">
        <v>164</v>
      </c>
      <c r="AY22" s="2" t="s">
        <v>37</v>
      </c>
      <c r="AZ22" s="164">
        <v>6.4434863711608796E-4</v>
      </c>
      <c r="BA22" s="164">
        <v>1.56913943447968E-5</v>
      </c>
    </row>
    <row r="23" spans="1:53">
      <c r="A23" s="2" t="s">
        <v>26</v>
      </c>
      <c r="B23" s="2">
        <v>1182</v>
      </c>
      <c r="C23" s="2" t="s">
        <v>1387</v>
      </c>
      <c r="D23" s="4" t="s">
        <v>34</v>
      </c>
      <c r="E23" s="2" t="s">
        <v>1447</v>
      </c>
      <c r="F23" s="2" t="s">
        <v>1448</v>
      </c>
      <c r="G23" s="2" t="s">
        <v>1084</v>
      </c>
      <c r="I23" s="2" t="s">
        <v>31</v>
      </c>
      <c r="J23" s="2" t="s">
        <v>31</v>
      </c>
      <c r="K23" s="2" t="s">
        <v>498</v>
      </c>
      <c r="L23" s="2" t="s">
        <v>164</v>
      </c>
      <c r="M23" s="2" t="s">
        <v>387</v>
      </c>
      <c r="O23" s="2" t="s">
        <v>1390</v>
      </c>
      <c r="P23" s="2" t="s">
        <v>1391</v>
      </c>
      <c r="Q23" s="2" t="s">
        <v>217</v>
      </c>
      <c r="R23" s="2" t="s">
        <v>454</v>
      </c>
      <c r="S23" s="2" t="s">
        <v>35</v>
      </c>
      <c r="T23" s="150">
        <v>3.46</v>
      </c>
      <c r="U23" s="2" t="s">
        <v>204</v>
      </c>
      <c r="V23" s="162">
        <v>5.5E-2</v>
      </c>
      <c r="W23" s="2" t="s">
        <v>801</v>
      </c>
      <c r="X23" s="2" t="s">
        <v>1392</v>
      </c>
      <c r="Y23" s="172">
        <v>5.5</v>
      </c>
      <c r="Z23" s="164">
        <v>2.3699999999999999E-2</v>
      </c>
      <c r="AA23" s="2" t="s">
        <v>1393</v>
      </c>
      <c r="AB23" s="4" t="s">
        <v>459</v>
      </c>
      <c r="AG23" s="2" t="s">
        <v>164</v>
      </c>
      <c r="AJ23" s="2" t="s">
        <v>164</v>
      </c>
      <c r="AK23" s="2" t="s">
        <v>204</v>
      </c>
      <c r="AN23" s="2" t="s">
        <v>1378</v>
      </c>
      <c r="AQ23" s="150">
        <v>605.95000000000005</v>
      </c>
      <c r="AR23" s="150">
        <v>123.96</v>
      </c>
      <c r="AS23" s="150">
        <v>1</v>
      </c>
      <c r="AT23" s="150">
        <v>0.751</v>
      </c>
      <c r="AU23" s="150">
        <v>0.751</v>
      </c>
      <c r="AX23" s="4" t="s">
        <v>164</v>
      </c>
      <c r="AY23" s="2" t="s">
        <v>37</v>
      </c>
      <c r="AZ23" s="164">
        <v>8.1203456271236005E-5</v>
      </c>
      <c r="BA23" s="164">
        <v>1.9774938303824798E-6</v>
      </c>
    </row>
    <row r="24" spans="1:53">
      <c r="A24" s="2" t="s">
        <v>26</v>
      </c>
      <c r="B24" s="2">
        <v>1182</v>
      </c>
      <c r="C24" s="2" t="s">
        <v>1387</v>
      </c>
      <c r="D24" s="2" t="s">
        <v>34</v>
      </c>
      <c r="E24" s="2" t="s">
        <v>1449</v>
      </c>
      <c r="F24" s="2" t="s">
        <v>1450</v>
      </c>
      <c r="G24" s="2" t="s">
        <v>1084</v>
      </c>
      <c r="I24" s="2" t="s">
        <v>31</v>
      </c>
      <c r="J24" s="2" t="s">
        <v>31</v>
      </c>
      <c r="K24" s="2" t="s">
        <v>498</v>
      </c>
      <c r="L24" s="2" t="s">
        <v>164</v>
      </c>
      <c r="M24" s="2" t="s">
        <v>387</v>
      </c>
      <c r="O24" s="2" t="s">
        <v>1390</v>
      </c>
      <c r="P24" s="2" t="s">
        <v>1391</v>
      </c>
      <c r="Q24" s="2" t="s">
        <v>217</v>
      </c>
      <c r="R24" s="2" t="s">
        <v>454</v>
      </c>
      <c r="S24" s="2" t="s">
        <v>35</v>
      </c>
      <c r="T24" s="150">
        <v>3.46</v>
      </c>
      <c r="U24" s="2" t="s">
        <v>204</v>
      </c>
      <c r="V24" s="162">
        <v>5.5E-2</v>
      </c>
      <c r="W24" s="2" t="s">
        <v>801</v>
      </c>
      <c r="X24" s="2" t="s">
        <v>1392</v>
      </c>
      <c r="Y24" s="172">
        <v>5.5</v>
      </c>
      <c r="Z24" s="164">
        <v>2.4500000000000001E-2</v>
      </c>
      <c r="AA24" s="2" t="s">
        <v>1393</v>
      </c>
      <c r="AB24" s="4" t="s">
        <v>459</v>
      </c>
      <c r="AG24" s="2" t="s">
        <v>164</v>
      </c>
      <c r="AJ24" s="2" t="s">
        <v>164</v>
      </c>
      <c r="AK24" s="2" t="s">
        <v>204</v>
      </c>
      <c r="AN24" s="2" t="s">
        <v>1378</v>
      </c>
      <c r="AQ24" s="150">
        <v>1345.69</v>
      </c>
      <c r="AR24" s="150">
        <v>123.98</v>
      </c>
      <c r="AS24" s="150">
        <v>1</v>
      </c>
      <c r="AT24" s="150">
        <v>1.6679999999999999</v>
      </c>
      <c r="AU24" s="150">
        <v>1.6679999999999999</v>
      </c>
      <c r="AX24" s="4" t="s">
        <v>164</v>
      </c>
      <c r="AY24" s="2" t="s">
        <v>37</v>
      </c>
      <c r="AZ24" s="164">
        <v>1.8036522766759399E-4</v>
      </c>
      <c r="BA24" s="164">
        <v>4.3923145800204002E-6</v>
      </c>
    </row>
    <row r="25" spans="1:53">
      <c r="A25" s="2" t="s">
        <v>26</v>
      </c>
      <c r="B25" s="2">
        <v>1182</v>
      </c>
      <c r="C25" s="2" t="s">
        <v>1387</v>
      </c>
      <c r="D25" s="2" t="s">
        <v>34</v>
      </c>
      <c r="E25" s="2" t="s">
        <v>1451</v>
      </c>
      <c r="F25" s="2" t="s">
        <v>1452</v>
      </c>
      <c r="G25" s="2" t="s">
        <v>1084</v>
      </c>
      <c r="I25" s="2" t="s">
        <v>31</v>
      </c>
      <c r="J25" s="2" t="s">
        <v>31</v>
      </c>
      <c r="K25" s="2" t="s">
        <v>498</v>
      </c>
      <c r="L25" s="2" t="s">
        <v>164</v>
      </c>
      <c r="M25" s="2" t="s">
        <v>387</v>
      </c>
      <c r="N25" s="2" t="s">
        <v>1387</v>
      </c>
      <c r="O25" s="2" t="s">
        <v>1453</v>
      </c>
      <c r="P25" s="2" t="s">
        <v>1396</v>
      </c>
      <c r="Q25" s="2" t="s">
        <v>104</v>
      </c>
      <c r="R25" s="2" t="s">
        <v>454</v>
      </c>
      <c r="S25" s="2" t="s">
        <v>35</v>
      </c>
      <c r="T25" s="150">
        <v>3.31</v>
      </c>
      <c r="U25" s="2" t="s">
        <v>204</v>
      </c>
      <c r="V25" s="162">
        <v>5.7230999999999997E-2</v>
      </c>
      <c r="W25" s="2" t="s">
        <v>801</v>
      </c>
      <c r="X25" s="2" t="s">
        <v>955</v>
      </c>
      <c r="Y25" s="172">
        <v>5.7230999999999996</v>
      </c>
      <c r="Z25" s="164">
        <v>2.3310000000000001E-2</v>
      </c>
      <c r="AA25" s="2" t="s">
        <v>1403</v>
      </c>
      <c r="AB25" s="4" t="s">
        <v>459</v>
      </c>
      <c r="AC25" s="2" t="s">
        <v>530</v>
      </c>
      <c r="AD25" s="150">
        <v>4685</v>
      </c>
      <c r="AE25" s="150">
        <v>0.78</v>
      </c>
      <c r="AF25" s="2" t="s">
        <v>1404</v>
      </c>
      <c r="AG25" s="2" t="s">
        <v>164</v>
      </c>
      <c r="AI25" s="2" t="s">
        <v>1405</v>
      </c>
      <c r="AJ25" s="2" t="s">
        <v>387</v>
      </c>
      <c r="AK25" s="2" t="s">
        <v>938</v>
      </c>
      <c r="AL25" s="2" t="s">
        <v>1377</v>
      </c>
      <c r="AN25" s="2" t="s">
        <v>1378</v>
      </c>
      <c r="AO25" s="2" t="s">
        <v>1404</v>
      </c>
      <c r="AP25" s="151">
        <v>0</v>
      </c>
      <c r="AQ25" s="150">
        <v>12927.54</v>
      </c>
      <c r="AR25" s="150">
        <v>129.16999999999999</v>
      </c>
      <c r="AS25" s="150">
        <v>1</v>
      </c>
      <c r="AT25" s="150">
        <v>16.699000000000002</v>
      </c>
      <c r="AU25" s="150">
        <v>16.699000000000002</v>
      </c>
      <c r="AX25" s="4" t="s">
        <v>164</v>
      </c>
      <c r="AY25" s="2" t="s">
        <v>37</v>
      </c>
      <c r="AZ25" s="164">
        <v>1.80523484174356E-3</v>
      </c>
      <c r="BA25" s="164">
        <v>4.3961684956061401E-5</v>
      </c>
    </row>
    <row r="26" spans="1:53">
      <c r="A26" s="2" t="s">
        <v>26</v>
      </c>
      <c r="B26" s="2">
        <v>1182</v>
      </c>
      <c r="C26" s="2" t="s">
        <v>1387</v>
      </c>
      <c r="D26" s="2" t="s">
        <v>34</v>
      </c>
      <c r="E26" s="2" t="s">
        <v>1454</v>
      </c>
      <c r="F26" s="2" t="s">
        <v>1455</v>
      </c>
      <c r="G26" s="2" t="s">
        <v>1084</v>
      </c>
      <c r="I26" s="2" t="s">
        <v>31</v>
      </c>
      <c r="J26" s="2" t="s">
        <v>31</v>
      </c>
      <c r="K26" s="2" t="s">
        <v>498</v>
      </c>
      <c r="L26" s="2" t="s">
        <v>164</v>
      </c>
      <c r="M26" s="2" t="s">
        <v>164</v>
      </c>
      <c r="O26" s="2" t="s">
        <v>1390</v>
      </c>
      <c r="P26" s="2" t="s">
        <v>1396</v>
      </c>
      <c r="Q26" s="2" t="s">
        <v>104</v>
      </c>
      <c r="R26" s="2" t="s">
        <v>454</v>
      </c>
      <c r="S26" s="2" t="s">
        <v>35</v>
      </c>
      <c r="T26" s="150">
        <v>3.17</v>
      </c>
      <c r="U26" s="2" t="s">
        <v>1397</v>
      </c>
      <c r="V26" s="162">
        <v>5.6619999999999997E-2</v>
      </c>
      <c r="W26" s="2" t="s">
        <v>801</v>
      </c>
      <c r="X26" s="2" t="s">
        <v>1392</v>
      </c>
      <c r="Y26" s="172">
        <v>5.6619999999999999</v>
      </c>
      <c r="Z26" s="164">
        <v>2.9090000000000001E-2</v>
      </c>
      <c r="AA26" s="2" t="s">
        <v>1393</v>
      </c>
      <c r="AB26" s="4" t="s">
        <v>459</v>
      </c>
      <c r="AG26" s="2" t="s">
        <v>164</v>
      </c>
      <c r="AJ26" s="2" t="s">
        <v>164</v>
      </c>
      <c r="AK26" s="2" t="s">
        <v>204</v>
      </c>
      <c r="AN26" s="2" t="s">
        <v>1378</v>
      </c>
      <c r="AQ26" s="150">
        <v>2906.99</v>
      </c>
      <c r="AR26" s="150">
        <v>127.23</v>
      </c>
      <c r="AS26" s="150">
        <v>1</v>
      </c>
      <c r="AT26" s="150">
        <v>3.6989999999999998</v>
      </c>
      <c r="AU26" s="150">
        <v>3.6989999999999998</v>
      </c>
      <c r="AX26" s="4" t="s">
        <v>164</v>
      </c>
      <c r="AY26" s="2" t="s">
        <v>37</v>
      </c>
      <c r="AZ26" s="164">
        <v>3.9984274670746498E-4</v>
      </c>
      <c r="BA26" s="164">
        <v>9.7371048111073607E-6</v>
      </c>
    </row>
    <row r="27" spans="1:53">
      <c r="A27" s="2" t="s">
        <v>26</v>
      </c>
      <c r="B27" s="2">
        <v>1182</v>
      </c>
      <c r="C27" s="2" t="s">
        <v>1387</v>
      </c>
      <c r="D27" s="2" t="s">
        <v>34</v>
      </c>
      <c r="E27" s="2" t="s">
        <v>1456</v>
      </c>
      <c r="F27" s="2" t="s">
        <v>1457</v>
      </c>
      <c r="G27" s="2" t="s">
        <v>1084</v>
      </c>
      <c r="I27" s="2" t="s">
        <v>31</v>
      </c>
      <c r="J27" s="2" t="s">
        <v>31</v>
      </c>
      <c r="K27" s="2" t="s">
        <v>498</v>
      </c>
      <c r="L27" s="2" t="s">
        <v>164</v>
      </c>
      <c r="M27" s="2" t="s">
        <v>387</v>
      </c>
      <c r="N27" s="2" t="s">
        <v>1387</v>
      </c>
      <c r="O27" s="2" t="s">
        <v>1458</v>
      </c>
      <c r="P27" s="2" t="s">
        <v>1396</v>
      </c>
      <c r="Q27" s="2" t="s">
        <v>104</v>
      </c>
      <c r="R27" s="2" t="s">
        <v>454</v>
      </c>
      <c r="S27" s="2" t="s">
        <v>35</v>
      </c>
      <c r="T27" s="150">
        <v>3.46</v>
      </c>
      <c r="U27" s="2" t="s">
        <v>1397</v>
      </c>
      <c r="V27" s="162">
        <v>5.5E-2</v>
      </c>
      <c r="W27" s="2" t="s">
        <v>801</v>
      </c>
      <c r="X27" s="2" t="s">
        <v>955</v>
      </c>
      <c r="Y27" s="172">
        <v>5.5</v>
      </c>
      <c r="Z27" s="164">
        <v>2.4500000000000001E-2</v>
      </c>
      <c r="AA27" s="2" t="s">
        <v>1403</v>
      </c>
      <c r="AB27" s="4" t="s">
        <v>459</v>
      </c>
      <c r="AC27" s="2" t="s">
        <v>530</v>
      </c>
      <c r="AD27" s="150">
        <v>6161</v>
      </c>
      <c r="AE27" s="150">
        <v>0.78</v>
      </c>
      <c r="AF27" s="2" t="s">
        <v>1404</v>
      </c>
      <c r="AG27" s="2" t="s">
        <v>164</v>
      </c>
      <c r="AI27" s="2" t="s">
        <v>1405</v>
      </c>
      <c r="AJ27" s="2" t="s">
        <v>387</v>
      </c>
      <c r="AK27" s="2" t="s">
        <v>938</v>
      </c>
      <c r="AL27" s="2" t="s">
        <v>1377</v>
      </c>
      <c r="AN27" s="2" t="s">
        <v>1378</v>
      </c>
      <c r="AO27" s="2" t="s">
        <v>1404</v>
      </c>
      <c r="AP27" s="151">
        <v>0</v>
      </c>
      <c r="AQ27" s="150">
        <v>16998.46</v>
      </c>
      <c r="AR27" s="150">
        <v>125.84</v>
      </c>
      <c r="AS27" s="150">
        <v>1</v>
      </c>
      <c r="AT27" s="150">
        <v>21.390999999999998</v>
      </c>
      <c r="AU27" s="150">
        <v>21.390999999999998</v>
      </c>
      <c r="AX27" s="4" t="s">
        <v>164</v>
      </c>
      <c r="AY27" s="2" t="s">
        <v>37</v>
      </c>
      <c r="AZ27" s="164">
        <v>2.3125143928310402E-3</v>
      </c>
      <c r="BA27" s="164">
        <v>5.6315126898286E-5</v>
      </c>
    </row>
    <row r="28" spans="1:53">
      <c r="A28" s="2" t="s">
        <v>26</v>
      </c>
      <c r="B28" s="2">
        <v>1182</v>
      </c>
      <c r="C28" s="2" t="s">
        <v>1387</v>
      </c>
      <c r="D28" s="2" t="s">
        <v>34</v>
      </c>
      <c r="E28" s="2" t="s">
        <v>1459</v>
      </c>
      <c r="F28" s="2" t="s">
        <v>1460</v>
      </c>
      <c r="G28" s="2" t="s">
        <v>1084</v>
      </c>
      <c r="I28" s="2" t="s">
        <v>31</v>
      </c>
      <c r="J28" s="2" t="s">
        <v>31</v>
      </c>
      <c r="K28" s="2" t="s">
        <v>498</v>
      </c>
      <c r="L28" s="2" t="s">
        <v>164</v>
      </c>
      <c r="M28" s="2" t="s">
        <v>387</v>
      </c>
      <c r="N28" s="2" t="s">
        <v>1387</v>
      </c>
      <c r="O28" s="2" t="s">
        <v>1461</v>
      </c>
      <c r="P28" s="2" t="s">
        <v>1396</v>
      </c>
      <c r="Q28" s="2" t="s">
        <v>104</v>
      </c>
      <c r="R28" s="2" t="s">
        <v>454</v>
      </c>
      <c r="S28" s="2" t="s">
        <v>35</v>
      </c>
      <c r="T28" s="150">
        <v>3.46</v>
      </c>
      <c r="U28" s="2" t="s">
        <v>1397</v>
      </c>
      <c r="V28" s="162">
        <v>5.5309999999999998E-2</v>
      </c>
      <c r="W28" s="2" t="s">
        <v>801</v>
      </c>
      <c r="X28" s="2" t="s">
        <v>955</v>
      </c>
      <c r="Y28" s="172">
        <v>5.5309999999999997</v>
      </c>
      <c r="Z28" s="164">
        <v>2.4500000000000001E-2</v>
      </c>
      <c r="AA28" s="2" t="s">
        <v>1393</v>
      </c>
      <c r="AB28" s="4" t="s">
        <v>459</v>
      </c>
      <c r="AC28" s="2" t="s">
        <v>530</v>
      </c>
      <c r="AD28" s="150">
        <v>9674</v>
      </c>
      <c r="AE28" s="150">
        <v>0.78</v>
      </c>
      <c r="AF28" s="2" t="s">
        <v>1404</v>
      </c>
      <c r="AG28" s="2" t="s">
        <v>164</v>
      </c>
      <c r="AI28" s="2" t="s">
        <v>1405</v>
      </c>
      <c r="AJ28" s="2" t="s">
        <v>387</v>
      </c>
      <c r="AK28" s="2" t="s">
        <v>938</v>
      </c>
      <c r="AL28" s="2" t="s">
        <v>1377</v>
      </c>
      <c r="AN28" s="2" t="s">
        <v>1378</v>
      </c>
      <c r="AO28" s="2" t="s">
        <v>1404</v>
      </c>
      <c r="AP28" s="151">
        <v>0</v>
      </c>
      <c r="AQ28" s="150">
        <v>12312.06</v>
      </c>
      <c r="AR28" s="150">
        <v>128.44</v>
      </c>
      <c r="AS28" s="150">
        <v>1</v>
      </c>
      <c r="AT28" s="150">
        <v>15.814</v>
      </c>
      <c r="AU28" s="150">
        <v>15.814</v>
      </c>
      <c r="AX28" s="4" t="s">
        <v>164</v>
      </c>
      <c r="AY28" s="2" t="s">
        <v>37</v>
      </c>
      <c r="AZ28" s="164">
        <v>1.7095711385404801E-3</v>
      </c>
      <c r="BA28" s="164">
        <v>4.1632050337508403E-5</v>
      </c>
    </row>
    <row r="29" spans="1:53">
      <c r="A29" s="2" t="s">
        <v>26</v>
      </c>
      <c r="B29" s="2">
        <v>1182</v>
      </c>
      <c r="C29" s="2" t="s">
        <v>1387</v>
      </c>
      <c r="D29" s="2" t="s">
        <v>34</v>
      </c>
      <c r="E29" s="2" t="s">
        <v>1462</v>
      </c>
      <c r="F29" s="2" t="s">
        <v>1463</v>
      </c>
      <c r="G29" s="2" t="s">
        <v>1084</v>
      </c>
      <c r="I29" s="2" t="s">
        <v>31</v>
      </c>
      <c r="J29" s="2" t="s">
        <v>31</v>
      </c>
      <c r="K29" s="2" t="s">
        <v>498</v>
      </c>
      <c r="L29" s="2" t="s">
        <v>164</v>
      </c>
      <c r="M29" s="2" t="s">
        <v>387</v>
      </c>
      <c r="O29" s="2" t="s">
        <v>1464</v>
      </c>
      <c r="P29" s="2" t="s">
        <v>1391</v>
      </c>
      <c r="Q29" s="2" t="s">
        <v>217</v>
      </c>
      <c r="R29" s="2" t="s">
        <v>454</v>
      </c>
      <c r="S29" s="2" t="s">
        <v>35</v>
      </c>
      <c r="T29" s="150">
        <v>3.46</v>
      </c>
      <c r="U29" s="2" t="s">
        <v>204</v>
      </c>
      <c r="V29" s="162">
        <v>5.5E-2</v>
      </c>
      <c r="W29" s="2" t="s">
        <v>801</v>
      </c>
      <c r="X29" s="2" t="s">
        <v>1392</v>
      </c>
      <c r="Y29" s="172">
        <v>5.5</v>
      </c>
      <c r="Z29" s="164">
        <v>2.35E-2</v>
      </c>
      <c r="AA29" s="2" t="s">
        <v>1403</v>
      </c>
      <c r="AB29" s="4" t="s">
        <v>459</v>
      </c>
      <c r="AG29" s="2" t="s">
        <v>164</v>
      </c>
      <c r="AJ29" s="2" t="s">
        <v>164</v>
      </c>
      <c r="AK29" s="2" t="s">
        <v>204</v>
      </c>
      <c r="AN29" s="2" t="s">
        <v>1378</v>
      </c>
      <c r="AQ29" s="150">
        <v>2936.67</v>
      </c>
      <c r="AR29" s="150">
        <v>126.88</v>
      </c>
      <c r="AS29" s="150">
        <v>1</v>
      </c>
      <c r="AT29" s="150">
        <v>3.726</v>
      </c>
      <c r="AU29" s="150">
        <v>3.726</v>
      </c>
      <c r="AX29" s="4" t="s">
        <v>164</v>
      </c>
      <c r="AY29" s="2" t="s">
        <v>37</v>
      </c>
      <c r="AZ29" s="164">
        <v>4.0281392351478501E-4</v>
      </c>
      <c r="BA29" s="164">
        <v>9.8094599062627402E-6</v>
      </c>
    </row>
    <row r="30" spans="1:53">
      <c r="A30" s="2" t="s">
        <v>26</v>
      </c>
      <c r="B30" s="2">
        <v>1182</v>
      </c>
      <c r="C30" s="2" t="s">
        <v>1387</v>
      </c>
      <c r="D30" s="2" t="s">
        <v>34</v>
      </c>
      <c r="E30" s="2" t="s">
        <v>1465</v>
      </c>
      <c r="F30" s="2" t="s">
        <v>1466</v>
      </c>
      <c r="G30" s="2" t="s">
        <v>1084</v>
      </c>
      <c r="I30" s="2" t="s">
        <v>31</v>
      </c>
      <c r="J30" s="2" t="s">
        <v>31</v>
      </c>
      <c r="K30" s="2" t="s">
        <v>498</v>
      </c>
      <c r="L30" s="2" t="s">
        <v>164</v>
      </c>
      <c r="M30" s="2" t="s">
        <v>387</v>
      </c>
      <c r="N30" s="2" t="s">
        <v>1387</v>
      </c>
      <c r="O30" s="2" t="s">
        <v>1467</v>
      </c>
      <c r="P30" s="2" t="s">
        <v>1396</v>
      </c>
      <c r="Q30" s="2" t="s">
        <v>104</v>
      </c>
      <c r="R30" s="2" t="s">
        <v>454</v>
      </c>
      <c r="S30" s="2" t="s">
        <v>35</v>
      </c>
      <c r="T30" s="150">
        <v>3.46</v>
      </c>
      <c r="U30" s="2" t="s">
        <v>1397</v>
      </c>
      <c r="V30" s="162">
        <v>5.5E-2</v>
      </c>
      <c r="W30" s="2" t="s">
        <v>801</v>
      </c>
      <c r="X30" s="2" t="s">
        <v>955</v>
      </c>
      <c r="Y30" s="172">
        <v>5.5</v>
      </c>
      <c r="Z30" s="164">
        <v>2.4500000000000001E-2</v>
      </c>
      <c r="AA30" s="2" t="s">
        <v>1393</v>
      </c>
      <c r="AB30" s="4" t="s">
        <v>459</v>
      </c>
      <c r="AC30" s="2" t="s">
        <v>530</v>
      </c>
      <c r="AD30" s="150">
        <v>2154</v>
      </c>
      <c r="AE30" s="150">
        <v>0.78</v>
      </c>
      <c r="AF30" s="2" t="s">
        <v>1404</v>
      </c>
      <c r="AG30" s="2" t="s">
        <v>164</v>
      </c>
      <c r="AI30" s="2" t="s">
        <v>1405</v>
      </c>
      <c r="AJ30" s="2" t="s">
        <v>387</v>
      </c>
      <c r="AK30" s="2" t="s">
        <v>938</v>
      </c>
      <c r="AL30" s="2" t="s">
        <v>1377</v>
      </c>
      <c r="AN30" s="2" t="s">
        <v>1378</v>
      </c>
      <c r="AO30" s="2" t="s">
        <v>1404</v>
      </c>
      <c r="AP30" s="151">
        <v>0</v>
      </c>
      <c r="AQ30" s="150">
        <v>5945.04</v>
      </c>
      <c r="AR30" s="150">
        <v>126.22</v>
      </c>
      <c r="AS30" s="150">
        <v>1</v>
      </c>
      <c r="AT30" s="150">
        <v>7.5039999999999996</v>
      </c>
      <c r="AU30" s="150">
        <v>7.5039999999999996</v>
      </c>
      <c r="AX30" s="4" t="s">
        <v>164</v>
      </c>
      <c r="AY30" s="2" t="s">
        <v>37</v>
      </c>
      <c r="AZ30" s="164">
        <v>8.1122086807122696E-4</v>
      </c>
      <c r="BA30" s="164">
        <v>1.9755122938734001E-5</v>
      </c>
    </row>
    <row r="31" spans="1:53">
      <c r="A31" s="2" t="s">
        <v>26</v>
      </c>
      <c r="B31" s="2">
        <v>1182</v>
      </c>
      <c r="C31" s="2" t="s">
        <v>1387</v>
      </c>
      <c r="D31" s="2" t="s">
        <v>34</v>
      </c>
      <c r="E31" s="2" t="s">
        <v>1468</v>
      </c>
      <c r="F31" s="2" t="s">
        <v>1469</v>
      </c>
      <c r="G31" s="2" t="s">
        <v>1084</v>
      </c>
      <c r="I31" s="2" t="s">
        <v>31</v>
      </c>
      <c r="J31" s="2" t="s">
        <v>31</v>
      </c>
      <c r="K31" s="2" t="s">
        <v>498</v>
      </c>
      <c r="L31" s="2" t="s">
        <v>164</v>
      </c>
      <c r="M31" s="2" t="s">
        <v>387</v>
      </c>
      <c r="N31" s="2" t="s">
        <v>1387</v>
      </c>
      <c r="O31" s="2" t="s">
        <v>1470</v>
      </c>
      <c r="P31" s="2" t="s">
        <v>1396</v>
      </c>
      <c r="Q31" s="2" t="s">
        <v>104</v>
      </c>
      <c r="R31" s="2" t="s">
        <v>454</v>
      </c>
      <c r="S31" s="2" t="s">
        <v>35</v>
      </c>
      <c r="T31" s="150">
        <v>3.46</v>
      </c>
      <c r="U31" s="2" t="s">
        <v>1397</v>
      </c>
      <c r="V31" s="162">
        <v>5.5E-2</v>
      </c>
      <c r="W31" s="2" t="s">
        <v>801</v>
      </c>
      <c r="X31" s="2" t="s">
        <v>955</v>
      </c>
      <c r="Y31" s="172">
        <v>5.5</v>
      </c>
      <c r="Z31" s="164">
        <v>2.4500000000000001E-2</v>
      </c>
      <c r="AA31" s="2" t="s">
        <v>1393</v>
      </c>
      <c r="AB31" s="4" t="s">
        <v>459</v>
      </c>
      <c r="AC31" s="2" t="s">
        <v>530</v>
      </c>
      <c r="AD31" s="150">
        <v>3341</v>
      </c>
      <c r="AE31" s="150">
        <v>0.78</v>
      </c>
      <c r="AF31" s="2" t="s">
        <v>1404</v>
      </c>
      <c r="AG31" s="2" t="s">
        <v>164</v>
      </c>
      <c r="AI31" s="2" t="s">
        <v>1405</v>
      </c>
      <c r="AJ31" s="2" t="s">
        <v>387</v>
      </c>
      <c r="AK31" s="2" t="s">
        <v>938</v>
      </c>
      <c r="AL31" s="2" t="s">
        <v>1377</v>
      </c>
      <c r="AN31" s="2" t="s">
        <v>1378</v>
      </c>
      <c r="AO31" s="2" t="s">
        <v>1404</v>
      </c>
      <c r="AP31" s="151">
        <v>0</v>
      </c>
      <c r="AQ31" s="150">
        <v>9218.31</v>
      </c>
      <c r="AR31" s="150">
        <v>126.45</v>
      </c>
      <c r="AS31" s="150">
        <v>1</v>
      </c>
      <c r="AT31" s="150">
        <v>11.657</v>
      </c>
      <c r="AU31" s="150">
        <v>11.657</v>
      </c>
      <c r="AX31" s="4" t="s">
        <v>164</v>
      </c>
      <c r="AY31" s="2" t="s">
        <v>37</v>
      </c>
      <c r="AZ31" s="164">
        <v>1.26016176866014E-3</v>
      </c>
      <c r="BA31" s="164">
        <v>3.0687882477386697E-5</v>
      </c>
    </row>
    <row r="32" spans="1:53">
      <c r="A32" s="2" t="s">
        <v>26</v>
      </c>
      <c r="B32" s="2">
        <v>1182</v>
      </c>
      <c r="C32" s="2" t="s">
        <v>1387</v>
      </c>
      <c r="D32" s="2" t="s">
        <v>34</v>
      </c>
      <c r="E32" s="2" t="s">
        <v>1471</v>
      </c>
      <c r="F32" s="2" t="s">
        <v>1472</v>
      </c>
      <c r="G32" s="2" t="s">
        <v>1084</v>
      </c>
      <c r="I32" s="2" t="s">
        <v>31</v>
      </c>
      <c r="J32" s="2" t="s">
        <v>31</v>
      </c>
      <c r="K32" s="2" t="s">
        <v>498</v>
      </c>
      <c r="L32" s="2" t="s">
        <v>164</v>
      </c>
      <c r="M32" s="2" t="s">
        <v>387</v>
      </c>
      <c r="O32" s="2" t="s">
        <v>1464</v>
      </c>
      <c r="P32" s="2" t="s">
        <v>1391</v>
      </c>
      <c r="Q32" s="2" t="s">
        <v>217</v>
      </c>
      <c r="R32" s="2" t="s">
        <v>454</v>
      </c>
      <c r="S32" s="2" t="s">
        <v>35</v>
      </c>
      <c r="T32" s="150">
        <v>3.43</v>
      </c>
      <c r="U32" s="2" t="s">
        <v>204</v>
      </c>
      <c r="V32" s="162">
        <v>5.5E-2</v>
      </c>
      <c r="W32" s="2" t="s">
        <v>801</v>
      </c>
      <c r="X32" s="2" t="s">
        <v>1392</v>
      </c>
      <c r="Y32" s="172">
        <v>5.5</v>
      </c>
      <c r="Z32" s="164">
        <v>2.6800000000000001E-2</v>
      </c>
      <c r="AA32" s="2" t="s">
        <v>1403</v>
      </c>
      <c r="AB32" s="4" t="s">
        <v>459</v>
      </c>
      <c r="AG32" s="2" t="s">
        <v>164</v>
      </c>
      <c r="AJ32" s="2" t="s">
        <v>164</v>
      </c>
      <c r="AK32" s="2" t="s">
        <v>204</v>
      </c>
      <c r="AN32" s="2" t="s">
        <v>1378</v>
      </c>
      <c r="AQ32" s="150">
        <v>2431.8200000000002</v>
      </c>
      <c r="AR32" s="150">
        <v>125.98</v>
      </c>
      <c r="AS32" s="150">
        <v>1</v>
      </c>
      <c r="AT32" s="150">
        <v>3.0640000000000001</v>
      </c>
      <c r="AU32" s="150">
        <v>3.0640000000000001</v>
      </c>
      <c r="AX32" s="4" t="s">
        <v>164</v>
      </c>
      <c r="AY32" s="2" t="s">
        <v>37</v>
      </c>
      <c r="AZ32" s="164">
        <v>3.3119912984473502E-4</v>
      </c>
      <c r="BA32" s="164">
        <v>8.0654724068439203E-6</v>
      </c>
    </row>
    <row r="33" spans="1:53">
      <c r="A33" s="2" t="s">
        <v>26</v>
      </c>
      <c r="B33" s="2">
        <v>1182</v>
      </c>
      <c r="C33" s="2" t="s">
        <v>1387</v>
      </c>
      <c r="D33" s="2" t="s">
        <v>34</v>
      </c>
      <c r="E33" s="2" t="s">
        <v>1473</v>
      </c>
      <c r="F33" s="2" t="s">
        <v>1474</v>
      </c>
      <c r="G33" s="2" t="s">
        <v>1084</v>
      </c>
      <c r="I33" s="2" t="s">
        <v>31</v>
      </c>
      <c r="J33" s="2" t="s">
        <v>31</v>
      </c>
      <c r="K33" s="2" t="s">
        <v>498</v>
      </c>
      <c r="L33" s="2" t="s">
        <v>164</v>
      </c>
      <c r="M33" s="2" t="s">
        <v>387</v>
      </c>
      <c r="N33" s="2" t="s">
        <v>1387</v>
      </c>
      <c r="O33" s="2" t="s">
        <v>1475</v>
      </c>
      <c r="P33" s="2" t="s">
        <v>1396</v>
      </c>
      <c r="Q33" s="2" t="s">
        <v>104</v>
      </c>
      <c r="R33" s="2" t="s">
        <v>454</v>
      </c>
      <c r="S33" s="2" t="s">
        <v>35</v>
      </c>
      <c r="T33" s="150">
        <v>3.46</v>
      </c>
      <c r="U33" s="2" t="s">
        <v>1397</v>
      </c>
      <c r="V33" s="162">
        <v>5.5E-2</v>
      </c>
      <c r="W33" s="2" t="s">
        <v>801</v>
      </c>
      <c r="X33" s="2" t="s">
        <v>955</v>
      </c>
      <c r="Y33" s="172">
        <v>5.5</v>
      </c>
      <c r="Z33" s="164">
        <v>2.3599999999999999E-2</v>
      </c>
      <c r="AA33" s="2" t="s">
        <v>1393</v>
      </c>
      <c r="AB33" s="4" t="s">
        <v>459</v>
      </c>
      <c r="AC33" s="2" t="s">
        <v>530</v>
      </c>
      <c r="AD33" s="150">
        <v>774</v>
      </c>
      <c r="AE33" s="150">
        <v>0.78</v>
      </c>
      <c r="AF33" s="2" t="s">
        <v>1404</v>
      </c>
      <c r="AG33" s="2" t="s">
        <v>164</v>
      </c>
      <c r="AI33" s="2" t="s">
        <v>1405</v>
      </c>
      <c r="AJ33" s="2" t="s">
        <v>387</v>
      </c>
      <c r="AK33" s="2" t="s">
        <v>938</v>
      </c>
      <c r="AL33" s="2" t="s">
        <v>1377</v>
      </c>
      <c r="AN33" s="2" t="s">
        <v>1378</v>
      </c>
      <c r="AO33" s="2" t="s">
        <v>1404</v>
      </c>
      <c r="AP33" s="151">
        <v>0</v>
      </c>
      <c r="AQ33" s="150">
        <v>2134.5700000000002</v>
      </c>
      <c r="AR33" s="150">
        <v>124.97</v>
      </c>
      <c r="AS33" s="150">
        <v>1</v>
      </c>
      <c r="AT33" s="150">
        <v>2.6680000000000001</v>
      </c>
      <c r="AU33" s="150">
        <v>2.6680000000000001</v>
      </c>
      <c r="AX33" s="4" t="s">
        <v>164</v>
      </c>
      <c r="AY33" s="2" t="s">
        <v>37</v>
      </c>
      <c r="AZ33" s="164">
        <v>2.8838477494599402E-4</v>
      </c>
      <c r="BA33" s="164">
        <v>7.0228428618493304E-6</v>
      </c>
    </row>
    <row r="34" spans="1:53">
      <c r="A34" s="2" t="s">
        <v>26</v>
      </c>
      <c r="B34" s="2">
        <v>1182</v>
      </c>
      <c r="C34" s="2" t="s">
        <v>1387</v>
      </c>
      <c r="D34" s="2" t="s">
        <v>34</v>
      </c>
      <c r="E34" s="2" t="s">
        <v>1476</v>
      </c>
      <c r="F34" s="2" t="s">
        <v>1477</v>
      </c>
      <c r="G34" s="2" t="s">
        <v>1084</v>
      </c>
      <c r="I34" s="2" t="s">
        <v>31</v>
      </c>
      <c r="J34" s="2" t="s">
        <v>31</v>
      </c>
      <c r="K34" s="2" t="s">
        <v>498</v>
      </c>
      <c r="L34" s="2" t="s">
        <v>164</v>
      </c>
      <c r="M34" s="2" t="s">
        <v>387</v>
      </c>
      <c r="N34" s="2" t="s">
        <v>1387</v>
      </c>
      <c r="O34" s="2" t="s">
        <v>1478</v>
      </c>
      <c r="P34" s="2" t="s">
        <v>1396</v>
      </c>
      <c r="Q34" s="2" t="s">
        <v>104</v>
      </c>
      <c r="R34" s="2" t="s">
        <v>454</v>
      </c>
      <c r="S34" s="2" t="s">
        <v>35</v>
      </c>
      <c r="T34" s="150">
        <v>3.46</v>
      </c>
      <c r="U34" s="2" t="s">
        <v>1397</v>
      </c>
      <c r="V34" s="162">
        <v>5.5E-2</v>
      </c>
      <c r="W34" s="2" t="s">
        <v>801</v>
      </c>
      <c r="X34" s="2" t="s">
        <v>955</v>
      </c>
      <c r="Y34" s="172">
        <v>5.5</v>
      </c>
      <c r="Z34" s="164">
        <v>2.3699999999999999E-2</v>
      </c>
      <c r="AA34" s="2" t="s">
        <v>1393</v>
      </c>
      <c r="AB34" s="4" t="s">
        <v>459</v>
      </c>
      <c r="AC34" s="2" t="s">
        <v>530</v>
      </c>
      <c r="AD34" s="150">
        <v>862</v>
      </c>
      <c r="AE34" s="150">
        <v>0.78</v>
      </c>
      <c r="AF34" s="2" t="s">
        <v>1404</v>
      </c>
      <c r="AG34" s="2" t="s">
        <v>164</v>
      </c>
      <c r="AI34" s="2" t="s">
        <v>1405</v>
      </c>
      <c r="AJ34" s="2" t="s">
        <v>387</v>
      </c>
      <c r="AK34" s="2" t="s">
        <v>938</v>
      </c>
      <c r="AL34" s="2" t="s">
        <v>1377</v>
      </c>
      <c r="AN34" s="2" t="s">
        <v>1378</v>
      </c>
      <c r="AO34" s="2" t="s">
        <v>1404</v>
      </c>
      <c r="AP34" s="151">
        <v>0</v>
      </c>
      <c r="AQ34" s="150">
        <v>2379.46</v>
      </c>
      <c r="AR34" s="150">
        <v>124.33</v>
      </c>
      <c r="AS34" s="150">
        <v>1</v>
      </c>
      <c r="AT34" s="150">
        <v>2.9580000000000002</v>
      </c>
      <c r="AU34" s="150">
        <v>2.9580000000000002</v>
      </c>
      <c r="AX34" s="4" t="s">
        <v>164</v>
      </c>
      <c r="AY34" s="2" t="s">
        <v>37</v>
      </c>
      <c r="AZ34" s="164">
        <v>3.1982359397940402E-4</v>
      </c>
      <c r="BA34" s="164">
        <v>7.7884515382265892E-6</v>
      </c>
    </row>
    <row r="35" spans="1:53">
      <c r="A35" s="2" t="s">
        <v>26</v>
      </c>
      <c r="B35" s="2">
        <v>1182</v>
      </c>
      <c r="C35" s="2" t="s">
        <v>1387</v>
      </c>
      <c r="D35" s="2" t="s">
        <v>34</v>
      </c>
      <c r="E35" s="2" t="s">
        <v>1479</v>
      </c>
      <c r="F35" s="2" t="s">
        <v>1480</v>
      </c>
      <c r="G35" s="2" t="s">
        <v>1084</v>
      </c>
      <c r="I35" s="2" t="s">
        <v>31</v>
      </c>
      <c r="J35" s="2" t="s">
        <v>31</v>
      </c>
      <c r="K35" s="2" t="s">
        <v>498</v>
      </c>
      <c r="L35" s="2" t="s">
        <v>164</v>
      </c>
      <c r="M35" s="2" t="s">
        <v>387</v>
      </c>
      <c r="N35" s="2" t="s">
        <v>1387</v>
      </c>
      <c r="O35" s="2" t="s">
        <v>1481</v>
      </c>
      <c r="P35" s="2" t="s">
        <v>1396</v>
      </c>
      <c r="Q35" s="2" t="s">
        <v>104</v>
      </c>
      <c r="R35" s="2" t="s">
        <v>454</v>
      </c>
      <c r="S35" s="2" t="s">
        <v>35</v>
      </c>
      <c r="T35" s="150">
        <v>3.46</v>
      </c>
      <c r="U35" s="2" t="s">
        <v>1397</v>
      </c>
      <c r="V35" s="162">
        <v>5.5E-2</v>
      </c>
      <c r="W35" s="2" t="s">
        <v>801</v>
      </c>
      <c r="X35" s="2" t="s">
        <v>955</v>
      </c>
      <c r="Y35" s="172">
        <v>5.5</v>
      </c>
      <c r="Z35" s="164">
        <v>2.4500000000000001E-2</v>
      </c>
      <c r="AA35" s="2" t="s">
        <v>1393</v>
      </c>
      <c r="AB35" s="4" t="s">
        <v>459</v>
      </c>
      <c r="AC35" s="2" t="s">
        <v>530</v>
      </c>
      <c r="AD35" s="150">
        <v>2532</v>
      </c>
      <c r="AE35" s="150">
        <v>0.78</v>
      </c>
      <c r="AF35" s="2" t="s">
        <v>1404</v>
      </c>
      <c r="AG35" s="2" t="s">
        <v>164</v>
      </c>
      <c r="AI35" s="2" t="s">
        <v>1405</v>
      </c>
      <c r="AJ35" s="2" t="s">
        <v>387</v>
      </c>
      <c r="AK35" s="2" t="s">
        <v>938</v>
      </c>
      <c r="AL35" s="2" t="s">
        <v>1377</v>
      </c>
      <c r="AN35" s="2" t="s">
        <v>1378</v>
      </c>
      <c r="AO35" s="2" t="s">
        <v>1404</v>
      </c>
      <c r="AP35" s="151">
        <v>0</v>
      </c>
      <c r="AQ35" s="150">
        <v>6986.58</v>
      </c>
      <c r="AR35" s="150">
        <v>124.09</v>
      </c>
      <c r="AS35" s="150">
        <v>1</v>
      </c>
      <c r="AT35" s="150">
        <v>8.67</v>
      </c>
      <c r="AU35" s="150">
        <v>8.67</v>
      </c>
      <c r="AX35" s="4" t="s">
        <v>164</v>
      </c>
      <c r="AY35" s="2" t="s">
        <v>37</v>
      </c>
      <c r="AZ35" s="164">
        <v>9.3725459452764803E-4</v>
      </c>
      <c r="BA35" s="164">
        <v>2.28243385599904E-5</v>
      </c>
    </row>
    <row r="36" spans="1:53">
      <c r="A36" s="2" t="s">
        <v>26</v>
      </c>
      <c r="B36" s="2">
        <v>1182</v>
      </c>
      <c r="C36" s="2" t="s">
        <v>1387</v>
      </c>
      <c r="D36" s="2" t="s">
        <v>34</v>
      </c>
      <c r="E36" s="2" t="s">
        <v>1482</v>
      </c>
      <c r="F36" s="2" t="s">
        <v>1483</v>
      </c>
      <c r="G36" s="2" t="s">
        <v>1084</v>
      </c>
      <c r="I36" s="2" t="s">
        <v>31</v>
      </c>
      <c r="J36" s="2" t="s">
        <v>31</v>
      </c>
      <c r="K36" s="2" t="s">
        <v>498</v>
      </c>
      <c r="L36" s="2" t="s">
        <v>164</v>
      </c>
      <c r="M36" s="2" t="s">
        <v>387</v>
      </c>
      <c r="N36" s="2" t="s">
        <v>1387</v>
      </c>
      <c r="O36" s="2" t="s">
        <v>1484</v>
      </c>
      <c r="P36" s="2" t="s">
        <v>1391</v>
      </c>
      <c r="Q36" s="2" t="s">
        <v>217</v>
      </c>
      <c r="R36" s="2" t="s">
        <v>454</v>
      </c>
      <c r="S36" s="2" t="s">
        <v>35</v>
      </c>
      <c r="T36" s="150">
        <v>3.46</v>
      </c>
      <c r="U36" s="2" t="s">
        <v>1397</v>
      </c>
      <c r="V36" s="162">
        <v>5.5E-2</v>
      </c>
      <c r="W36" s="2" t="s">
        <v>801</v>
      </c>
      <c r="X36" s="2" t="s">
        <v>955</v>
      </c>
      <c r="Y36" s="172">
        <v>5.5</v>
      </c>
      <c r="Z36" s="164">
        <v>2.4500000000000001E-2</v>
      </c>
      <c r="AA36" s="2" t="s">
        <v>1393</v>
      </c>
      <c r="AB36" s="4" t="s">
        <v>459</v>
      </c>
      <c r="AC36" s="2" t="s">
        <v>530</v>
      </c>
      <c r="AD36" s="150">
        <v>470</v>
      </c>
      <c r="AE36" s="150">
        <v>0.78</v>
      </c>
      <c r="AF36" s="2" t="s">
        <v>1404</v>
      </c>
      <c r="AG36" s="2" t="s">
        <v>164</v>
      </c>
      <c r="AI36" s="2" t="s">
        <v>1405</v>
      </c>
      <c r="AJ36" s="2" t="s">
        <v>387</v>
      </c>
      <c r="AK36" s="2" t="s">
        <v>938</v>
      </c>
      <c r="AL36" s="2" t="s">
        <v>1377</v>
      </c>
      <c r="AN36" s="2" t="s">
        <v>1378</v>
      </c>
      <c r="AO36" s="2" t="s">
        <v>1404</v>
      </c>
      <c r="AP36" s="151">
        <v>0</v>
      </c>
      <c r="AQ36" s="150">
        <v>1296.8699999999999</v>
      </c>
      <c r="AR36" s="150">
        <v>124.72</v>
      </c>
      <c r="AS36" s="150">
        <v>1</v>
      </c>
      <c r="AT36" s="150">
        <v>1.617</v>
      </c>
      <c r="AU36" s="150">
        <v>1.617</v>
      </c>
      <c r="AX36" s="4" t="s">
        <v>164</v>
      </c>
      <c r="AY36" s="2" t="s">
        <v>37</v>
      </c>
      <c r="AZ36" s="164">
        <v>1.7485928706770801E-4</v>
      </c>
      <c r="BA36" s="164">
        <v>4.2582320659663298E-6</v>
      </c>
    </row>
    <row r="37" spans="1:53">
      <c r="A37" s="2" t="s">
        <v>26</v>
      </c>
      <c r="B37" s="2">
        <v>1182</v>
      </c>
      <c r="C37" s="2" t="s">
        <v>1387</v>
      </c>
      <c r="D37" s="2" t="s">
        <v>34</v>
      </c>
      <c r="E37" s="2" t="s">
        <v>1485</v>
      </c>
      <c r="F37" s="2" t="s">
        <v>1486</v>
      </c>
      <c r="G37" s="2" t="s">
        <v>1084</v>
      </c>
      <c r="I37" s="2" t="s">
        <v>31</v>
      </c>
      <c r="J37" s="2" t="s">
        <v>31</v>
      </c>
      <c r="K37" s="2" t="s">
        <v>498</v>
      </c>
      <c r="L37" s="2" t="s">
        <v>164</v>
      </c>
      <c r="M37" s="2" t="s">
        <v>387</v>
      </c>
      <c r="N37" s="2" t="s">
        <v>1387</v>
      </c>
      <c r="O37" s="2" t="s">
        <v>1487</v>
      </c>
      <c r="P37" s="2" t="s">
        <v>1396</v>
      </c>
      <c r="Q37" s="2" t="s">
        <v>104</v>
      </c>
      <c r="R37" s="2" t="s">
        <v>454</v>
      </c>
      <c r="S37" s="2" t="s">
        <v>35</v>
      </c>
      <c r="T37" s="150">
        <v>3.46</v>
      </c>
      <c r="U37" s="2" t="s">
        <v>1397</v>
      </c>
      <c r="V37" s="162">
        <v>5.5E-2</v>
      </c>
      <c r="W37" s="2" t="s">
        <v>801</v>
      </c>
      <c r="X37" s="2" t="s">
        <v>955</v>
      </c>
      <c r="Y37" s="172">
        <v>5.5</v>
      </c>
      <c r="Z37" s="164">
        <v>2.4500000000000001E-2</v>
      </c>
      <c r="AA37" s="2" t="s">
        <v>1488</v>
      </c>
      <c r="AB37" s="4" t="s">
        <v>459</v>
      </c>
      <c r="AC37" s="2" t="s">
        <v>530</v>
      </c>
      <c r="AD37" s="150">
        <v>938</v>
      </c>
      <c r="AE37" s="150">
        <v>0.78</v>
      </c>
      <c r="AF37" s="2" t="s">
        <v>1404</v>
      </c>
      <c r="AG37" s="2" t="s">
        <v>164</v>
      </c>
      <c r="AI37" s="2" t="s">
        <v>1405</v>
      </c>
      <c r="AJ37" s="2" t="s">
        <v>387</v>
      </c>
      <c r="AK37" s="2" t="s">
        <v>938</v>
      </c>
      <c r="AL37" s="2" t="s">
        <v>1377</v>
      </c>
      <c r="AN37" s="2" t="s">
        <v>1378</v>
      </c>
      <c r="AO37" s="2" t="s">
        <v>1404</v>
      </c>
      <c r="AP37" s="151">
        <v>0</v>
      </c>
      <c r="AQ37" s="150">
        <v>2588.02</v>
      </c>
      <c r="AR37" s="150">
        <v>124.95</v>
      </c>
      <c r="AS37" s="150">
        <v>1</v>
      </c>
      <c r="AT37" s="150">
        <v>3.234</v>
      </c>
      <c r="AU37" s="150">
        <v>3.234</v>
      </c>
      <c r="AX37" s="4" t="s">
        <v>164</v>
      </c>
      <c r="AY37" s="2" t="s">
        <v>37</v>
      </c>
      <c r="AZ37" s="164">
        <v>3.4959084091818902E-4</v>
      </c>
      <c r="BA37" s="164">
        <v>8.5133535297416002E-6</v>
      </c>
    </row>
    <row r="38" spans="1:53">
      <c r="A38" s="2" t="s">
        <v>26</v>
      </c>
      <c r="B38" s="2">
        <v>1182</v>
      </c>
      <c r="C38" s="2" t="s">
        <v>1387</v>
      </c>
      <c r="D38" s="2" t="s">
        <v>34</v>
      </c>
      <c r="E38" s="2" t="s">
        <v>1489</v>
      </c>
      <c r="F38" s="2" t="s">
        <v>1490</v>
      </c>
      <c r="G38" s="2" t="s">
        <v>1084</v>
      </c>
      <c r="I38" s="2" t="s">
        <v>31</v>
      </c>
      <c r="J38" s="2" t="s">
        <v>31</v>
      </c>
      <c r="K38" s="2" t="s">
        <v>498</v>
      </c>
      <c r="L38" s="2" t="s">
        <v>164</v>
      </c>
      <c r="M38" s="2" t="s">
        <v>387</v>
      </c>
      <c r="N38" s="2" t="s">
        <v>1387</v>
      </c>
      <c r="O38" s="2" t="s">
        <v>1491</v>
      </c>
      <c r="P38" s="2" t="s">
        <v>1396</v>
      </c>
      <c r="Q38" s="2" t="s">
        <v>104</v>
      </c>
      <c r="R38" s="2" t="s">
        <v>454</v>
      </c>
      <c r="S38" s="2" t="s">
        <v>35</v>
      </c>
      <c r="T38" s="150">
        <v>3.46</v>
      </c>
      <c r="U38" s="2" t="s">
        <v>1397</v>
      </c>
      <c r="V38" s="162">
        <v>5.5E-2</v>
      </c>
      <c r="W38" s="2" t="s">
        <v>801</v>
      </c>
      <c r="X38" s="2" t="s">
        <v>955</v>
      </c>
      <c r="Y38" s="172">
        <v>5.5</v>
      </c>
      <c r="Z38" s="164">
        <v>2.4500000000000001E-2</v>
      </c>
      <c r="AA38" s="2" t="s">
        <v>1393</v>
      </c>
      <c r="AB38" s="4" t="s">
        <v>459</v>
      </c>
      <c r="AC38" s="2" t="s">
        <v>530</v>
      </c>
      <c r="AD38" s="150">
        <v>588</v>
      </c>
      <c r="AE38" s="150">
        <v>0.78</v>
      </c>
      <c r="AF38" s="2" t="s">
        <v>1404</v>
      </c>
      <c r="AG38" s="2" t="s">
        <v>164</v>
      </c>
      <c r="AI38" s="2" t="s">
        <v>1405</v>
      </c>
      <c r="AJ38" s="2" t="s">
        <v>387</v>
      </c>
      <c r="AK38" s="2" t="s">
        <v>938</v>
      </c>
      <c r="AL38" s="2" t="s">
        <v>1377</v>
      </c>
      <c r="AN38" s="2" t="s">
        <v>1378</v>
      </c>
      <c r="AO38" s="2" t="s">
        <v>1404</v>
      </c>
      <c r="AP38" s="151">
        <v>0</v>
      </c>
      <c r="AQ38" s="150">
        <v>1621.7</v>
      </c>
      <c r="AR38" s="150">
        <v>124.47</v>
      </c>
      <c r="AS38" s="150">
        <v>1</v>
      </c>
      <c r="AT38" s="150">
        <v>2.0190000000000001</v>
      </c>
      <c r="AU38" s="150">
        <v>2.0190000000000001</v>
      </c>
      <c r="AX38" s="4" t="s">
        <v>164</v>
      </c>
      <c r="AY38" s="2" t="s">
        <v>37</v>
      </c>
      <c r="AZ38" s="164">
        <v>2.18218398130478E-4</v>
      </c>
      <c r="BA38" s="164">
        <v>5.3141276959638996E-6</v>
      </c>
    </row>
    <row r="39" spans="1:53">
      <c r="A39" s="2" t="s">
        <v>26</v>
      </c>
      <c r="B39" s="2">
        <v>1182</v>
      </c>
      <c r="C39" s="2" t="s">
        <v>1387</v>
      </c>
      <c r="D39" s="2" t="s">
        <v>34</v>
      </c>
      <c r="E39" s="2" t="s">
        <v>1492</v>
      </c>
      <c r="F39" s="2" t="s">
        <v>1493</v>
      </c>
      <c r="G39" s="2" t="s">
        <v>1084</v>
      </c>
      <c r="I39" s="2" t="s">
        <v>31</v>
      </c>
      <c r="J39" s="2" t="s">
        <v>31</v>
      </c>
      <c r="K39" s="2" t="s">
        <v>498</v>
      </c>
      <c r="L39" s="2" t="s">
        <v>164</v>
      </c>
      <c r="M39" s="2" t="s">
        <v>387</v>
      </c>
      <c r="N39" s="2" t="s">
        <v>1387</v>
      </c>
      <c r="O39" s="2" t="s">
        <v>1494</v>
      </c>
      <c r="P39" s="2" t="s">
        <v>1396</v>
      </c>
      <c r="Q39" s="2" t="s">
        <v>104</v>
      </c>
      <c r="R39" s="2" t="s">
        <v>454</v>
      </c>
      <c r="S39" s="2" t="s">
        <v>35</v>
      </c>
      <c r="T39" s="150">
        <v>3.46</v>
      </c>
      <c r="U39" s="2" t="s">
        <v>1397</v>
      </c>
      <c r="V39" s="162">
        <v>5.5E-2</v>
      </c>
      <c r="W39" s="2" t="s">
        <v>801</v>
      </c>
      <c r="X39" s="2" t="s">
        <v>955</v>
      </c>
      <c r="Y39" s="172">
        <v>5.5</v>
      </c>
      <c r="Z39" s="164">
        <v>2.4500000000000001E-2</v>
      </c>
      <c r="AA39" s="2" t="s">
        <v>1403</v>
      </c>
      <c r="AB39" s="4" t="s">
        <v>459</v>
      </c>
      <c r="AC39" s="2" t="s">
        <v>530</v>
      </c>
      <c r="AD39" s="150">
        <v>331</v>
      </c>
      <c r="AE39" s="150">
        <v>0.78</v>
      </c>
      <c r="AF39" s="2" t="s">
        <v>1404</v>
      </c>
      <c r="AG39" s="2" t="s">
        <v>164</v>
      </c>
      <c r="AI39" s="2" t="s">
        <v>1405</v>
      </c>
      <c r="AJ39" s="2" t="s">
        <v>387</v>
      </c>
      <c r="AK39" s="2" t="s">
        <v>938</v>
      </c>
      <c r="AL39" s="2" t="s">
        <v>1377</v>
      </c>
      <c r="AN39" s="2" t="s">
        <v>1378</v>
      </c>
      <c r="AO39" s="2" t="s">
        <v>1404</v>
      </c>
      <c r="AP39" s="151">
        <v>0</v>
      </c>
      <c r="AQ39" s="150">
        <v>913.2</v>
      </c>
      <c r="AR39" s="150">
        <v>124.35</v>
      </c>
      <c r="AS39" s="150">
        <v>1</v>
      </c>
      <c r="AT39" s="150">
        <v>1.1359999999999999</v>
      </c>
      <c r="AU39" s="150">
        <v>1.1359999999999999</v>
      </c>
      <c r="AX39" s="4" t="s">
        <v>164</v>
      </c>
      <c r="AY39" s="2" t="s">
        <v>37</v>
      </c>
      <c r="AZ39" s="164">
        <v>1.2276310083375E-4</v>
      </c>
      <c r="BA39" s="164">
        <v>2.9895682480125498E-6</v>
      </c>
    </row>
    <row r="40" spans="1:53">
      <c r="A40" s="2" t="s">
        <v>26</v>
      </c>
      <c r="B40" s="2">
        <v>1182</v>
      </c>
      <c r="C40" s="2" t="s">
        <v>1387</v>
      </c>
      <c r="D40" s="2" t="s">
        <v>34</v>
      </c>
      <c r="E40" s="2" t="s">
        <v>1495</v>
      </c>
      <c r="F40" s="2" t="s">
        <v>1496</v>
      </c>
      <c r="G40" s="2" t="s">
        <v>1084</v>
      </c>
      <c r="I40" s="2" t="s">
        <v>31</v>
      </c>
      <c r="J40" s="2" t="s">
        <v>31</v>
      </c>
      <c r="K40" s="2" t="s">
        <v>498</v>
      </c>
      <c r="L40" s="2" t="s">
        <v>164</v>
      </c>
      <c r="M40" s="2" t="s">
        <v>387</v>
      </c>
      <c r="N40" s="2" t="s">
        <v>1387</v>
      </c>
      <c r="O40" s="2" t="s">
        <v>1497</v>
      </c>
      <c r="P40" s="2" t="s">
        <v>1396</v>
      </c>
      <c r="Q40" s="2" t="s">
        <v>104</v>
      </c>
      <c r="R40" s="2" t="s">
        <v>454</v>
      </c>
      <c r="S40" s="2" t="s">
        <v>35</v>
      </c>
      <c r="T40" s="150">
        <v>3.46</v>
      </c>
      <c r="U40" s="2" t="s">
        <v>1397</v>
      </c>
      <c r="V40" s="162">
        <v>5.5E-2</v>
      </c>
      <c r="W40" s="2" t="s">
        <v>801</v>
      </c>
      <c r="X40" s="2" t="s">
        <v>955</v>
      </c>
      <c r="Y40" s="172">
        <v>5.5</v>
      </c>
      <c r="Z40" s="164">
        <v>2.4500000000000001E-2</v>
      </c>
      <c r="AA40" s="2" t="s">
        <v>1403</v>
      </c>
      <c r="AB40" s="4" t="s">
        <v>459</v>
      </c>
      <c r="AC40" s="2" t="s">
        <v>530</v>
      </c>
      <c r="AD40" s="150">
        <v>987</v>
      </c>
      <c r="AE40" s="150">
        <v>0.78</v>
      </c>
      <c r="AF40" s="2" t="s">
        <v>1404</v>
      </c>
      <c r="AG40" s="2" t="s">
        <v>164</v>
      </c>
      <c r="AI40" s="2" t="s">
        <v>1405</v>
      </c>
      <c r="AJ40" s="2" t="s">
        <v>387</v>
      </c>
      <c r="AK40" s="2" t="s">
        <v>938</v>
      </c>
      <c r="AL40" s="2" t="s">
        <v>1377</v>
      </c>
      <c r="AN40" s="2" t="s">
        <v>1378</v>
      </c>
      <c r="AO40" s="2" t="s">
        <v>1404</v>
      </c>
      <c r="AP40" s="151">
        <v>0</v>
      </c>
      <c r="AQ40" s="150">
        <v>2724</v>
      </c>
      <c r="AR40" s="150">
        <v>123.99</v>
      </c>
      <c r="AS40" s="150">
        <v>1</v>
      </c>
      <c r="AT40" s="150">
        <v>3.3769999999999998</v>
      </c>
      <c r="AU40" s="150">
        <v>3.3769999999999998</v>
      </c>
      <c r="AX40" s="4" t="s">
        <v>164</v>
      </c>
      <c r="AY40" s="2" t="s">
        <v>37</v>
      </c>
      <c r="AZ40" s="164">
        <v>3.6513202054409502E-4</v>
      </c>
      <c r="BA40" s="164">
        <v>8.8918175537905407E-6</v>
      </c>
    </row>
    <row r="41" spans="1:53">
      <c r="A41" s="2" t="s">
        <v>26</v>
      </c>
      <c r="B41" s="2">
        <v>1182</v>
      </c>
      <c r="C41" s="2" t="s">
        <v>1387</v>
      </c>
      <c r="D41" s="2" t="s">
        <v>34</v>
      </c>
      <c r="E41" s="2" t="s">
        <v>1498</v>
      </c>
      <c r="F41" s="2" t="s">
        <v>1499</v>
      </c>
      <c r="G41" s="2" t="s">
        <v>1084</v>
      </c>
      <c r="I41" s="2" t="s">
        <v>31</v>
      </c>
      <c r="J41" s="2" t="s">
        <v>31</v>
      </c>
      <c r="K41" s="2" t="s">
        <v>498</v>
      </c>
      <c r="L41" s="2" t="s">
        <v>164</v>
      </c>
      <c r="M41" s="2" t="s">
        <v>387</v>
      </c>
      <c r="O41" s="2" t="s">
        <v>1464</v>
      </c>
      <c r="P41" s="2" t="s">
        <v>1391</v>
      </c>
      <c r="Q41" s="2" t="s">
        <v>217</v>
      </c>
      <c r="R41" s="2" t="s">
        <v>454</v>
      </c>
      <c r="S41" s="2" t="s">
        <v>35</v>
      </c>
      <c r="T41" s="150">
        <v>3.75</v>
      </c>
      <c r="U41" s="2" t="s">
        <v>204</v>
      </c>
      <c r="V41" s="162">
        <v>5.5E-2</v>
      </c>
      <c r="W41" s="2" t="s">
        <v>801</v>
      </c>
      <c r="X41" s="2" t="s">
        <v>1392</v>
      </c>
      <c r="Y41" s="172">
        <v>5.5</v>
      </c>
      <c r="Z41" s="164">
        <v>3.0419999999999999E-2</v>
      </c>
      <c r="AA41" s="2" t="s">
        <v>1403</v>
      </c>
      <c r="AB41" s="4" t="s">
        <v>459</v>
      </c>
      <c r="AG41" s="2" t="s">
        <v>164</v>
      </c>
      <c r="AJ41" s="2" t="s">
        <v>164</v>
      </c>
      <c r="AK41" s="2" t="s">
        <v>204</v>
      </c>
      <c r="AN41" s="2" t="s">
        <v>1378</v>
      </c>
      <c r="AQ41" s="150">
        <v>1060.43</v>
      </c>
      <c r="AR41" s="150">
        <v>123.99</v>
      </c>
      <c r="AS41" s="150">
        <v>1</v>
      </c>
      <c r="AT41" s="150">
        <v>1.3149999999999999</v>
      </c>
      <c r="AU41" s="150">
        <v>1.3149999999999999</v>
      </c>
      <c r="AX41" s="4" t="s">
        <v>164</v>
      </c>
      <c r="AY41" s="2" t="s">
        <v>37</v>
      </c>
      <c r="AZ41" s="164">
        <v>1.42142785809682E-4</v>
      </c>
      <c r="BA41" s="164">
        <v>3.4615088430859402E-6</v>
      </c>
    </row>
    <row r="42" spans="1:53">
      <c r="A42" s="2" t="s">
        <v>26</v>
      </c>
      <c r="B42" s="2">
        <v>1182</v>
      </c>
      <c r="C42" s="2" t="s">
        <v>1387</v>
      </c>
      <c r="D42" s="2" t="s">
        <v>34</v>
      </c>
      <c r="E42" s="2" t="s">
        <v>1500</v>
      </c>
      <c r="F42" s="2" t="s">
        <v>1501</v>
      </c>
      <c r="G42" s="2" t="s">
        <v>1084</v>
      </c>
      <c r="I42" s="2" t="s">
        <v>31</v>
      </c>
      <c r="J42" s="2" t="s">
        <v>31</v>
      </c>
      <c r="K42" s="2" t="s">
        <v>498</v>
      </c>
      <c r="L42" s="2" t="s">
        <v>164</v>
      </c>
      <c r="M42" s="2" t="s">
        <v>387</v>
      </c>
      <c r="N42" s="2" t="s">
        <v>1387</v>
      </c>
      <c r="O42" s="2" t="s">
        <v>1502</v>
      </c>
      <c r="P42" s="2" t="s">
        <v>1391</v>
      </c>
      <c r="Q42" s="2" t="s">
        <v>217</v>
      </c>
      <c r="R42" s="2" t="s">
        <v>454</v>
      </c>
      <c r="S42" s="2" t="s">
        <v>35</v>
      </c>
      <c r="T42" s="150">
        <v>3.46</v>
      </c>
      <c r="U42" s="2" t="s">
        <v>1397</v>
      </c>
      <c r="V42" s="162">
        <v>5.5E-2</v>
      </c>
      <c r="W42" s="2" t="s">
        <v>801</v>
      </c>
      <c r="X42" s="2" t="s">
        <v>955</v>
      </c>
      <c r="Y42" s="172">
        <v>5.5</v>
      </c>
      <c r="Z42" s="164">
        <v>2.4500000000000001E-2</v>
      </c>
      <c r="AA42" s="2" t="s">
        <v>1403</v>
      </c>
      <c r="AB42" s="4" t="s">
        <v>459</v>
      </c>
      <c r="AC42" s="2" t="s">
        <v>530</v>
      </c>
      <c r="AD42" s="150">
        <v>5567</v>
      </c>
      <c r="AE42" s="150">
        <v>0.78</v>
      </c>
      <c r="AF42" s="2" t="s">
        <v>1404</v>
      </c>
      <c r="AG42" s="2" t="s">
        <v>164</v>
      </c>
      <c r="AI42" s="2" t="s">
        <v>1405</v>
      </c>
      <c r="AJ42" s="2" t="s">
        <v>387</v>
      </c>
      <c r="AK42" s="2" t="s">
        <v>938</v>
      </c>
      <c r="AL42" s="2" t="s">
        <v>1377</v>
      </c>
      <c r="AN42" s="2" t="s">
        <v>1378</v>
      </c>
      <c r="AO42" s="2" t="s">
        <v>1404</v>
      </c>
      <c r="AP42" s="151">
        <v>0</v>
      </c>
      <c r="AQ42" s="150">
        <v>7126.61</v>
      </c>
      <c r="AR42" s="150">
        <v>124.23</v>
      </c>
      <c r="AS42" s="150">
        <v>1</v>
      </c>
      <c r="AT42" s="150">
        <v>8.8529999999999998</v>
      </c>
      <c r="AU42" s="150">
        <v>8.8529999999999998</v>
      </c>
      <c r="AX42" s="4" t="s">
        <v>164</v>
      </c>
      <c r="AY42" s="2" t="s">
        <v>37</v>
      </c>
      <c r="AZ42" s="164">
        <v>9.5711833380037695E-4</v>
      </c>
      <c r="BA42" s="164">
        <v>2.3308067007815801E-5</v>
      </c>
    </row>
    <row r="43" spans="1:53">
      <c r="A43" s="2" t="s">
        <v>26</v>
      </c>
      <c r="B43" s="2">
        <v>1182</v>
      </c>
      <c r="C43" s="2" t="s">
        <v>1387</v>
      </c>
      <c r="D43" s="2" t="s">
        <v>34</v>
      </c>
      <c r="E43" s="2" t="s">
        <v>1503</v>
      </c>
      <c r="F43" s="2" t="s">
        <v>1504</v>
      </c>
      <c r="G43" s="2" t="s">
        <v>1084</v>
      </c>
      <c r="I43" s="2" t="s">
        <v>31</v>
      </c>
      <c r="J43" s="2" t="s">
        <v>31</v>
      </c>
      <c r="K43" s="2" t="s">
        <v>498</v>
      </c>
      <c r="L43" s="2" t="s">
        <v>164</v>
      </c>
      <c r="M43" s="2" t="s">
        <v>387</v>
      </c>
      <c r="N43" s="2" t="s">
        <v>1387</v>
      </c>
      <c r="O43" s="2" t="s">
        <v>1505</v>
      </c>
      <c r="P43" s="2" t="s">
        <v>1391</v>
      </c>
      <c r="Q43" s="2" t="s">
        <v>217</v>
      </c>
      <c r="R43" s="2" t="s">
        <v>454</v>
      </c>
      <c r="S43" s="2" t="s">
        <v>35</v>
      </c>
      <c r="T43" s="150">
        <v>3.46</v>
      </c>
      <c r="U43" s="2" t="s">
        <v>1397</v>
      </c>
      <c r="V43" s="162">
        <v>5.5E-2</v>
      </c>
      <c r="W43" s="2" t="s">
        <v>801</v>
      </c>
      <c r="X43" s="2" t="s">
        <v>955</v>
      </c>
      <c r="Y43" s="172">
        <v>5.5</v>
      </c>
      <c r="Z43" s="164">
        <v>2.4500000000000001E-2</v>
      </c>
      <c r="AA43" s="2" t="s">
        <v>1403</v>
      </c>
      <c r="AB43" s="4" t="s">
        <v>459</v>
      </c>
      <c r="AC43" s="2" t="s">
        <v>530</v>
      </c>
      <c r="AD43" s="150">
        <v>5045</v>
      </c>
      <c r="AE43" s="150">
        <v>0.78</v>
      </c>
      <c r="AF43" s="2" t="s">
        <v>1404</v>
      </c>
      <c r="AG43" s="2" t="s">
        <v>164</v>
      </c>
      <c r="AI43" s="2" t="s">
        <v>1405</v>
      </c>
      <c r="AJ43" s="2" t="s">
        <v>387</v>
      </c>
      <c r="AK43" s="2" t="s">
        <v>938</v>
      </c>
      <c r="AL43" s="2" t="s">
        <v>1377</v>
      </c>
      <c r="AN43" s="2" t="s">
        <v>1378</v>
      </c>
      <c r="AO43" s="2" t="s">
        <v>1404</v>
      </c>
      <c r="AP43" s="151">
        <v>0</v>
      </c>
      <c r="AQ43" s="150">
        <v>13921.12</v>
      </c>
      <c r="AR43" s="150">
        <v>125.34</v>
      </c>
      <c r="AS43" s="150">
        <v>1</v>
      </c>
      <c r="AT43" s="150">
        <v>17.449000000000002</v>
      </c>
      <c r="AU43" s="150">
        <v>17.449000000000002</v>
      </c>
      <c r="AX43" s="4" t="s">
        <v>164</v>
      </c>
      <c r="AY43" s="2" t="s">
        <v>37</v>
      </c>
      <c r="AZ43" s="164">
        <v>1.8863402195724E-3</v>
      </c>
      <c r="BA43" s="164">
        <v>4.5936790347285897E-5</v>
      </c>
    </row>
    <row r="44" spans="1:53">
      <c r="A44" s="2" t="s">
        <v>26</v>
      </c>
      <c r="B44" s="2">
        <v>1182</v>
      </c>
      <c r="C44" s="2" t="s">
        <v>1387</v>
      </c>
      <c r="D44" s="2" t="s">
        <v>34</v>
      </c>
      <c r="E44" s="2" t="s">
        <v>1506</v>
      </c>
      <c r="F44" s="2" t="s">
        <v>1507</v>
      </c>
      <c r="G44" s="2" t="s">
        <v>1084</v>
      </c>
      <c r="I44" s="2" t="s">
        <v>31</v>
      </c>
      <c r="J44" s="2" t="s">
        <v>31</v>
      </c>
      <c r="K44" s="2" t="s">
        <v>498</v>
      </c>
      <c r="L44" s="2" t="s">
        <v>164</v>
      </c>
      <c r="M44" s="2" t="s">
        <v>387</v>
      </c>
      <c r="O44" s="2" t="s">
        <v>1464</v>
      </c>
      <c r="P44" s="2" t="s">
        <v>1391</v>
      </c>
      <c r="Q44" s="2" t="s">
        <v>217</v>
      </c>
      <c r="R44" s="2" t="s">
        <v>454</v>
      </c>
      <c r="S44" s="2" t="s">
        <v>35</v>
      </c>
      <c r="T44" s="150">
        <v>3.41</v>
      </c>
      <c r="U44" s="2" t="s">
        <v>204</v>
      </c>
      <c r="V44" s="162">
        <v>5.5500000000000001E-2</v>
      </c>
      <c r="W44" s="2" t="s">
        <v>801</v>
      </c>
      <c r="X44" s="2" t="s">
        <v>1392</v>
      </c>
      <c r="Y44" s="172">
        <v>5.55</v>
      </c>
      <c r="Z44" s="164">
        <v>2.6780000000000002E-2</v>
      </c>
      <c r="AA44" s="2" t="s">
        <v>1403</v>
      </c>
      <c r="AB44" s="4" t="s">
        <v>459</v>
      </c>
      <c r="AG44" s="2" t="s">
        <v>164</v>
      </c>
      <c r="AJ44" s="2" t="s">
        <v>164</v>
      </c>
      <c r="AK44" s="2" t="s">
        <v>204</v>
      </c>
      <c r="AN44" s="2" t="s">
        <v>1378</v>
      </c>
      <c r="AQ44" s="150">
        <v>10264.68</v>
      </c>
      <c r="AR44" s="150">
        <v>128.51</v>
      </c>
      <c r="AS44" s="150">
        <v>1</v>
      </c>
      <c r="AT44" s="150">
        <v>13.191000000000001</v>
      </c>
      <c r="AU44" s="150">
        <v>13.191000000000001</v>
      </c>
      <c r="AX44" s="4" t="s">
        <v>164</v>
      </c>
      <c r="AY44" s="2" t="s">
        <v>37</v>
      </c>
      <c r="AZ44" s="164">
        <v>1.4260622894175601E-3</v>
      </c>
      <c r="BA44" s="164">
        <v>3.4727947658346897E-5</v>
      </c>
    </row>
    <row r="45" spans="1:53">
      <c r="A45" s="2" t="s">
        <v>26</v>
      </c>
      <c r="B45" s="2">
        <v>1182</v>
      </c>
      <c r="C45" s="2" t="s">
        <v>1387</v>
      </c>
      <c r="D45" s="2" t="s">
        <v>34</v>
      </c>
      <c r="E45" s="2" t="s">
        <v>1508</v>
      </c>
      <c r="F45" s="2" t="s">
        <v>1509</v>
      </c>
      <c r="G45" s="2" t="s">
        <v>1084</v>
      </c>
      <c r="I45" s="2" t="s">
        <v>31</v>
      </c>
      <c r="J45" s="2" t="s">
        <v>31</v>
      </c>
      <c r="K45" s="2" t="s">
        <v>498</v>
      </c>
      <c r="L45" s="2" t="s">
        <v>164</v>
      </c>
      <c r="M45" s="2" t="s">
        <v>387</v>
      </c>
      <c r="N45" s="2" t="s">
        <v>1387</v>
      </c>
      <c r="O45" s="2" t="s">
        <v>1510</v>
      </c>
      <c r="P45" s="2" t="s">
        <v>1396</v>
      </c>
      <c r="Q45" s="2" t="s">
        <v>104</v>
      </c>
      <c r="R45" s="2" t="s">
        <v>454</v>
      </c>
      <c r="S45" s="2" t="s">
        <v>35</v>
      </c>
      <c r="T45" s="150">
        <v>3.46</v>
      </c>
      <c r="U45" s="2" t="s">
        <v>1397</v>
      </c>
      <c r="V45" s="162">
        <v>5.5E-2</v>
      </c>
      <c r="W45" s="2" t="s">
        <v>801</v>
      </c>
      <c r="X45" s="2" t="s">
        <v>955</v>
      </c>
      <c r="Y45" s="172">
        <v>5.5</v>
      </c>
      <c r="Z45" s="164">
        <v>2.4500000000000001E-2</v>
      </c>
      <c r="AA45" s="2" t="s">
        <v>1393</v>
      </c>
      <c r="AB45" s="4" t="s">
        <v>459</v>
      </c>
      <c r="AC45" s="2" t="s">
        <v>530</v>
      </c>
      <c r="AD45" s="150">
        <v>936</v>
      </c>
      <c r="AE45" s="150">
        <v>0.78</v>
      </c>
      <c r="AF45" s="2" t="s">
        <v>1404</v>
      </c>
      <c r="AG45" s="2" t="s">
        <v>164</v>
      </c>
      <c r="AI45" s="2" t="s">
        <v>1405</v>
      </c>
      <c r="AJ45" s="2" t="s">
        <v>387</v>
      </c>
      <c r="AK45" s="2" t="s">
        <v>938</v>
      </c>
      <c r="AL45" s="2" t="s">
        <v>1377</v>
      </c>
      <c r="AN45" s="2" t="s">
        <v>1378</v>
      </c>
      <c r="AO45" s="2" t="s">
        <v>1404</v>
      </c>
      <c r="AP45" s="151">
        <v>0</v>
      </c>
      <c r="AQ45" s="150">
        <v>4504.9399999999996</v>
      </c>
      <c r="AR45" s="150">
        <v>126.7</v>
      </c>
      <c r="AS45" s="150">
        <v>1</v>
      </c>
      <c r="AT45" s="150">
        <v>5.7080000000000002</v>
      </c>
      <c r="AU45" s="150">
        <v>5.7080000000000002</v>
      </c>
      <c r="AX45" s="4" t="s">
        <v>164</v>
      </c>
      <c r="AY45" s="2" t="s">
        <v>37</v>
      </c>
      <c r="AZ45" s="164">
        <v>6.1705202682197995E-4</v>
      </c>
      <c r="BA45" s="164">
        <v>1.5026658126344999E-5</v>
      </c>
    </row>
    <row r="46" spans="1:53">
      <c r="A46" s="2" t="s">
        <v>26</v>
      </c>
      <c r="B46" s="2">
        <v>1182</v>
      </c>
      <c r="C46" s="2" t="s">
        <v>1387</v>
      </c>
      <c r="D46" s="2" t="s">
        <v>34</v>
      </c>
      <c r="E46" s="2" t="s">
        <v>1511</v>
      </c>
      <c r="F46" s="2" t="s">
        <v>1512</v>
      </c>
      <c r="G46" s="2" t="s">
        <v>1084</v>
      </c>
      <c r="I46" s="2" t="s">
        <v>31</v>
      </c>
      <c r="J46" s="2" t="s">
        <v>31</v>
      </c>
      <c r="K46" s="2" t="s">
        <v>498</v>
      </c>
      <c r="L46" s="2" t="s">
        <v>164</v>
      </c>
      <c r="M46" s="2" t="s">
        <v>387</v>
      </c>
      <c r="N46" s="2" t="s">
        <v>1387</v>
      </c>
      <c r="O46" s="2" t="s">
        <v>1513</v>
      </c>
      <c r="P46" s="2" t="s">
        <v>1391</v>
      </c>
      <c r="Q46" s="2" t="s">
        <v>217</v>
      </c>
      <c r="R46" s="2" t="s">
        <v>454</v>
      </c>
      <c r="S46" s="2" t="s">
        <v>35</v>
      </c>
      <c r="T46" s="150">
        <v>3.46</v>
      </c>
      <c r="U46" s="2" t="s">
        <v>1397</v>
      </c>
      <c r="V46" s="162">
        <v>5.5E-2</v>
      </c>
      <c r="W46" s="2" t="s">
        <v>801</v>
      </c>
      <c r="X46" s="2" t="s">
        <v>955</v>
      </c>
      <c r="Y46" s="172">
        <v>5.5</v>
      </c>
      <c r="Z46" s="164">
        <v>2.46E-2</v>
      </c>
      <c r="AA46" s="2" t="s">
        <v>1393</v>
      </c>
      <c r="AB46" s="4" t="s">
        <v>459</v>
      </c>
      <c r="AC46" s="2" t="s">
        <v>530</v>
      </c>
      <c r="AD46" s="150">
        <v>1524</v>
      </c>
      <c r="AE46" s="150">
        <v>0.78</v>
      </c>
      <c r="AF46" s="2" t="s">
        <v>1404</v>
      </c>
      <c r="AG46" s="2" t="s">
        <v>164</v>
      </c>
      <c r="AI46" s="2" t="s">
        <v>1405</v>
      </c>
      <c r="AJ46" s="2" t="s">
        <v>387</v>
      </c>
      <c r="AK46" s="2" t="s">
        <v>938</v>
      </c>
      <c r="AL46" s="2" t="s">
        <v>1377</v>
      </c>
      <c r="AN46" s="2" t="s">
        <v>1378</v>
      </c>
      <c r="AO46" s="2" t="s">
        <v>1404</v>
      </c>
      <c r="AP46" s="151">
        <v>0</v>
      </c>
      <c r="AQ46" s="150">
        <v>4205.45</v>
      </c>
      <c r="AR46" s="150">
        <v>127.02</v>
      </c>
      <c r="AS46" s="150">
        <v>1</v>
      </c>
      <c r="AT46" s="150">
        <v>5.3419999999999996</v>
      </c>
      <c r="AU46" s="150">
        <v>5.3419999999999996</v>
      </c>
      <c r="AX46" s="4" t="s">
        <v>164</v>
      </c>
      <c r="AY46" s="2" t="s">
        <v>37</v>
      </c>
      <c r="AZ46" s="164">
        <v>5.7748504176700997E-4</v>
      </c>
      <c r="BA46" s="164">
        <v>1.40631096220586E-5</v>
      </c>
    </row>
    <row r="47" spans="1:53">
      <c r="A47" s="2" t="s">
        <v>26</v>
      </c>
      <c r="B47" s="2">
        <v>1182</v>
      </c>
      <c r="C47" s="2" t="s">
        <v>1387</v>
      </c>
      <c r="D47" s="2" t="s">
        <v>34</v>
      </c>
      <c r="E47" s="2" t="s">
        <v>1514</v>
      </c>
      <c r="F47" s="2" t="s">
        <v>1515</v>
      </c>
      <c r="G47" s="2" t="s">
        <v>1084</v>
      </c>
      <c r="I47" s="2" t="s">
        <v>31</v>
      </c>
      <c r="J47" s="2" t="s">
        <v>31</v>
      </c>
      <c r="K47" s="2" t="s">
        <v>498</v>
      </c>
      <c r="L47" s="2" t="s">
        <v>164</v>
      </c>
      <c r="M47" s="2" t="s">
        <v>387</v>
      </c>
      <c r="O47" s="2" t="s">
        <v>1464</v>
      </c>
      <c r="P47" s="2" t="s">
        <v>1391</v>
      </c>
      <c r="Q47" s="2" t="s">
        <v>217</v>
      </c>
      <c r="R47" s="2" t="s">
        <v>454</v>
      </c>
      <c r="S47" s="2" t="s">
        <v>35</v>
      </c>
      <c r="T47" s="150">
        <v>3.46</v>
      </c>
      <c r="U47" s="2" t="s">
        <v>204</v>
      </c>
      <c r="V47" s="162">
        <v>5.5E-2</v>
      </c>
      <c r="W47" s="2" t="s">
        <v>801</v>
      </c>
      <c r="X47" s="2" t="s">
        <v>1392</v>
      </c>
      <c r="Y47" s="172">
        <v>5.5</v>
      </c>
      <c r="Z47" s="164">
        <v>2.4500000000000001E-2</v>
      </c>
      <c r="AA47" s="2" t="s">
        <v>1403</v>
      </c>
      <c r="AB47" s="4" t="s">
        <v>459</v>
      </c>
      <c r="AG47" s="2" t="s">
        <v>164</v>
      </c>
      <c r="AJ47" s="2" t="s">
        <v>164</v>
      </c>
      <c r="AK47" s="2" t="s">
        <v>204</v>
      </c>
      <c r="AN47" s="2" t="s">
        <v>1378</v>
      </c>
      <c r="AQ47" s="150">
        <v>5383.7</v>
      </c>
      <c r="AR47" s="150">
        <v>125.63</v>
      </c>
      <c r="AS47" s="150">
        <v>1</v>
      </c>
      <c r="AT47" s="150">
        <v>6.7640000000000002</v>
      </c>
      <c r="AU47" s="150">
        <v>6.7640000000000002</v>
      </c>
      <c r="AX47" s="4" t="s">
        <v>164</v>
      </c>
      <c r="AY47" s="2" t="s">
        <v>37</v>
      </c>
      <c r="AZ47" s="164">
        <v>7.3119021064230595E-4</v>
      </c>
      <c r="BA47" s="164">
        <v>1.7806189499515301E-5</v>
      </c>
    </row>
    <row r="48" spans="1:53">
      <c r="A48" s="2" t="s">
        <v>26</v>
      </c>
      <c r="B48" s="2">
        <v>1182</v>
      </c>
      <c r="C48" s="2" t="s">
        <v>1516</v>
      </c>
      <c r="D48" s="2" t="s">
        <v>34</v>
      </c>
      <c r="E48" s="2" t="s">
        <v>1517</v>
      </c>
      <c r="F48" s="2" t="s">
        <v>1518</v>
      </c>
      <c r="G48" s="2" t="s">
        <v>1084</v>
      </c>
      <c r="I48" s="2" t="s">
        <v>31</v>
      </c>
      <c r="J48" s="2" t="s">
        <v>31</v>
      </c>
      <c r="K48" s="2" t="s">
        <v>530</v>
      </c>
      <c r="L48" s="2" t="s">
        <v>164</v>
      </c>
      <c r="M48" s="2" t="s">
        <v>164</v>
      </c>
      <c r="O48" s="2" t="s">
        <v>1519</v>
      </c>
      <c r="P48" s="2" t="s">
        <v>1396</v>
      </c>
      <c r="Q48" s="2" t="s">
        <v>104</v>
      </c>
      <c r="R48" s="2" t="s">
        <v>454</v>
      </c>
      <c r="S48" s="2" t="s">
        <v>35</v>
      </c>
      <c r="T48" s="150">
        <v>2.17</v>
      </c>
      <c r="U48" s="2" t="s">
        <v>1397</v>
      </c>
      <c r="V48" s="162">
        <v>2.562E-2</v>
      </c>
      <c r="W48" s="2" t="s">
        <v>801</v>
      </c>
      <c r="X48" s="2" t="s">
        <v>955</v>
      </c>
      <c r="Y48" s="172">
        <v>2.5619999999999998</v>
      </c>
      <c r="Z48" s="164">
        <v>2.29E-2</v>
      </c>
      <c r="AA48" s="2" t="s">
        <v>1520</v>
      </c>
      <c r="AB48" s="4" t="s">
        <v>459</v>
      </c>
      <c r="AG48" s="2" t="s">
        <v>164</v>
      </c>
      <c r="AI48" s="2" t="s">
        <v>1521</v>
      </c>
      <c r="AJ48" s="2" t="s">
        <v>387</v>
      </c>
      <c r="AK48" s="2" t="s">
        <v>938</v>
      </c>
      <c r="AL48" s="2" t="s">
        <v>1377</v>
      </c>
      <c r="AN48" s="2" t="s">
        <v>1378</v>
      </c>
      <c r="AQ48" s="150">
        <v>178310.81</v>
      </c>
      <c r="AR48" s="150">
        <v>112.89</v>
      </c>
      <c r="AS48" s="150">
        <v>1</v>
      </c>
      <c r="AT48" s="150">
        <v>201.29499999999999</v>
      </c>
      <c r="AU48" s="150">
        <v>201.29499999999999</v>
      </c>
      <c r="AX48" s="4" t="s">
        <v>164</v>
      </c>
      <c r="AY48" s="2" t="s">
        <v>37</v>
      </c>
      <c r="AZ48" s="164">
        <v>2.1761523825994299E-2</v>
      </c>
      <c r="BA48" s="164">
        <v>5.2994393442915998E-4</v>
      </c>
    </row>
    <row r="49" spans="1:53">
      <c r="A49" s="2" t="s">
        <v>26</v>
      </c>
      <c r="B49" s="2">
        <v>1182</v>
      </c>
      <c r="C49" s="2" t="s">
        <v>1522</v>
      </c>
      <c r="D49" s="2" t="s">
        <v>1380</v>
      </c>
      <c r="E49" s="2" t="s">
        <v>1523</v>
      </c>
      <c r="F49" s="2" t="s">
        <v>1524</v>
      </c>
      <c r="G49" s="2" t="s">
        <v>1084</v>
      </c>
      <c r="H49" s="2" t="s">
        <v>867</v>
      </c>
      <c r="I49" s="2" t="s">
        <v>31</v>
      </c>
      <c r="J49" s="2" t="s">
        <v>31</v>
      </c>
      <c r="K49" s="2" t="s">
        <v>491</v>
      </c>
      <c r="L49" s="2" t="s">
        <v>164</v>
      </c>
      <c r="M49" s="2" t="s">
        <v>387</v>
      </c>
      <c r="N49" s="2" t="s">
        <v>1525</v>
      </c>
      <c r="O49" s="2" t="s">
        <v>1526</v>
      </c>
      <c r="P49" s="2" t="s">
        <v>1527</v>
      </c>
      <c r="Q49" s="2" t="s">
        <v>204</v>
      </c>
      <c r="R49" s="2" t="s">
        <v>454</v>
      </c>
      <c r="S49" s="2" t="s">
        <v>35</v>
      </c>
      <c r="T49" s="150">
        <v>0.41</v>
      </c>
      <c r="U49" s="2" t="s">
        <v>1397</v>
      </c>
      <c r="V49" s="162">
        <v>0.1065</v>
      </c>
      <c r="W49" s="2" t="s">
        <v>801</v>
      </c>
      <c r="X49" s="2" t="s">
        <v>950</v>
      </c>
      <c r="Y49" s="172">
        <v>4.6500000000000004</v>
      </c>
      <c r="Z49" s="164">
        <v>9.9940000000000001E-2</v>
      </c>
      <c r="AA49" s="2" t="s">
        <v>1528</v>
      </c>
      <c r="AB49" s="4" t="s">
        <v>459</v>
      </c>
      <c r="AC49" s="2" t="s">
        <v>820</v>
      </c>
      <c r="AD49" s="150">
        <v>817674</v>
      </c>
      <c r="AE49" s="150">
        <v>0.55000000000000004</v>
      </c>
      <c r="AF49" s="2" t="s">
        <v>1529</v>
      </c>
      <c r="AG49" s="2" t="s">
        <v>387</v>
      </c>
      <c r="AH49" s="2" t="s">
        <v>827</v>
      </c>
      <c r="AI49" s="2" t="s">
        <v>1530</v>
      </c>
      <c r="AJ49" s="2" t="s">
        <v>164</v>
      </c>
      <c r="AK49" s="2" t="s">
        <v>938</v>
      </c>
      <c r="AL49" s="2" t="s">
        <v>1377</v>
      </c>
      <c r="AN49" s="2" t="s">
        <v>1378</v>
      </c>
      <c r="AO49" s="2" t="s">
        <v>1531</v>
      </c>
      <c r="AP49" s="151">
        <v>0</v>
      </c>
      <c r="AQ49" s="150">
        <v>337568.83</v>
      </c>
      <c r="AR49" s="150">
        <v>101.56</v>
      </c>
      <c r="AS49" s="150">
        <v>1</v>
      </c>
      <c r="AT49" s="150">
        <v>342.83499999999998</v>
      </c>
      <c r="AU49" s="150">
        <v>342.83499999999998</v>
      </c>
      <c r="AX49" s="4" t="s">
        <v>164</v>
      </c>
      <c r="AY49" s="2" t="s">
        <v>37</v>
      </c>
      <c r="AZ49" s="164">
        <v>3.7063052761036802E-2</v>
      </c>
      <c r="BA49" s="164">
        <v>9.0257190439383404E-4</v>
      </c>
    </row>
    <row r="50" spans="1:53">
      <c r="A50" s="2" t="s">
        <v>26</v>
      </c>
      <c r="B50" s="2">
        <v>1182</v>
      </c>
      <c r="C50" s="2" t="s">
        <v>1532</v>
      </c>
      <c r="D50" s="2" t="s">
        <v>34</v>
      </c>
      <c r="E50" s="2" t="s">
        <v>1533</v>
      </c>
      <c r="F50" s="2" t="s">
        <v>1534</v>
      </c>
      <c r="G50" s="2" t="s">
        <v>1084</v>
      </c>
      <c r="H50" s="2" t="s">
        <v>867</v>
      </c>
      <c r="I50" s="2" t="s">
        <v>31</v>
      </c>
      <c r="J50" s="2" t="s">
        <v>31</v>
      </c>
      <c r="K50" s="2" t="s">
        <v>508</v>
      </c>
      <c r="L50" s="2" t="s">
        <v>164</v>
      </c>
      <c r="M50" s="2" t="s">
        <v>387</v>
      </c>
      <c r="N50" s="2" t="s">
        <v>1369</v>
      </c>
      <c r="O50" s="2" t="s">
        <v>1373</v>
      </c>
      <c r="P50" s="2" t="s">
        <v>1535</v>
      </c>
      <c r="Q50" s="2" t="s">
        <v>217</v>
      </c>
      <c r="R50" s="2" t="s">
        <v>454</v>
      </c>
      <c r="S50" s="2" t="s">
        <v>35</v>
      </c>
      <c r="T50" s="150">
        <v>0.01</v>
      </c>
      <c r="U50" s="2" t="s">
        <v>1397</v>
      </c>
      <c r="V50" s="162">
        <v>4.2500000000000003E-2</v>
      </c>
      <c r="W50" s="2" t="s">
        <v>801</v>
      </c>
      <c r="X50" s="2" t="s">
        <v>950</v>
      </c>
      <c r="Y50" s="172">
        <v>4.25</v>
      </c>
      <c r="Z50" s="164">
        <v>3.5639999999999998E-2</v>
      </c>
      <c r="AA50" s="2" t="s">
        <v>1536</v>
      </c>
      <c r="AB50" s="4" t="s">
        <v>459</v>
      </c>
      <c r="AC50" s="2" t="s">
        <v>820</v>
      </c>
      <c r="AD50" s="150">
        <v>67322</v>
      </c>
      <c r="AE50" s="150">
        <v>0.72</v>
      </c>
      <c r="AF50" s="2" t="s">
        <v>1537</v>
      </c>
      <c r="AG50" s="2" t="s">
        <v>387</v>
      </c>
      <c r="AH50" s="2" t="s">
        <v>829</v>
      </c>
      <c r="AI50" s="2" t="s">
        <v>1376</v>
      </c>
      <c r="AJ50" s="2" t="s">
        <v>387</v>
      </c>
      <c r="AK50" s="2" t="s">
        <v>938</v>
      </c>
      <c r="AL50" s="2" t="s">
        <v>1377</v>
      </c>
      <c r="AN50" s="2" t="s">
        <v>1378</v>
      </c>
      <c r="AO50" s="2" t="s">
        <v>1537</v>
      </c>
      <c r="AP50" s="151">
        <v>0</v>
      </c>
      <c r="AQ50" s="150">
        <v>485000</v>
      </c>
      <c r="AR50" s="150">
        <v>102.76</v>
      </c>
      <c r="AS50" s="150">
        <v>1</v>
      </c>
      <c r="AT50" s="150">
        <v>498.38600000000002</v>
      </c>
      <c r="AU50" s="150">
        <v>498.38600000000002</v>
      </c>
      <c r="AX50" s="4" t="s">
        <v>387</v>
      </c>
      <c r="AY50" s="2" t="s">
        <v>37</v>
      </c>
      <c r="AZ50" s="164">
        <v>5.3879305786611799E-2</v>
      </c>
      <c r="BA50" s="164">
        <v>1.3120869439649299E-3</v>
      </c>
    </row>
    <row r="51" spans="1:53">
      <c r="A51" s="2" t="s">
        <v>26</v>
      </c>
      <c r="B51" s="2">
        <v>1182</v>
      </c>
      <c r="C51" s="2" t="s">
        <v>1538</v>
      </c>
      <c r="D51" s="2" t="s">
        <v>1380</v>
      </c>
      <c r="E51" s="2" t="s">
        <v>1539</v>
      </c>
      <c r="F51" s="2" t="s">
        <v>1540</v>
      </c>
      <c r="G51" s="2" t="s">
        <v>1084</v>
      </c>
      <c r="I51" s="2" t="s">
        <v>31</v>
      </c>
      <c r="J51" s="2" t="s">
        <v>31</v>
      </c>
      <c r="K51" s="2" t="s">
        <v>485</v>
      </c>
      <c r="L51" s="2" t="s">
        <v>164</v>
      </c>
      <c r="M51" s="2" t="s">
        <v>164</v>
      </c>
      <c r="O51" s="2" t="s">
        <v>1541</v>
      </c>
      <c r="P51" s="2" t="s">
        <v>1527</v>
      </c>
      <c r="Q51" s="2" t="s">
        <v>204</v>
      </c>
      <c r="R51" s="2" t="s">
        <v>454</v>
      </c>
      <c r="S51" s="2" t="s">
        <v>35</v>
      </c>
      <c r="T51" s="150">
        <v>3.55</v>
      </c>
      <c r="U51" s="2" t="s">
        <v>204</v>
      </c>
      <c r="V51" s="162">
        <v>7.2499999999999995E-2</v>
      </c>
      <c r="W51" s="2" t="s">
        <v>801</v>
      </c>
      <c r="X51" s="2" t="s">
        <v>955</v>
      </c>
      <c r="Y51" s="172">
        <v>7.25</v>
      </c>
      <c r="Z51" s="164">
        <v>0.1195</v>
      </c>
      <c r="AA51" s="2" t="s">
        <v>1542</v>
      </c>
      <c r="AB51" s="4" t="s">
        <v>459</v>
      </c>
      <c r="AG51" s="2" t="s">
        <v>387</v>
      </c>
      <c r="AI51" s="2" t="s">
        <v>1543</v>
      </c>
      <c r="AJ51" s="2" t="s">
        <v>387</v>
      </c>
      <c r="AK51" s="2" t="s">
        <v>938</v>
      </c>
      <c r="AL51" s="2" t="s">
        <v>1377</v>
      </c>
      <c r="AN51" s="2" t="s">
        <v>1378</v>
      </c>
      <c r="AQ51" s="150">
        <v>176549</v>
      </c>
      <c r="AR51" s="150">
        <v>97.85</v>
      </c>
      <c r="AS51" s="150">
        <v>1</v>
      </c>
      <c r="AT51" s="150">
        <v>172.75299999999999</v>
      </c>
      <c r="AU51" s="150">
        <v>172.75299999999999</v>
      </c>
      <c r="AX51" s="4" t="s">
        <v>387</v>
      </c>
      <c r="AY51" s="2" t="s">
        <v>37</v>
      </c>
      <c r="AZ51" s="164">
        <v>1.8675930503341001E-2</v>
      </c>
      <c r="BA51" s="164">
        <v>4.54802529878164E-4</v>
      </c>
    </row>
    <row r="52" spans="1:53">
      <c r="A52" s="2" t="s">
        <v>26</v>
      </c>
      <c r="B52" s="2">
        <v>1182</v>
      </c>
      <c r="C52" s="2" t="s">
        <v>1544</v>
      </c>
      <c r="D52" s="2" t="s">
        <v>1380</v>
      </c>
      <c r="E52" s="2" t="s">
        <v>1545</v>
      </c>
      <c r="F52" s="2" t="s">
        <v>1546</v>
      </c>
      <c r="G52" s="2" t="s">
        <v>1084</v>
      </c>
      <c r="I52" s="2" t="s">
        <v>31</v>
      </c>
      <c r="J52" s="2" t="s">
        <v>31</v>
      </c>
      <c r="K52" s="2" t="s">
        <v>487</v>
      </c>
      <c r="L52" s="2" t="s">
        <v>164</v>
      </c>
      <c r="M52" s="2" t="s">
        <v>164</v>
      </c>
      <c r="O52" s="2" t="s">
        <v>1547</v>
      </c>
      <c r="P52" s="2" t="s">
        <v>1527</v>
      </c>
      <c r="Q52" s="2" t="s">
        <v>204</v>
      </c>
      <c r="R52" s="2" t="s">
        <v>454</v>
      </c>
      <c r="S52" s="2" t="s">
        <v>35</v>
      </c>
      <c r="T52" s="150">
        <v>1.26</v>
      </c>
      <c r="U52" s="2" t="s">
        <v>1397</v>
      </c>
      <c r="V52" s="162">
        <v>1.7999999999999999E-2</v>
      </c>
      <c r="W52" s="2" t="s">
        <v>801</v>
      </c>
      <c r="X52" s="2" t="s">
        <v>1392</v>
      </c>
      <c r="Y52" s="172">
        <v>1.8</v>
      </c>
      <c r="Z52" s="164">
        <v>5.0930000000000003E-2</v>
      </c>
      <c r="AA52" s="2" t="s">
        <v>1548</v>
      </c>
      <c r="AB52" s="4" t="s">
        <v>459</v>
      </c>
      <c r="AG52" s="2" t="s">
        <v>164</v>
      </c>
      <c r="AJ52" s="2" t="s">
        <v>164</v>
      </c>
      <c r="AK52" s="2" t="s">
        <v>204</v>
      </c>
      <c r="AN52" s="2" t="s">
        <v>1378</v>
      </c>
      <c r="AQ52" s="150">
        <v>250000</v>
      </c>
      <c r="AR52" s="150">
        <v>97.89</v>
      </c>
      <c r="AS52" s="150">
        <v>1</v>
      </c>
      <c r="AT52" s="150">
        <v>244.72499999999999</v>
      </c>
      <c r="AU52" s="150">
        <v>244.72499999999999</v>
      </c>
      <c r="AX52" s="4" t="s">
        <v>164</v>
      </c>
      <c r="AY52" s="2" t="s">
        <v>37</v>
      </c>
      <c r="AZ52" s="164">
        <v>2.6456628213129101E-2</v>
      </c>
      <c r="BA52" s="164">
        <v>6.44280692799995E-4</v>
      </c>
    </row>
    <row r="53" spans="1:53">
      <c r="A53" s="2" t="s">
        <v>26</v>
      </c>
      <c r="B53" s="2">
        <v>1182</v>
      </c>
      <c r="C53" s="2" t="s">
        <v>1544</v>
      </c>
      <c r="D53" s="2" t="s">
        <v>1380</v>
      </c>
      <c r="E53" s="2" t="s">
        <v>1549</v>
      </c>
      <c r="F53" s="2" t="s">
        <v>1550</v>
      </c>
      <c r="G53" s="2" t="s">
        <v>1084</v>
      </c>
      <c r="I53" s="2" t="s">
        <v>31</v>
      </c>
      <c r="J53" s="2" t="s">
        <v>31</v>
      </c>
      <c r="K53" s="2" t="s">
        <v>487</v>
      </c>
      <c r="L53" s="2" t="s">
        <v>164</v>
      </c>
      <c r="M53" s="2" t="s">
        <v>164</v>
      </c>
      <c r="O53" s="2" t="s">
        <v>1547</v>
      </c>
      <c r="P53" s="2" t="s">
        <v>1527</v>
      </c>
      <c r="Q53" s="2" t="s">
        <v>204</v>
      </c>
      <c r="R53" s="2" t="s">
        <v>454</v>
      </c>
      <c r="S53" s="2" t="s">
        <v>35</v>
      </c>
      <c r="T53" s="150">
        <v>1.75</v>
      </c>
      <c r="U53" s="2" t="s">
        <v>1397</v>
      </c>
      <c r="V53" s="162">
        <v>2.8000000000000001E-2</v>
      </c>
      <c r="W53" s="2" t="s">
        <v>801</v>
      </c>
      <c r="X53" s="2" t="s">
        <v>1392</v>
      </c>
      <c r="Y53" s="172">
        <v>2.8</v>
      </c>
      <c r="Z53" s="164">
        <v>5.2760000000000001E-2</v>
      </c>
      <c r="AA53" s="2" t="s">
        <v>1551</v>
      </c>
      <c r="AB53" s="4" t="s">
        <v>459</v>
      </c>
      <c r="AG53" s="2" t="s">
        <v>164</v>
      </c>
      <c r="AJ53" s="2" t="s">
        <v>164</v>
      </c>
      <c r="AK53" s="2" t="s">
        <v>204</v>
      </c>
      <c r="AN53" s="2" t="s">
        <v>1378</v>
      </c>
      <c r="AQ53" s="150">
        <v>250000</v>
      </c>
      <c r="AR53" s="150">
        <v>96.66</v>
      </c>
      <c r="AS53" s="150">
        <v>1</v>
      </c>
      <c r="AT53" s="150">
        <v>241.65</v>
      </c>
      <c r="AU53" s="150">
        <v>241.65</v>
      </c>
      <c r="AX53" s="4" t="s">
        <v>164</v>
      </c>
      <c r="AY53" s="2" t="s">
        <v>37</v>
      </c>
      <c r="AZ53" s="164">
        <v>2.6124197395863299E-2</v>
      </c>
      <c r="BA53" s="164">
        <v>6.3618522592754603E-4</v>
      </c>
    </row>
    <row r="54" spans="1:53">
      <c r="A54" s="2" t="s">
        <v>26</v>
      </c>
      <c r="B54" s="2">
        <v>1182</v>
      </c>
      <c r="C54" s="2" t="s">
        <v>1552</v>
      </c>
      <c r="D54" s="2" t="s">
        <v>1380</v>
      </c>
      <c r="E54" s="2" t="s">
        <v>1553</v>
      </c>
      <c r="F54" s="2" t="s">
        <v>1554</v>
      </c>
      <c r="G54" s="2" t="s">
        <v>1084</v>
      </c>
      <c r="I54" s="2" t="s">
        <v>31</v>
      </c>
      <c r="J54" s="2" t="s">
        <v>31</v>
      </c>
      <c r="K54" s="2" t="s">
        <v>484</v>
      </c>
      <c r="L54" s="2" t="s">
        <v>164</v>
      </c>
      <c r="M54" s="2" t="s">
        <v>164</v>
      </c>
      <c r="O54" s="2" t="s">
        <v>1383</v>
      </c>
      <c r="P54" s="2" t="s">
        <v>1384</v>
      </c>
      <c r="Q54" s="2" t="s">
        <v>104</v>
      </c>
      <c r="R54" s="2" t="s">
        <v>454</v>
      </c>
      <c r="S54" s="2" t="s">
        <v>35</v>
      </c>
      <c r="T54" s="150">
        <v>5.27</v>
      </c>
      <c r="U54" s="2" t="s">
        <v>204</v>
      </c>
      <c r="V54" s="162">
        <v>3.5499999999999997E-2</v>
      </c>
      <c r="W54" s="2" t="s">
        <v>801</v>
      </c>
      <c r="X54" s="2" t="s">
        <v>955</v>
      </c>
      <c r="Y54" s="172">
        <v>3.55</v>
      </c>
      <c r="Z54" s="164">
        <v>2.4369999999999999E-2</v>
      </c>
      <c r="AA54" s="2" t="s">
        <v>1385</v>
      </c>
      <c r="AB54" s="4" t="s">
        <v>459</v>
      </c>
      <c r="AG54" s="2" t="s">
        <v>164</v>
      </c>
      <c r="AI54" s="2" t="s">
        <v>1386</v>
      </c>
      <c r="AJ54" s="2" t="s">
        <v>387</v>
      </c>
      <c r="AK54" s="2" t="s">
        <v>938</v>
      </c>
      <c r="AL54" s="2" t="s">
        <v>1377</v>
      </c>
      <c r="AN54" s="2" t="s">
        <v>1378</v>
      </c>
      <c r="AQ54" s="150">
        <v>741796.54</v>
      </c>
      <c r="AR54" s="150">
        <v>109.33</v>
      </c>
      <c r="AS54" s="150">
        <v>1</v>
      </c>
      <c r="AT54" s="150">
        <v>811.00599999999997</v>
      </c>
      <c r="AU54" s="150">
        <v>811.00599999999997</v>
      </c>
      <c r="AX54" s="4" t="s">
        <v>164</v>
      </c>
      <c r="AY54" s="2" t="s">
        <v>37</v>
      </c>
      <c r="AZ54" s="164">
        <v>8.7675915329952905E-2</v>
      </c>
      <c r="BA54" s="164">
        <v>2.1351133264451102E-3</v>
      </c>
    </row>
    <row r="55" spans="1:53">
      <c r="A55" s="2" t="s">
        <v>26</v>
      </c>
      <c r="B55" s="2">
        <v>1182</v>
      </c>
      <c r="C55" s="2" t="s">
        <v>1555</v>
      </c>
      <c r="D55" s="2" t="s">
        <v>1380</v>
      </c>
      <c r="E55" s="2" t="s">
        <v>1556</v>
      </c>
      <c r="F55" s="2" t="s">
        <v>1557</v>
      </c>
      <c r="G55" s="2" t="s">
        <v>1083</v>
      </c>
      <c r="I55" s="2" t="s">
        <v>31</v>
      </c>
      <c r="J55" s="2" t="s">
        <v>31</v>
      </c>
      <c r="K55" s="2" t="s">
        <v>523</v>
      </c>
      <c r="L55" s="2" t="s">
        <v>164</v>
      </c>
      <c r="M55" s="2" t="s">
        <v>164</v>
      </c>
      <c r="O55" s="2" t="s">
        <v>1558</v>
      </c>
      <c r="P55" s="2" t="s">
        <v>1559</v>
      </c>
      <c r="Q55" s="2" t="s">
        <v>34</v>
      </c>
      <c r="R55" s="2" t="s">
        <v>454</v>
      </c>
      <c r="S55" s="2" t="s">
        <v>35</v>
      </c>
      <c r="T55" s="150">
        <v>2.6379999999999999</v>
      </c>
      <c r="U55" s="2" t="s">
        <v>204</v>
      </c>
      <c r="V55" s="162">
        <v>0</v>
      </c>
      <c r="W55" s="2" t="s">
        <v>801</v>
      </c>
      <c r="X55" s="2" t="s">
        <v>1392</v>
      </c>
      <c r="Z55" s="164">
        <v>4.9299999999999997E-2</v>
      </c>
      <c r="AB55" s="4" t="s">
        <v>459</v>
      </c>
      <c r="AG55" s="2" t="s">
        <v>164</v>
      </c>
      <c r="AJ55" s="2" t="s">
        <v>164</v>
      </c>
      <c r="AK55" s="2" t="s">
        <v>204</v>
      </c>
      <c r="AN55" s="2" t="s">
        <v>1378</v>
      </c>
      <c r="AQ55" s="150">
        <v>5835243.4400000004</v>
      </c>
      <c r="AR55" s="150">
        <v>101.345</v>
      </c>
      <c r="AS55" s="150">
        <v>1</v>
      </c>
      <c r="AT55" s="150">
        <v>5913.7290000000003</v>
      </c>
      <c r="AU55" s="150">
        <v>5913.7290000000003</v>
      </c>
      <c r="AX55" s="4" t="s">
        <v>164</v>
      </c>
      <c r="AY55" s="2" t="s">
        <v>37</v>
      </c>
      <c r="AZ55" s="164">
        <v>0.63931894581646498</v>
      </c>
      <c r="BA55" s="164">
        <v>1.5568909613598801E-2</v>
      </c>
    </row>
    <row r="56" spans="1:53">
      <c r="A56" s="2" t="s">
        <v>119</v>
      </c>
      <c r="B56" s="2">
        <v>12905</v>
      </c>
      <c r="C56" s="2" t="s">
        <v>1532</v>
      </c>
      <c r="D56" s="2" t="s">
        <v>34</v>
      </c>
      <c r="E56" s="2" t="s">
        <v>1533</v>
      </c>
      <c r="F56" s="2" t="s">
        <v>1534</v>
      </c>
      <c r="G56" s="2" t="s">
        <v>1084</v>
      </c>
      <c r="H56" s="2" t="s">
        <v>867</v>
      </c>
      <c r="I56" s="2" t="s">
        <v>31</v>
      </c>
      <c r="J56" s="2" t="s">
        <v>31</v>
      </c>
      <c r="K56" s="2" t="s">
        <v>508</v>
      </c>
      <c r="L56" s="2" t="s">
        <v>164</v>
      </c>
      <c r="M56" s="2" t="s">
        <v>387</v>
      </c>
      <c r="N56" s="2" t="s">
        <v>1369</v>
      </c>
      <c r="O56" s="2" t="s">
        <v>1373</v>
      </c>
      <c r="P56" s="2" t="s">
        <v>1535</v>
      </c>
      <c r="Q56" s="2" t="s">
        <v>217</v>
      </c>
      <c r="R56" s="2" t="s">
        <v>454</v>
      </c>
      <c r="S56" s="2" t="s">
        <v>35</v>
      </c>
      <c r="T56" s="150">
        <v>0.01</v>
      </c>
      <c r="U56" s="2" t="s">
        <v>1397</v>
      </c>
      <c r="V56" s="162">
        <v>4.2500000000000003E-2</v>
      </c>
      <c r="W56" s="2" t="s">
        <v>801</v>
      </c>
      <c r="X56" s="2" t="s">
        <v>950</v>
      </c>
      <c r="Y56" s="150">
        <v>4.25</v>
      </c>
      <c r="Z56" s="164">
        <v>3.5639999999999998E-2</v>
      </c>
      <c r="AA56" s="2" t="s">
        <v>1536</v>
      </c>
      <c r="AB56" s="4" t="s">
        <v>459</v>
      </c>
      <c r="AC56" s="2" t="s">
        <v>820</v>
      </c>
      <c r="AD56" s="150">
        <v>67322</v>
      </c>
      <c r="AE56" s="150">
        <v>0.72</v>
      </c>
      <c r="AF56" s="2" t="s">
        <v>1537</v>
      </c>
      <c r="AG56" s="2" t="s">
        <v>387</v>
      </c>
      <c r="AH56" s="2" t="s">
        <v>829</v>
      </c>
      <c r="AI56" s="2" t="s">
        <v>1376</v>
      </c>
      <c r="AJ56" s="2" t="s">
        <v>387</v>
      </c>
      <c r="AK56" s="2" t="s">
        <v>938</v>
      </c>
      <c r="AL56" s="2" t="s">
        <v>1377</v>
      </c>
      <c r="AN56" s="2" t="s">
        <v>1378</v>
      </c>
      <c r="AO56" s="2" t="s">
        <v>1537</v>
      </c>
      <c r="AP56" s="151">
        <v>0</v>
      </c>
      <c r="AQ56" s="150">
        <v>25000</v>
      </c>
      <c r="AR56" s="150">
        <v>102.76</v>
      </c>
      <c r="AS56" s="150">
        <v>1</v>
      </c>
      <c r="AT56" s="150">
        <v>25.69</v>
      </c>
      <c r="AU56" s="150">
        <v>25.69</v>
      </c>
      <c r="AX56" s="4" t="s">
        <v>387</v>
      </c>
      <c r="AY56" s="2" t="s">
        <v>37</v>
      </c>
      <c r="AZ56" s="164">
        <v>1</v>
      </c>
      <c r="BA56" s="164">
        <v>8.8733170248676602E-4</v>
      </c>
    </row>
    <row r="57" spans="1:53">
      <c r="A57" s="2" t="s">
        <v>128</v>
      </c>
      <c r="B57" s="2">
        <v>7228</v>
      </c>
      <c r="C57" s="2" t="s">
        <v>1369</v>
      </c>
      <c r="D57" s="2" t="s">
        <v>34</v>
      </c>
      <c r="E57" s="2" t="s">
        <v>1370</v>
      </c>
      <c r="F57" s="2" t="s">
        <v>1371</v>
      </c>
      <c r="G57" s="2" t="s">
        <v>1084</v>
      </c>
      <c r="I57" s="2" t="s">
        <v>31</v>
      </c>
      <c r="J57" s="2" t="s">
        <v>31</v>
      </c>
      <c r="K57" s="2" t="s">
        <v>493</v>
      </c>
      <c r="L57" s="2" t="s">
        <v>164</v>
      </c>
      <c r="M57" s="2" t="s">
        <v>164</v>
      </c>
      <c r="O57" s="2" t="s">
        <v>1373</v>
      </c>
      <c r="P57" s="2" t="s">
        <v>1374</v>
      </c>
      <c r="Q57" s="2" t="s">
        <v>104</v>
      </c>
      <c r="R57" s="2" t="s">
        <v>454</v>
      </c>
      <c r="S57" s="2" t="s">
        <v>35</v>
      </c>
      <c r="T57" s="150">
        <v>1.63</v>
      </c>
      <c r="U57" s="2" t="s">
        <v>204</v>
      </c>
      <c r="V57" s="162">
        <v>5.5E-2</v>
      </c>
      <c r="W57" s="2" t="s">
        <v>801</v>
      </c>
      <c r="X57" s="2" t="s">
        <v>955</v>
      </c>
      <c r="Y57" s="150">
        <v>5.5</v>
      </c>
      <c r="Z57" s="164">
        <v>0.2452</v>
      </c>
      <c r="AA57" s="2" t="s">
        <v>1375</v>
      </c>
      <c r="AB57" s="4" t="s">
        <v>459</v>
      </c>
      <c r="AG57" s="2" t="s">
        <v>387</v>
      </c>
      <c r="AH57" s="2" t="s">
        <v>829</v>
      </c>
      <c r="AI57" s="2" t="s">
        <v>1376</v>
      </c>
      <c r="AJ57" s="2" t="s">
        <v>387</v>
      </c>
      <c r="AK57" s="2" t="s">
        <v>938</v>
      </c>
      <c r="AL57" s="2" t="s">
        <v>1377</v>
      </c>
      <c r="AN57" s="2" t="s">
        <v>1378</v>
      </c>
      <c r="AQ57" s="150">
        <v>1523529</v>
      </c>
      <c r="AR57" s="150">
        <v>59.978000000000002</v>
      </c>
      <c r="AS57" s="150">
        <v>1</v>
      </c>
      <c r="AT57" s="150">
        <v>913.77499999999998</v>
      </c>
      <c r="AU57" s="150">
        <v>913.77499999999998</v>
      </c>
      <c r="AX57" s="4" t="s">
        <v>387</v>
      </c>
      <c r="AY57" s="2" t="s">
        <v>37</v>
      </c>
      <c r="AZ57" s="164">
        <v>1.7017222075467402E-2</v>
      </c>
      <c r="BA57" s="164">
        <v>3.9429706686382399E-4</v>
      </c>
    </row>
    <row r="58" spans="1:53">
      <c r="A58" s="2" t="s">
        <v>128</v>
      </c>
      <c r="B58" s="2">
        <v>7228</v>
      </c>
      <c r="C58" s="2" t="s">
        <v>1379</v>
      </c>
      <c r="D58" s="2" t="s">
        <v>1380</v>
      </c>
      <c r="E58" s="2" t="s">
        <v>1381</v>
      </c>
      <c r="F58" s="2" t="s">
        <v>1382</v>
      </c>
      <c r="G58" s="2" t="s">
        <v>1084</v>
      </c>
      <c r="I58" s="2" t="s">
        <v>31</v>
      </c>
      <c r="J58" s="2" t="s">
        <v>31</v>
      </c>
      <c r="K58" s="2" t="s">
        <v>484</v>
      </c>
      <c r="L58" s="2" t="s">
        <v>164</v>
      </c>
      <c r="M58" s="2" t="s">
        <v>164</v>
      </c>
      <c r="O58" s="2" t="s">
        <v>1383</v>
      </c>
      <c r="P58" s="2" t="s">
        <v>1384</v>
      </c>
      <c r="Q58" s="2" t="s">
        <v>104</v>
      </c>
      <c r="R58" s="2" t="s">
        <v>454</v>
      </c>
      <c r="S58" s="2" t="s">
        <v>35</v>
      </c>
      <c r="T58" s="150">
        <v>4.9000000000000004</v>
      </c>
      <c r="U58" s="2" t="s">
        <v>204</v>
      </c>
      <c r="V58" s="162">
        <v>3.5499999999999997E-2</v>
      </c>
      <c r="W58" s="2" t="s">
        <v>801</v>
      </c>
      <c r="X58" s="2" t="s">
        <v>955</v>
      </c>
      <c r="Y58" s="150">
        <v>3.55</v>
      </c>
      <c r="Z58" s="164">
        <v>5.425E-2</v>
      </c>
      <c r="AA58" s="2" t="s">
        <v>1385</v>
      </c>
      <c r="AB58" s="4" t="s">
        <v>459</v>
      </c>
      <c r="AG58" s="2" t="s">
        <v>164</v>
      </c>
      <c r="AI58" s="2" t="s">
        <v>1386</v>
      </c>
      <c r="AJ58" s="2" t="s">
        <v>387</v>
      </c>
      <c r="AK58" s="2" t="s">
        <v>938</v>
      </c>
      <c r="AL58" s="2" t="s">
        <v>1377</v>
      </c>
      <c r="AN58" s="2" t="s">
        <v>1378</v>
      </c>
      <c r="AQ58" s="150">
        <v>1775269.63</v>
      </c>
      <c r="AR58" s="150">
        <v>109.09</v>
      </c>
      <c r="AS58" s="150">
        <v>1</v>
      </c>
      <c r="AT58" s="150">
        <v>1936.6420000000001</v>
      </c>
      <c r="AU58" s="150">
        <v>1936.6420000000001</v>
      </c>
      <c r="AX58" s="4" t="s">
        <v>164</v>
      </c>
      <c r="AY58" s="2" t="s">
        <v>37</v>
      </c>
      <c r="AZ58" s="164">
        <v>3.6066072138808303E-2</v>
      </c>
      <c r="BA58" s="164">
        <v>8.3566791304512096E-4</v>
      </c>
    </row>
    <row r="59" spans="1:53">
      <c r="A59" s="2" t="s">
        <v>128</v>
      </c>
      <c r="B59" s="2">
        <v>7228</v>
      </c>
      <c r="C59" s="2" t="s">
        <v>1387</v>
      </c>
      <c r="D59" s="2" t="s">
        <v>34</v>
      </c>
      <c r="E59" s="2" t="s">
        <v>1388</v>
      </c>
      <c r="F59" s="2" t="s">
        <v>1389</v>
      </c>
      <c r="G59" s="2" t="s">
        <v>1084</v>
      </c>
      <c r="I59" s="2" t="s">
        <v>31</v>
      </c>
      <c r="J59" s="2" t="s">
        <v>31</v>
      </c>
      <c r="K59" s="2" t="s">
        <v>498</v>
      </c>
      <c r="L59" s="2" t="s">
        <v>164</v>
      </c>
      <c r="M59" s="2" t="s">
        <v>387</v>
      </c>
      <c r="O59" s="2" t="s">
        <v>1390</v>
      </c>
      <c r="P59" s="2" t="s">
        <v>1391</v>
      </c>
      <c r="Q59" s="2" t="s">
        <v>217</v>
      </c>
      <c r="R59" s="2" t="s">
        <v>454</v>
      </c>
      <c r="S59" s="2" t="s">
        <v>35</v>
      </c>
      <c r="T59" s="150">
        <v>3.44</v>
      </c>
      <c r="U59" s="2" t="s">
        <v>204</v>
      </c>
      <c r="V59" s="162">
        <v>5.5E-2</v>
      </c>
      <c r="W59" s="2" t="s">
        <v>801</v>
      </c>
      <c r="X59" s="2" t="s">
        <v>1392</v>
      </c>
      <c r="Y59" s="150">
        <v>5.5</v>
      </c>
      <c r="Z59" s="164">
        <v>2.8799999999999999E-2</v>
      </c>
      <c r="AA59" s="2" t="s">
        <v>1393</v>
      </c>
      <c r="AB59" s="4" t="s">
        <v>459</v>
      </c>
      <c r="AG59" s="2" t="s">
        <v>164</v>
      </c>
      <c r="AJ59" s="2" t="s">
        <v>164</v>
      </c>
      <c r="AK59" s="2" t="s">
        <v>204</v>
      </c>
      <c r="AN59" s="2" t="s">
        <v>1378</v>
      </c>
      <c r="AQ59" s="150">
        <v>52180.95</v>
      </c>
      <c r="AR59" s="150">
        <v>122.46</v>
      </c>
      <c r="AS59" s="150">
        <v>1</v>
      </c>
      <c r="AT59" s="150">
        <v>63.901000000000003</v>
      </c>
      <c r="AU59" s="150">
        <v>63.901000000000003</v>
      </c>
      <c r="AX59" s="4" t="s">
        <v>164</v>
      </c>
      <c r="AY59" s="2" t="s">
        <v>37</v>
      </c>
      <c r="AZ59" s="164">
        <v>1.1900242690385599E-3</v>
      </c>
      <c r="BA59" s="164">
        <v>2.7573423952380599E-5</v>
      </c>
    </row>
    <row r="60" spans="1:53">
      <c r="A60" s="2" t="s">
        <v>128</v>
      </c>
      <c r="B60" s="2">
        <v>7228</v>
      </c>
      <c r="C60" s="2" t="s">
        <v>1387</v>
      </c>
      <c r="D60" s="2" t="s">
        <v>34</v>
      </c>
      <c r="E60" s="2" t="s">
        <v>1394</v>
      </c>
      <c r="F60" s="2" t="s">
        <v>1395</v>
      </c>
      <c r="G60" s="2" t="s">
        <v>1084</v>
      </c>
      <c r="I60" s="2" t="s">
        <v>31</v>
      </c>
      <c r="J60" s="2" t="s">
        <v>31</v>
      </c>
      <c r="K60" s="2" t="s">
        <v>498</v>
      </c>
      <c r="L60" s="2" t="s">
        <v>164</v>
      </c>
      <c r="M60" s="2" t="s">
        <v>387</v>
      </c>
      <c r="O60" s="2" t="s">
        <v>1390</v>
      </c>
      <c r="P60" s="2" t="s">
        <v>1396</v>
      </c>
      <c r="Q60" s="2" t="s">
        <v>104</v>
      </c>
      <c r="R60" s="2" t="s">
        <v>454</v>
      </c>
      <c r="S60" s="2" t="s">
        <v>35</v>
      </c>
      <c r="T60" s="150">
        <v>3.21</v>
      </c>
      <c r="U60" s="2" t="s">
        <v>1397</v>
      </c>
      <c r="V60" s="162">
        <v>5.5E-2</v>
      </c>
      <c r="W60" s="2" t="s">
        <v>801</v>
      </c>
      <c r="X60" s="2" t="s">
        <v>1392</v>
      </c>
      <c r="Y60" s="150">
        <v>5.5</v>
      </c>
      <c r="Z60" s="164">
        <v>2.01E-2</v>
      </c>
      <c r="AA60" s="2" t="s">
        <v>1393</v>
      </c>
      <c r="AB60" s="4" t="s">
        <v>459</v>
      </c>
      <c r="AG60" s="2" t="s">
        <v>164</v>
      </c>
      <c r="AJ60" s="2" t="s">
        <v>164</v>
      </c>
      <c r="AK60" s="2" t="s">
        <v>204</v>
      </c>
      <c r="AN60" s="2" t="s">
        <v>1378</v>
      </c>
      <c r="AQ60" s="150">
        <v>75167.33</v>
      </c>
      <c r="AR60" s="150">
        <v>126.7</v>
      </c>
      <c r="AS60" s="150">
        <v>1</v>
      </c>
      <c r="AT60" s="150">
        <v>95.236999999999995</v>
      </c>
      <c r="AU60" s="150">
        <v>95.236999999999995</v>
      </c>
      <c r="AX60" s="4" t="s">
        <v>164</v>
      </c>
      <c r="AY60" s="2" t="s">
        <v>37</v>
      </c>
      <c r="AZ60" s="164">
        <v>1.7735985320630301E-3</v>
      </c>
      <c r="BA60" s="164">
        <v>4.1095115047867201E-5</v>
      </c>
    </row>
    <row r="61" spans="1:53">
      <c r="A61" s="2" t="s">
        <v>128</v>
      </c>
      <c r="B61" s="2">
        <v>7228</v>
      </c>
      <c r="C61" s="2" t="s">
        <v>1387</v>
      </c>
      <c r="D61" s="2" t="s">
        <v>34</v>
      </c>
      <c r="E61" s="2" t="s">
        <v>1398</v>
      </c>
      <c r="F61" s="2" t="s">
        <v>1399</v>
      </c>
      <c r="G61" s="2" t="s">
        <v>1084</v>
      </c>
      <c r="I61" s="2" t="s">
        <v>31</v>
      </c>
      <c r="J61" s="2" t="s">
        <v>31</v>
      </c>
      <c r="K61" s="2" t="s">
        <v>498</v>
      </c>
      <c r="L61" s="2" t="s">
        <v>164</v>
      </c>
      <c r="M61" s="2" t="s">
        <v>387</v>
      </c>
      <c r="O61" s="2" t="s">
        <v>1390</v>
      </c>
      <c r="P61" s="2" t="s">
        <v>1396</v>
      </c>
      <c r="Q61" s="2" t="s">
        <v>104</v>
      </c>
      <c r="R61" s="2" t="s">
        <v>454</v>
      </c>
      <c r="S61" s="2" t="s">
        <v>35</v>
      </c>
      <c r="T61" s="150">
        <v>3.21</v>
      </c>
      <c r="U61" s="2" t="s">
        <v>1397</v>
      </c>
      <c r="V61" s="162">
        <v>5.5E-2</v>
      </c>
      <c r="W61" s="2" t="s">
        <v>801</v>
      </c>
      <c r="X61" s="2" t="s">
        <v>1392</v>
      </c>
      <c r="Y61" s="150">
        <v>5.5</v>
      </c>
      <c r="Z61" s="164">
        <v>1.966E-2</v>
      </c>
      <c r="AA61" s="2" t="s">
        <v>1393</v>
      </c>
      <c r="AB61" s="4" t="s">
        <v>459</v>
      </c>
      <c r="AG61" s="2" t="s">
        <v>164</v>
      </c>
      <c r="AJ61" s="2" t="s">
        <v>164</v>
      </c>
      <c r="AK61" s="2" t="s">
        <v>204</v>
      </c>
      <c r="AN61" s="2" t="s">
        <v>1378</v>
      </c>
      <c r="AQ61" s="150">
        <v>8281.89</v>
      </c>
      <c r="AR61" s="150">
        <v>126.7</v>
      </c>
      <c r="AS61" s="150">
        <v>1</v>
      </c>
      <c r="AT61" s="150">
        <v>10.493</v>
      </c>
      <c r="AU61" s="150">
        <v>10.493</v>
      </c>
      <c r="AX61" s="4" t="s">
        <v>164</v>
      </c>
      <c r="AY61" s="2" t="s">
        <v>37</v>
      </c>
      <c r="AZ61" s="164">
        <v>1.9541399098128799E-4</v>
      </c>
      <c r="BA61" s="164">
        <v>4.5278343977866601E-6</v>
      </c>
    </row>
    <row r="62" spans="1:53">
      <c r="A62" s="2" t="s">
        <v>128</v>
      </c>
      <c r="B62" s="2">
        <v>7228</v>
      </c>
      <c r="C62" s="2" t="s">
        <v>1387</v>
      </c>
      <c r="D62" s="2" t="s">
        <v>34</v>
      </c>
      <c r="E62" s="2" t="s">
        <v>1400</v>
      </c>
      <c r="F62" s="2" t="s">
        <v>1401</v>
      </c>
      <c r="G62" s="2" t="s">
        <v>1084</v>
      </c>
      <c r="I62" s="2" t="s">
        <v>31</v>
      </c>
      <c r="J62" s="2" t="s">
        <v>31</v>
      </c>
      <c r="K62" s="2" t="s">
        <v>498</v>
      </c>
      <c r="L62" s="2" t="s">
        <v>164</v>
      </c>
      <c r="M62" s="2" t="s">
        <v>387</v>
      </c>
      <c r="N62" s="2" t="s">
        <v>1387</v>
      </c>
      <c r="O62" s="2" t="s">
        <v>1402</v>
      </c>
      <c r="P62" s="2" t="s">
        <v>1396</v>
      </c>
      <c r="Q62" s="2" t="s">
        <v>104</v>
      </c>
      <c r="R62" s="2" t="s">
        <v>454</v>
      </c>
      <c r="S62" s="2" t="s">
        <v>35</v>
      </c>
      <c r="T62" s="150">
        <v>3.32</v>
      </c>
      <c r="U62" s="2" t="s">
        <v>204</v>
      </c>
      <c r="V62" s="162">
        <v>5.5300000000000002E-2</v>
      </c>
      <c r="W62" s="2" t="s">
        <v>801</v>
      </c>
      <c r="X62" s="2" t="s">
        <v>955</v>
      </c>
      <c r="Y62" s="150">
        <v>5.53</v>
      </c>
      <c r="Z62" s="164">
        <v>2.3369999999999998E-2</v>
      </c>
      <c r="AA62" s="2" t="s">
        <v>1403</v>
      </c>
      <c r="AB62" s="4" t="s">
        <v>459</v>
      </c>
      <c r="AC62" s="2" t="s">
        <v>530</v>
      </c>
      <c r="AD62" s="150">
        <v>4791</v>
      </c>
      <c r="AE62" s="150">
        <v>0.78</v>
      </c>
      <c r="AF62" s="2" t="s">
        <v>1404</v>
      </c>
      <c r="AG62" s="2" t="s">
        <v>164</v>
      </c>
      <c r="AI62" s="2" t="s">
        <v>1405</v>
      </c>
      <c r="AJ62" s="2" t="s">
        <v>387</v>
      </c>
      <c r="AK62" s="2" t="s">
        <v>938</v>
      </c>
      <c r="AL62" s="2" t="s">
        <v>1377</v>
      </c>
      <c r="AN62" s="2" t="s">
        <v>1378</v>
      </c>
      <c r="AO62" s="2" t="s">
        <v>1404</v>
      </c>
      <c r="AP62" s="151">
        <v>0</v>
      </c>
      <c r="AQ62" s="150">
        <v>103503.25</v>
      </c>
      <c r="AR62" s="150">
        <v>128.29</v>
      </c>
      <c r="AS62" s="150">
        <v>1</v>
      </c>
      <c r="AT62" s="150">
        <v>132.78399999999999</v>
      </c>
      <c r="AU62" s="150">
        <v>132.78399999999999</v>
      </c>
      <c r="AX62" s="4" t="s">
        <v>164</v>
      </c>
      <c r="AY62" s="2" t="s">
        <v>37</v>
      </c>
      <c r="AZ62" s="164">
        <v>2.4728420302116E-3</v>
      </c>
      <c r="BA62" s="164">
        <v>5.7296916911936E-5</v>
      </c>
    </row>
    <row r="63" spans="1:53">
      <c r="A63" s="2" t="s">
        <v>128</v>
      </c>
      <c r="B63" s="2">
        <v>7228</v>
      </c>
      <c r="C63" s="2" t="s">
        <v>1387</v>
      </c>
      <c r="D63" s="2" t="s">
        <v>34</v>
      </c>
      <c r="E63" s="2" t="s">
        <v>1406</v>
      </c>
      <c r="F63" s="2" t="s">
        <v>1407</v>
      </c>
      <c r="G63" s="2" t="s">
        <v>1084</v>
      </c>
      <c r="I63" s="2" t="s">
        <v>31</v>
      </c>
      <c r="J63" s="2" t="s">
        <v>31</v>
      </c>
      <c r="K63" s="2" t="s">
        <v>498</v>
      </c>
      <c r="L63" s="2" t="s">
        <v>164</v>
      </c>
      <c r="M63" s="2" t="s">
        <v>387</v>
      </c>
      <c r="N63" s="2" t="s">
        <v>1387</v>
      </c>
      <c r="O63" s="2" t="s">
        <v>1408</v>
      </c>
      <c r="P63" s="2" t="s">
        <v>1396</v>
      </c>
      <c r="Q63" s="2" t="s">
        <v>104</v>
      </c>
      <c r="R63" s="2" t="s">
        <v>454</v>
      </c>
      <c r="S63" s="2" t="s">
        <v>35</v>
      </c>
      <c r="T63" s="150">
        <v>3.32</v>
      </c>
      <c r="U63" s="2" t="s">
        <v>204</v>
      </c>
      <c r="V63" s="162">
        <v>5.5301000000000003E-2</v>
      </c>
      <c r="W63" s="2" t="s">
        <v>801</v>
      </c>
      <c r="X63" s="2" t="s">
        <v>955</v>
      </c>
      <c r="Y63" s="150">
        <v>5.5301</v>
      </c>
      <c r="Z63" s="164">
        <v>2.3369999999999998E-2</v>
      </c>
      <c r="AA63" s="2" t="s">
        <v>1403</v>
      </c>
      <c r="AB63" s="4" t="s">
        <v>459</v>
      </c>
      <c r="AC63" s="2" t="s">
        <v>530</v>
      </c>
      <c r="AD63" s="150">
        <v>4596</v>
      </c>
      <c r="AE63" s="150">
        <v>0.78</v>
      </c>
      <c r="AF63" s="2" t="s">
        <v>1404</v>
      </c>
      <c r="AG63" s="2" t="s">
        <v>164</v>
      </c>
      <c r="AI63" s="2" t="s">
        <v>1405</v>
      </c>
      <c r="AJ63" s="2" t="s">
        <v>387</v>
      </c>
      <c r="AK63" s="2" t="s">
        <v>938</v>
      </c>
      <c r="AL63" s="2" t="s">
        <v>1377</v>
      </c>
      <c r="AN63" s="2" t="s">
        <v>1378</v>
      </c>
      <c r="AO63" s="2" t="s">
        <v>1404</v>
      </c>
      <c r="AP63" s="151">
        <v>0</v>
      </c>
      <c r="AQ63" s="150">
        <v>99302.09</v>
      </c>
      <c r="AR63" s="150">
        <v>128.29</v>
      </c>
      <c r="AS63" s="150">
        <v>1</v>
      </c>
      <c r="AT63" s="150">
        <v>127.395</v>
      </c>
      <c r="AU63" s="150">
        <v>127.395</v>
      </c>
      <c r="AX63" s="4" t="s">
        <v>164</v>
      </c>
      <c r="AY63" s="2" t="s">
        <v>37</v>
      </c>
      <c r="AZ63" s="164">
        <v>2.3724702542176701E-3</v>
      </c>
      <c r="BA63" s="164">
        <v>5.4971255491123103E-5</v>
      </c>
    </row>
    <row r="64" spans="1:53">
      <c r="A64" s="2" t="s">
        <v>128</v>
      </c>
      <c r="B64" s="2">
        <v>7228</v>
      </c>
      <c r="C64" s="2" t="s">
        <v>1387</v>
      </c>
      <c r="D64" s="2" t="s">
        <v>34</v>
      </c>
      <c r="E64" s="2" t="s">
        <v>1409</v>
      </c>
      <c r="F64" s="2" t="s">
        <v>1410</v>
      </c>
      <c r="G64" s="2" t="s">
        <v>1084</v>
      </c>
      <c r="I64" s="2" t="s">
        <v>31</v>
      </c>
      <c r="J64" s="2" t="s">
        <v>31</v>
      </c>
      <c r="K64" s="2" t="s">
        <v>498</v>
      </c>
      <c r="L64" s="2" t="s">
        <v>164</v>
      </c>
      <c r="M64" s="2" t="s">
        <v>387</v>
      </c>
      <c r="N64" s="2" t="s">
        <v>1387</v>
      </c>
      <c r="O64" s="2" t="s">
        <v>1411</v>
      </c>
      <c r="P64" s="2" t="s">
        <v>1396</v>
      </c>
      <c r="Q64" s="2" t="s">
        <v>104</v>
      </c>
      <c r="R64" s="2" t="s">
        <v>454</v>
      </c>
      <c r="S64" s="2" t="s">
        <v>35</v>
      </c>
      <c r="T64" s="150">
        <v>3.32</v>
      </c>
      <c r="U64" s="2" t="s">
        <v>204</v>
      </c>
      <c r="V64" s="162">
        <v>5.5300000000000002E-2</v>
      </c>
      <c r="W64" s="2" t="s">
        <v>801</v>
      </c>
      <c r="X64" s="2" t="s">
        <v>955</v>
      </c>
      <c r="Y64" s="150">
        <v>5.53</v>
      </c>
      <c r="Z64" s="164">
        <v>2.333E-2</v>
      </c>
      <c r="AA64" s="2" t="s">
        <v>1403</v>
      </c>
      <c r="AB64" s="4" t="s">
        <v>459</v>
      </c>
      <c r="AC64" s="2" t="s">
        <v>530</v>
      </c>
      <c r="AD64" s="150">
        <v>4622</v>
      </c>
      <c r="AE64" s="150">
        <v>0.78</v>
      </c>
      <c r="AF64" s="2" t="s">
        <v>1404</v>
      </c>
      <c r="AG64" s="2" t="s">
        <v>164</v>
      </c>
      <c r="AI64" s="2" t="s">
        <v>1405</v>
      </c>
      <c r="AJ64" s="2" t="s">
        <v>387</v>
      </c>
      <c r="AK64" s="2" t="s">
        <v>938</v>
      </c>
      <c r="AL64" s="2" t="s">
        <v>1377</v>
      </c>
      <c r="AN64" s="2" t="s">
        <v>1378</v>
      </c>
      <c r="AO64" s="2" t="s">
        <v>1404</v>
      </c>
      <c r="AP64" s="151">
        <v>0</v>
      </c>
      <c r="AQ64" s="150">
        <v>99868.66</v>
      </c>
      <c r="AR64" s="150">
        <v>126.7</v>
      </c>
      <c r="AS64" s="150">
        <v>1</v>
      </c>
      <c r="AT64" s="150">
        <v>126.53400000000001</v>
      </c>
      <c r="AU64" s="150">
        <v>126.53400000000001</v>
      </c>
      <c r="AX64" s="4" t="s">
        <v>164</v>
      </c>
      <c r="AY64" s="2" t="s">
        <v>37</v>
      </c>
      <c r="AZ64" s="164">
        <v>2.3564347539696E-3</v>
      </c>
      <c r="BA64" s="164">
        <v>5.4599705382329502E-5</v>
      </c>
    </row>
    <row r="65" spans="1:53">
      <c r="A65" s="2" t="s">
        <v>128</v>
      </c>
      <c r="B65" s="2">
        <v>7228</v>
      </c>
      <c r="C65" s="2" t="s">
        <v>1387</v>
      </c>
      <c r="D65" s="2" t="s">
        <v>34</v>
      </c>
      <c r="E65" s="2" t="s">
        <v>1412</v>
      </c>
      <c r="F65" s="2" t="s">
        <v>1413</v>
      </c>
      <c r="G65" s="2" t="s">
        <v>1084</v>
      </c>
      <c r="I65" s="2" t="s">
        <v>31</v>
      </c>
      <c r="J65" s="2" t="s">
        <v>31</v>
      </c>
      <c r="K65" s="2" t="s">
        <v>498</v>
      </c>
      <c r="L65" s="2" t="s">
        <v>164</v>
      </c>
      <c r="M65" s="2" t="s">
        <v>387</v>
      </c>
      <c r="N65" s="2" t="s">
        <v>1387</v>
      </c>
      <c r="O65" s="2" t="s">
        <v>1414</v>
      </c>
      <c r="P65" s="2" t="s">
        <v>1396</v>
      </c>
      <c r="Q65" s="2" t="s">
        <v>104</v>
      </c>
      <c r="R65" s="2" t="s">
        <v>454</v>
      </c>
      <c r="S65" s="2" t="s">
        <v>35</v>
      </c>
      <c r="T65" s="150">
        <v>3.32</v>
      </c>
      <c r="U65" s="2" t="s">
        <v>204</v>
      </c>
      <c r="V65" s="162">
        <v>5.5E-2</v>
      </c>
      <c r="W65" s="2" t="s">
        <v>801</v>
      </c>
      <c r="X65" s="2" t="s">
        <v>1392</v>
      </c>
      <c r="Y65" s="150">
        <v>5.5</v>
      </c>
      <c r="Z65" s="164">
        <v>2.333E-2</v>
      </c>
      <c r="AA65" s="2" t="s">
        <v>1403</v>
      </c>
      <c r="AB65" s="4" t="s">
        <v>459</v>
      </c>
      <c r="AC65" s="2" t="s">
        <v>530</v>
      </c>
      <c r="AD65" s="150">
        <v>3155</v>
      </c>
      <c r="AE65" s="150">
        <v>0.78</v>
      </c>
      <c r="AF65" s="2" t="s">
        <v>1404</v>
      </c>
      <c r="AG65" s="2" t="s">
        <v>164</v>
      </c>
      <c r="AI65" s="2" t="s">
        <v>1405</v>
      </c>
      <c r="AJ65" s="2" t="s">
        <v>387</v>
      </c>
      <c r="AK65" s="2" t="s">
        <v>204</v>
      </c>
      <c r="AN65" s="2" t="s">
        <v>1378</v>
      </c>
      <c r="AO65" s="2" t="s">
        <v>1404</v>
      </c>
      <c r="AP65" s="151">
        <v>0</v>
      </c>
      <c r="AQ65" s="150">
        <v>31537.5</v>
      </c>
      <c r="AR65" s="150">
        <v>126.19</v>
      </c>
      <c r="AS65" s="150">
        <v>1</v>
      </c>
      <c r="AT65" s="150">
        <v>39.796999999999997</v>
      </c>
      <c r="AU65" s="150">
        <v>39.796999999999997</v>
      </c>
      <c r="AX65" s="4" t="s">
        <v>164</v>
      </c>
      <c r="AY65" s="2" t="s">
        <v>37</v>
      </c>
      <c r="AZ65" s="164">
        <v>7.4114261515731395E-4</v>
      </c>
      <c r="BA65" s="164">
        <v>1.71726241796893E-5</v>
      </c>
    </row>
    <row r="66" spans="1:53">
      <c r="A66" s="2" t="s">
        <v>128</v>
      </c>
      <c r="B66" s="2">
        <v>7228</v>
      </c>
      <c r="C66" s="2" t="s">
        <v>1387</v>
      </c>
      <c r="D66" s="2" t="s">
        <v>34</v>
      </c>
      <c r="E66" s="2" t="s">
        <v>1415</v>
      </c>
      <c r="F66" s="2" t="s">
        <v>1416</v>
      </c>
      <c r="G66" s="2" t="s">
        <v>1084</v>
      </c>
      <c r="I66" s="2" t="s">
        <v>31</v>
      </c>
      <c r="J66" s="2" t="s">
        <v>31</v>
      </c>
      <c r="K66" s="2" t="s">
        <v>498</v>
      </c>
      <c r="L66" s="2" t="s">
        <v>164</v>
      </c>
      <c r="M66" s="2" t="s">
        <v>387</v>
      </c>
      <c r="N66" s="2" t="s">
        <v>1387</v>
      </c>
      <c r="O66" s="2" t="s">
        <v>1417</v>
      </c>
      <c r="P66" s="2" t="s">
        <v>1396</v>
      </c>
      <c r="Q66" s="2" t="s">
        <v>104</v>
      </c>
      <c r="R66" s="2" t="s">
        <v>454</v>
      </c>
      <c r="S66" s="2" t="s">
        <v>35</v>
      </c>
      <c r="T66" s="150">
        <v>3.32</v>
      </c>
      <c r="U66" s="2" t="s">
        <v>1397</v>
      </c>
      <c r="V66" s="162">
        <v>5.6132000000000001E-2</v>
      </c>
      <c r="W66" s="2" t="s">
        <v>801</v>
      </c>
      <c r="X66" s="2" t="s">
        <v>955</v>
      </c>
      <c r="Y66" s="150">
        <v>5.6132</v>
      </c>
      <c r="Z66" s="164">
        <v>2.3130000000000001E-2</v>
      </c>
      <c r="AA66" s="2" t="s">
        <v>1403</v>
      </c>
      <c r="AB66" s="4" t="s">
        <v>459</v>
      </c>
      <c r="AC66" s="2" t="s">
        <v>530</v>
      </c>
      <c r="AD66" s="150">
        <v>465</v>
      </c>
      <c r="AE66" s="150">
        <v>0.78</v>
      </c>
      <c r="AF66" s="2" t="s">
        <v>1404</v>
      </c>
      <c r="AG66" s="2" t="s">
        <v>164</v>
      </c>
      <c r="AI66" s="2" t="s">
        <v>1405</v>
      </c>
      <c r="AJ66" s="2" t="s">
        <v>387</v>
      </c>
      <c r="AK66" s="2" t="s">
        <v>938</v>
      </c>
      <c r="AL66" s="2" t="s">
        <v>1377</v>
      </c>
      <c r="AN66" s="2" t="s">
        <v>1378</v>
      </c>
      <c r="AO66" s="2" t="s">
        <v>1404</v>
      </c>
      <c r="AP66" s="151">
        <v>0</v>
      </c>
      <c r="AQ66" s="150">
        <v>4631.84</v>
      </c>
      <c r="AR66" s="150">
        <v>128.9</v>
      </c>
      <c r="AS66" s="150">
        <v>1</v>
      </c>
      <c r="AT66" s="150">
        <v>5.97</v>
      </c>
      <c r="AU66" s="150">
        <v>5.97</v>
      </c>
      <c r="AX66" s="4" t="s">
        <v>164</v>
      </c>
      <c r="AY66" s="2" t="s">
        <v>37</v>
      </c>
      <c r="AZ66" s="164">
        <v>1.11187521139479E-4</v>
      </c>
      <c r="BA66" s="164">
        <v>2.57626734038798E-6</v>
      </c>
    </row>
    <row r="67" spans="1:53">
      <c r="A67" s="2" t="s">
        <v>128</v>
      </c>
      <c r="B67" s="2">
        <v>7228</v>
      </c>
      <c r="C67" s="2" t="s">
        <v>1387</v>
      </c>
      <c r="D67" s="2" t="s">
        <v>34</v>
      </c>
      <c r="E67" s="2" t="s">
        <v>1418</v>
      </c>
      <c r="F67" s="2" t="s">
        <v>1419</v>
      </c>
      <c r="G67" s="2" t="s">
        <v>1084</v>
      </c>
      <c r="I67" s="2" t="s">
        <v>31</v>
      </c>
      <c r="J67" s="2" t="s">
        <v>31</v>
      </c>
      <c r="K67" s="2" t="s">
        <v>498</v>
      </c>
      <c r="L67" s="2" t="s">
        <v>164</v>
      </c>
      <c r="M67" s="2" t="s">
        <v>387</v>
      </c>
      <c r="O67" s="2" t="s">
        <v>1390</v>
      </c>
      <c r="P67" s="2" t="s">
        <v>1396</v>
      </c>
      <c r="Q67" s="2" t="s">
        <v>104</v>
      </c>
      <c r="R67" s="2" t="s">
        <v>454</v>
      </c>
      <c r="S67" s="2" t="s">
        <v>35</v>
      </c>
      <c r="T67" s="150">
        <v>3.2</v>
      </c>
      <c r="U67" s="2" t="s">
        <v>1397</v>
      </c>
      <c r="V67" s="162">
        <v>5.6691999999999999E-2</v>
      </c>
      <c r="W67" s="2" t="s">
        <v>801</v>
      </c>
      <c r="X67" s="2" t="s">
        <v>1392</v>
      </c>
      <c r="Y67" s="150">
        <v>5.6692</v>
      </c>
      <c r="Z67" s="164">
        <v>2.1930000000000002E-2</v>
      </c>
      <c r="AA67" s="2" t="s">
        <v>1420</v>
      </c>
      <c r="AB67" s="4" t="s">
        <v>459</v>
      </c>
      <c r="AG67" s="2" t="s">
        <v>164</v>
      </c>
      <c r="AJ67" s="2" t="s">
        <v>164</v>
      </c>
      <c r="AK67" s="2" t="s">
        <v>204</v>
      </c>
      <c r="AN67" s="2" t="s">
        <v>1378</v>
      </c>
      <c r="AQ67" s="150">
        <v>9326.41</v>
      </c>
      <c r="AR67" s="150">
        <v>129.34</v>
      </c>
      <c r="AS67" s="150">
        <v>1</v>
      </c>
      <c r="AT67" s="150">
        <v>12.063000000000001</v>
      </c>
      <c r="AU67" s="150">
        <v>12.063000000000001</v>
      </c>
      <c r="AX67" s="4" t="s">
        <v>164</v>
      </c>
      <c r="AY67" s="2" t="s">
        <v>37</v>
      </c>
      <c r="AZ67" s="164">
        <v>2.24645095782658E-4</v>
      </c>
      <c r="BA67" s="164">
        <v>5.2051328918214199E-6</v>
      </c>
    </row>
    <row r="68" spans="1:53">
      <c r="A68" s="2" t="s">
        <v>128</v>
      </c>
      <c r="B68" s="2">
        <v>7228</v>
      </c>
      <c r="C68" s="2" t="s">
        <v>1387</v>
      </c>
      <c r="D68" s="2" t="s">
        <v>34</v>
      </c>
      <c r="E68" s="2" t="s">
        <v>1421</v>
      </c>
      <c r="F68" s="2" t="s">
        <v>1422</v>
      </c>
      <c r="G68" s="2" t="s">
        <v>1084</v>
      </c>
      <c r="I68" s="2" t="s">
        <v>31</v>
      </c>
      <c r="J68" s="2" t="s">
        <v>31</v>
      </c>
      <c r="K68" s="2" t="s">
        <v>498</v>
      </c>
      <c r="L68" s="2" t="s">
        <v>164</v>
      </c>
      <c r="M68" s="2" t="s">
        <v>387</v>
      </c>
      <c r="N68" s="2" t="s">
        <v>1387</v>
      </c>
      <c r="O68" s="2" t="s">
        <v>1423</v>
      </c>
      <c r="P68" s="2" t="s">
        <v>1396</v>
      </c>
      <c r="Q68" s="2" t="s">
        <v>104</v>
      </c>
      <c r="R68" s="2" t="s">
        <v>454</v>
      </c>
      <c r="S68" s="2" t="s">
        <v>35</v>
      </c>
      <c r="T68" s="150">
        <v>3.32</v>
      </c>
      <c r="U68" s="2" t="s">
        <v>1397</v>
      </c>
      <c r="V68" s="162">
        <v>5.5E-2</v>
      </c>
      <c r="W68" s="2" t="s">
        <v>801</v>
      </c>
      <c r="X68" s="2" t="s">
        <v>955</v>
      </c>
      <c r="Y68" s="150">
        <v>5.5</v>
      </c>
      <c r="Z68" s="164">
        <v>2.2169999999999999E-2</v>
      </c>
      <c r="AA68" s="2" t="s">
        <v>1403</v>
      </c>
      <c r="AB68" s="4" t="s">
        <v>459</v>
      </c>
      <c r="AC68" s="2" t="s">
        <v>530</v>
      </c>
      <c r="AD68" s="150">
        <v>562</v>
      </c>
      <c r="AE68" s="150">
        <v>0.78</v>
      </c>
      <c r="AF68" s="2" t="s">
        <v>1404</v>
      </c>
      <c r="AG68" s="2" t="s">
        <v>164</v>
      </c>
      <c r="AI68" s="2" t="s">
        <v>1405</v>
      </c>
      <c r="AJ68" s="2" t="s">
        <v>387</v>
      </c>
      <c r="AK68" s="2" t="s">
        <v>938</v>
      </c>
      <c r="AL68" s="2" t="s">
        <v>1377</v>
      </c>
      <c r="AN68" s="2" t="s">
        <v>1378</v>
      </c>
      <c r="AO68" s="2" t="s">
        <v>1404</v>
      </c>
      <c r="AP68" s="151">
        <v>0</v>
      </c>
      <c r="AQ68" s="150">
        <v>5596.26</v>
      </c>
      <c r="AR68" s="150">
        <v>129.29</v>
      </c>
      <c r="AS68" s="150">
        <v>1</v>
      </c>
      <c r="AT68" s="150">
        <v>7.2350000000000003</v>
      </c>
      <c r="AU68" s="150">
        <v>7.2350000000000003</v>
      </c>
      <c r="AX68" s="4" t="s">
        <v>164</v>
      </c>
      <c r="AY68" s="2" t="s">
        <v>37</v>
      </c>
      <c r="AZ68" s="164">
        <v>1.3474491991369099E-4</v>
      </c>
      <c r="BA68" s="164">
        <v>3.1221033880355099E-6</v>
      </c>
    </row>
    <row r="69" spans="1:53">
      <c r="A69" s="2" t="s">
        <v>128</v>
      </c>
      <c r="B69" s="2">
        <v>7228</v>
      </c>
      <c r="C69" s="2" t="s">
        <v>1387</v>
      </c>
      <c r="D69" s="2" t="s">
        <v>34</v>
      </c>
      <c r="E69" s="2" t="s">
        <v>1424</v>
      </c>
      <c r="F69" s="2" t="s">
        <v>1425</v>
      </c>
      <c r="G69" s="2" t="s">
        <v>1084</v>
      </c>
      <c r="I69" s="2" t="s">
        <v>31</v>
      </c>
      <c r="J69" s="2" t="s">
        <v>31</v>
      </c>
      <c r="K69" s="2" t="s">
        <v>498</v>
      </c>
      <c r="L69" s="2" t="s">
        <v>164</v>
      </c>
      <c r="M69" s="2" t="s">
        <v>387</v>
      </c>
      <c r="N69" s="2" t="s">
        <v>1387</v>
      </c>
      <c r="O69" s="2" t="s">
        <v>1426</v>
      </c>
      <c r="P69" s="2" t="s">
        <v>1396</v>
      </c>
      <c r="Q69" s="2" t="s">
        <v>104</v>
      </c>
      <c r="R69" s="2" t="s">
        <v>454</v>
      </c>
      <c r="S69" s="2" t="s">
        <v>35</v>
      </c>
      <c r="T69" s="150">
        <v>3.32</v>
      </c>
      <c r="U69" s="2" t="s">
        <v>1397</v>
      </c>
      <c r="V69" s="162">
        <v>5.5E-2</v>
      </c>
      <c r="W69" s="2" t="s">
        <v>801</v>
      </c>
      <c r="X69" s="2" t="s">
        <v>955</v>
      </c>
      <c r="Y69" s="150">
        <v>5.5</v>
      </c>
      <c r="Z69" s="164">
        <v>2.3359999999999999E-2</v>
      </c>
      <c r="AA69" s="2" t="s">
        <v>1403</v>
      </c>
      <c r="AB69" s="4" t="s">
        <v>459</v>
      </c>
      <c r="AC69" s="2" t="s">
        <v>530</v>
      </c>
      <c r="AD69" s="150">
        <v>4665</v>
      </c>
      <c r="AE69" s="150">
        <v>0.78</v>
      </c>
      <c r="AF69" s="2" t="s">
        <v>1404</v>
      </c>
      <c r="AG69" s="2" t="s">
        <v>164</v>
      </c>
      <c r="AI69" s="2" t="s">
        <v>1405</v>
      </c>
      <c r="AJ69" s="2" t="s">
        <v>387</v>
      </c>
      <c r="AK69" s="2" t="s">
        <v>938</v>
      </c>
      <c r="AL69" s="2" t="s">
        <v>1377</v>
      </c>
      <c r="AN69" s="2" t="s">
        <v>1378</v>
      </c>
      <c r="AO69" s="2" t="s">
        <v>1404</v>
      </c>
      <c r="AP69" s="151">
        <v>0</v>
      </c>
      <c r="AQ69" s="150">
        <v>100785.36</v>
      </c>
      <c r="AR69" s="150">
        <v>128.94</v>
      </c>
      <c r="AS69" s="150">
        <v>1</v>
      </c>
      <c r="AT69" s="150">
        <v>129.953</v>
      </c>
      <c r="AU69" s="150">
        <v>129.953</v>
      </c>
      <c r="AX69" s="4" t="s">
        <v>164</v>
      </c>
      <c r="AY69" s="2" t="s">
        <v>37</v>
      </c>
      <c r="AZ69" s="164">
        <v>2.4201077310487301E-3</v>
      </c>
      <c r="BA69" s="164">
        <v>5.6075038312078303E-5</v>
      </c>
    </row>
    <row r="70" spans="1:53">
      <c r="A70" s="2" t="s">
        <v>128</v>
      </c>
      <c r="B70" s="2">
        <v>7228</v>
      </c>
      <c r="C70" s="2" t="s">
        <v>1387</v>
      </c>
      <c r="D70" s="2" t="s">
        <v>34</v>
      </c>
      <c r="E70" s="2" t="s">
        <v>1427</v>
      </c>
      <c r="F70" s="2" t="s">
        <v>1428</v>
      </c>
      <c r="G70" s="2" t="s">
        <v>1084</v>
      </c>
      <c r="I70" s="2" t="s">
        <v>31</v>
      </c>
      <c r="J70" s="2" t="s">
        <v>31</v>
      </c>
      <c r="K70" s="2" t="s">
        <v>498</v>
      </c>
      <c r="L70" s="2" t="s">
        <v>164</v>
      </c>
      <c r="M70" s="2" t="s">
        <v>387</v>
      </c>
      <c r="N70" s="2" t="s">
        <v>1387</v>
      </c>
      <c r="O70" s="2" t="s">
        <v>1429</v>
      </c>
      <c r="P70" s="2" t="s">
        <v>1396</v>
      </c>
      <c r="Q70" s="2" t="s">
        <v>104</v>
      </c>
      <c r="R70" s="2" t="s">
        <v>454</v>
      </c>
      <c r="S70" s="2" t="s">
        <v>35</v>
      </c>
      <c r="T70" s="150">
        <v>3.46</v>
      </c>
      <c r="U70" s="2" t="s">
        <v>1397</v>
      </c>
      <c r="V70" s="162">
        <v>5.5E-2</v>
      </c>
      <c r="W70" s="2" t="s">
        <v>801</v>
      </c>
      <c r="X70" s="2" t="s">
        <v>955</v>
      </c>
      <c r="Y70" s="150">
        <v>5.5</v>
      </c>
      <c r="Z70" s="164">
        <v>2.3599999999999999E-2</v>
      </c>
      <c r="AA70" s="2" t="s">
        <v>1393</v>
      </c>
      <c r="AB70" s="4" t="s">
        <v>459</v>
      </c>
      <c r="AC70" s="2" t="s">
        <v>530</v>
      </c>
      <c r="AD70" s="150">
        <v>534</v>
      </c>
      <c r="AE70" s="150">
        <v>0.78</v>
      </c>
      <c r="AF70" s="2" t="s">
        <v>1404</v>
      </c>
      <c r="AG70" s="2" t="s">
        <v>164</v>
      </c>
      <c r="AI70" s="2" t="s">
        <v>1405</v>
      </c>
      <c r="AJ70" s="2" t="s">
        <v>387</v>
      </c>
      <c r="AK70" s="2" t="s">
        <v>938</v>
      </c>
      <c r="AL70" s="2" t="s">
        <v>1377</v>
      </c>
      <c r="AN70" s="2" t="s">
        <v>1378</v>
      </c>
      <c r="AO70" s="2" t="s">
        <v>1404</v>
      </c>
      <c r="AP70" s="151">
        <v>0</v>
      </c>
      <c r="AQ70" s="150">
        <v>11538</v>
      </c>
      <c r="AR70" s="150">
        <v>126.1</v>
      </c>
      <c r="AS70" s="150">
        <v>1</v>
      </c>
      <c r="AT70" s="150">
        <v>14.548999999999999</v>
      </c>
      <c r="AU70" s="150">
        <v>14.548999999999999</v>
      </c>
      <c r="AX70" s="4" t="s">
        <v>164</v>
      </c>
      <c r="AY70" s="2" t="s">
        <v>37</v>
      </c>
      <c r="AZ70" s="164">
        <v>2.7095377301563598E-4</v>
      </c>
      <c r="BA70" s="164">
        <v>6.2781267989544902E-6</v>
      </c>
    </row>
    <row r="71" spans="1:53">
      <c r="A71" s="2" t="s">
        <v>128</v>
      </c>
      <c r="B71" s="2">
        <v>7228</v>
      </c>
      <c r="C71" s="2" t="s">
        <v>1387</v>
      </c>
      <c r="D71" s="2" t="s">
        <v>34</v>
      </c>
      <c r="E71" s="2" t="s">
        <v>1430</v>
      </c>
      <c r="F71" s="2" t="s">
        <v>1431</v>
      </c>
      <c r="G71" s="2" t="s">
        <v>1084</v>
      </c>
      <c r="I71" s="2" t="s">
        <v>31</v>
      </c>
      <c r="J71" s="2" t="s">
        <v>31</v>
      </c>
      <c r="K71" s="2" t="s">
        <v>498</v>
      </c>
      <c r="L71" s="2" t="s">
        <v>164</v>
      </c>
      <c r="M71" s="2" t="s">
        <v>387</v>
      </c>
      <c r="O71" s="2" t="s">
        <v>1390</v>
      </c>
      <c r="P71" s="2" t="s">
        <v>1391</v>
      </c>
      <c r="Q71" s="2" t="s">
        <v>217</v>
      </c>
      <c r="R71" s="2" t="s">
        <v>454</v>
      </c>
      <c r="S71" s="2" t="s">
        <v>35</v>
      </c>
      <c r="T71" s="150">
        <v>3.46</v>
      </c>
      <c r="U71" s="2" t="s">
        <v>204</v>
      </c>
      <c r="V71" s="162">
        <v>5.5E-2</v>
      </c>
      <c r="W71" s="2" t="s">
        <v>801</v>
      </c>
      <c r="X71" s="2" t="s">
        <v>1392</v>
      </c>
      <c r="Y71" s="150">
        <v>5.5</v>
      </c>
      <c r="Z71" s="164">
        <v>2.3599999999999999E-2</v>
      </c>
      <c r="AA71" s="2" t="s">
        <v>1393</v>
      </c>
      <c r="AB71" s="4" t="s">
        <v>459</v>
      </c>
      <c r="AG71" s="2" t="s">
        <v>164</v>
      </c>
      <c r="AJ71" s="2" t="s">
        <v>164</v>
      </c>
      <c r="AK71" s="2" t="s">
        <v>204</v>
      </c>
      <c r="AN71" s="2" t="s">
        <v>1378</v>
      </c>
      <c r="AQ71" s="150">
        <v>9557.0300000000007</v>
      </c>
      <c r="AR71" s="150">
        <v>126.04</v>
      </c>
      <c r="AS71" s="150">
        <v>1</v>
      </c>
      <c r="AT71" s="150">
        <v>12.045999999999999</v>
      </c>
      <c r="AU71" s="150">
        <v>12.045999999999999</v>
      </c>
      <c r="AX71" s="4" t="s">
        <v>164</v>
      </c>
      <c r="AY71" s="2" t="s">
        <v>37</v>
      </c>
      <c r="AZ71" s="164">
        <v>2.2432667824669701E-4</v>
      </c>
      <c r="BA71" s="164">
        <v>5.1977550072342304E-6</v>
      </c>
    </row>
    <row r="72" spans="1:53">
      <c r="A72" s="2" t="s">
        <v>128</v>
      </c>
      <c r="B72" s="2">
        <v>7228</v>
      </c>
      <c r="C72" s="2" t="s">
        <v>1387</v>
      </c>
      <c r="D72" s="2" t="s">
        <v>34</v>
      </c>
      <c r="E72" s="2" t="s">
        <v>1432</v>
      </c>
      <c r="F72" s="2" t="s">
        <v>1433</v>
      </c>
      <c r="G72" s="2" t="s">
        <v>1084</v>
      </c>
      <c r="I72" s="2" t="s">
        <v>31</v>
      </c>
      <c r="J72" s="2" t="s">
        <v>31</v>
      </c>
      <c r="K72" s="2" t="s">
        <v>498</v>
      </c>
      <c r="L72" s="2" t="s">
        <v>164</v>
      </c>
      <c r="M72" s="2" t="s">
        <v>387</v>
      </c>
      <c r="N72" s="2" t="s">
        <v>1387</v>
      </c>
      <c r="O72" s="2" t="s">
        <v>1434</v>
      </c>
      <c r="P72" s="2" t="s">
        <v>1396</v>
      </c>
      <c r="Q72" s="2" t="s">
        <v>104</v>
      </c>
      <c r="R72" s="2" t="s">
        <v>454</v>
      </c>
      <c r="S72" s="2" t="s">
        <v>35</v>
      </c>
      <c r="T72" s="150">
        <v>3.18</v>
      </c>
      <c r="U72" s="2" t="s">
        <v>1397</v>
      </c>
      <c r="V72" s="162">
        <v>5.5E-2</v>
      </c>
      <c r="W72" s="2" t="s">
        <v>801</v>
      </c>
      <c r="X72" s="2" t="s">
        <v>955</v>
      </c>
      <c r="Y72" s="150">
        <v>5.5</v>
      </c>
      <c r="Z72" s="164">
        <v>2.3050000000000001E-2</v>
      </c>
      <c r="AA72" s="2" t="s">
        <v>1403</v>
      </c>
      <c r="AB72" s="4" t="s">
        <v>459</v>
      </c>
      <c r="AC72" s="2" t="s">
        <v>530</v>
      </c>
      <c r="AD72" s="150">
        <v>2192</v>
      </c>
      <c r="AE72" s="150">
        <v>0.78</v>
      </c>
      <c r="AF72" s="2" t="s">
        <v>1404</v>
      </c>
      <c r="AG72" s="2" t="s">
        <v>164</v>
      </c>
      <c r="AI72" s="2" t="s">
        <v>1405</v>
      </c>
      <c r="AJ72" s="2" t="s">
        <v>387</v>
      </c>
      <c r="AK72" s="2" t="s">
        <v>938</v>
      </c>
      <c r="AL72" s="2" t="s">
        <v>1377</v>
      </c>
      <c r="AN72" s="2" t="s">
        <v>1378</v>
      </c>
      <c r="AO72" s="2" t="s">
        <v>1404</v>
      </c>
      <c r="AP72" s="151">
        <v>0</v>
      </c>
      <c r="AQ72" s="150">
        <v>21850.97</v>
      </c>
      <c r="AR72" s="150">
        <v>128.21</v>
      </c>
      <c r="AS72" s="150">
        <v>1</v>
      </c>
      <c r="AT72" s="150">
        <v>28.015000000000001</v>
      </c>
      <c r="AU72" s="150">
        <v>28.015000000000001</v>
      </c>
      <c r="AX72" s="4" t="s">
        <v>164</v>
      </c>
      <c r="AY72" s="2" t="s">
        <v>37</v>
      </c>
      <c r="AZ72" s="164">
        <v>5.2172566667020896E-4</v>
      </c>
      <c r="BA72" s="164">
        <v>1.20886299281598E-5</v>
      </c>
    </row>
    <row r="73" spans="1:53">
      <c r="A73" s="2" t="s">
        <v>128</v>
      </c>
      <c r="B73" s="2">
        <v>7228</v>
      </c>
      <c r="C73" s="2" t="s">
        <v>1387</v>
      </c>
      <c r="D73" s="2" t="s">
        <v>34</v>
      </c>
      <c r="E73" s="2" t="s">
        <v>1435</v>
      </c>
      <c r="F73" s="2" t="s">
        <v>1436</v>
      </c>
      <c r="G73" s="2" t="s">
        <v>1084</v>
      </c>
      <c r="I73" s="2" t="s">
        <v>31</v>
      </c>
      <c r="J73" s="2" t="s">
        <v>31</v>
      </c>
      <c r="K73" s="2" t="s">
        <v>498</v>
      </c>
      <c r="L73" s="2" t="s">
        <v>164</v>
      </c>
      <c r="M73" s="2" t="s">
        <v>387</v>
      </c>
      <c r="N73" s="2" t="s">
        <v>1387</v>
      </c>
      <c r="O73" s="2" t="s">
        <v>1437</v>
      </c>
      <c r="P73" s="2" t="s">
        <v>1396</v>
      </c>
      <c r="Q73" s="2" t="s">
        <v>104</v>
      </c>
      <c r="R73" s="2" t="s">
        <v>454</v>
      </c>
      <c r="S73" s="2" t="s">
        <v>35</v>
      </c>
      <c r="T73" s="150">
        <v>3.46</v>
      </c>
      <c r="U73" s="2" t="s">
        <v>1397</v>
      </c>
      <c r="V73" s="162">
        <v>5.5E-2</v>
      </c>
      <c r="W73" s="2" t="s">
        <v>801</v>
      </c>
      <c r="X73" s="2" t="s">
        <v>955</v>
      </c>
      <c r="Y73" s="150">
        <v>5.5</v>
      </c>
      <c r="Z73" s="164">
        <v>2.4500000000000001E-2</v>
      </c>
      <c r="AA73" s="2" t="s">
        <v>1393</v>
      </c>
      <c r="AB73" s="4" t="s">
        <v>459</v>
      </c>
      <c r="AC73" s="2" t="s">
        <v>530</v>
      </c>
      <c r="AD73" s="150">
        <v>3904</v>
      </c>
      <c r="AE73" s="150">
        <v>0.78</v>
      </c>
      <c r="AF73" s="2" t="s">
        <v>1404</v>
      </c>
      <c r="AG73" s="2" t="s">
        <v>164</v>
      </c>
      <c r="AI73" s="2" t="s">
        <v>1405</v>
      </c>
      <c r="AJ73" s="2" t="s">
        <v>387</v>
      </c>
      <c r="AK73" s="2" t="s">
        <v>938</v>
      </c>
      <c r="AL73" s="2" t="s">
        <v>1377</v>
      </c>
      <c r="AN73" s="2" t="s">
        <v>1378</v>
      </c>
      <c r="AO73" s="2" t="s">
        <v>1404</v>
      </c>
      <c r="AP73" s="151">
        <v>0</v>
      </c>
      <c r="AQ73" s="150">
        <v>84353.3</v>
      </c>
      <c r="AR73" s="150">
        <v>125.87</v>
      </c>
      <c r="AS73" s="150">
        <v>1</v>
      </c>
      <c r="AT73" s="150">
        <v>106.175</v>
      </c>
      <c r="AU73" s="150">
        <v>106.175</v>
      </c>
      <c r="AX73" s="4" t="s">
        <v>164</v>
      </c>
      <c r="AY73" s="2" t="s">
        <v>37</v>
      </c>
      <c r="AZ73" s="164">
        <v>1.9773060322613098E-3</v>
      </c>
      <c r="BA73" s="164">
        <v>4.58151139683807E-5</v>
      </c>
    </row>
    <row r="74" spans="1:53">
      <c r="A74" s="2" t="s">
        <v>128</v>
      </c>
      <c r="B74" s="2">
        <v>7228</v>
      </c>
      <c r="C74" s="2" t="s">
        <v>1387</v>
      </c>
      <c r="D74" s="2" t="s">
        <v>34</v>
      </c>
      <c r="E74" s="2" t="s">
        <v>1438</v>
      </c>
      <c r="F74" s="2" t="s">
        <v>1439</v>
      </c>
      <c r="G74" s="2" t="s">
        <v>1084</v>
      </c>
      <c r="I74" s="2" t="s">
        <v>31</v>
      </c>
      <c r="J74" s="2" t="s">
        <v>31</v>
      </c>
      <c r="K74" s="2" t="s">
        <v>498</v>
      </c>
      <c r="L74" s="2" t="s">
        <v>164</v>
      </c>
      <c r="M74" s="2" t="s">
        <v>164</v>
      </c>
      <c r="O74" s="2" t="s">
        <v>1390</v>
      </c>
      <c r="P74" s="2" t="s">
        <v>1396</v>
      </c>
      <c r="Q74" s="2" t="s">
        <v>104</v>
      </c>
      <c r="R74" s="2" t="s">
        <v>454</v>
      </c>
      <c r="S74" s="2" t="s">
        <v>35</v>
      </c>
      <c r="T74" s="150">
        <v>3.31</v>
      </c>
      <c r="U74" s="2" t="s">
        <v>1397</v>
      </c>
      <c r="V74" s="162">
        <v>5.5E-2</v>
      </c>
      <c r="W74" s="2" t="s">
        <v>801</v>
      </c>
      <c r="X74" s="2" t="s">
        <v>1392</v>
      </c>
      <c r="Y74" s="150">
        <v>5.5</v>
      </c>
      <c r="Z74" s="164">
        <v>2.443E-2</v>
      </c>
      <c r="AA74" s="2" t="s">
        <v>1403</v>
      </c>
      <c r="AB74" s="4" t="s">
        <v>459</v>
      </c>
      <c r="AG74" s="2" t="s">
        <v>164</v>
      </c>
      <c r="AJ74" s="2" t="s">
        <v>164</v>
      </c>
      <c r="AK74" s="2" t="s">
        <v>204</v>
      </c>
      <c r="AN74" s="2" t="s">
        <v>1378</v>
      </c>
      <c r="AQ74" s="150">
        <v>102459.79</v>
      </c>
      <c r="AR74" s="150">
        <v>127.82</v>
      </c>
      <c r="AS74" s="150">
        <v>1</v>
      </c>
      <c r="AT74" s="150">
        <v>130.964</v>
      </c>
      <c r="AU74" s="150">
        <v>130.964</v>
      </c>
      <c r="AX74" s="4" t="s">
        <v>164</v>
      </c>
      <c r="AY74" s="2" t="s">
        <v>37</v>
      </c>
      <c r="AZ74" s="164">
        <v>2.43894415529677E-3</v>
      </c>
      <c r="BA74" s="164">
        <v>5.6511487151863602E-5</v>
      </c>
    </row>
    <row r="75" spans="1:53">
      <c r="A75" s="2" t="s">
        <v>128</v>
      </c>
      <c r="B75" s="2">
        <v>7228</v>
      </c>
      <c r="C75" s="2" t="s">
        <v>1387</v>
      </c>
      <c r="D75" s="2" t="s">
        <v>34</v>
      </c>
      <c r="E75" s="2" t="s">
        <v>1440</v>
      </c>
      <c r="F75" s="2" t="s">
        <v>1441</v>
      </c>
      <c r="G75" s="2" t="s">
        <v>1084</v>
      </c>
      <c r="I75" s="2" t="s">
        <v>31</v>
      </c>
      <c r="J75" s="2" t="s">
        <v>31</v>
      </c>
      <c r="K75" s="2" t="s">
        <v>498</v>
      </c>
      <c r="L75" s="2" t="s">
        <v>164</v>
      </c>
      <c r="M75" s="2" t="s">
        <v>164</v>
      </c>
      <c r="O75" s="2" t="s">
        <v>1390</v>
      </c>
      <c r="P75" s="2" t="s">
        <v>1396</v>
      </c>
      <c r="Q75" s="2" t="s">
        <v>104</v>
      </c>
      <c r="R75" s="2" t="s">
        <v>454</v>
      </c>
      <c r="S75" s="2" t="s">
        <v>35</v>
      </c>
      <c r="T75" s="150">
        <v>3.32</v>
      </c>
      <c r="U75" s="2" t="s">
        <v>1397</v>
      </c>
      <c r="V75" s="162">
        <v>5.5888E-2</v>
      </c>
      <c r="W75" s="2" t="s">
        <v>801</v>
      </c>
      <c r="X75" s="2" t="s">
        <v>1392</v>
      </c>
      <c r="Y75" s="150">
        <v>5.5888</v>
      </c>
      <c r="Z75" s="164">
        <v>2.179E-2</v>
      </c>
      <c r="AA75" s="2" t="s">
        <v>1403</v>
      </c>
      <c r="AB75" s="4" t="s">
        <v>459</v>
      </c>
      <c r="AG75" s="2" t="s">
        <v>164</v>
      </c>
      <c r="AJ75" s="2" t="s">
        <v>164</v>
      </c>
      <c r="AK75" s="2" t="s">
        <v>204</v>
      </c>
      <c r="AN75" s="2" t="s">
        <v>1378</v>
      </c>
      <c r="AQ75" s="150">
        <v>21449.94</v>
      </c>
      <c r="AR75" s="150">
        <v>129.58000000000001</v>
      </c>
      <c r="AS75" s="150">
        <v>1</v>
      </c>
      <c r="AT75" s="150">
        <v>27.795000000000002</v>
      </c>
      <c r="AU75" s="150">
        <v>27.795000000000002</v>
      </c>
      <c r="AX75" s="4" t="s">
        <v>164</v>
      </c>
      <c r="AY75" s="2" t="s">
        <v>37</v>
      </c>
      <c r="AZ75" s="164">
        <v>5.1762308767375404E-4</v>
      </c>
      <c r="BA75" s="164">
        <v>1.1993571236576299E-5</v>
      </c>
    </row>
    <row r="76" spans="1:53">
      <c r="A76" s="2" t="s">
        <v>128</v>
      </c>
      <c r="B76" s="2">
        <v>7228</v>
      </c>
      <c r="C76" s="2" t="s">
        <v>1387</v>
      </c>
      <c r="D76" s="2" t="s">
        <v>34</v>
      </c>
      <c r="E76" s="2" t="s">
        <v>1442</v>
      </c>
      <c r="F76" s="2" t="s">
        <v>1443</v>
      </c>
      <c r="G76" s="2" t="s">
        <v>1084</v>
      </c>
      <c r="I76" s="2" t="s">
        <v>31</v>
      </c>
      <c r="J76" s="2" t="s">
        <v>31</v>
      </c>
      <c r="K76" s="2" t="s">
        <v>498</v>
      </c>
      <c r="L76" s="2" t="s">
        <v>164</v>
      </c>
      <c r="M76" s="2" t="s">
        <v>387</v>
      </c>
      <c r="N76" s="2" t="s">
        <v>1387</v>
      </c>
      <c r="O76" s="2" t="s">
        <v>1444</v>
      </c>
      <c r="P76" s="2" t="s">
        <v>1396</v>
      </c>
      <c r="Q76" s="2" t="s">
        <v>104</v>
      </c>
      <c r="R76" s="2" t="s">
        <v>454</v>
      </c>
      <c r="S76" s="2" t="s">
        <v>35</v>
      </c>
      <c r="T76" s="150">
        <v>3.31</v>
      </c>
      <c r="U76" s="2" t="s">
        <v>1397</v>
      </c>
      <c r="V76" s="162">
        <v>5.6193E-2</v>
      </c>
      <c r="W76" s="2" t="s">
        <v>801</v>
      </c>
      <c r="X76" s="2" t="s">
        <v>955</v>
      </c>
      <c r="Y76" s="150">
        <v>5.6193</v>
      </c>
      <c r="Z76" s="164">
        <v>2.333E-2</v>
      </c>
      <c r="AA76" s="2" t="s">
        <v>1403</v>
      </c>
      <c r="AB76" s="4" t="s">
        <v>459</v>
      </c>
      <c r="AC76" s="2" t="s">
        <v>530</v>
      </c>
      <c r="AD76" s="150">
        <v>3026</v>
      </c>
      <c r="AE76" s="150">
        <v>0.78</v>
      </c>
      <c r="AF76" s="2" t="s">
        <v>1404</v>
      </c>
      <c r="AG76" s="2" t="s">
        <v>164</v>
      </c>
      <c r="AI76" s="2" t="s">
        <v>1405</v>
      </c>
      <c r="AJ76" s="2" t="s">
        <v>387</v>
      </c>
      <c r="AK76" s="2" t="s">
        <v>938</v>
      </c>
      <c r="AL76" s="2" t="s">
        <v>1377</v>
      </c>
      <c r="AN76" s="2" t="s">
        <v>1378</v>
      </c>
      <c r="AO76" s="2" t="s">
        <v>1404</v>
      </c>
      <c r="AP76" s="151">
        <v>0</v>
      </c>
      <c r="AQ76" s="150">
        <v>30144.71</v>
      </c>
      <c r="AR76" s="150">
        <v>128.57</v>
      </c>
      <c r="AS76" s="150">
        <v>1</v>
      </c>
      <c r="AT76" s="150">
        <v>38.756999999999998</v>
      </c>
      <c r="AU76" s="150">
        <v>38.756999999999998</v>
      </c>
      <c r="AX76" s="4" t="s">
        <v>164</v>
      </c>
      <c r="AY76" s="2" t="s">
        <v>37</v>
      </c>
      <c r="AZ76" s="164">
        <v>7.2177250778169004E-4</v>
      </c>
      <c r="BA76" s="164">
        <v>1.6723809649963199E-5</v>
      </c>
    </row>
    <row r="77" spans="1:53">
      <c r="A77" s="2" t="s">
        <v>128</v>
      </c>
      <c r="B77" s="2">
        <v>7228</v>
      </c>
      <c r="C77" s="2" t="s">
        <v>1387</v>
      </c>
      <c r="D77" s="2" t="s">
        <v>34</v>
      </c>
      <c r="E77" s="2" t="s">
        <v>1445</v>
      </c>
      <c r="F77" s="2" t="s">
        <v>1446</v>
      </c>
      <c r="G77" s="2" t="s">
        <v>1084</v>
      </c>
      <c r="I77" s="2" t="s">
        <v>31</v>
      </c>
      <c r="J77" s="2" t="s">
        <v>31</v>
      </c>
      <c r="K77" s="2" t="s">
        <v>498</v>
      </c>
      <c r="L77" s="2" t="s">
        <v>164</v>
      </c>
      <c r="M77" s="2" t="s">
        <v>387</v>
      </c>
      <c r="O77" s="2" t="s">
        <v>1390</v>
      </c>
      <c r="P77" s="2" t="s">
        <v>1391</v>
      </c>
      <c r="Q77" s="2" t="s">
        <v>217</v>
      </c>
      <c r="R77" s="2" t="s">
        <v>454</v>
      </c>
      <c r="S77" s="2" t="s">
        <v>35</v>
      </c>
      <c r="T77" s="150">
        <v>3.44</v>
      </c>
      <c r="U77" s="2" t="s">
        <v>204</v>
      </c>
      <c r="V77" s="162">
        <v>5.5E-2</v>
      </c>
      <c r="W77" s="2" t="s">
        <v>801</v>
      </c>
      <c r="X77" s="2" t="s">
        <v>1392</v>
      </c>
      <c r="Y77" s="150">
        <v>5.5</v>
      </c>
      <c r="Z77" s="164">
        <v>2.8799999999999999E-2</v>
      </c>
      <c r="AA77" s="2" t="s">
        <v>1393</v>
      </c>
      <c r="AB77" s="4" t="s">
        <v>459</v>
      </c>
      <c r="AG77" s="2" t="s">
        <v>164</v>
      </c>
      <c r="AJ77" s="2" t="s">
        <v>164</v>
      </c>
      <c r="AK77" s="2" t="s">
        <v>204</v>
      </c>
      <c r="AN77" s="2" t="s">
        <v>1378</v>
      </c>
      <c r="AQ77" s="150">
        <v>38184.19</v>
      </c>
      <c r="AR77" s="150">
        <v>122.22</v>
      </c>
      <c r="AS77" s="150">
        <v>1</v>
      </c>
      <c r="AT77" s="150">
        <v>46.668999999999997</v>
      </c>
      <c r="AU77" s="150">
        <v>46.668999999999997</v>
      </c>
      <c r="AX77" s="4" t="s">
        <v>164</v>
      </c>
      <c r="AY77" s="2" t="s">
        <v>37</v>
      </c>
      <c r="AZ77" s="164">
        <v>8.6911139385961202E-4</v>
      </c>
      <c r="BA77" s="164">
        <v>2.0137721177818199E-5</v>
      </c>
    </row>
    <row r="78" spans="1:53">
      <c r="A78" s="2" t="s">
        <v>128</v>
      </c>
      <c r="B78" s="2">
        <v>7228</v>
      </c>
      <c r="C78" s="2" t="s">
        <v>1387</v>
      </c>
      <c r="D78" s="2" t="s">
        <v>34</v>
      </c>
      <c r="E78" s="2" t="s">
        <v>1447</v>
      </c>
      <c r="F78" s="2" t="s">
        <v>1448</v>
      </c>
      <c r="G78" s="2" t="s">
        <v>1084</v>
      </c>
      <c r="I78" s="2" t="s">
        <v>31</v>
      </c>
      <c r="J78" s="2" t="s">
        <v>31</v>
      </c>
      <c r="K78" s="2" t="s">
        <v>498</v>
      </c>
      <c r="L78" s="2" t="s">
        <v>164</v>
      </c>
      <c r="M78" s="2" t="s">
        <v>387</v>
      </c>
      <c r="O78" s="2" t="s">
        <v>1390</v>
      </c>
      <c r="P78" s="2" t="s">
        <v>1391</v>
      </c>
      <c r="Q78" s="2" t="s">
        <v>217</v>
      </c>
      <c r="R78" s="2" t="s">
        <v>454</v>
      </c>
      <c r="S78" s="2" t="s">
        <v>35</v>
      </c>
      <c r="T78" s="150">
        <v>3.46</v>
      </c>
      <c r="U78" s="2" t="s">
        <v>204</v>
      </c>
      <c r="V78" s="162">
        <v>5.5E-2</v>
      </c>
      <c r="W78" s="2" t="s">
        <v>801</v>
      </c>
      <c r="X78" s="2" t="s">
        <v>1392</v>
      </c>
      <c r="Y78" s="150">
        <v>5.5</v>
      </c>
      <c r="Z78" s="164">
        <v>2.3699999999999999E-2</v>
      </c>
      <c r="AA78" s="2" t="s">
        <v>1393</v>
      </c>
      <c r="AB78" s="4" t="s">
        <v>459</v>
      </c>
      <c r="AG78" s="2" t="s">
        <v>164</v>
      </c>
      <c r="AJ78" s="2" t="s">
        <v>164</v>
      </c>
      <c r="AK78" s="2" t="s">
        <v>204</v>
      </c>
      <c r="AN78" s="2" t="s">
        <v>1378</v>
      </c>
      <c r="AQ78" s="150">
        <v>4744.58</v>
      </c>
      <c r="AR78" s="150">
        <v>123.96</v>
      </c>
      <c r="AS78" s="150">
        <v>1</v>
      </c>
      <c r="AT78" s="150">
        <v>5.8810000000000002</v>
      </c>
      <c r="AU78" s="150">
        <v>5.8810000000000002</v>
      </c>
      <c r="AX78" s="4" t="s">
        <v>164</v>
      </c>
      <c r="AY78" s="2" t="s">
        <v>37</v>
      </c>
      <c r="AZ78" s="164">
        <v>1.09528949694308E-4</v>
      </c>
      <c r="BA78" s="164">
        <v>2.5378374572311001E-6</v>
      </c>
    </row>
    <row r="79" spans="1:53">
      <c r="A79" s="2" t="s">
        <v>128</v>
      </c>
      <c r="B79" s="2">
        <v>7228</v>
      </c>
      <c r="C79" s="2" t="s">
        <v>1387</v>
      </c>
      <c r="D79" s="2" t="s">
        <v>34</v>
      </c>
      <c r="E79" s="2" t="s">
        <v>1449</v>
      </c>
      <c r="F79" s="2" t="s">
        <v>1450</v>
      </c>
      <c r="G79" s="2" t="s">
        <v>1084</v>
      </c>
      <c r="I79" s="2" t="s">
        <v>31</v>
      </c>
      <c r="J79" s="2" t="s">
        <v>31</v>
      </c>
      <c r="K79" s="2" t="s">
        <v>498</v>
      </c>
      <c r="L79" s="2" t="s">
        <v>164</v>
      </c>
      <c r="M79" s="2" t="s">
        <v>387</v>
      </c>
      <c r="O79" s="2" t="s">
        <v>1390</v>
      </c>
      <c r="P79" s="2" t="s">
        <v>1391</v>
      </c>
      <c r="Q79" s="2" t="s">
        <v>217</v>
      </c>
      <c r="R79" s="2" t="s">
        <v>454</v>
      </c>
      <c r="S79" s="2" t="s">
        <v>35</v>
      </c>
      <c r="T79" s="150">
        <v>3.46</v>
      </c>
      <c r="U79" s="2" t="s">
        <v>204</v>
      </c>
      <c r="V79" s="162">
        <v>5.5E-2</v>
      </c>
      <c r="W79" s="2" t="s">
        <v>801</v>
      </c>
      <c r="X79" s="2" t="s">
        <v>1392</v>
      </c>
      <c r="Y79" s="150">
        <v>5.5</v>
      </c>
      <c r="Z79" s="164">
        <v>2.4500000000000001E-2</v>
      </c>
      <c r="AA79" s="2" t="s">
        <v>1393</v>
      </c>
      <c r="AB79" s="4" t="s">
        <v>459</v>
      </c>
      <c r="AG79" s="2" t="s">
        <v>164</v>
      </c>
      <c r="AJ79" s="2" t="s">
        <v>164</v>
      </c>
      <c r="AK79" s="2" t="s">
        <v>204</v>
      </c>
      <c r="AN79" s="2" t="s">
        <v>1378</v>
      </c>
      <c r="AQ79" s="150">
        <v>10536.7</v>
      </c>
      <c r="AR79" s="150">
        <v>123.98</v>
      </c>
      <c r="AS79" s="150">
        <v>1</v>
      </c>
      <c r="AT79" s="150">
        <v>13.063000000000001</v>
      </c>
      <c r="AU79" s="150">
        <v>13.063000000000001</v>
      </c>
      <c r="AX79" s="4" t="s">
        <v>164</v>
      </c>
      <c r="AY79" s="2" t="s">
        <v>37</v>
      </c>
      <c r="AZ79" s="164">
        <v>2.4327967601466601E-4</v>
      </c>
      <c r="BA79" s="164">
        <v>5.63690491049373E-6</v>
      </c>
    </row>
    <row r="80" spans="1:53">
      <c r="A80" s="2" t="s">
        <v>128</v>
      </c>
      <c r="B80" s="2">
        <v>7228</v>
      </c>
      <c r="C80" s="2" t="s">
        <v>1387</v>
      </c>
      <c r="D80" s="2" t="s">
        <v>34</v>
      </c>
      <c r="E80" s="2" t="s">
        <v>1451</v>
      </c>
      <c r="F80" s="2" t="s">
        <v>1452</v>
      </c>
      <c r="G80" s="2" t="s">
        <v>1084</v>
      </c>
      <c r="I80" s="2" t="s">
        <v>31</v>
      </c>
      <c r="J80" s="2" t="s">
        <v>31</v>
      </c>
      <c r="K80" s="2" t="s">
        <v>498</v>
      </c>
      <c r="L80" s="2" t="s">
        <v>164</v>
      </c>
      <c r="M80" s="2" t="s">
        <v>387</v>
      </c>
      <c r="N80" s="2" t="s">
        <v>1387</v>
      </c>
      <c r="O80" s="2" t="s">
        <v>1453</v>
      </c>
      <c r="P80" s="2" t="s">
        <v>1396</v>
      </c>
      <c r="Q80" s="2" t="s">
        <v>104</v>
      </c>
      <c r="R80" s="2" t="s">
        <v>454</v>
      </c>
      <c r="S80" s="2" t="s">
        <v>35</v>
      </c>
      <c r="T80" s="150">
        <v>3.31</v>
      </c>
      <c r="U80" s="2" t="s">
        <v>204</v>
      </c>
      <c r="V80" s="162">
        <v>5.7230999999999997E-2</v>
      </c>
      <c r="W80" s="2" t="s">
        <v>801</v>
      </c>
      <c r="X80" s="2" t="s">
        <v>955</v>
      </c>
      <c r="Y80" s="150">
        <v>5.7230999999999996</v>
      </c>
      <c r="Z80" s="164">
        <v>2.3310000000000001E-2</v>
      </c>
      <c r="AA80" s="2" t="s">
        <v>1403</v>
      </c>
      <c r="AB80" s="4" t="s">
        <v>459</v>
      </c>
      <c r="AC80" s="2" t="s">
        <v>530</v>
      </c>
      <c r="AD80" s="150">
        <v>4685</v>
      </c>
      <c r="AE80" s="150">
        <v>0.78</v>
      </c>
      <c r="AF80" s="2" t="s">
        <v>1404</v>
      </c>
      <c r="AG80" s="2" t="s">
        <v>164</v>
      </c>
      <c r="AI80" s="2" t="s">
        <v>1405</v>
      </c>
      <c r="AJ80" s="2" t="s">
        <v>387</v>
      </c>
      <c r="AK80" s="2" t="s">
        <v>938</v>
      </c>
      <c r="AL80" s="2" t="s">
        <v>1377</v>
      </c>
      <c r="AN80" s="2" t="s">
        <v>1378</v>
      </c>
      <c r="AO80" s="2" t="s">
        <v>1404</v>
      </c>
      <c r="AP80" s="151">
        <v>0</v>
      </c>
      <c r="AQ80" s="150">
        <v>101222.67</v>
      </c>
      <c r="AR80" s="150">
        <v>129.16999999999999</v>
      </c>
      <c r="AS80" s="150">
        <v>1</v>
      </c>
      <c r="AT80" s="150">
        <v>130.749</v>
      </c>
      <c r="AU80" s="150">
        <v>130.749</v>
      </c>
      <c r="AX80" s="4" t="s">
        <v>164</v>
      </c>
      <c r="AY80" s="2" t="s">
        <v>37</v>
      </c>
      <c r="AZ80" s="164">
        <v>2.4349442941612202E-3</v>
      </c>
      <c r="BA80" s="164">
        <v>5.6418808481595501E-5</v>
      </c>
    </row>
    <row r="81" spans="1:53">
      <c r="A81" s="2" t="s">
        <v>128</v>
      </c>
      <c r="B81" s="2">
        <v>7228</v>
      </c>
      <c r="C81" s="2" t="s">
        <v>1387</v>
      </c>
      <c r="D81" s="2" t="s">
        <v>34</v>
      </c>
      <c r="E81" s="2" t="s">
        <v>1454</v>
      </c>
      <c r="F81" s="2" t="s">
        <v>1455</v>
      </c>
      <c r="G81" s="2" t="s">
        <v>1084</v>
      </c>
      <c r="I81" s="2" t="s">
        <v>31</v>
      </c>
      <c r="J81" s="2" t="s">
        <v>31</v>
      </c>
      <c r="K81" s="2" t="s">
        <v>498</v>
      </c>
      <c r="L81" s="2" t="s">
        <v>164</v>
      </c>
      <c r="M81" s="2" t="s">
        <v>164</v>
      </c>
      <c r="O81" s="2" t="s">
        <v>1390</v>
      </c>
      <c r="P81" s="2" t="s">
        <v>1396</v>
      </c>
      <c r="Q81" s="2" t="s">
        <v>104</v>
      </c>
      <c r="R81" s="2" t="s">
        <v>454</v>
      </c>
      <c r="S81" s="2" t="s">
        <v>35</v>
      </c>
      <c r="T81" s="150">
        <v>3.17</v>
      </c>
      <c r="U81" s="2" t="s">
        <v>1397</v>
      </c>
      <c r="V81" s="162">
        <v>5.6619999999999997E-2</v>
      </c>
      <c r="W81" s="2" t="s">
        <v>801</v>
      </c>
      <c r="X81" s="2" t="s">
        <v>1392</v>
      </c>
      <c r="Y81" s="150">
        <v>5.6619999999999999</v>
      </c>
      <c r="Z81" s="164">
        <v>2.9090000000000001E-2</v>
      </c>
      <c r="AA81" s="2" t="s">
        <v>1393</v>
      </c>
      <c r="AB81" s="4" t="s">
        <v>459</v>
      </c>
      <c r="AG81" s="2" t="s">
        <v>164</v>
      </c>
      <c r="AJ81" s="2" t="s">
        <v>164</v>
      </c>
      <c r="AK81" s="2" t="s">
        <v>204</v>
      </c>
      <c r="AN81" s="2" t="s">
        <v>1378</v>
      </c>
      <c r="AQ81" s="150">
        <v>22761.73</v>
      </c>
      <c r="AR81" s="150">
        <v>127.23</v>
      </c>
      <c r="AS81" s="150">
        <v>1</v>
      </c>
      <c r="AT81" s="150">
        <v>28.96</v>
      </c>
      <c r="AU81" s="150">
        <v>28.96</v>
      </c>
      <c r="AX81" s="4" t="s">
        <v>164</v>
      </c>
      <c r="AY81" s="2" t="s">
        <v>37</v>
      </c>
      <c r="AZ81" s="164">
        <v>5.3931733066856305E-4</v>
      </c>
      <c r="BA81" s="164">
        <v>1.24962370854881E-5</v>
      </c>
    </row>
    <row r="82" spans="1:53">
      <c r="A82" s="2" t="s">
        <v>128</v>
      </c>
      <c r="B82" s="2">
        <v>7228</v>
      </c>
      <c r="C82" s="2" t="s">
        <v>1387</v>
      </c>
      <c r="D82" s="2" t="s">
        <v>34</v>
      </c>
      <c r="E82" s="2" t="s">
        <v>1456</v>
      </c>
      <c r="F82" s="2" t="s">
        <v>1457</v>
      </c>
      <c r="G82" s="2" t="s">
        <v>1084</v>
      </c>
      <c r="I82" s="2" t="s">
        <v>31</v>
      </c>
      <c r="J82" s="2" t="s">
        <v>31</v>
      </c>
      <c r="K82" s="2" t="s">
        <v>498</v>
      </c>
      <c r="L82" s="2" t="s">
        <v>164</v>
      </c>
      <c r="M82" s="2" t="s">
        <v>387</v>
      </c>
      <c r="N82" s="2" t="s">
        <v>1387</v>
      </c>
      <c r="O82" s="2" t="s">
        <v>1458</v>
      </c>
      <c r="P82" s="2" t="s">
        <v>1396</v>
      </c>
      <c r="Q82" s="2" t="s">
        <v>104</v>
      </c>
      <c r="R82" s="2" t="s">
        <v>454</v>
      </c>
      <c r="S82" s="2" t="s">
        <v>35</v>
      </c>
      <c r="T82" s="150">
        <v>3.46</v>
      </c>
      <c r="U82" s="2" t="s">
        <v>1397</v>
      </c>
      <c r="V82" s="162">
        <v>5.5E-2</v>
      </c>
      <c r="W82" s="2" t="s">
        <v>801</v>
      </c>
      <c r="X82" s="2" t="s">
        <v>955</v>
      </c>
      <c r="Y82" s="150">
        <v>5.5</v>
      </c>
      <c r="Z82" s="164">
        <v>2.4500000000000001E-2</v>
      </c>
      <c r="AA82" s="2" t="s">
        <v>1403</v>
      </c>
      <c r="AB82" s="4" t="s">
        <v>459</v>
      </c>
      <c r="AC82" s="2" t="s">
        <v>530</v>
      </c>
      <c r="AD82" s="150">
        <v>6161</v>
      </c>
      <c r="AE82" s="150">
        <v>0.78</v>
      </c>
      <c r="AF82" s="2" t="s">
        <v>1404</v>
      </c>
      <c r="AG82" s="2" t="s">
        <v>164</v>
      </c>
      <c r="AI82" s="2" t="s">
        <v>1405</v>
      </c>
      <c r="AJ82" s="2" t="s">
        <v>387</v>
      </c>
      <c r="AK82" s="2" t="s">
        <v>938</v>
      </c>
      <c r="AL82" s="2" t="s">
        <v>1377</v>
      </c>
      <c r="AN82" s="2" t="s">
        <v>1378</v>
      </c>
      <c r="AO82" s="2" t="s">
        <v>1404</v>
      </c>
      <c r="AP82" s="151">
        <v>0</v>
      </c>
      <c r="AQ82" s="150">
        <v>133097.9</v>
      </c>
      <c r="AR82" s="150">
        <v>125.84</v>
      </c>
      <c r="AS82" s="150">
        <v>1</v>
      </c>
      <c r="AT82" s="150">
        <v>167.49</v>
      </c>
      <c r="AU82" s="150">
        <v>167.49</v>
      </c>
      <c r="AX82" s="4" t="s">
        <v>164</v>
      </c>
      <c r="AY82" s="2" t="s">
        <v>37</v>
      </c>
      <c r="AZ82" s="164">
        <v>3.11917322799992E-3</v>
      </c>
      <c r="BA82" s="164">
        <v>7.2272715804395197E-5</v>
      </c>
    </row>
    <row r="83" spans="1:53">
      <c r="A83" s="2" t="s">
        <v>128</v>
      </c>
      <c r="B83" s="2">
        <v>7228</v>
      </c>
      <c r="C83" s="2" t="s">
        <v>1387</v>
      </c>
      <c r="D83" s="2" t="s">
        <v>34</v>
      </c>
      <c r="E83" s="2" t="s">
        <v>1459</v>
      </c>
      <c r="F83" s="2" t="s">
        <v>1460</v>
      </c>
      <c r="G83" s="2" t="s">
        <v>1084</v>
      </c>
      <c r="I83" s="2" t="s">
        <v>31</v>
      </c>
      <c r="J83" s="2" t="s">
        <v>31</v>
      </c>
      <c r="K83" s="2" t="s">
        <v>498</v>
      </c>
      <c r="L83" s="2" t="s">
        <v>164</v>
      </c>
      <c r="M83" s="2" t="s">
        <v>387</v>
      </c>
      <c r="N83" s="2" t="s">
        <v>1387</v>
      </c>
      <c r="O83" s="2" t="s">
        <v>1461</v>
      </c>
      <c r="P83" s="2" t="s">
        <v>1396</v>
      </c>
      <c r="Q83" s="2" t="s">
        <v>104</v>
      </c>
      <c r="R83" s="2" t="s">
        <v>454</v>
      </c>
      <c r="S83" s="2" t="s">
        <v>35</v>
      </c>
      <c r="T83" s="150">
        <v>3.46</v>
      </c>
      <c r="U83" s="2" t="s">
        <v>1397</v>
      </c>
      <c r="V83" s="162">
        <v>5.5309999999999998E-2</v>
      </c>
      <c r="W83" s="2" t="s">
        <v>801</v>
      </c>
      <c r="X83" s="2" t="s">
        <v>955</v>
      </c>
      <c r="Y83" s="150">
        <v>5.5309999999999997</v>
      </c>
      <c r="Z83" s="164">
        <v>2.4500000000000001E-2</v>
      </c>
      <c r="AA83" s="2" t="s">
        <v>1393</v>
      </c>
      <c r="AB83" s="4" t="s">
        <v>459</v>
      </c>
      <c r="AC83" s="2" t="s">
        <v>530</v>
      </c>
      <c r="AD83" s="150">
        <v>9674</v>
      </c>
      <c r="AE83" s="150">
        <v>0.78</v>
      </c>
      <c r="AF83" s="2" t="s">
        <v>1404</v>
      </c>
      <c r="AG83" s="2" t="s">
        <v>164</v>
      </c>
      <c r="AI83" s="2" t="s">
        <v>1405</v>
      </c>
      <c r="AJ83" s="2" t="s">
        <v>387</v>
      </c>
      <c r="AK83" s="2" t="s">
        <v>938</v>
      </c>
      <c r="AL83" s="2" t="s">
        <v>1377</v>
      </c>
      <c r="AN83" s="2" t="s">
        <v>1378</v>
      </c>
      <c r="AO83" s="2" t="s">
        <v>1404</v>
      </c>
      <c r="AP83" s="151">
        <v>0</v>
      </c>
      <c r="AQ83" s="150">
        <v>96403.36</v>
      </c>
      <c r="AR83" s="150">
        <v>128.44</v>
      </c>
      <c r="AS83" s="150">
        <v>1</v>
      </c>
      <c r="AT83" s="150">
        <v>123.82</v>
      </c>
      <c r="AU83" s="150">
        <v>123.82</v>
      </c>
      <c r="AX83" s="4" t="s">
        <v>164</v>
      </c>
      <c r="AY83" s="2" t="s">
        <v>37</v>
      </c>
      <c r="AZ83" s="164">
        <v>2.30590839001775E-3</v>
      </c>
      <c r="BA83" s="164">
        <v>5.3428985683358703E-5</v>
      </c>
    </row>
    <row r="84" spans="1:53">
      <c r="A84" s="2" t="s">
        <v>128</v>
      </c>
      <c r="B84" s="2">
        <v>7228</v>
      </c>
      <c r="C84" s="2" t="s">
        <v>1387</v>
      </c>
      <c r="D84" s="2" t="s">
        <v>34</v>
      </c>
      <c r="E84" s="2" t="s">
        <v>1462</v>
      </c>
      <c r="F84" s="2" t="s">
        <v>1463</v>
      </c>
      <c r="G84" s="2" t="s">
        <v>1084</v>
      </c>
      <c r="I84" s="2" t="s">
        <v>31</v>
      </c>
      <c r="J84" s="2" t="s">
        <v>31</v>
      </c>
      <c r="K84" s="2" t="s">
        <v>498</v>
      </c>
      <c r="L84" s="2" t="s">
        <v>164</v>
      </c>
      <c r="M84" s="2" t="s">
        <v>387</v>
      </c>
      <c r="O84" s="2" t="s">
        <v>1464</v>
      </c>
      <c r="P84" s="2" t="s">
        <v>1391</v>
      </c>
      <c r="Q84" s="2" t="s">
        <v>217</v>
      </c>
      <c r="R84" s="2" t="s">
        <v>454</v>
      </c>
      <c r="S84" s="2" t="s">
        <v>35</v>
      </c>
      <c r="T84" s="150">
        <v>3.46</v>
      </c>
      <c r="U84" s="2" t="s">
        <v>204</v>
      </c>
      <c r="V84" s="162">
        <v>5.5E-2</v>
      </c>
      <c r="W84" s="2" t="s">
        <v>801</v>
      </c>
      <c r="X84" s="2" t="s">
        <v>1392</v>
      </c>
      <c r="Y84" s="150">
        <v>5.5</v>
      </c>
      <c r="Z84" s="164">
        <v>2.35E-2</v>
      </c>
      <c r="AA84" s="2" t="s">
        <v>1403</v>
      </c>
      <c r="AB84" s="4" t="s">
        <v>459</v>
      </c>
      <c r="AG84" s="2" t="s">
        <v>164</v>
      </c>
      <c r="AJ84" s="2" t="s">
        <v>164</v>
      </c>
      <c r="AK84" s="2" t="s">
        <v>204</v>
      </c>
      <c r="AN84" s="2" t="s">
        <v>1378</v>
      </c>
      <c r="AQ84" s="150">
        <v>22994.04</v>
      </c>
      <c r="AR84" s="150">
        <v>126.88</v>
      </c>
      <c r="AS84" s="150">
        <v>1</v>
      </c>
      <c r="AT84" s="150">
        <v>29.175000000000001</v>
      </c>
      <c r="AU84" s="150">
        <v>29.175000000000001</v>
      </c>
      <c r="AX84" s="4" t="s">
        <v>164</v>
      </c>
      <c r="AY84" s="2" t="s">
        <v>37</v>
      </c>
      <c r="AZ84" s="164">
        <v>5.4332293018278599E-4</v>
      </c>
      <c r="BA84" s="164">
        <v>1.2589048716698199E-5</v>
      </c>
    </row>
    <row r="85" spans="1:53">
      <c r="A85" s="2" t="s">
        <v>128</v>
      </c>
      <c r="B85" s="2">
        <v>7228</v>
      </c>
      <c r="C85" s="2" t="s">
        <v>1387</v>
      </c>
      <c r="D85" s="2" t="s">
        <v>34</v>
      </c>
      <c r="E85" s="2" t="s">
        <v>1465</v>
      </c>
      <c r="F85" s="2" t="s">
        <v>1466</v>
      </c>
      <c r="G85" s="2" t="s">
        <v>1084</v>
      </c>
      <c r="I85" s="2" t="s">
        <v>31</v>
      </c>
      <c r="J85" s="2" t="s">
        <v>31</v>
      </c>
      <c r="K85" s="2" t="s">
        <v>498</v>
      </c>
      <c r="L85" s="2" t="s">
        <v>164</v>
      </c>
      <c r="M85" s="2" t="s">
        <v>387</v>
      </c>
      <c r="N85" s="2" t="s">
        <v>1387</v>
      </c>
      <c r="O85" s="2" t="s">
        <v>1467</v>
      </c>
      <c r="P85" s="2" t="s">
        <v>1396</v>
      </c>
      <c r="Q85" s="2" t="s">
        <v>104</v>
      </c>
      <c r="R85" s="2" t="s">
        <v>454</v>
      </c>
      <c r="S85" s="2" t="s">
        <v>35</v>
      </c>
      <c r="T85" s="150">
        <v>3.46</v>
      </c>
      <c r="U85" s="2" t="s">
        <v>1397</v>
      </c>
      <c r="V85" s="162">
        <v>5.5E-2</v>
      </c>
      <c r="W85" s="2" t="s">
        <v>801</v>
      </c>
      <c r="X85" s="2" t="s">
        <v>955</v>
      </c>
      <c r="Y85" s="150">
        <v>5.5</v>
      </c>
      <c r="Z85" s="164">
        <v>2.4500000000000001E-2</v>
      </c>
      <c r="AA85" s="2" t="s">
        <v>1393</v>
      </c>
      <c r="AB85" s="4" t="s">
        <v>459</v>
      </c>
      <c r="AC85" s="2" t="s">
        <v>530</v>
      </c>
      <c r="AD85" s="150">
        <v>2154</v>
      </c>
      <c r="AE85" s="150">
        <v>0.78</v>
      </c>
      <c r="AF85" s="2" t="s">
        <v>1404</v>
      </c>
      <c r="AG85" s="2" t="s">
        <v>164</v>
      </c>
      <c r="AI85" s="2" t="s">
        <v>1405</v>
      </c>
      <c r="AJ85" s="2" t="s">
        <v>387</v>
      </c>
      <c r="AK85" s="2" t="s">
        <v>938</v>
      </c>
      <c r="AL85" s="2" t="s">
        <v>1377</v>
      </c>
      <c r="AN85" s="2" t="s">
        <v>1378</v>
      </c>
      <c r="AO85" s="2" t="s">
        <v>1404</v>
      </c>
      <c r="AP85" s="151">
        <v>0</v>
      </c>
      <c r="AQ85" s="150">
        <v>46549.67</v>
      </c>
      <c r="AR85" s="150">
        <v>126.22</v>
      </c>
      <c r="AS85" s="150">
        <v>1</v>
      </c>
      <c r="AT85" s="150">
        <v>58.755000000000003</v>
      </c>
      <c r="AU85" s="150">
        <v>58.755000000000003</v>
      </c>
      <c r="AX85" s="4" t="s">
        <v>164</v>
      </c>
      <c r="AY85" s="2" t="s">
        <v>37</v>
      </c>
      <c r="AZ85" s="164">
        <v>1.0941940884019799E-3</v>
      </c>
      <c r="BA85" s="164">
        <v>2.5352993439429401E-5</v>
      </c>
    </row>
    <row r="86" spans="1:53">
      <c r="A86" s="2" t="s">
        <v>128</v>
      </c>
      <c r="B86" s="2">
        <v>7228</v>
      </c>
      <c r="C86" s="2" t="s">
        <v>1387</v>
      </c>
      <c r="D86" s="2" t="s">
        <v>34</v>
      </c>
      <c r="E86" s="2" t="s">
        <v>1468</v>
      </c>
      <c r="F86" s="2" t="s">
        <v>1469</v>
      </c>
      <c r="G86" s="2" t="s">
        <v>1084</v>
      </c>
      <c r="I86" s="2" t="s">
        <v>31</v>
      </c>
      <c r="J86" s="2" t="s">
        <v>31</v>
      </c>
      <c r="K86" s="2" t="s">
        <v>498</v>
      </c>
      <c r="L86" s="2" t="s">
        <v>164</v>
      </c>
      <c r="M86" s="2" t="s">
        <v>387</v>
      </c>
      <c r="N86" s="2" t="s">
        <v>1387</v>
      </c>
      <c r="O86" s="2" t="s">
        <v>1470</v>
      </c>
      <c r="P86" s="2" t="s">
        <v>1396</v>
      </c>
      <c r="Q86" s="2" t="s">
        <v>104</v>
      </c>
      <c r="R86" s="2" t="s">
        <v>454</v>
      </c>
      <c r="S86" s="2" t="s">
        <v>35</v>
      </c>
      <c r="T86" s="150">
        <v>3.46</v>
      </c>
      <c r="U86" s="2" t="s">
        <v>1397</v>
      </c>
      <c r="V86" s="162">
        <v>5.5E-2</v>
      </c>
      <c r="W86" s="2" t="s">
        <v>801</v>
      </c>
      <c r="X86" s="2" t="s">
        <v>955</v>
      </c>
      <c r="Y86" s="150">
        <v>5.5</v>
      </c>
      <c r="Z86" s="164">
        <v>2.4500000000000001E-2</v>
      </c>
      <c r="AA86" s="2" t="s">
        <v>1393</v>
      </c>
      <c r="AB86" s="4" t="s">
        <v>459</v>
      </c>
      <c r="AC86" s="2" t="s">
        <v>530</v>
      </c>
      <c r="AD86" s="150">
        <v>3341</v>
      </c>
      <c r="AE86" s="150">
        <v>0.78</v>
      </c>
      <c r="AF86" s="2" t="s">
        <v>1404</v>
      </c>
      <c r="AG86" s="2" t="s">
        <v>164</v>
      </c>
      <c r="AI86" s="2" t="s">
        <v>1405</v>
      </c>
      <c r="AJ86" s="2" t="s">
        <v>387</v>
      </c>
      <c r="AK86" s="2" t="s">
        <v>938</v>
      </c>
      <c r="AL86" s="2" t="s">
        <v>1377</v>
      </c>
      <c r="AN86" s="2" t="s">
        <v>1378</v>
      </c>
      <c r="AO86" s="2" t="s">
        <v>1404</v>
      </c>
      <c r="AP86" s="151">
        <v>0</v>
      </c>
      <c r="AQ86" s="150">
        <v>72179.33</v>
      </c>
      <c r="AR86" s="150">
        <v>126.45</v>
      </c>
      <c r="AS86" s="150">
        <v>1</v>
      </c>
      <c r="AT86" s="150">
        <v>91.271000000000001</v>
      </c>
      <c r="AU86" s="150">
        <v>91.271000000000001</v>
      </c>
      <c r="AX86" s="4" t="s">
        <v>164</v>
      </c>
      <c r="AY86" s="2" t="s">
        <v>37</v>
      </c>
      <c r="AZ86" s="164">
        <v>1.6997351744661401E-3</v>
      </c>
      <c r="BA86" s="164">
        <v>3.9383666192113402E-5</v>
      </c>
    </row>
    <row r="87" spans="1:53">
      <c r="A87" s="2" t="s">
        <v>128</v>
      </c>
      <c r="B87" s="2">
        <v>7228</v>
      </c>
      <c r="C87" s="2" t="s">
        <v>1387</v>
      </c>
      <c r="D87" s="2" t="s">
        <v>34</v>
      </c>
      <c r="E87" s="2" t="s">
        <v>1471</v>
      </c>
      <c r="F87" s="2" t="s">
        <v>1472</v>
      </c>
      <c r="G87" s="2" t="s">
        <v>1084</v>
      </c>
      <c r="I87" s="2" t="s">
        <v>31</v>
      </c>
      <c r="J87" s="2" t="s">
        <v>31</v>
      </c>
      <c r="K87" s="2" t="s">
        <v>498</v>
      </c>
      <c r="L87" s="2" t="s">
        <v>164</v>
      </c>
      <c r="M87" s="2" t="s">
        <v>387</v>
      </c>
      <c r="O87" s="2" t="s">
        <v>1464</v>
      </c>
      <c r="P87" s="2" t="s">
        <v>1391</v>
      </c>
      <c r="Q87" s="2" t="s">
        <v>217</v>
      </c>
      <c r="R87" s="2" t="s">
        <v>454</v>
      </c>
      <c r="S87" s="2" t="s">
        <v>35</v>
      </c>
      <c r="T87" s="150">
        <v>3.43</v>
      </c>
      <c r="U87" s="2" t="s">
        <v>204</v>
      </c>
      <c r="V87" s="162">
        <v>5.5E-2</v>
      </c>
      <c r="W87" s="2" t="s">
        <v>801</v>
      </c>
      <c r="X87" s="2" t="s">
        <v>1392</v>
      </c>
      <c r="Y87" s="150">
        <v>5.5</v>
      </c>
      <c r="Z87" s="164">
        <v>2.6800000000000001E-2</v>
      </c>
      <c r="AA87" s="2" t="s">
        <v>1403</v>
      </c>
      <c r="AB87" s="4" t="s">
        <v>459</v>
      </c>
      <c r="AG87" s="2" t="s">
        <v>164</v>
      </c>
      <c r="AJ87" s="2" t="s">
        <v>164</v>
      </c>
      <c r="AK87" s="2" t="s">
        <v>204</v>
      </c>
      <c r="AN87" s="2" t="s">
        <v>1378</v>
      </c>
      <c r="AQ87" s="150">
        <v>19041.080000000002</v>
      </c>
      <c r="AR87" s="150">
        <v>125.98</v>
      </c>
      <c r="AS87" s="150">
        <v>1</v>
      </c>
      <c r="AT87" s="150">
        <v>23.988</v>
      </c>
      <c r="AU87" s="150">
        <v>23.988</v>
      </c>
      <c r="AX87" s="4" t="s">
        <v>164</v>
      </c>
      <c r="AY87" s="2" t="s">
        <v>37</v>
      </c>
      <c r="AZ87" s="164">
        <v>4.4672757766358603E-4</v>
      </c>
      <c r="BA87" s="164">
        <v>1.03508888100995E-5</v>
      </c>
    </row>
    <row r="88" spans="1:53">
      <c r="A88" s="2" t="s">
        <v>128</v>
      </c>
      <c r="B88" s="2">
        <v>7228</v>
      </c>
      <c r="C88" s="2" t="s">
        <v>1387</v>
      </c>
      <c r="D88" s="2" t="s">
        <v>34</v>
      </c>
      <c r="E88" s="2" t="s">
        <v>1473</v>
      </c>
      <c r="F88" s="2" t="s">
        <v>1474</v>
      </c>
      <c r="G88" s="2" t="s">
        <v>1084</v>
      </c>
      <c r="I88" s="2" t="s">
        <v>31</v>
      </c>
      <c r="J88" s="2" t="s">
        <v>31</v>
      </c>
      <c r="K88" s="2" t="s">
        <v>498</v>
      </c>
      <c r="L88" s="2" t="s">
        <v>164</v>
      </c>
      <c r="M88" s="2" t="s">
        <v>387</v>
      </c>
      <c r="N88" s="2" t="s">
        <v>1387</v>
      </c>
      <c r="O88" s="2" t="s">
        <v>1475</v>
      </c>
      <c r="P88" s="2" t="s">
        <v>1396</v>
      </c>
      <c r="Q88" s="2" t="s">
        <v>104</v>
      </c>
      <c r="R88" s="2" t="s">
        <v>454</v>
      </c>
      <c r="S88" s="2" t="s">
        <v>35</v>
      </c>
      <c r="T88" s="150">
        <v>3.46</v>
      </c>
      <c r="U88" s="2" t="s">
        <v>1397</v>
      </c>
      <c r="V88" s="162">
        <v>5.5E-2</v>
      </c>
      <c r="W88" s="2" t="s">
        <v>801</v>
      </c>
      <c r="X88" s="2" t="s">
        <v>955</v>
      </c>
      <c r="Y88" s="150">
        <v>5.5</v>
      </c>
      <c r="Z88" s="164">
        <v>2.3599999999999999E-2</v>
      </c>
      <c r="AA88" s="2" t="s">
        <v>1393</v>
      </c>
      <c r="AB88" s="4" t="s">
        <v>459</v>
      </c>
      <c r="AC88" s="2" t="s">
        <v>530</v>
      </c>
      <c r="AD88" s="150">
        <v>774</v>
      </c>
      <c r="AE88" s="150">
        <v>0.78</v>
      </c>
      <c r="AF88" s="2" t="s">
        <v>1404</v>
      </c>
      <c r="AG88" s="2" t="s">
        <v>164</v>
      </c>
      <c r="AI88" s="2" t="s">
        <v>1405</v>
      </c>
      <c r="AJ88" s="2" t="s">
        <v>387</v>
      </c>
      <c r="AK88" s="2" t="s">
        <v>938</v>
      </c>
      <c r="AL88" s="2" t="s">
        <v>1377</v>
      </c>
      <c r="AN88" s="2" t="s">
        <v>1378</v>
      </c>
      <c r="AO88" s="2" t="s">
        <v>1404</v>
      </c>
      <c r="AP88" s="151">
        <v>0</v>
      </c>
      <c r="AQ88" s="150">
        <v>16713.75</v>
      </c>
      <c r="AR88" s="150">
        <v>124.97</v>
      </c>
      <c r="AS88" s="150">
        <v>1</v>
      </c>
      <c r="AT88" s="150">
        <v>20.887</v>
      </c>
      <c r="AU88" s="150">
        <v>20.887</v>
      </c>
      <c r="AX88" s="4" t="s">
        <v>164</v>
      </c>
      <c r="AY88" s="2" t="s">
        <v>37</v>
      </c>
      <c r="AZ88" s="164">
        <v>3.8898177463785798E-4</v>
      </c>
      <c r="BA88" s="164">
        <v>9.0128913005314894E-6</v>
      </c>
    </row>
    <row r="89" spans="1:53">
      <c r="A89" s="2" t="s">
        <v>128</v>
      </c>
      <c r="B89" s="2">
        <v>7228</v>
      </c>
      <c r="C89" s="2" t="s">
        <v>1387</v>
      </c>
      <c r="D89" s="2" t="s">
        <v>34</v>
      </c>
      <c r="E89" s="2" t="s">
        <v>1476</v>
      </c>
      <c r="F89" s="2" t="s">
        <v>1477</v>
      </c>
      <c r="G89" s="2" t="s">
        <v>1084</v>
      </c>
      <c r="I89" s="2" t="s">
        <v>31</v>
      </c>
      <c r="J89" s="2" t="s">
        <v>31</v>
      </c>
      <c r="K89" s="2" t="s">
        <v>498</v>
      </c>
      <c r="L89" s="2" t="s">
        <v>164</v>
      </c>
      <c r="M89" s="2" t="s">
        <v>387</v>
      </c>
      <c r="N89" s="2" t="s">
        <v>1387</v>
      </c>
      <c r="O89" s="2" t="s">
        <v>1478</v>
      </c>
      <c r="P89" s="2" t="s">
        <v>1396</v>
      </c>
      <c r="Q89" s="2" t="s">
        <v>104</v>
      </c>
      <c r="R89" s="2" t="s">
        <v>454</v>
      </c>
      <c r="S89" s="2" t="s">
        <v>35</v>
      </c>
      <c r="T89" s="150">
        <v>3.46</v>
      </c>
      <c r="U89" s="2" t="s">
        <v>1397</v>
      </c>
      <c r="V89" s="162">
        <v>5.5E-2</v>
      </c>
      <c r="W89" s="2" t="s">
        <v>801</v>
      </c>
      <c r="X89" s="2" t="s">
        <v>955</v>
      </c>
      <c r="Y89" s="150">
        <v>5.5</v>
      </c>
      <c r="Z89" s="164">
        <v>2.3699999999999999E-2</v>
      </c>
      <c r="AA89" s="2" t="s">
        <v>1393</v>
      </c>
      <c r="AB89" s="4" t="s">
        <v>459</v>
      </c>
      <c r="AC89" s="2" t="s">
        <v>530</v>
      </c>
      <c r="AD89" s="150">
        <v>862</v>
      </c>
      <c r="AE89" s="150">
        <v>0.78</v>
      </c>
      <c r="AF89" s="2" t="s">
        <v>1404</v>
      </c>
      <c r="AG89" s="2" t="s">
        <v>164</v>
      </c>
      <c r="AI89" s="2" t="s">
        <v>1405</v>
      </c>
      <c r="AJ89" s="2" t="s">
        <v>387</v>
      </c>
      <c r="AK89" s="2" t="s">
        <v>938</v>
      </c>
      <c r="AL89" s="2" t="s">
        <v>1377</v>
      </c>
      <c r="AN89" s="2" t="s">
        <v>1378</v>
      </c>
      <c r="AO89" s="2" t="s">
        <v>1404</v>
      </c>
      <c r="AP89" s="151">
        <v>0</v>
      </c>
      <c r="AQ89" s="150">
        <v>18631.28</v>
      </c>
      <c r="AR89" s="150">
        <v>124.33</v>
      </c>
      <c r="AS89" s="150">
        <v>1</v>
      </c>
      <c r="AT89" s="150">
        <v>23.164000000000001</v>
      </c>
      <c r="AU89" s="150">
        <v>23.164000000000001</v>
      </c>
      <c r="AX89" s="4" t="s">
        <v>164</v>
      </c>
      <c r="AY89" s="2" t="s">
        <v>37</v>
      </c>
      <c r="AZ89" s="164">
        <v>4.3138814697174201E-4</v>
      </c>
      <c r="BA89" s="164">
        <v>9.9954669614374503E-6</v>
      </c>
    </row>
    <row r="90" spans="1:53">
      <c r="A90" s="2" t="s">
        <v>128</v>
      </c>
      <c r="B90" s="2">
        <v>7228</v>
      </c>
      <c r="C90" s="2" t="s">
        <v>1387</v>
      </c>
      <c r="D90" s="2" t="s">
        <v>34</v>
      </c>
      <c r="E90" s="2" t="s">
        <v>1479</v>
      </c>
      <c r="F90" s="2" t="s">
        <v>1480</v>
      </c>
      <c r="G90" s="2" t="s">
        <v>1084</v>
      </c>
      <c r="I90" s="2" t="s">
        <v>31</v>
      </c>
      <c r="J90" s="2" t="s">
        <v>31</v>
      </c>
      <c r="K90" s="2" t="s">
        <v>498</v>
      </c>
      <c r="L90" s="2" t="s">
        <v>164</v>
      </c>
      <c r="M90" s="2" t="s">
        <v>387</v>
      </c>
      <c r="N90" s="2" t="s">
        <v>1387</v>
      </c>
      <c r="O90" s="2" t="s">
        <v>1481</v>
      </c>
      <c r="P90" s="2" t="s">
        <v>1396</v>
      </c>
      <c r="Q90" s="2" t="s">
        <v>104</v>
      </c>
      <c r="R90" s="2" t="s">
        <v>454</v>
      </c>
      <c r="S90" s="2" t="s">
        <v>35</v>
      </c>
      <c r="T90" s="150">
        <v>3.46</v>
      </c>
      <c r="U90" s="2" t="s">
        <v>1397</v>
      </c>
      <c r="V90" s="162">
        <v>5.5E-2</v>
      </c>
      <c r="W90" s="2" t="s">
        <v>801</v>
      </c>
      <c r="X90" s="2" t="s">
        <v>955</v>
      </c>
      <c r="Y90" s="150">
        <v>5.5</v>
      </c>
      <c r="Z90" s="164">
        <v>2.4500000000000001E-2</v>
      </c>
      <c r="AA90" s="2" t="s">
        <v>1393</v>
      </c>
      <c r="AB90" s="4" t="s">
        <v>459</v>
      </c>
      <c r="AC90" s="2" t="s">
        <v>530</v>
      </c>
      <c r="AD90" s="150">
        <v>2532</v>
      </c>
      <c r="AE90" s="150">
        <v>0.78</v>
      </c>
      <c r="AF90" s="2" t="s">
        <v>1404</v>
      </c>
      <c r="AG90" s="2" t="s">
        <v>164</v>
      </c>
      <c r="AI90" s="2" t="s">
        <v>1405</v>
      </c>
      <c r="AJ90" s="2" t="s">
        <v>387</v>
      </c>
      <c r="AK90" s="2" t="s">
        <v>938</v>
      </c>
      <c r="AL90" s="2" t="s">
        <v>1377</v>
      </c>
      <c r="AN90" s="2" t="s">
        <v>1378</v>
      </c>
      <c r="AO90" s="2" t="s">
        <v>1404</v>
      </c>
      <c r="AP90" s="151">
        <v>0</v>
      </c>
      <c r="AQ90" s="150">
        <v>54704.92</v>
      </c>
      <c r="AR90" s="150">
        <v>124.09</v>
      </c>
      <c r="AS90" s="150">
        <v>1</v>
      </c>
      <c r="AT90" s="150">
        <v>67.882999999999996</v>
      </c>
      <c r="AU90" s="150">
        <v>67.882999999999996</v>
      </c>
      <c r="AX90" s="4" t="s">
        <v>164</v>
      </c>
      <c r="AY90" s="2" t="s">
        <v>37</v>
      </c>
      <c r="AZ90" s="164">
        <v>1.26419117279549E-3</v>
      </c>
      <c r="BA90" s="164">
        <v>2.9291906115922899E-5</v>
      </c>
    </row>
    <row r="91" spans="1:53">
      <c r="A91" s="2" t="s">
        <v>128</v>
      </c>
      <c r="B91" s="2">
        <v>7228</v>
      </c>
      <c r="C91" s="2" t="s">
        <v>1387</v>
      </c>
      <c r="D91" s="2" t="s">
        <v>34</v>
      </c>
      <c r="E91" s="2" t="s">
        <v>1482</v>
      </c>
      <c r="F91" s="2" t="s">
        <v>1483</v>
      </c>
      <c r="G91" s="2" t="s">
        <v>1084</v>
      </c>
      <c r="I91" s="2" t="s">
        <v>31</v>
      </c>
      <c r="J91" s="2" t="s">
        <v>31</v>
      </c>
      <c r="K91" s="2" t="s">
        <v>498</v>
      </c>
      <c r="L91" s="2" t="s">
        <v>164</v>
      </c>
      <c r="M91" s="2" t="s">
        <v>387</v>
      </c>
      <c r="N91" s="2" t="s">
        <v>1387</v>
      </c>
      <c r="O91" s="2" t="s">
        <v>1484</v>
      </c>
      <c r="P91" s="2" t="s">
        <v>1391</v>
      </c>
      <c r="Q91" s="2" t="s">
        <v>217</v>
      </c>
      <c r="R91" s="2" t="s">
        <v>454</v>
      </c>
      <c r="S91" s="2" t="s">
        <v>35</v>
      </c>
      <c r="T91" s="150">
        <v>3.46</v>
      </c>
      <c r="U91" s="2" t="s">
        <v>1397</v>
      </c>
      <c r="V91" s="162">
        <v>5.5E-2</v>
      </c>
      <c r="W91" s="2" t="s">
        <v>801</v>
      </c>
      <c r="X91" s="2" t="s">
        <v>955</v>
      </c>
      <c r="Y91" s="150">
        <v>5.5</v>
      </c>
      <c r="Z91" s="164">
        <v>2.4500000000000001E-2</v>
      </c>
      <c r="AA91" s="2" t="s">
        <v>1393</v>
      </c>
      <c r="AB91" s="4" t="s">
        <v>459</v>
      </c>
      <c r="AC91" s="2" t="s">
        <v>530</v>
      </c>
      <c r="AD91" s="150">
        <v>470</v>
      </c>
      <c r="AE91" s="150">
        <v>0.78</v>
      </c>
      <c r="AF91" s="2" t="s">
        <v>1404</v>
      </c>
      <c r="AG91" s="2" t="s">
        <v>164</v>
      </c>
      <c r="AI91" s="2" t="s">
        <v>1405</v>
      </c>
      <c r="AJ91" s="2" t="s">
        <v>387</v>
      </c>
      <c r="AK91" s="2" t="s">
        <v>938</v>
      </c>
      <c r="AL91" s="2" t="s">
        <v>1377</v>
      </c>
      <c r="AN91" s="2" t="s">
        <v>1378</v>
      </c>
      <c r="AO91" s="2" t="s">
        <v>1404</v>
      </c>
      <c r="AP91" s="151">
        <v>0</v>
      </c>
      <c r="AQ91" s="150">
        <v>10154.469999999999</v>
      </c>
      <c r="AR91" s="150">
        <v>124.72</v>
      </c>
      <c r="AS91" s="150">
        <v>1</v>
      </c>
      <c r="AT91" s="150">
        <v>12.664999999999999</v>
      </c>
      <c r="AU91" s="150">
        <v>12.664999999999999</v>
      </c>
      <c r="AX91" s="4" t="s">
        <v>164</v>
      </c>
      <c r="AY91" s="2" t="s">
        <v>37</v>
      </c>
      <c r="AZ91" s="164">
        <v>2.3585383634287501E-4</v>
      </c>
      <c r="BA91" s="164">
        <v>5.4648447006308402E-6</v>
      </c>
    </row>
    <row r="92" spans="1:53">
      <c r="A92" s="2" t="s">
        <v>128</v>
      </c>
      <c r="B92" s="2">
        <v>7228</v>
      </c>
      <c r="C92" s="2" t="s">
        <v>1387</v>
      </c>
      <c r="D92" s="2" t="s">
        <v>34</v>
      </c>
      <c r="E92" s="2" t="s">
        <v>1485</v>
      </c>
      <c r="F92" s="2" t="s">
        <v>1486</v>
      </c>
      <c r="G92" s="2" t="s">
        <v>1084</v>
      </c>
      <c r="I92" s="2" t="s">
        <v>31</v>
      </c>
      <c r="J92" s="2" t="s">
        <v>31</v>
      </c>
      <c r="K92" s="2" t="s">
        <v>498</v>
      </c>
      <c r="L92" s="2" t="s">
        <v>164</v>
      </c>
      <c r="M92" s="2" t="s">
        <v>387</v>
      </c>
      <c r="N92" s="2" t="s">
        <v>1387</v>
      </c>
      <c r="O92" s="2" t="s">
        <v>1487</v>
      </c>
      <c r="P92" s="2" t="s">
        <v>1396</v>
      </c>
      <c r="Q92" s="2" t="s">
        <v>104</v>
      </c>
      <c r="R92" s="2" t="s">
        <v>454</v>
      </c>
      <c r="S92" s="2" t="s">
        <v>35</v>
      </c>
      <c r="T92" s="150">
        <v>3.46</v>
      </c>
      <c r="U92" s="2" t="s">
        <v>1397</v>
      </c>
      <c r="V92" s="162">
        <v>5.5E-2</v>
      </c>
      <c r="W92" s="2" t="s">
        <v>801</v>
      </c>
      <c r="X92" s="2" t="s">
        <v>955</v>
      </c>
      <c r="Y92" s="150">
        <v>5.5</v>
      </c>
      <c r="Z92" s="164">
        <v>2.4500000000000001E-2</v>
      </c>
      <c r="AA92" s="2" t="s">
        <v>1488</v>
      </c>
      <c r="AB92" s="4" t="s">
        <v>459</v>
      </c>
      <c r="AC92" s="2" t="s">
        <v>530</v>
      </c>
      <c r="AD92" s="150">
        <v>938</v>
      </c>
      <c r="AE92" s="150">
        <v>0.78</v>
      </c>
      <c r="AF92" s="2" t="s">
        <v>1404</v>
      </c>
      <c r="AG92" s="2" t="s">
        <v>164</v>
      </c>
      <c r="AI92" s="2" t="s">
        <v>1405</v>
      </c>
      <c r="AJ92" s="2" t="s">
        <v>387</v>
      </c>
      <c r="AK92" s="2" t="s">
        <v>938</v>
      </c>
      <c r="AL92" s="2" t="s">
        <v>1377</v>
      </c>
      <c r="AN92" s="2" t="s">
        <v>1378</v>
      </c>
      <c r="AO92" s="2" t="s">
        <v>1404</v>
      </c>
      <c r="AP92" s="151">
        <v>0</v>
      </c>
      <c r="AQ92" s="150">
        <v>20264.189999999999</v>
      </c>
      <c r="AR92" s="150">
        <v>124.95</v>
      </c>
      <c r="AS92" s="150">
        <v>1</v>
      </c>
      <c r="AT92" s="150">
        <v>25.32</v>
      </c>
      <c r="AU92" s="150">
        <v>25.32</v>
      </c>
      <c r="AX92" s="4" t="s">
        <v>164</v>
      </c>
      <c r="AY92" s="2" t="s">
        <v>37</v>
      </c>
      <c r="AZ92" s="164">
        <v>4.7153625613329398E-4</v>
      </c>
      <c r="BA92" s="164">
        <v>1.0925717598840201E-5</v>
      </c>
    </row>
    <row r="93" spans="1:53">
      <c r="A93" s="2" t="s">
        <v>128</v>
      </c>
      <c r="B93" s="2">
        <v>7228</v>
      </c>
      <c r="C93" s="2" t="s">
        <v>1387</v>
      </c>
      <c r="D93" s="2" t="s">
        <v>34</v>
      </c>
      <c r="E93" s="2" t="s">
        <v>1489</v>
      </c>
      <c r="F93" s="2" t="s">
        <v>1490</v>
      </c>
      <c r="G93" s="2" t="s">
        <v>1084</v>
      </c>
      <c r="I93" s="2" t="s">
        <v>31</v>
      </c>
      <c r="J93" s="2" t="s">
        <v>31</v>
      </c>
      <c r="K93" s="2" t="s">
        <v>498</v>
      </c>
      <c r="L93" s="2" t="s">
        <v>164</v>
      </c>
      <c r="M93" s="2" t="s">
        <v>387</v>
      </c>
      <c r="N93" s="2" t="s">
        <v>1387</v>
      </c>
      <c r="O93" s="2" t="s">
        <v>1491</v>
      </c>
      <c r="P93" s="2" t="s">
        <v>1396</v>
      </c>
      <c r="Q93" s="2" t="s">
        <v>104</v>
      </c>
      <c r="R93" s="2" t="s">
        <v>454</v>
      </c>
      <c r="S93" s="2" t="s">
        <v>35</v>
      </c>
      <c r="T93" s="150">
        <v>3.46</v>
      </c>
      <c r="U93" s="2" t="s">
        <v>1397</v>
      </c>
      <c r="V93" s="162">
        <v>5.5E-2</v>
      </c>
      <c r="W93" s="2" t="s">
        <v>801</v>
      </c>
      <c r="X93" s="2" t="s">
        <v>955</v>
      </c>
      <c r="Y93" s="150">
        <v>5.5</v>
      </c>
      <c r="Z93" s="164">
        <v>2.4500000000000001E-2</v>
      </c>
      <c r="AA93" s="2" t="s">
        <v>1393</v>
      </c>
      <c r="AB93" s="4" t="s">
        <v>459</v>
      </c>
      <c r="AC93" s="2" t="s">
        <v>530</v>
      </c>
      <c r="AD93" s="150">
        <v>588</v>
      </c>
      <c r="AE93" s="150">
        <v>0.78</v>
      </c>
      <c r="AF93" s="2" t="s">
        <v>1404</v>
      </c>
      <c r="AG93" s="2" t="s">
        <v>164</v>
      </c>
      <c r="AI93" s="2" t="s">
        <v>1405</v>
      </c>
      <c r="AJ93" s="2" t="s">
        <v>387</v>
      </c>
      <c r="AK93" s="2" t="s">
        <v>938</v>
      </c>
      <c r="AL93" s="2" t="s">
        <v>1377</v>
      </c>
      <c r="AN93" s="2" t="s">
        <v>1378</v>
      </c>
      <c r="AO93" s="2" t="s">
        <v>1404</v>
      </c>
      <c r="AP93" s="151">
        <v>0</v>
      </c>
      <c r="AQ93" s="150">
        <v>12698</v>
      </c>
      <c r="AR93" s="150">
        <v>124.47</v>
      </c>
      <c r="AS93" s="150">
        <v>1</v>
      </c>
      <c r="AT93" s="150">
        <v>15.805</v>
      </c>
      <c r="AU93" s="150">
        <v>15.805</v>
      </c>
      <c r="AX93" s="4" t="s">
        <v>164</v>
      </c>
      <c r="AY93" s="2" t="s">
        <v>37</v>
      </c>
      <c r="AZ93" s="164">
        <v>2.9434020906121401E-4</v>
      </c>
      <c r="BA93" s="164">
        <v>6.8200015594927303E-6</v>
      </c>
    </row>
    <row r="94" spans="1:53">
      <c r="A94" s="2" t="s">
        <v>128</v>
      </c>
      <c r="B94" s="2">
        <v>7228</v>
      </c>
      <c r="C94" s="2" t="s">
        <v>1387</v>
      </c>
      <c r="D94" s="2" t="s">
        <v>34</v>
      </c>
      <c r="E94" s="2" t="s">
        <v>1492</v>
      </c>
      <c r="F94" s="2" t="s">
        <v>1493</v>
      </c>
      <c r="G94" s="2" t="s">
        <v>1084</v>
      </c>
      <c r="I94" s="2" t="s">
        <v>31</v>
      </c>
      <c r="J94" s="2" t="s">
        <v>31</v>
      </c>
      <c r="K94" s="2" t="s">
        <v>498</v>
      </c>
      <c r="L94" s="2" t="s">
        <v>164</v>
      </c>
      <c r="M94" s="2" t="s">
        <v>387</v>
      </c>
      <c r="N94" s="2" t="s">
        <v>1387</v>
      </c>
      <c r="O94" s="2" t="s">
        <v>1494</v>
      </c>
      <c r="P94" s="2" t="s">
        <v>1396</v>
      </c>
      <c r="Q94" s="2" t="s">
        <v>104</v>
      </c>
      <c r="R94" s="2" t="s">
        <v>454</v>
      </c>
      <c r="S94" s="2" t="s">
        <v>35</v>
      </c>
      <c r="T94" s="150">
        <v>3.46</v>
      </c>
      <c r="U94" s="2" t="s">
        <v>1397</v>
      </c>
      <c r="V94" s="162">
        <v>5.5E-2</v>
      </c>
      <c r="W94" s="2" t="s">
        <v>801</v>
      </c>
      <c r="X94" s="2" t="s">
        <v>955</v>
      </c>
      <c r="Y94" s="150">
        <v>5.5</v>
      </c>
      <c r="Z94" s="164">
        <v>2.4500000000000001E-2</v>
      </c>
      <c r="AA94" s="2" t="s">
        <v>1403</v>
      </c>
      <c r="AB94" s="4" t="s">
        <v>459</v>
      </c>
      <c r="AC94" s="2" t="s">
        <v>530</v>
      </c>
      <c r="AD94" s="150">
        <v>331</v>
      </c>
      <c r="AE94" s="150">
        <v>0.78</v>
      </c>
      <c r="AF94" s="2" t="s">
        <v>1404</v>
      </c>
      <c r="AG94" s="2" t="s">
        <v>164</v>
      </c>
      <c r="AI94" s="2" t="s">
        <v>1405</v>
      </c>
      <c r="AJ94" s="2" t="s">
        <v>387</v>
      </c>
      <c r="AK94" s="2" t="s">
        <v>938</v>
      </c>
      <c r="AL94" s="2" t="s">
        <v>1377</v>
      </c>
      <c r="AN94" s="2" t="s">
        <v>1378</v>
      </c>
      <c r="AO94" s="2" t="s">
        <v>1404</v>
      </c>
      <c r="AP94" s="151">
        <v>0</v>
      </c>
      <c r="AQ94" s="150">
        <v>7150.42</v>
      </c>
      <c r="AR94" s="150">
        <v>124.35</v>
      </c>
      <c r="AS94" s="150">
        <v>1</v>
      </c>
      <c r="AT94" s="150">
        <v>8.8919999999999995</v>
      </c>
      <c r="AU94" s="150">
        <v>8.8919999999999995</v>
      </c>
      <c r="AX94" s="4" t="s">
        <v>164</v>
      </c>
      <c r="AY94" s="2" t="s">
        <v>37</v>
      </c>
      <c r="AZ94" s="164">
        <v>1.6558726134291999E-4</v>
      </c>
      <c r="BA94" s="164">
        <v>3.8367349951700902E-6</v>
      </c>
    </row>
    <row r="95" spans="1:53">
      <c r="A95" s="2" t="s">
        <v>128</v>
      </c>
      <c r="B95" s="2">
        <v>7228</v>
      </c>
      <c r="C95" s="2" t="s">
        <v>1387</v>
      </c>
      <c r="D95" s="2" t="s">
        <v>34</v>
      </c>
      <c r="E95" s="2" t="s">
        <v>1495</v>
      </c>
      <c r="F95" s="2" t="s">
        <v>1496</v>
      </c>
      <c r="G95" s="2" t="s">
        <v>1084</v>
      </c>
      <c r="I95" s="2" t="s">
        <v>31</v>
      </c>
      <c r="J95" s="2" t="s">
        <v>31</v>
      </c>
      <c r="K95" s="2" t="s">
        <v>498</v>
      </c>
      <c r="L95" s="2" t="s">
        <v>164</v>
      </c>
      <c r="M95" s="2" t="s">
        <v>387</v>
      </c>
      <c r="N95" s="2" t="s">
        <v>1387</v>
      </c>
      <c r="O95" s="2" t="s">
        <v>1497</v>
      </c>
      <c r="P95" s="2" t="s">
        <v>1396</v>
      </c>
      <c r="Q95" s="2" t="s">
        <v>104</v>
      </c>
      <c r="R95" s="2" t="s">
        <v>454</v>
      </c>
      <c r="S95" s="2" t="s">
        <v>35</v>
      </c>
      <c r="T95" s="150">
        <v>3.46</v>
      </c>
      <c r="U95" s="2" t="s">
        <v>1397</v>
      </c>
      <c r="V95" s="162">
        <v>5.5E-2</v>
      </c>
      <c r="W95" s="2" t="s">
        <v>801</v>
      </c>
      <c r="X95" s="2" t="s">
        <v>955</v>
      </c>
      <c r="Y95" s="150">
        <v>5.5</v>
      </c>
      <c r="Z95" s="164">
        <v>2.4500000000000001E-2</v>
      </c>
      <c r="AA95" s="2" t="s">
        <v>1403</v>
      </c>
      <c r="AB95" s="4" t="s">
        <v>459</v>
      </c>
      <c r="AC95" s="2" t="s">
        <v>530</v>
      </c>
      <c r="AD95" s="150">
        <v>987</v>
      </c>
      <c r="AE95" s="150">
        <v>0.78</v>
      </c>
      <c r="AF95" s="2" t="s">
        <v>1404</v>
      </c>
      <c r="AG95" s="2" t="s">
        <v>164</v>
      </c>
      <c r="AI95" s="2" t="s">
        <v>1405</v>
      </c>
      <c r="AJ95" s="2" t="s">
        <v>387</v>
      </c>
      <c r="AK95" s="2" t="s">
        <v>938</v>
      </c>
      <c r="AL95" s="2" t="s">
        <v>1377</v>
      </c>
      <c r="AN95" s="2" t="s">
        <v>1378</v>
      </c>
      <c r="AO95" s="2" t="s">
        <v>1404</v>
      </c>
      <c r="AP95" s="151">
        <v>0</v>
      </c>
      <c r="AQ95" s="150">
        <v>21328.95</v>
      </c>
      <c r="AR95" s="150">
        <v>123.99</v>
      </c>
      <c r="AS95" s="150">
        <v>1</v>
      </c>
      <c r="AT95" s="150">
        <v>26.446000000000002</v>
      </c>
      <c r="AU95" s="150">
        <v>26.446000000000002</v>
      </c>
      <c r="AX95" s="4" t="s">
        <v>164</v>
      </c>
      <c r="AY95" s="2" t="s">
        <v>37</v>
      </c>
      <c r="AZ95" s="164">
        <v>4.9249941375558803E-4</v>
      </c>
      <c r="BA95" s="164">
        <v>1.14114438546309E-5</v>
      </c>
    </row>
    <row r="96" spans="1:53">
      <c r="A96" s="2" t="s">
        <v>128</v>
      </c>
      <c r="B96" s="2">
        <v>7228</v>
      </c>
      <c r="C96" s="2" t="s">
        <v>1387</v>
      </c>
      <c r="D96" s="2" t="s">
        <v>34</v>
      </c>
      <c r="E96" s="2" t="s">
        <v>1498</v>
      </c>
      <c r="F96" s="2" t="s">
        <v>1499</v>
      </c>
      <c r="G96" s="2" t="s">
        <v>1084</v>
      </c>
      <c r="I96" s="2" t="s">
        <v>31</v>
      </c>
      <c r="J96" s="2" t="s">
        <v>31</v>
      </c>
      <c r="K96" s="2" t="s">
        <v>498</v>
      </c>
      <c r="L96" s="2" t="s">
        <v>164</v>
      </c>
      <c r="M96" s="2" t="s">
        <v>387</v>
      </c>
      <c r="O96" s="2" t="s">
        <v>1464</v>
      </c>
      <c r="P96" s="2" t="s">
        <v>1391</v>
      </c>
      <c r="Q96" s="2" t="s">
        <v>217</v>
      </c>
      <c r="R96" s="2" t="s">
        <v>454</v>
      </c>
      <c r="S96" s="2" t="s">
        <v>35</v>
      </c>
      <c r="T96" s="150">
        <v>3.75</v>
      </c>
      <c r="U96" s="2" t="s">
        <v>204</v>
      </c>
      <c r="V96" s="162">
        <v>5.5E-2</v>
      </c>
      <c r="W96" s="2" t="s">
        <v>801</v>
      </c>
      <c r="X96" s="2" t="s">
        <v>1392</v>
      </c>
      <c r="Y96" s="150">
        <v>5.5</v>
      </c>
      <c r="Z96" s="164">
        <v>3.0419999999999999E-2</v>
      </c>
      <c r="AA96" s="2" t="s">
        <v>1403</v>
      </c>
      <c r="AB96" s="4" t="s">
        <v>459</v>
      </c>
      <c r="AG96" s="2" t="s">
        <v>164</v>
      </c>
      <c r="AJ96" s="2" t="s">
        <v>164</v>
      </c>
      <c r="AK96" s="2" t="s">
        <v>204</v>
      </c>
      <c r="AN96" s="2" t="s">
        <v>1378</v>
      </c>
      <c r="AQ96" s="150">
        <v>8303.15</v>
      </c>
      <c r="AR96" s="150">
        <v>123.99</v>
      </c>
      <c r="AS96" s="150">
        <v>1</v>
      </c>
      <c r="AT96" s="150">
        <v>10.295</v>
      </c>
      <c r="AU96" s="150">
        <v>10.295</v>
      </c>
      <c r="AX96" s="4" t="s">
        <v>164</v>
      </c>
      <c r="AY96" s="2" t="s">
        <v>37</v>
      </c>
      <c r="AZ96" s="164">
        <v>1.9172516731131699E-4</v>
      </c>
      <c r="BA96" s="164">
        <v>4.4423626123920097E-6</v>
      </c>
    </row>
    <row r="97" spans="1:53">
      <c r="A97" s="2" t="s">
        <v>128</v>
      </c>
      <c r="B97" s="2">
        <v>7228</v>
      </c>
      <c r="C97" s="2" t="s">
        <v>1387</v>
      </c>
      <c r="D97" s="2" t="s">
        <v>34</v>
      </c>
      <c r="E97" s="2" t="s">
        <v>1500</v>
      </c>
      <c r="F97" s="2" t="s">
        <v>1501</v>
      </c>
      <c r="G97" s="2" t="s">
        <v>1084</v>
      </c>
      <c r="I97" s="2" t="s">
        <v>31</v>
      </c>
      <c r="J97" s="2" t="s">
        <v>31</v>
      </c>
      <c r="K97" s="2" t="s">
        <v>498</v>
      </c>
      <c r="L97" s="2" t="s">
        <v>164</v>
      </c>
      <c r="M97" s="2" t="s">
        <v>387</v>
      </c>
      <c r="N97" s="2" t="s">
        <v>1387</v>
      </c>
      <c r="O97" s="2" t="s">
        <v>1502</v>
      </c>
      <c r="P97" s="2" t="s">
        <v>1391</v>
      </c>
      <c r="Q97" s="2" t="s">
        <v>217</v>
      </c>
      <c r="R97" s="2" t="s">
        <v>454</v>
      </c>
      <c r="S97" s="2" t="s">
        <v>35</v>
      </c>
      <c r="T97" s="150">
        <v>3.46</v>
      </c>
      <c r="U97" s="2" t="s">
        <v>1397</v>
      </c>
      <c r="V97" s="162">
        <v>5.5E-2</v>
      </c>
      <c r="W97" s="2" t="s">
        <v>801</v>
      </c>
      <c r="X97" s="2" t="s">
        <v>955</v>
      </c>
      <c r="Y97" s="150">
        <v>5.5</v>
      </c>
      <c r="Z97" s="164">
        <v>2.4500000000000001E-2</v>
      </c>
      <c r="AA97" s="2" t="s">
        <v>1403</v>
      </c>
      <c r="AB97" s="4" t="s">
        <v>459</v>
      </c>
      <c r="AC97" s="2" t="s">
        <v>530</v>
      </c>
      <c r="AD97" s="150">
        <v>5567</v>
      </c>
      <c r="AE97" s="150">
        <v>0.78</v>
      </c>
      <c r="AF97" s="2" t="s">
        <v>1404</v>
      </c>
      <c r="AG97" s="2" t="s">
        <v>164</v>
      </c>
      <c r="AI97" s="2" t="s">
        <v>1405</v>
      </c>
      <c r="AJ97" s="2" t="s">
        <v>387</v>
      </c>
      <c r="AK97" s="2" t="s">
        <v>938</v>
      </c>
      <c r="AL97" s="2" t="s">
        <v>1377</v>
      </c>
      <c r="AN97" s="2" t="s">
        <v>1378</v>
      </c>
      <c r="AO97" s="2" t="s">
        <v>1404</v>
      </c>
      <c r="AP97" s="151">
        <v>0</v>
      </c>
      <c r="AQ97" s="150">
        <v>55801.279999999999</v>
      </c>
      <c r="AR97" s="150">
        <v>124.23</v>
      </c>
      <c r="AS97" s="150">
        <v>1</v>
      </c>
      <c r="AT97" s="150">
        <v>69.322000000000003</v>
      </c>
      <c r="AU97" s="150">
        <v>69.322000000000003</v>
      </c>
      <c r="AX97" s="4" t="s">
        <v>164</v>
      </c>
      <c r="AY97" s="2" t="s">
        <v>37</v>
      </c>
      <c r="AZ97" s="164">
        <v>1.2909821221194699E-3</v>
      </c>
      <c r="BA97" s="164">
        <v>2.9912665055901E-5</v>
      </c>
    </row>
    <row r="98" spans="1:53">
      <c r="A98" s="2" t="s">
        <v>128</v>
      </c>
      <c r="B98" s="2">
        <v>7228</v>
      </c>
      <c r="C98" s="2" t="s">
        <v>1387</v>
      </c>
      <c r="D98" s="2" t="s">
        <v>34</v>
      </c>
      <c r="E98" s="2" t="s">
        <v>1503</v>
      </c>
      <c r="F98" s="2" t="s">
        <v>1504</v>
      </c>
      <c r="G98" s="2" t="s">
        <v>1084</v>
      </c>
      <c r="I98" s="2" t="s">
        <v>31</v>
      </c>
      <c r="J98" s="2" t="s">
        <v>31</v>
      </c>
      <c r="K98" s="2" t="s">
        <v>498</v>
      </c>
      <c r="L98" s="2" t="s">
        <v>164</v>
      </c>
      <c r="M98" s="2" t="s">
        <v>387</v>
      </c>
      <c r="N98" s="2" t="s">
        <v>1387</v>
      </c>
      <c r="O98" s="2" t="s">
        <v>1505</v>
      </c>
      <c r="P98" s="2" t="s">
        <v>1391</v>
      </c>
      <c r="Q98" s="2" t="s">
        <v>217</v>
      </c>
      <c r="R98" s="2" t="s">
        <v>454</v>
      </c>
      <c r="S98" s="2" t="s">
        <v>35</v>
      </c>
      <c r="T98" s="150">
        <v>3.46</v>
      </c>
      <c r="U98" s="2" t="s">
        <v>1397</v>
      </c>
      <c r="V98" s="162">
        <v>5.5E-2</v>
      </c>
      <c r="W98" s="2" t="s">
        <v>801</v>
      </c>
      <c r="X98" s="2" t="s">
        <v>955</v>
      </c>
      <c r="Y98" s="150">
        <v>5.5</v>
      </c>
      <c r="Z98" s="164">
        <v>2.4500000000000001E-2</v>
      </c>
      <c r="AA98" s="2" t="s">
        <v>1403</v>
      </c>
      <c r="AB98" s="4" t="s">
        <v>459</v>
      </c>
      <c r="AC98" s="2" t="s">
        <v>530</v>
      </c>
      <c r="AD98" s="150">
        <v>5045</v>
      </c>
      <c r="AE98" s="150">
        <v>0.78</v>
      </c>
      <c r="AF98" s="2" t="s">
        <v>1404</v>
      </c>
      <c r="AG98" s="2" t="s">
        <v>164</v>
      </c>
      <c r="AI98" s="2" t="s">
        <v>1405</v>
      </c>
      <c r="AJ98" s="2" t="s">
        <v>387</v>
      </c>
      <c r="AK98" s="2" t="s">
        <v>938</v>
      </c>
      <c r="AL98" s="2" t="s">
        <v>1377</v>
      </c>
      <c r="AN98" s="2" t="s">
        <v>1378</v>
      </c>
      <c r="AO98" s="2" t="s">
        <v>1404</v>
      </c>
      <c r="AP98" s="151">
        <v>0</v>
      </c>
      <c r="AQ98" s="150">
        <v>109002.33</v>
      </c>
      <c r="AR98" s="150">
        <v>125.34</v>
      </c>
      <c r="AS98" s="150">
        <v>1</v>
      </c>
      <c r="AT98" s="150">
        <v>136.624</v>
      </c>
      <c r="AU98" s="150">
        <v>136.624</v>
      </c>
      <c r="AX98" s="4" t="s">
        <v>164</v>
      </c>
      <c r="AY98" s="2" t="s">
        <v>37</v>
      </c>
      <c r="AZ98" s="164">
        <v>2.54433946024643E-3</v>
      </c>
      <c r="BA98" s="164">
        <v>5.8953546109464002E-5</v>
      </c>
    </row>
    <row r="99" spans="1:53">
      <c r="A99" s="2" t="s">
        <v>128</v>
      </c>
      <c r="B99" s="2">
        <v>7228</v>
      </c>
      <c r="C99" s="2" t="s">
        <v>1387</v>
      </c>
      <c r="D99" s="2" t="s">
        <v>34</v>
      </c>
      <c r="E99" s="2" t="s">
        <v>1506</v>
      </c>
      <c r="F99" s="2" t="s">
        <v>1507</v>
      </c>
      <c r="G99" s="2" t="s">
        <v>1084</v>
      </c>
      <c r="I99" s="2" t="s">
        <v>31</v>
      </c>
      <c r="J99" s="2" t="s">
        <v>31</v>
      </c>
      <c r="K99" s="2" t="s">
        <v>498</v>
      </c>
      <c r="L99" s="2" t="s">
        <v>164</v>
      </c>
      <c r="M99" s="2" t="s">
        <v>387</v>
      </c>
      <c r="O99" s="2" t="s">
        <v>1464</v>
      </c>
      <c r="P99" s="2" t="s">
        <v>1391</v>
      </c>
      <c r="Q99" s="2" t="s">
        <v>217</v>
      </c>
      <c r="R99" s="2" t="s">
        <v>454</v>
      </c>
      <c r="S99" s="2" t="s">
        <v>35</v>
      </c>
      <c r="T99" s="150">
        <v>3.41</v>
      </c>
      <c r="U99" s="2" t="s">
        <v>204</v>
      </c>
      <c r="V99" s="162">
        <v>5.5500000000000001E-2</v>
      </c>
      <c r="W99" s="2" t="s">
        <v>801</v>
      </c>
      <c r="X99" s="2" t="s">
        <v>1392</v>
      </c>
      <c r="Y99" s="150">
        <v>5.55</v>
      </c>
      <c r="Z99" s="164">
        <v>2.6780000000000002E-2</v>
      </c>
      <c r="AA99" s="2" t="s">
        <v>1403</v>
      </c>
      <c r="AB99" s="4" t="s">
        <v>459</v>
      </c>
      <c r="AG99" s="2" t="s">
        <v>164</v>
      </c>
      <c r="AJ99" s="2" t="s">
        <v>164</v>
      </c>
      <c r="AK99" s="2" t="s">
        <v>204</v>
      </c>
      <c r="AN99" s="2" t="s">
        <v>1378</v>
      </c>
      <c r="AQ99" s="150">
        <v>80372.429999999993</v>
      </c>
      <c r="AR99" s="150">
        <v>128.51</v>
      </c>
      <c r="AS99" s="150">
        <v>1</v>
      </c>
      <c r="AT99" s="150">
        <v>103.28700000000001</v>
      </c>
      <c r="AU99" s="150">
        <v>103.28700000000001</v>
      </c>
      <c r="AX99" s="4" t="s">
        <v>164</v>
      </c>
      <c r="AY99" s="2" t="s">
        <v>37</v>
      </c>
      <c r="AZ99" s="164">
        <v>1.92350626158428E-3</v>
      </c>
      <c r="BA99" s="164">
        <v>4.4568547890684601E-5</v>
      </c>
    </row>
    <row r="100" spans="1:53">
      <c r="A100" s="2" t="s">
        <v>128</v>
      </c>
      <c r="B100" s="2">
        <v>7228</v>
      </c>
      <c r="C100" s="2" t="s">
        <v>1387</v>
      </c>
      <c r="D100" s="2" t="s">
        <v>34</v>
      </c>
      <c r="E100" s="2" t="s">
        <v>1508</v>
      </c>
      <c r="F100" s="2" t="s">
        <v>1509</v>
      </c>
      <c r="G100" s="2" t="s">
        <v>1084</v>
      </c>
      <c r="I100" s="2" t="s">
        <v>31</v>
      </c>
      <c r="J100" s="2" t="s">
        <v>31</v>
      </c>
      <c r="K100" s="2" t="s">
        <v>498</v>
      </c>
      <c r="L100" s="2" t="s">
        <v>164</v>
      </c>
      <c r="M100" s="2" t="s">
        <v>387</v>
      </c>
      <c r="N100" s="2" t="s">
        <v>1387</v>
      </c>
      <c r="O100" s="2" t="s">
        <v>1510</v>
      </c>
      <c r="P100" s="2" t="s">
        <v>1396</v>
      </c>
      <c r="Q100" s="2" t="s">
        <v>104</v>
      </c>
      <c r="R100" s="2" t="s">
        <v>454</v>
      </c>
      <c r="S100" s="2" t="s">
        <v>35</v>
      </c>
      <c r="T100" s="150">
        <v>3.46</v>
      </c>
      <c r="U100" s="2" t="s">
        <v>1397</v>
      </c>
      <c r="V100" s="162">
        <v>5.5E-2</v>
      </c>
      <c r="W100" s="2" t="s">
        <v>801</v>
      </c>
      <c r="X100" s="2" t="s">
        <v>955</v>
      </c>
      <c r="Y100" s="150">
        <v>5.5</v>
      </c>
      <c r="Z100" s="164">
        <v>2.4500000000000001E-2</v>
      </c>
      <c r="AA100" s="2" t="s">
        <v>1393</v>
      </c>
      <c r="AB100" s="4" t="s">
        <v>459</v>
      </c>
      <c r="AC100" s="2" t="s">
        <v>530</v>
      </c>
      <c r="AD100" s="150">
        <v>936</v>
      </c>
      <c r="AE100" s="150">
        <v>0.78</v>
      </c>
      <c r="AF100" s="2" t="s">
        <v>1404</v>
      </c>
      <c r="AG100" s="2" t="s">
        <v>164</v>
      </c>
      <c r="AI100" s="2" t="s">
        <v>1405</v>
      </c>
      <c r="AJ100" s="2" t="s">
        <v>387</v>
      </c>
      <c r="AK100" s="2" t="s">
        <v>938</v>
      </c>
      <c r="AL100" s="2" t="s">
        <v>1377</v>
      </c>
      <c r="AN100" s="2" t="s">
        <v>1378</v>
      </c>
      <c r="AO100" s="2" t="s">
        <v>1404</v>
      </c>
      <c r="AP100" s="151">
        <v>0</v>
      </c>
      <c r="AQ100" s="150">
        <v>35273.760000000002</v>
      </c>
      <c r="AR100" s="150">
        <v>126.7</v>
      </c>
      <c r="AS100" s="150">
        <v>1</v>
      </c>
      <c r="AT100" s="150">
        <v>44.692</v>
      </c>
      <c r="AU100" s="150">
        <v>44.692</v>
      </c>
      <c r="AX100" s="4" t="s">
        <v>164</v>
      </c>
      <c r="AY100" s="2" t="s">
        <v>37</v>
      </c>
      <c r="AZ100" s="164">
        <v>8.3229627760283205E-4</v>
      </c>
      <c r="BA100" s="164">
        <v>1.9284697559043999E-5</v>
      </c>
    </row>
    <row r="101" spans="1:53">
      <c r="A101" s="2" t="s">
        <v>128</v>
      </c>
      <c r="B101" s="2">
        <v>7228</v>
      </c>
      <c r="C101" s="2" t="s">
        <v>1387</v>
      </c>
      <c r="D101" s="2" t="s">
        <v>34</v>
      </c>
      <c r="E101" s="2" t="s">
        <v>1511</v>
      </c>
      <c r="F101" s="2" t="s">
        <v>1512</v>
      </c>
      <c r="G101" s="2" t="s">
        <v>1084</v>
      </c>
      <c r="I101" s="2" t="s">
        <v>31</v>
      </c>
      <c r="J101" s="2" t="s">
        <v>31</v>
      </c>
      <c r="K101" s="2" t="s">
        <v>498</v>
      </c>
      <c r="L101" s="2" t="s">
        <v>164</v>
      </c>
      <c r="M101" s="2" t="s">
        <v>387</v>
      </c>
      <c r="N101" s="2" t="s">
        <v>1387</v>
      </c>
      <c r="O101" s="2" t="s">
        <v>1513</v>
      </c>
      <c r="P101" s="2" t="s">
        <v>1391</v>
      </c>
      <c r="Q101" s="2" t="s">
        <v>217</v>
      </c>
      <c r="R101" s="2" t="s">
        <v>454</v>
      </c>
      <c r="S101" s="2" t="s">
        <v>35</v>
      </c>
      <c r="T101" s="150">
        <v>3.46</v>
      </c>
      <c r="U101" s="2" t="s">
        <v>1397</v>
      </c>
      <c r="V101" s="162">
        <v>5.5E-2</v>
      </c>
      <c r="W101" s="2" t="s">
        <v>801</v>
      </c>
      <c r="X101" s="2" t="s">
        <v>955</v>
      </c>
      <c r="Y101" s="150">
        <v>5.5</v>
      </c>
      <c r="Z101" s="164">
        <v>2.46E-2</v>
      </c>
      <c r="AA101" s="2" t="s">
        <v>1393</v>
      </c>
      <c r="AB101" s="4" t="s">
        <v>459</v>
      </c>
      <c r="AC101" s="2" t="s">
        <v>530</v>
      </c>
      <c r="AD101" s="150">
        <v>1524</v>
      </c>
      <c r="AE101" s="150">
        <v>0.78</v>
      </c>
      <c r="AF101" s="2" t="s">
        <v>1404</v>
      </c>
      <c r="AG101" s="2" t="s">
        <v>164</v>
      </c>
      <c r="AI101" s="2" t="s">
        <v>1405</v>
      </c>
      <c r="AJ101" s="2" t="s">
        <v>387</v>
      </c>
      <c r="AK101" s="2" t="s">
        <v>938</v>
      </c>
      <c r="AL101" s="2" t="s">
        <v>1377</v>
      </c>
      <c r="AN101" s="2" t="s">
        <v>1378</v>
      </c>
      <c r="AO101" s="2" t="s">
        <v>1404</v>
      </c>
      <c r="AP101" s="151">
        <v>0</v>
      </c>
      <c r="AQ101" s="150">
        <v>32928.639999999999</v>
      </c>
      <c r="AR101" s="150">
        <v>127.02</v>
      </c>
      <c r="AS101" s="150">
        <v>1</v>
      </c>
      <c r="AT101" s="150">
        <v>41.826000000000001</v>
      </c>
      <c r="AU101" s="150">
        <v>41.826000000000001</v>
      </c>
      <c r="AX101" s="4" t="s">
        <v>164</v>
      </c>
      <c r="AY101" s="2" t="s">
        <v>37</v>
      </c>
      <c r="AZ101" s="164">
        <v>7.7892471528119697E-4</v>
      </c>
      <c r="BA101" s="164">
        <v>1.8048053271037799E-5</v>
      </c>
    </row>
    <row r="102" spans="1:53">
      <c r="A102" s="2" t="s">
        <v>128</v>
      </c>
      <c r="B102" s="2">
        <v>7228</v>
      </c>
      <c r="C102" s="2" t="s">
        <v>1387</v>
      </c>
      <c r="D102" s="2" t="s">
        <v>34</v>
      </c>
      <c r="E102" s="2" t="s">
        <v>1514</v>
      </c>
      <c r="F102" s="2" t="s">
        <v>1515</v>
      </c>
      <c r="G102" s="2" t="s">
        <v>1084</v>
      </c>
      <c r="I102" s="2" t="s">
        <v>31</v>
      </c>
      <c r="J102" s="2" t="s">
        <v>31</v>
      </c>
      <c r="K102" s="2" t="s">
        <v>498</v>
      </c>
      <c r="L102" s="2" t="s">
        <v>164</v>
      </c>
      <c r="M102" s="2" t="s">
        <v>387</v>
      </c>
      <c r="O102" s="2" t="s">
        <v>1464</v>
      </c>
      <c r="P102" s="2" t="s">
        <v>1391</v>
      </c>
      <c r="Q102" s="2" t="s">
        <v>217</v>
      </c>
      <c r="R102" s="2" t="s">
        <v>454</v>
      </c>
      <c r="S102" s="2" t="s">
        <v>35</v>
      </c>
      <c r="T102" s="150">
        <v>3.46</v>
      </c>
      <c r="U102" s="2" t="s">
        <v>204</v>
      </c>
      <c r="V102" s="162">
        <v>5.5E-2</v>
      </c>
      <c r="W102" s="2" t="s">
        <v>801</v>
      </c>
      <c r="X102" s="2" t="s">
        <v>1392</v>
      </c>
      <c r="Y102" s="150">
        <v>5.5</v>
      </c>
      <c r="Z102" s="164">
        <v>2.4500000000000001E-2</v>
      </c>
      <c r="AA102" s="2" t="s">
        <v>1403</v>
      </c>
      <c r="AB102" s="4" t="s">
        <v>459</v>
      </c>
      <c r="AG102" s="2" t="s">
        <v>164</v>
      </c>
      <c r="AJ102" s="2" t="s">
        <v>164</v>
      </c>
      <c r="AK102" s="2" t="s">
        <v>204</v>
      </c>
      <c r="AN102" s="2" t="s">
        <v>1378</v>
      </c>
      <c r="AQ102" s="150">
        <v>42154.45</v>
      </c>
      <c r="AR102" s="150">
        <v>125.63</v>
      </c>
      <c r="AS102" s="150">
        <v>1</v>
      </c>
      <c r="AT102" s="150">
        <v>52.959000000000003</v>
      </c>
      <c r="AU102" s="150">
        <v>52.959000000000003</v>
      </c>
      <c r="AX102" s="4" t="s">
        <v>164</v>
      </c>
      <c r="AY102" s="2" t="s">
        <v>37</v>
      </c>
      <c r="AZ102" s="164">
        <v>9.862485298015491E-4</v>
      </c>
      <c r="BA102" s="164">
        <v>2.2851843901133898E-5</v>
      </c>
    </row>
    <row r="103" spans="1:53">
      <c r="A103" s="2" t="s">
        <v>128</v>
      </c>
      <c r="B103" s="2">
        <v>7228</v>
      </c>
      <c r="C103" s="2" t="s">
        <v>1516</v>
      </c>
      <c r="D103" s="2" t="s">
        <v>34</v>
      </c>
      <c r="E103" s="2" t="s">
        <v>1517</v>
      </c>
      <c r="F103" s="2" t="s">
        <v>1518</v>
      </c>
      <c r="G103" s="2" t="s">
        <v>1084</v>
      </c>
      <c r="I103" s="2" t="s">
        <v>31</v>
      </c>
      <c r="J103" s="2" t="s">
        <v>31</v>
      </c>
      <c r="K103" s="2" t="s">
        <v>530</v>
      </c>
      <c r="L103" s="2" t="s">
        <v>164</v>
      </c>
      <c r="M103" s="2" t="s">
        <v>164</v>
      </c>
      <c r="O103" s="2" t="s">
        <v>1560</v>
      </c>
      <c r="P103" s="2" t="s">
        <v>1396</v>
      </c>
      <c r="Q103" s="2" t="s">
        <v>104</v>
      </c>
      <c r="R103" s="2" t="s">
        <v>454</v>
      </c>
      <c r="S103" s="2" t="s">
        <v>35</v>
      </c>
      <c r="T103" s="150">
        <v>2.17</v>
      </c>
      <c r="U103" s="2" t="s">
        <v>1397</v>
      </c>
      <c r="V103" s="162">
        <v>2.562E-2</v>
      </c>
      <c r="W103" s="2" t="s">
        <v>801</v>
      </c>
      <c r="X103" s="2" t="s">
        <v>955</v>
      </c>
      <c r="Y103" s="150">
        <v>2.5619999999999998</v>
      </c>
      <c r="Z103" s="164">
        <v>2.29E-2</v>
      </c>
      <c r="AA103" s="2" t="s">
        <v>1520</v>
      </c>
      <c r="AB103" s="4" t="s">
        <v>459</v>
      </c>
      <c r="AG103" s="2" t="s">
        <v>164</v>
      </c>
      <c r="AI103" s="2" t="s">
        <v>1521</v>
      </c>
      <c r="AJ103" s="2" t="s">
        <v>387</v>
      </c>
      <c r="AK103" s="2" t="s">
        <v>938</v>
      </c>
      <c r="AL103" s="2" t="s">
        <v>1377</v>
      </c>
      <c r="AN103" s="2" t="s">
        <v>1378</v>
      </c>
      <c r="AQ103" s="150">
        <v>1783105.29</v>
      </c>
      <c r="AR103" s="150">
        <v>112.89</v>
      </c>
      <c r="AS103" s="150">
        <v>1</v>
      </c>
      <c r="AT103" s="150">
        <v>2012.9480000000001</v>
      </c>
      <c r="AU103" s="150">
        <v>2012.9480000000001</v>
      </c>
      <c r="AX103" s="4" t="s">
        <v>164</v>
      </c>
      <c r="AY103" s="2" t="s">
        <v>37</v>
      </c>
      <c r="AZ103" s="164">
        <v>3.7487117132402298E-2</v>
      </c>
      <c r="BA103" s="164">
        <v>8.68594196217004E-4</v>
      </c>
    </row>
    <row r="104" spans="1:53">
      <c r="A104" s="2" t="s">
        <v>128</v>
      </c>
      <c r="B104" s="2">
        <v>7228</v>
      </c>
      <c r="C104" s="2" t="s">
        <v>1532</v>
      </c>
      <c r="D104" s="2" t="s">
        <v>34</v>
      </c>
      <c r="E104" s="2" t="s">
        <v>1533</v>
      </c>
      <c r="F104" s="2" t="s">
        <v>1534</v>
      </c>
      <c r="G104" s="2" t="s">
        <v>1084</v>
      </c>
      <c r="H104" s="2" t="s">
        <v>867</v>
      </c>
      <c r="I104" s="2" t="s">
        <v>31</v>
      </c>
      <c r="J104" s="2" t="s">
        <v>31</v>
      </c>
      <c r="K104" s="2" t="s">
        <v>508</v>
      </c>
      <c r="L104" s="2" t="s">
        <v>164</v>
      </c>
      <c r="M104" s="2" t="s">
        <v>387</v>
      </c>
      <c r="N104" s="2" t="s">
        <v>1369</v>
      </c>
      <c r="O104" s="2" t="s">
        <v>1373</v>
      </c>
      <c r="P104" s="2" t="s">
        <v>1535</v>
      </c>
      <c r="Q104" s="2" t="s">
        <v>217</v>
      </c>
      <c r="R104" s="2" t="s">
        <v>454</v>
      </c>
      <c r="S104" s="2" t="s">
        <v>35</v>
      </c>
      <c r="T104" s="150">
        <v>0.01</v>
      </c>
      <c r="U104" s="2" t="s">
        <v>1397</v>
      </c>
      <c r="V104" s="162">
        <v>4.2500000000000003E-2</v>
      </c>
      <c r="W104" s="2" t="s">
        <v>801</v>
      </c>
      <c r="X104" s="2" t="s">
        <v>950</v>
      </c>
      <c r="Y104" s="150">
        <v>4.25</v>
      </c>
      <c r="Z104" s="164">
        <v>3.5639999999999998E-2</v>
      </c>
      <c r="AA104" s="2" t="s">
        <v>1536</v>
      </c>
      <c r="AB104" s="4" t="s">
        <v>459</v>
      </c>
      <c r="AC104" s="2" t="s">
        <v>820</v>
      </c>
      <c r="AD104" s="150">
        <v>67322</v>
      </c>
      <c r="AE104" s="150">
        <v>0.72</v>
      </c>
      <c r="AF104" s="2" t="s">
        <v>1537</v>
      </c>
      <c r="AG104" s="2" t="s">
        <v>387</v>
      </c>
      <c r="AH104" s="2" t="s">
        <v>829</v>
      </c>
      <c r="AI104" s="2" t="s">
        <v>1376</v>
      </c>
      <c r="AJ104" s="2" t="s">
        <v>387</v>
      </c>
      <c r="AK104" s="2" t="s">
        <v>938</v>
      </c>
      <c r="AL104" s="2" t="s">
        <v>1377</v>
      </c>
      <c r="AN104" s="2" t="s">
        <v>1378</v>
      </c>
      <c r="AO104" s="2" t="s">
        <v>1537</v>
      </c>
      <c r="AP104" s="151">
        <v>0</v>
      </c>
      <c r="AQ104" s="150">
        <v>4025000</v>
      </c>
      <c r="AR104" s="150">
        <v>102.76</v>
      </c>
      <c r="AS104" s="150">
        <v>1</v>
      </c>
      <c r="AT104" s="150">
        <v>4136.09</v>
      </c>
      <c r="AU104" s="150">
        <v>4136.09</v>
      </c>
      <c r="AX104" s="4" t="s">
        <v>387</v>
      </c>
      <c r="AY104" s="2" t="s">
        <v>37</v>
      </c>
      <c r="AZ104" s="164">
        <v>7.7026393154162098E-2</v>
      </c>
      <c r="BA104" s="164">
        <v>1.78473788242854E-3</v>
      </c>
    </row>
    <row r="105" spans="1:53">
      <c r="A105" s="2" t="s">
        <v>128</v>
      </c>
      <c r="B105" s="2">
        <v>7228</v>
      </c>
      <c r="C105" s="2" t="s">
        <v>1538</v>
      </c>
      <c r="D105" s="2" t="s">
        <v>1380</v>
      </c>
      <c r="E105" s="2" t="s">
        <v>1539</v>
      </c>
      <c r="F105" s="2" t="s">
        <v>1540</v>
      </c>
      <c r="G105" s="2" t="s">
        <v>1084</v>
      </c>
      <c r="I105" s="2" t="s">
        <v>31</v>
      </c>
      <c r="J105" s="2" t="s">
        <v>31</v>
      </c>
      <c r="K105" s="2" t="s">
        <v>485</v>
      </c>
      <c r="L105" s="2" t="s">
        <v>164</v>
      </c>
      <c r="M105" s="2" t="s">
        <v>164</v>
      </c>
      <c r="O105" s="2" t="s">
        <v>1541</v>
      </c>
      <c r="P105" s="2" t="s">
        <v>1527</v>
      </c>
      <c r="Q105" s="2" t="s">
        <v>204</v>
      </c>
      <c r="R105" s="2" t="s">
        <v>454</v>
      </c>
      <c r="S105" s="2" t="s">
        <v>35</v>
      </c>
      <c r="T105" s="150">
        <v>3.55</v>
      </c>
      <c r="U105" s="2" t="s">
        <v>204</v>
      </c>
      <c r="V105" s="162">
        <v>7.2499999999999995E-2</v>
      </c>
      <c r="W105" s="2" t="s">
        <v>801</v>
      </c>
      <c r="X105" s="2" t="s">
        <v>955</v>
      </c>
      <c r="Y105" s="150">
        <v>7.25</v>
      </c>
      <c r="Z105" s="164">
        <v>0.1195</v>
      </c>
      <c r="AA105" s="2" t="s">
        <v>1542</v>
      </c>
      <c r="AB105" s="4" t="s">
        <v>459</v>
      </c>
      <c r="AG105" s="2" t="s">
        <v>387</v>
      </c>
      <c r="AI105" s="2" t="s">
        <v>1543</v>
      </c>
      <c r="AJ105" s="2" t="s">
        <v>387</v>
      </c>
      <c r="AK105" s="2" t="s">
        <v>938</v>
      </c>
      <c r="AL105" s="2" t="s">
        <v>1377</v>
      </c>
      <c r="AN105" s="2" t="s">
        <v>1378</v>
      </c>
      <c r="AQ105" s="150">
        <v>1765488</v>
      </c>
      <c r="AR105" s="150">
        <v>97.85</v>
      </c>
      <c r="AS105" s="150">
        <v>1</v>
      </c>
      <c r="AT105" s="150">
        <v>1727.53</v>
      </c>
      <c r="AU105" s="150">
        <v>1727.53</v>
      </c>
      <c r="AX105" s="4" t="s">
        <v>387</v>
      </c>
      <c r="AY105" s="2" t="s">
        <v>37</v>
      </c>
      <c r="AZ105" s="164">
        <v>3.2171786779741397E-2</v>
      </c>
      <c r="BA105" s="164">
        <v>7.4543548334530401E-4</v>
      </c>
    </row>
    <row r="106" spans="1:53">
      <c r="A106" s="2" t="s">
        <v>128</v>
      </c>
      <c r="B106" s="2">
        <v>7228</v>
      </c>
      <c r="C106" s="2" t="s">
        <v>1544</v>
      </c>
      <c r="D106" s="2" t="s">
        <v>1380</v>
      </c>
      <c r="E106" s="2" t="s">
        <v>1545</v>
      </c>
      <c r="F106" s="2" t="s">
        <v>1546</v>
      </c>
      <c r="G106" s="2" t="s">
        <v>1084</v>
      </c>
      <c r="I106" s="2" t="s">
        <v>31</v>
      </c>
      <c r="J106" s="2" t="s">
        <v>31</v>
      </c>
      <c r="K106" s="2" t="s">
        <v>487</v>
      </c>
      <c r="L106" s="2" t="s">
        <v>164</v>
      </c>
      <c r="M106" s="2" t="s">
        <v>164</v>
      </c>
      <c r="O106" s="2" t="s">
        <v>1547</v>
      </c>
      <c r="P106" s="2" t="s">
        <v>1527</v>
      </c>
      <c r="Q106" s="2" t="s">
        <v>204</v>
      </c>
      <c r="R106" s="2" t="s">
        <v>454</v>
      </c>
      <c r="S106" s="2" t="s">
        <v>35</v>
      </c>
      <c r="T106" s="150">
        <v>1.26</v>
      </c>
      <c r="U106" s="2" t="s">
        <v>1397</v>
      </c>
      <c r="V106" s="162">
        <v>1.7999999999999999E-2</v>
      </c>
      <c r="W106" s="2" t="s">
        <v>801</v>
      </c>
      <c r="X106" s="2" t="s">
        <v>1392</v>
      </c>
      <c r="Y106" s="150">
        <v>1.8</v>
      </c>
      <c r="Z106" s="164">
        <v>5.0930000000000003E-2</v>
      </c>
      <c r="AA106" s="2" t="s">
        <v>1548</v>
      </c>
      <c r="AB106" s="4" t="s">
        <v>459</v>
      </c>
      <c r="AG106" s="2" t="s">
        <v>164</v>
      </c>
      <c r="AJ106" s="2" t="s">
        <v>164</v>
      </c>
      <c r="AK106" s="2" t="s">
        <v>204</v>
      </c>
      <c r="AN106" s="2" t="s">
        <v>1378</v>
      </c>
      <c r="AQ106" s="150">
        <v>2250000</v>
      </c>
      <c r="AR106" s="150">
        <v>97.89</v>
      </c>
      <c r="AS106" s="150">
        <v>1</v>
      </c>
      <c r="AT106" s="150">
        <v>2202.5250000000001</v>
      </c>
      <c r="AU106" s="150">
        <v>2202.5250000000001</v>
      </c>
      <c r="AX106" s="4" t="s">
        <v>164</v>
      </c>
      <c r="AY106" s="2" t="s">
        <v>37</v>
      </c>
      <c r="AZ106" s="164">
        <v>4.1017617262165698E-2</v>
      </c>
      <c r="BA106" s="164">
        <v>9.5039755046334099E-4</v>
      </c>
    </row>
    <row r="107" spans="1:53">
      <c r="A107" s="2" t="s">
        <v>128</v>
      </c>
      <c r="B107" s="2">
        <v>7228</v>
      </c>
      <c r="C107" s="2" t="s">
        <v>1544</v>
      </c>
      <c r="D107" s="2" t="s">
        <v>1380</v>
      </c>
      <c r="E107" s="2" t="s">
        <v>1549</v>
      </c>
      <c r="F107" s="2" t="s">
        <v>1550</v>
      </c>
      <c r="G107" s="2" t="s">
        <v>1084</v>
      </c>
      <c r="I107" s="2" t="s">
        <v>31</v>
      </c>
      <c r="J107" s="2" t="s">
        <v>31</v>
      </c>
      <c r="K107" s="2" t="s">
        <v>487</v>
      </c>
      <c r="L107" s="2" t="s">
        <v>164</v>
      </c>
      <c r="M107" s="2" t="s">
        <v>164</v>
      </c>
      <c r="O107" s="2" t="s">
        <v>1547</v>
      </c>
      <c r="P107" s="2" t="s">
        <v>1527</v>
      </c>
      <c r="Q107" s="2" t="s">
        <v>204</v>
      </c>
      <c r="R107" s="2" t="s">
        <v>454</v>
      </c>
      <c r="S107" s="2" t="s">
        <v>35</v>
      </c>
      <c r="T107" s="150">
        <v>1.75</v>
      </c>
      <c r="U107" s="2" t="s">
        <v>1397</v>
      </c>
      <c r="V107" s="162">
        <v>2.8000000000000001E-2</v>
      </c>
      <c r="W107" s="2" t="s">
        <v>801</v>
      </c>
      <c r="X107" s="2" t="s">
        <v>1392</v>
      </c>
      <c r="Y107" s="150">
        <v>2.8</v>
      </c>
      <c r="Z107" s="164">
        <v>5.2760000000000001E-2</v>
      </c>
      <c r="AA107" s="2" t="s">
        <v>1551</v>
      </c>
      <c r="AB107" s="4" t="s">
        <v>459</v>
      </c>
      <c r="AG107" s="2" t="s">
        <v>164</v>
      </c>
      <c r="AJ107" s="2" t="s">
        <v>164</v>
      </c>
      <c r="AK107" s="2" t="s">
        <v>204</v>
      </c>
      <c r="AN107" s="2" t="s">
        <v>1378</v>
      </c>
      <c r="AQ107" s="150">
        <v>2250000</v>
      </c>
      <c r="AR107" s="150">
        <v>96.66</v>
      </c>
      <c r="AS107" s="150">
        <v>1</v>
      </c>
      <c r="AT107" s="150">
        <v>2174.85</v>
      </c>
      <c r="AU107" s="150">
        <v>2174.85</v>
      </c>
      <c r="AX107" s="4" t="s">
        <v>164</v>
      </c>
      <c r="AY107" s="2" t="s">
        <v>37</v>
      </c>
      <c r="AZ107" s="164">
        <v>4.0502225810204698E-2</v>
      </c>
      <c r="BA107" s="164">
        <v>9.3845568727946201E-4</v>
      </c>
    </row>
    <row r="108" spans="1:53">
      <c r="A108" s="2" t="s">
        <v>128</v>
      </c>
      <c r="B108" s="2">
        <v>7228</v>
      </c>
      <c r="C108" s="2" t="s">
        <v>1552</v>
      </c>
      <c r="D108" s="2" t="s">
        <v>1380</v>
      </c>
      <c r="E108" s="2" t="s">
        <v>1553</v>
      </c>
      <c r="F108" s="2" t="s">
        <v>1554</v>
      </c>
      <c r="G108" s="2" t="s">
        <v>1084</v>
      </c>
      <c r="I108" s="2" t="s">
        <v>31</v>
      </c>
      <c r="J108" s="2" t="s">
        <v>31</v>
      </c>
      <c r="K108" s="2" t="s">
        <v>484</v>
      </c>
      <c r="L108" s="2" t="s">
        <v>164</v>
      </c>
      <c r="M108" s="2" t="s">
        <v>164</v>
      </c>
      <c r="O108" s="2" t="s">
        <v>1383</v>
      </c>
      <c r="P108" s="2" t="s">
        <v>1384</v>
      </c>
      <c r="Q108" s="2" t="s">
        <v>104</v>
      </c>
      <c r="R108" s="2" t="s">
        <v>454</v>
      </c>
      <c r="S108" s="2" t="s">
        <v>35</v>
      </c>
      <c r="T108" s="150">
        <v>5.27</v>
      </c>
      <c r="U108" s="2" t="s">
        <v>204</v>
      </c>
      <c r="V108" s="162">
        <v>3.5499999999999997E-2</v>
      </c>
      <c r="W108" s="2" t="s">
        <v>801</v>
      </c>
      <c r="X108" s="2" t="s">
        <v>955</v>
      </c>
      <c r="Y108" s="150">
        <v>3.55</v>
      </c>
      <c r="Z108" s="164">
        <v>2.4369999999999999E-2</v>
      </c>
      <c r="AA108" s="2" t="s">
        <v>1385</v>
      </c>
      <c r="AB108" s="4" t="s">
        <v>459</v>
      </c>
      <c r="AG108" s="2" t="s">
        <v>164</v>
      </c>
      <c r="AI108" s="2" t="s">
        <v>1386</v>
      </c>
      <c r="AJ108" s="2" t="s">
        <v>387</v>
      </c>
      <c r="AK108" s="2" t="s">
        <v>938</v>
      </c>
      <c r="AL108" s="2" t="s">
        <v>1377</v>
      </c>
      <c r="AN108" s="2" t="s">
        <v>1378</v>
      </c>
      <c r="AQ108" s="150">
        <v>3758435.61</v>
      </c>
      <c r="AR108" s="150">
        <v>109.33</v>
      </c>
      <c r="AS108" s="150">
        <v>1</v>
      </c>
      <c r="AT108" s="150">
        <v>4109.098</v>
      </c>
      <c r="AU108" s="150">
        <v>4109.098</v>
      </c>
      <c r="AX108" s="4" t="s">
        <v>164</v>
      </c>
      <c r="AY108" s="2" t="s">
        <v>37</v>
      </c>
      <c r="AZ108" s="164">
        <v>7.6523714736286705E-2</v>
      </c>
      <c r="BA108" s="164">
        <v>1.7730905862444199E-3</v>
      </c>
    </row>
    <row r="109" spans="1:53">
      <c r="A109" s="2" t="s">
        <v>128</v>
      </c>
      <c r="B109" s="2">
        <v>7228</v>
      </c>
      <c r="C109" s="2" t="s">
        <v>1555</v>
      </c>
      <c r="D109" s="2" t="s">
        <v>1380</v>
      </c>
      <c r="E109" s="2" t="s">
        <v>1561</v>
      </c>
      <c r="F109" s="2" t="s">
        <v>1562</v>
      </c>
      <c r="G109" s="2" t="s">
        <v>1083</v>
      </c>
      <c r="I109" s="2" t="s">
        <v>31</v>
      </c>
      <c r="J109" s="2" t="s">
        <v>31</v>
      </c>
      <c r="K109" s="2" t="s">
        <v>523</v>
      </c>
      <c r="L109" s="2" t="s">
        <v>164</v>
      </c>
      <c r="M109" s="2" t="s">
        <v>164</v>
      </c>
      <c r="O109" s="2" t="s">
        <v>1558</v>
      </c>
      <c r="P109" s="2" t="s">
        <v>1559</v>
      </c>
      <c r="Q109" s="2" t="s">
        <v>34</v>
      </c>
      <c r="R109" s="2" t="s">
        <v>454</v>
      </c>
      <c r="S109" s="2" t="s">
        <v>35</v>
      </c>
      <c r="T109" s="150">
        <v>2.867</v>
      </c>
      <c r="U109" s="2" t="s">
        <v>204</v>
      </c>
      <c r="V109" s="162">
        <v>0</v>
      </c>
      <c r="W109" s="2" t="s">
        <v>801</v>
      </c>
      <c r="X109" s="2" t="s">
        <v>1392</v>
      </c>
      <c r="Z109" s="164">
        <v>5.0799999999999998E-2</v>
      </c>
      <c r="AB109" s="4" t="s">
        <v>459</v>
      </c>
      <c r="AG109" s="2" t="s">
        <v>164</v>
      </c>
      <c r="AJ109" s="2" t="s">
        <v>164</v>
      </c>
      <c r="AK109" s="2" t="s">
        <v>204</v>
      </c>
      <c r="AN109" s="2" t="s">
        <v>1378</v>
      </c>
      <c r="AQ109" s="150">
        <v>31463149.879999999</v>
      </c>
      <c r="AR109" s="150">
        <v>101.687</v>
      </c>
      <c r="AS109" s="150">
        <v>1</v>
      </c>
      <c r="AT109" s="150">
        <v>31994.041000000001</v>
      </c>
      <c r="AU109" s="150">
        <v>31994.041000000001</v>
      </c>
      <c r="AX109" s="4" t="s">
        <v>164</v>
      </c>
      <c r="AY109" s="2" t="s">
        <v>37</v>
      </c>
      <c r="AZ109" s="164">
        <v>0.59582494365817396</v>
      </c>
      <c r="BA109" s="164">
        <v>1.3805545147548301E-2</v>
      </c>
    </row>
    <row r="110" spans="1:53">
      <c r="A110" s="2" t="s">
        <v>128</v>
      </c>
      <c r="B110" s="2">
        <v>7229</v>
      </c>
      <c r="C110" s="2" t="s">
        <v>1369</v>
      </c>
      <c r="D110" s="2" t="s">
        <v>34</v>
      </c>
      <c r="E110" s="2" t="s">
        <v>1370</v>
      </c>
      <c r="F110" s="2" t="s">
        <v>1371</v>
      </c>
      <c r="G110" s="2" t="s">
        <v>1084</v>
      </c>
      <c r="I110" s="2" t="s">
        <v>31</v>
      </c>
      <c r="J110" s="2" t="s">
        <v>31</v>
      </c>
      <c r="K110" s="2" t="s">
        <v>493</v>
      </c>
      <c r="L110" s="2" t="s">
        <v>164</v>
      </c>
      <c r="M110" s="2" t="s">
        <v>164</v>
      </c>
      <c r="O110" s="2" t="s">
        <v>1373</v>
      </c>
      <c r="P110" s="2" t="s">
        <v>1374</v>
      </c>
      <c r="Q110" s="2" t="s">
        <v>104</v>
      </c>
      <c r="R110" s="2" t="s">
        <v>454</v>
      </c>
      <c r="S110" s="2" t="s">
        <v>35</v>
      </c>
      <c r="T110" s="150">
        <v>1.63</v>
      </c>
      <c r="U110" s="2" t="s">
        <v>204</v>
      </c>
      <c r="V110" s="162">
        <v>5.5E-2</v>
      </c>
      <c r="W110" s="2" t="s">
        <v>801</v>
      </c>
      <c r="X110" s="2" t="s">
        <v>955</v>
      </c>
      <c r="Y110" s="150">
        <v>5.5</v>
      </c>
      <c r="Z110" s="164">
        <v>0.2452</v>
      </c>
      <c r="AA110" s="2" t="s">
        <v>1375</v>
      </c>
      <c r="AB110" s="4" t="s">
        <v>459</v>
      </c>
      <c r="AG110" s="2" t="s">
        <v>387</v>
      </c>
      <c r="AH110" s="2" t="s">
        <v>829</v>
      </c>
      <c r="AI110" s="2" t="s">
        <v>1376</v>
      </c>
      <c r="AJ110" s="2" t="s">
        <v>387</v>
      </c>
      <c r="AK110" s="2" t="s">
        <v>938</v>
      </c>
      <c r="AL110" s="2" t="s">
        <v>1377</v>
      </c>
      <c r="AN110" s="2" t="s">
        <v>1378</v>
      </c>
      <c r="AQ110" s="150">
        <v>123529</v>
      </c>
      <c r="AR110" s="150">
        <v>59.978000000000002</v>
      </c>
      <c r="AS110" s="150">
        <v>1</v>
      </c>
      <c r="AT110" s="150">
        <v>74.09</v>
      </c>
      <c r="AU110" s="150">
        <v>74.09</v>
      </c>
      <c r="AX110" s="4" t="s">
        <v>387</v>
      </c>
      <c r="AY110" s="2" t="s">
        <v>37</v>
      </c>
      <c r="AZ110" s="164">
        <v>5.5349555919092602E-2</v>
      </c>
      <c r="BA110" s="164">
        <v>5.1682939457784198E-4</v>
      </c>
    </row>
    <row r="111" spans="1:53">
      <c r="A111" s="2" t="s">
        <v>128</v>
      </c>
      <c r="B111" s="2">
        <v>7229</v>
      </c>
      <c r="C111" s="2" t="s">
        <v>1379</v>
      </c>
      <c r="D111" s="2" t="s">
        <v>1380</v>
      </c>
      <c r="E111" s="2" t="s">
        <v>1381</v>
      </c>
      <c r="F111" s="2" t="s">
        <v>1382</v>
      </c>
      <c r="G111" s="2" t="s">
        <v>1084</v>
      </c>
      <c r="I111" s="2" t="s">
        <v>31</v>
      </c>
      <c r="J111" s="2" t="s">
        <v>31</v>
      </c>
      <c r="K111" s="2" t="s">
        <v>484</v>
      </c>
      <c r="L111" s="2" t="s">
        <v>164</v>
      </c>
      <c r="M111" s="2" t="s">
        <v>164</v>
      </c>
      <c r="O111" s="2" t="s">
        <v>1383</v>
      </c>
      <c r="P111" s="2" t="s">
        <v>1384</v>
      </c>
      <c r="Q111" s="2" t="s">
        <v>104</v>
      </c>
      <c r="R111" s="2" t="s">
        <v>454</v>
      </c>
      <c r="S111" s="2" t="s">
        <v>35</v>
      </c>
      <c r="T111" s="150">
        <v>4.9000000000000004</v>
      </c>
      <c r="U111" s="2" t="s">
        <v>204</v>
      </c>
      <c r="V111" s="162">
        <v>3.5499999999999997E-2</v>
      </c>
      <c r="W111" s="2" t="s">
        <v>801</v>
      </c>
      <c r="X111" s="2" t="s">
        <v>955</v>
      </c>
      <c r="Y111" s="150">
        <v>3.55</v>
      </c>
      <c r="Z111" s="164">
        <v>5.425E-2</v>
      </c>
      <c r="AA111" s="2" t="s">
        <v>1385</v>
      </c>
      <c r="AB111" s="4" t="s">
        <v>459</v>
      </c>
      <c r="AG111" s="2" t="s">
        <v>164</v>
      </c>
      <c r="AI111" s="2" t="s">
        <v>1386</v>
      </c>
      <c r="AJ111" s="2" t="s">
        <v>387</v>
      </c>
      <c r="AK111" s="2" t="s">
        <v>938</v>
      </c>
      <c r="AL111" s="2" t="s">
        <v>1377</v>
      </c>
      <c r="AN111" s="2" t="s">
        <v>1378</v>
      </c>
      <c r="AQ111" s="150">
        <v>128473.49</v>
      </c>
      <c r="AR111" s="150">
        <v>109.09</v>
      </c>
      <c r="AS111" s="150">
        <v>1</v>
      </c>
      <c r="AT111" s="150">
        <v>140.15199999999999</v>
      </c>
      <c r="AU111" s="150">
        <v>140.15199999999999</v>
      </c>
      <c r="AX111" s="4" t="s">
        <v>164</v>
      </c>
      <c r="AY111" s="2" t="s">
        <v>37</v>
      </c>
      <c r="AZ111" s="164">
        <v>0.10470208240477601</v>
      </c>
      <c r="BA111" s="164">
        <v>9.7766121085776409E-4</v>
      </c>
    </row>
    <row r="112" spans="1:53">
      <c r="A112" s="2" t="s">
        <v>128</v>
      </c>
      <c r="B112" s="2">
        <v>7229</v>
      </c>
      <c r="C112" s="2" t="s">
        <v>1387</v>
      </c>
      <c r="D112" s="2" t="s">
        <v>34</v>
      </c>
      <c r="E112" s="2" t="s">
        <v>1388</v>
      </c>
      <c r="F112" s="2" t="s">
        <v>1389</v>
      </c>
      <c r="G112" s="2" t="s">
        <v>1084</v>
      </c>
      <c r="I112" s="2" t="s">
        <v>31</v>
      </c>
      <c r="J112" s="2" t="s">
        <v>31</v>
      </c>
      <c r="K112" s="2" t="s">
        <v>498</v>
      </c>
      <c r="L112" s="2" t="s">
        <v>164</v>
      </c>
      <c r="M112" s="2" t="s">
        <v>387</v>
      </c>
      <c r="O112" s="2" t="s">
        <v>1390</v>
      </c>
      <c r="P112" s="2" t="s">
        <v>1391</v>
      </c>
      <c r="Q112" s="2" t="s">
        <v>217</v>
      </c>
      <c r="R112" s="2" t="s">
        <v>454</v>
      </c>
      <c r="S112" s="2" t="s">
        <v>35</v>
      </c>
      <c r="T112" s="150">
        <v>3.44</v>
      </c>
      <c r="U112" s="2" t="s">
        <v>204</v>
      </c>
      <c r="V112" s="162">
        <v>5.5E-2</v>
      </c>
      <c r="W112" s="2" t="s">
        <v>801</v>
      </c>
      <c r="X112" s="2" t="s">
        <v>1392</v>
      </c>
      <c r="Y112" s="150">
        <v>5.5</v>
      </c>
      <c r="Z112" s="164">
        <v>2.8799999999999999E-2</v>
      </c>
      <c r="AA112" s="2" t="s">
        <v>1393</v>
      </c>
      <c r="AB112" s="4" t="s">
        <v>459</v>
      </c>
      <c r="AG112" s="2" t="s">
        <v>164</v>
      </c>
      <c r="AJ112" s="2" t="s">
        <v>164</v>
      </c>
      <c r="AK112" s="2" t="s">
        <v>204</v>
      </c>
      <c r="AN112" s="2" t="s">
        <v>1378</v>
      </c>
      <c r="AQ112" s="150">
        <v>4598.32</v>
      </c>
      <c r="AR112" s="150">
        <v>122.46</v>
      </c>
      <c r="AS112" s="150">
        <v>1</v>
      </c>
      <c r="AT112" s="150">
        <v>5.6310000000000002</v>
      </c>
      <c r="AU112" s="150">
        <v>5.6310000000000002</v>
      </c>
      <c r="AX112" s="4" t="s">
        <v>164</v>
      </c>
      <c r="AY112" s="2" t="s">
        <v>37</v>
      </c>
      <c r="AZ112" s="164">
        <v>4.2067848536700998E-3</v>
      </c>
      <c r="BA112" s="164">
        <v>3.9281075212593998E-5</v>
      </c>
    </row>
    <row r="113" spans="1:53">
      <c r="A113" s="2" t="s">
        <v>128</v>
      </c>
      <c r="B113" s="2">
        <v>7229</v>
      </c>
      <c r="C113" s="2" t="s">
        <v>1387</v>
      </c>
      <c r="D113" s="2" t="s">
        <v>34</v>
      </c>
      <c r="E113" s="2" t="s">
        <v>1394</v>
      </c>
      <c r="F113" s="2" t="s">
        <v>1395</v>
      </c>
      <c r="G113" s="2" t="s">
        <v>1084</v>
      </c>
      <c r="I113" s="2" t="s">
        <v>31</v>
      </c>
      <c r="J113" s="2" t="s">
        <v>31</v>
      </c>
      <c r="K113" s="2" t="s">
        <v>498</v>
      </c>
      <c r="L113" s="2" t="s">
        <v>164</v>
      </c>
      <c r="M113" s="2" t="s">
        <v>387</v>
      </c>
      <c r="O113" s="2" t="s">
        <v>1390</v>
      </c>
      <c r="P113" s="2" t="s">
        <v>1396</v>
      </c>
      <c r="Q113" s="2" t="s">
        <v>104</v>
      </c>
      <c r="R113" s="2" t="s">
        <v>454</v>
      </c>
      <c r="S113" s="2" t="s">
        <v>35</v>
      </c>
      <c r="T113" s="150">
        <v>3.21</v>
      </c>
      <c r="U113" s="2" t="s">
        <v>1397</v>
      </c>
      <c r="V113" s="162">
        <v>5.5E-2</v>
      </c>
      <c r="W113" s="2" t="s">
        <v>801</v>
      </c>
      <c r="X113" s="2" t="s">
        <v>1392</v>
      </c>
      <c r="Y113" s="150">
        <v>5.5</v>
      </c>
      <c r="Z113" s="164">
        <v>2.01E-2</v>
      </c>
      <c r="AA113" s="2" t="s">
        <v>1393</v>
      </c>
      <c r="AB113" s="4" t="s">
        <v>459</v>
      </c>
      <c r="AG113" s="2" t="s">
        <v>164</v>
      </c>
      <c r="AJ113" s="2" t="s">
        <v>164</v>
      </c>
      <c r="AK113" s="2" t="s">
        <v>204</v>
      </c>
      <c r="AN113" s="2" t="s">
        <v>1378</v>
      </c>
      <c r="AQ113" s="150">
        <v>6623.94</v>
      </c>
      <c r="AR113" s="150">
        <v>126.7</v>
      </c>
      <c r="AS113" s="150">
        <v>1</v>
      </c>
      <c r="AT113" s="150">
        <v>8.3930000000000007</v>
      </c>
      <c r="AU113" s="150">
        <v>8.3930000000000007</v>
      </c>
      <c r="AX113" s="4" t="s">
        <v>164</v>
      </c>
      <c r="AY113" s="2" t="s">
        <v>37</v>
      </c>
      <c r="AZ113" s="164">
        <v>6.2697447505190703E-3</v>
      </c>
      <c r="BA113" s="164">
        <v>5.8544071939891002E-5</v>
      </c>
    </row>
    <row r="114" spans="1:53">
      <c r="A114" s="2" t="s">
        <v>128</v>
      </c>
      <c r="B114" s="2">
        <v>7229</v>
      </c>
      <c r="C114" s="2" t="s">
        <v>1387</v>
      </c>
      <c r="D114" s="2" t="s">
        <v>34</v>
      </c>
      <c r="E114" s="2" t="s">
        <v>1398</v>
      </c>
      <c r="F114" s="2" t="s">
        <v>1399</v>
      </c>
      <c r="G114" s="2" t="s">
        <v>1084</v>
      </c>
      <c r="I114" s="2" t="s">
        <v>31</v>
      </c>
      <c r="J114" s="2" t="s">
        <v>31</v>
      </c>
      <c r="K114" s="2" t="s">
        <v>498</v>
      </c>
      <c r="L114" s="2" t="s">
        <v>164</v>
      </c>
      <c r="M114" s="2" t="s">
        <v>387</v>
      </c>
      <c r="O114" s="2" t="s">
        <v>1390</v>
      </c>
      <c r="P114" s="2" t="s">
        <v>1396</v>
      </c>
      <c r="Q114" s="2" t="s">
        <v>104</v>
      </c>
      <c r="R114" s="2" t="s">
        <v>454</v>
      </c>
      <c r="S114" s="2" t="s">
        <v>35</v>
      </c>
      <c r="T114" s="150">
        <v>3.21</v>
      </c>
      <c r="U114" s="2" t="s">
        <v>1397</v>
      </c>
      <c r="V114" s="162">
        <v>5.5E-2</v>
      </c>
      <c r="W114" s="2" t="s">
        <v>801</v>
      </c>
      <c r="X114" s="2" t="s">
        <v>1392</v>
      </c>
      <c r="Y114" s="150">
        <v>5.5</v>
      </c>
      <c r="Z114" s="164">
        <v>1.966E-2</v>
      </c>
      <c r="AA114" s="2" t="s">
        <v>1393</v>
      </c>
      <c r="AB114" s="4" t="s">
        <v>459</v>
      </c>
      <c r="AG114" s="2" t="s">
        <v>164</v>
      </c>
      <c r="AJ114" s="2" t="s">
        <v>164</v>
      </c>
      <c r="AK114" s="2" t="s">
        <v>204</v>
      </c>
      <c r="AN114" s="2" t="s">
        <v>1378</v>
      </c>
      <c r="AQ114" s="150">
        <v>729.82</v>
      </c>
      <c r="AR114" s="150">
        <v>126.7</v>
      </c>
      <c r="AS114" s="150">
        <v>1</v>
      </c>
      <c r="AT114" s="150">
        <v>0.92500000000000004</v>
      </c>
      <c r="AU114" s="150">
        <v>0.92500000000000004</v>
      </c>
      <c r="AX114" s="4" t="s">
        <v>164</v>
      </c>
      <c r="AY114" s="2" t="s">
        <v>37</v>
      </c>
      <c r="AZ114" s="164">
        <v>6.9079507269447296E-4</v>
      </c>
      <c r="BA114" s="164">
        <v>6.4503353869707897E-6</v>
      </c>
    </row>
    <row r="115" spans="1:53">
      <c r="A115" s="2" t="s">
        <v>128</v>
      </c>
      <c r="B115" s="2">
        <v>7229</v>
      </c>
      <c r="C115" s="2" t="s">
        <v>1387</v>
      </c>
      <c r="D115" s="2" t="s">
        <v>34</v>
      </c>
      <c r="E115" s="2" t="s">
        <v>1400</v>
      </c>
      <c r="F115" s="2" t="s">
        <v>1401</v>
      </c>
      <c r="G115" s="2" t="s">
        <v>1084</v>
      </c>
      <c r="I115" s="2" t="s">
        <v>31</v>
      </c>
      <c r="J115" s="2" t="s">
        <v>31</v>
      </c>
      <c r="K115" s="2" t="s">
        <v>498</v>
      </c>
      <c r="L115" s="2" t="s">
        <v>164</v>
      </c>
      <c r="M115" s="2" t="s">
        <v>387</v>
      </c>
      <c r="N115" s="2" t="s">
        <v>1387</v>
      </c>
      <c r="O115" s="2" t="s">
        <v>1402</v>
      </c>
      <c r="P115" s="2" t="s">
        <v>1396</v>
      </c>
      <c r="Q115" s="2" t="s">
        <v>104</v>
      </c>
      <c r="R115" s="2" t="s">
        <v>454</v>
      </c>
      <c r="S115" s="2" t="s">
        <v>35</v>
      </c>
      <c r="T115" s="150">
        <v>3.32</v>
      </c>
      <c r="U115" s="2" t="s">
        <v>204</v>
      </c>
      <c r="V115" s="162">
        <v>5.5300000000000002E-2</v>
      </c>
      <c r="W115" s="2" t="s">
        <v>801</v>
      </c>
      <c r="X115" s="2" t="s">
        <v>955</v>
      </c>
      <c r="Y115" s="150">
        <v>5.53</v>
      </c>
      <c r="Z115" s="164">
        <v>2.3369999999999998E-2</v>
      </c>
      <c r="AA115" s="2" t="s">
        <v>1403</v>
      </c>
      <c r="AB115" s="4" t="s">
        <v>459</v>
      </c>
      <c r="AC115" s="2" t="s">
        <v>530</v>
      </c>
      <c r="AD115" s="150">
        <v>4791</v>
      </c>
      <c r="AE115" s="150">
        <v>0.78</v>
      </c>
      <c r="AF115" s="2" t="s">
        <v>1404</v>
      </c>
      <c r="AG115" s="2" t="s">
        <v>164</v>
      </c>
      <c r="AI115" s="2" t="s">
        <v>1405</v>
      </c>
      <c r="AJ115" s="2" t="s">
        <v>387</v>
      </c>
      <c r="AK115" s="2" t="s">
        <v>938</v>
      </c>
      <c r="AL115" s="2" t="s">
        <v>1377</v>
      </c>
      <c r="AN115" s="2" t="s">
        <v>1378</v>
      </c>
      <c r="AO115" s="2" t="s">
        <v>1404</v>
      </c>
      <c r="AP115" s="151">
        <v>0</v>
      </c>
      <c r="AQ115" s="150">
        <v>9120.9699999999993</v>
      </c>
      <c r="AR115" s="150">
        <v>128.29</v>
      </c>
      <c r="AS115" s="150">
        <v>1</v>
      </c>
      <c r="AT115" s="150">
        <v>11.701000000000001</v>
      </c>
      <c r="AU115" s="150">
        <v>11.701000000000001</v>
      </c>
      <c r="AX115" s="4" t="s">
        <v>164</v>
      </c>
      <c r="AY115" s="2" t="s">
        <v>37</v>
      </c>
      <c r="AZ115" s="164">
        <v>8.7415951295184008E-3</v>
      </c>
      <c r="BA115" s="164">
        <v>8.1625105087341395E-5</v>
      </c>
    </row>
    <row r="116" spans="1:53">
      <c r="A116" s="2" t="s">
        <v>128</v>
      </c>
      <c r="B116" s="2">
        <v>7229</v>
      </c>
      <c r="C116" s="2" t="s">
        <v>1387</v>
      </c>
      <c r="D116" s="2" t="s">
        <v>34</v>
      </c>
      <c r="E116" s="2" t="s">
        <v>1406</v>
      </c>
      <c r="F116" s="2" t="s">
        <v>1407</v>
      </c>
      <c r="G116" s="2" t="s">
        <v>1084</v>
      </c>
      <c r="I116" s="2" t="s">
        <v>31</v>
      </c>
      <c r="J116" s="2" t="s">
        <v>31</v>
      </c>
      <c r="K116" s="2" t="s">
        <v>498</v>
      </c>
      <c r="L116" s="2" t="s">
        <v>164</v>
      </c>
      <c r="M116" s="2" t="s">
        <v>387</v>
      </c>
      <c r="N116" s="2" t="s">
        <v>1387</v>
      </c>
      <c r="O116" s="2" t="s">
        <v>1408</v>
      </c>
      <c r="P116" s="2" t="s">
        <v>1396</v>
      </c>
      <c r="Q116" s="2" t="s">
        <v>104</v>
      </c>
      <c r="R116" s="2" t="s">
        <v>454</v>
      </c>
      <c r="S116" s="2" t="s">
        <v>35</v>
      </c>
      <c r="T116" s="150">
        <v>3.32</v>
      </c>
      <c r="U116" s="2" t="s">
        <v>204</v>
      </c>
      <c r="V116" s="162">
        <v>5.5301000000000003E-2</v>
      </c>
      <c r="W116" s="2" t="s">
        <v>801</v>
      </c>
      <c r="X116" s="2" t="s">
        <v>955</v>
      </c>
      <c r="Y116" s="150">
        <v>5.5301</v>
      </c>
      <c r="Z116" s="164">
        <v>2.3369999999999998E-2</v>
      </c>
      <c r="AA116" s="2" t="s">
        <v>1403</v>
      </c>
      <c r="AB116" s="4" t="s">
        <v>459</v>
      </c>
      <c r="AC116" s="2" t="s">
        <v>530</v>
      </c>
      <c r="AD116" s="150">
        <v>4596</v>
      </c>
      <c r="AE116" s="150">
        <v>0.78</v>
      </c>
      <c r="AF116" s="2" t="s">
        <v>1404</v>
      </c>
      <c r="AG116" s="2" t="s">
        <v>164</v>
      </c>
      <c r="AI116" s="2" t="s">
        <v>1405</v>
      </c>
      <c r="AJ116" s="2" t="s">
        <v>387</v>
      </c>
      <c r="AK116" s="2" t="s">
        <v>938</v>
      </c>
      <c r="AL116" s="2" t="s">
        <v>1377</v>
      </c>
      <c r="AN116" s="2" t="s">
        <v>1378</v>
      </c>
      <c r="AO116" s="2" t="s">
        <v>1404</v>
      </c>
      <c r="AP116" s="151">
        <v>0</v>
      </c>
      <c r="AQ116" s="150">
        <v>8750.76</v>
      </c>
      <c r="AR116" s="150">
        <v>128.29</v>
      </c>
      <c r="AS116" s="150">
        <v>1</v>
      </c>
      <c r="AT116" s="150">
        <v>11.226000000000001</v>
      </c>
      <c r="AU116" s="150">
        <v>11.226000000000001</v>
      </c>
      <c r="AX116" s="4" t="s">
        <v>164</v>
      </c>
      <c r="AY116" s="2" t="s">
        <v>37</v>
      </c>
      <c r="AZ116" s="164">
        <v>8.3867835324076805E-3</v>
      </c>
      <c r="BA116" s="164">
        <v>7.8312033105481496E-5</v>
      </c>
    </row>
    <row r="117" spans="1:53">
      <c r="A117" s="2" t="s">
        <v>128</v>
      </c>
      <c r="B117" s="2">
        <v>7229</v>
      </c>
      <c r="C117" s="2" t="s">
        <v>1387</v>
      </c>
      <c r="D117" s="2" t="s">
        <v>34</v>
      </c>
      <c r="E117" s="2" t="s">
        <v>1409</v>
      </c>
      <c r="F117" s="2" t="s">
        <v>1410</v>
      </c>
      <c r="G117" s="2" t="s">
        <v>1084</v>
      </c>
      <c r="I117" s="2" t="s">
        <v>31</v>
      </c>
      <c r="J117" s="2" t="s">
        <v>31</v>
      </c>
      <c r="K117" s="2" t="s">
        <v>498</v>
      </c>
      <c r="L117" s="2" t="s">
        <v>164</v>
      </c>
      <c r="M117" s="2" t="s">
        <v>387</v>
      </c>
      <c r="N117" s="2" t="s">
        <v>1387</v>
      </c>
      <c r="O117" s="2" t="s">
        <v>1411</v>
      </c>
      <c r="P117" s="2" t="s">
        <v>1396</v>
      </c>
      <c r="Q117" s="2" t="s">
        <v>104</v>
      </c>
      <c r="R117" s="2" t="s">
        <v>454</v>
      </c>
      <c r="S117" s="2" t="s">
        <v>35</v>
      </c>
      <c r="T117" s="150">
        <v>3.32</v>
      </c>
      <c r="U117" s="2" t="s">
        <v>204</v>
      </c>
      <c r="V117" s="162">
        <v>5.5300000000000002E-2</v>
      </c>
      <c r="W117" s="2" t="s">
        <v>801</v>
      </c>
      <c r="X117" s="2" t="s">
        <v>955</v>
      </c>
      <c r="Y117" s="150">
        <v>5.53</v>
      </c>
      <c r="Z117" s="164">
        <v>2.333E-2</v>
      </c>
      <c r="AA117" s="2" t="s">
        <v>1403</v>
      </c>
      <c r="AB117" s="4" t="s">
        <v>459</v>
      </c>
      <c r="AC117" s="2" t="s">
        <v>530</v>
      </c>
      <c r="AD117" s="150">
        <v>4622</v>
      </c>
      <c r="AE117" s="150">
        <v>0.78</v>
      </c>
      <c r="AF117" s="2" t="s">
        <v>1404</v>
      </c>
      <c r="AG117" s="2" t="s">
        <v>164</v>
      </c>
      <c r="AI117" s="2" t="s">
        <v>1405</v>
      </c>
      <c r="AJ117" s="2" t="s">
        <v>387</v>
      </c>
      <c r="AK117" s="2" t="s">
        <v>938</v>
      </c>
      <c r="AL117" s="2" t="s">
        <v>1377</v>
      </c>
      <c r="AN117" s="2" t="s">
        <v>1378</v>
      </c>
      <c r="AO117" s="2" t="s">
        <v>1404</v>
      </c>
      <c r="AP117" s="151">
        <v>0</v>
      </c>
      <c r="AQ117" s="150">
        <v>8800.69</v>
      </c>
      <c r="AR117" s="150">
        <v>126.7</v>
      </c>
      <c r="AS117" s="150">
        <v>1</v>
      </c>
      <c r="AT117" s="150">
        <v>11.15</v>
      </c>
      <c r="AU117" s="150">
        <v>11.15</v>
      </c>
      <c r="AX117" s="4" t="s">
        <v>164</v>
      </c>
      <c r="AY117" s="2" t="s">
        <v>37</v>
      </c>
      <c r="AZ117" s="164">
        <v>8.3300995975877992E-3</v>
      </c>
      <c r="BA117" s="164">
        <v>7.7782743877613595E-5</v>
      </c>
    </row>
    <row r="118" spans="1:53">
      <c r="A118" s="2" t="s">
        <v>128</v>
      </c>
      <c r="B118" s="2">
        <v>7229</v>
      </c>
      <c r="C118" s="2" t="s">
        <v>1387</v>
      </c>
      <c r="D118" s="2" t="s">
        <v>34</v>
      </c>
      <c r="E118" s="2" t="s">
        <v>1412</v>
      </c>
      <c r="F118" s="2" t="s">
        <v>1413</v>
      </c>
      <c r="G118" s="2" t="s">
        <v>1084</v>
      </c>
      <c r="I118" s="2" t="s">
        <v>31</v>
      </c>
      <c r="J118" s="2" t="s">
        <v>31</v>
      </c>
      <c r="K118" s="2" t="s">
        <v>498</v>
      </c>
      <c r="L118" s="2" t="s">
        <v>164</v>
      </c>
      <c r="M118" s="2" t="s">
        <v>387</v>
      </c>
      <c r="N118" s="2" t="s">
        <v>1387</v>
      </c>
      <c r="O118" s="2" t="s">
        <v>1414</v>
      </c>
      <c r="P118" s="2" t="s">
        <v>1396</v>
      </c>
      <c r="Q118" s="2" t="s">
        <v>104</v>
      </c>
      <c r="R118" s="2" t="s">
        <v>454</v>
      </c>
      <c r="S118" s="2" t="s">
        <v>35</v>
      </c>
      <c r="T118" s="150">
        <v>3.32</v>
      </c>
      <c r="U118" s="2" t="s">
        <v>204</v>
      </c>
      <c r="V118" s="162">
        <v>5.5E-2</v>
      </c>
      <c r="W118" s="2" t="s">
        <v>801</v>
      </c>
      <c r="X118" s="2" t="s">
        <v>1392</v>
      </c>
      <c r="Y118" s="150">
        <v>5.5</v>
      </c>
      <c r="Z118" s="164">
        <v>2.333E-2</v>
      </c>
      <c r="AA118" s="2" t="s">
        <v>1403</v>
      </c>
      <c r="AB118" s="4" t="s">
        <v>459</v>
      </c>
      <c r="AC118" s="2" t="s">
        <v>530</v>
      </c>
      <c r="AD118" s="150">
        <v>3155</v>
      </c>
      <c r="AE118" s="150">
        <v>0.78</v>
      </c>
      <c r="AF118" s="2" t="s">
        <v>1404</v>
      </c>
      <c r="AG118" s="2" t="s">
        <v>164</v>
      </c>
      <c r="AI118" s="2" t="s">
        <v>1405</v>
      </c>
      <c r="AJ118" s="2" t="s">
        <v>387</v>
      </c>
      <c r="AK118" s="2" t="s">
        <v>204</v>
      </c>
      <c r="AN118" s="2" t="s">
        <v>1378</v>
      </c>
      <c r="AO118" s="2" t="s">
        <v>1404</v>
      </c>
      <c r="AP118" s="151">
        <v>0</v>
      </c>
      <c r="AQ118" s="150">
        <v>2779.16</v>
      </c>
      <c r="AR118" s="150">
        <v>126.19</v>
      </c>
      <c r="AS118" s="150">
        <v>1</v>
      </c>
      <c r="AT118" s="150">
        <v>3.5070000000000001</v>
      </c>
      <c r="AU118" s="150">
        <v>3.5070000000000001</v>
      </c>
      <c r="AX118" s="4" t="s">
        <v>164</v>
      </c>
      <c r="AY118" s="2" t="s">
        <v>37</v>
      </c>
      <c r="AZ118" s="164">
        <v>2.6199641362026601E-3</v>
      </c>
      <c r="BA118" s="164">
        <v>2.4464053158955799E-5</v>
      </c>
    </row>
    <row r="119" spans="1:53">
      <c r="A119" s="2" t="s">
        <v>128</v>
      </c>
      <c r="B119" s="2">
        <v>7229</v>
      </c>
      <c r="C119" s="2" t="s">
        <v>1387</v>
      </c>
      <c r="D119" s="2" t="s">
        <v>34</v>
      </c>
      <c r="E119" s="2" t="s">
        <v>1415</v>
      </c>
      <c r="F119" s="2" t="s">
        <v>1416</v>
      </c>
      <c r="G119" s="2" t="s">
        <v>1084</v>
      </c>
      <c r="I119" s="2" t="s">
        <v>31</v>
      </c>
      <c r="J119" s="2" t="s">
        <v>31</v>
      </c>
      <c r="K119" s="2" t="s">
        <v>498</v>
      </c>
      <c r="L119" s="2" t="s">
        <v>164</v>
      </c>
      <c r="M119" s="2" t="s">
        <v>387</v>
      </c>
      <c r="N119" s="2" t="s">
        <v>1387</v>
      </c>
      <c r="O119" s="2" t="s">
        <v>1417</v>
      </c>
      <c r="P119" s="2" t="s">
        <v>1396</v>
      </c>
      <c r="Q119" s="2" t="s">
        <v>104</v>
      </c>
      <c r="R119" s="2" t="s">
        <v>454</v>
      </c>
      <c r="S119" s="2" t="s">
        <v>35</v>
      </c>
      <c r="T119" s="150">
        <v>3.32</v>
      </c>
      <c r="U119" s="2" t="s">
        <v>1397</v>
      </c>
      <c r="V119" s="162">
        <v>5.6132000000000001E-2</v>
      </c>
      <c r="W119" s="2" t="s">
        <v>801</v>
      </c>
      <c r="X119" s="2" t="s">
        <v>955</v>
      </c>
      <c r="Y119" s="150">
        <v>5.6132</v>
      </c>
      <c r="Z119" s="164">
        <v>2.3130000000000001E-2</v>
      </c>
      <c r="AA119" s="2" t="s">
        <v>1403</v>
      </c>
      <c r="AB119" s="4" t="s">
        <v>459</v>
      </c>
      <c r="AC119" s="2" t="s">
        <v>530</v>
      </c>
      <c r="AD119" s="150">
        <v>465</v>
      </c>
      <c r="AE119" s="150">
        <v>0.78</v>
      </c>
      <c r="AF119" s="2" t="s">
        <v>1404</v>
      </c>
      <c r="AG119" s="2" t="s">
        <v>164</v>
      </c>
      <c r="AI119" s="2" t="s">
        <v>1405</v>
      </c>
      <c r="AJ119" s="2" t="s">
        <v>387</v>
      </c>
      <c r="AK119" s="2" t="s">
        <v>938</v>
      </c>
      <c r="AL119" s="2" t="s">
        <v>1377</v>
      </c>
      <c r="AN119" s="2" t="s">
        <v>1378</v>
      </c>
      <c r="AO119" s="2" t="s">
        <v>1404</v>
      </c>
      <c r="AP119" s="151">
        <v>0</v>
      </c>
      <c r="AQ119" s="150">
        <v>408.17</v>
      </c>
      <c r="AR119" s="150">
        <v>128.9</v>
      </c>
      <c r="AS119" s="150">
        <v>1</v>
      </c>
      <c r="AT119" s="150">
        <v>0.52600000000000002</v>
      </c>
      <c r="AU119" s="150">
        <v>0.52600000000000002</v>
      </c>
      <c r="AX119" s="4" t="s">
        <v>164</v>
      </c>
      <c r="AY119" s="2" t="s">
        <v>37</v>
      </c>
      <c r="AZ119" s="164">
        <v>3.9305276384566903E-4</v>
      </c>
      <c r="BA119" s="164">
        <v>3.6701508910468501E-6</v>
      </c>
    </row>
    <row r="120" spans="1:53">
      <c r="A120" s="2" t="s">
        <v>128</v>
      </c>
      <c r="B120" s="2">
        <v>7229</v>
      </c>
      <c r="C120" s="2" t="s">
        <v>1387</v>
      </c>
      <c r="D120" s="2" t="s">
        <v>34</v>
      </c>
      <c r="E120" s="2" t="s">
        <v>1418</v>
      </c>
      <c r="F120" s="2" t="s">
        <v>1419</v>
      </c>
      <c r="G120" s="2" t="s">
        <v>1084</v>
      </c>
      <c r="I120" s="2" t="s">
        <v>31</v>
      </c>
      <c r="J120" s="2" t="s">
        <v>31</v>
      </c>
      <c r="K120" s="2" t="s">
        <v>498</v>
      </c>
      <c r="L120" s="2" t="s">
        <v>164</v>
      </c>
      <c r="M120" s="2" t="s">
        <v>387</v>
      </c>
      <c r="O120" s="2" t="s">
        <v>1390</v>
      </c>
      <c r="P120" s="2" t="s">
        <v>1396</v>
      </c>
      <c r="Q120" s="2" t="s">
        <v>104</v>
      </c>
      <c r="R120" s="2" t="s">
        <v>454</v>
      </c>
      <c r="S120" s="2" t="s">
        <v>35</v>
      </c>
      <c r="T120" s="150">
        <v>3.2</v>
      </c>
      <c r="U120" s="2" t="s">
        <v>1397</v>
      </c>
      <c r="V120" s="162">
        <v>5.6691999999999999E-2</v>
      </c>
      <c r="W120" s="2" t="s">
        <v>801</v>
      </c>
      <c r="X120" s="2" t="s">
        <v>1392</v>
      </c>
      <c r="Y120" s="150">
        <v>5.6692</v>
      </c>
      <c r="Z120" s="164">
        <v>2.1930000000000002E-2</v>
      </c>
      <c r="AA120" s="2" t="s">
        <v>1420</v>
      </c>
      <c r="AB120" s="4" t="s">
        <v>459</v>
      </c>
      <c r="AG120" s="2" t="s">
        <v>164</v>
      </c>
      <c r="AJ120" s="2" t="s">
        <v>164</v>
      </c>
      <c r="AK120" s="2" t="s">
        <v>204</v>
      </c>
      <c r="AN120" s="2" t="s">
        <v>1378</v>
      </c>
      <c r="AQ120" s="150">
        <v>821.87</v>
      </c>
      <c r="AR120" s="150">
        <v>129.34</v>
      </c>
      <c r="AS120" s="150">
        <v>1</v>
      </c>
      <c r="AT120" s="150">
        <v>1.0629999999999999</v>
      </c>
      <c r="AU120" s="150">
        <v>1.0629999999999999</v>
      </c>
      <c r="AX120" s="4" t="s">
        <v>164</v>
      </c>
      <c r="AY120" s="2" t="s">
        <v>37</v>
      </c>
      <c r="AZ120" s="164">
        <v>7.9413226302205001E-4</v>
      </c>
      <c r="BA120" s="164">
        <v>7.4152518461460996E-6</v>
      </c>
    </row>
    <row r="121" spans="1:53">
      <c r="A121" s="2" t="s">
        <v>128</v>
      </c>
      <c r="B121" s="2">
        <v>7229</v>
      </c>
      <c r="C121" s="2" t="s">
        <v>1387</v>
      </c>
      <c r="D121" s="2" t="s">
        <v>34</v>
      </c>
      <c r="E121" s="2" t="s">
        <v>1421</v>
      </c>
      <c r="F121" s="2" t="s">
        <v>1422</v>
      </c>
      <c r="G121" s="2" t="s">
        <v>1084</v>
      </c>
      <c r="I121" s="2" t="s">
        <v>31</v>
      </c>
      <c r="J121" s="2" t="s">
        <v>31</v>
      </c>
      <c r="K121" s="2" t="s">
        <v>498</v>
      </c>
      <c r="L121" s="2" t="s">
        <v>164</v>
      </c>
      <c r="M121" s="2" t="s">
        <v>387</v>
      </c>
      <c r="N121" s="2" t="s">
        <v>1387</v>
      </c>
      <c r="O121" s="2" t="s">
        <v>1423</v>
      </c>
      <c r="P121" s="2" t="s">
        <v>1396</v>
      </c>
      <c r="Q121" s="2" t="s">
        <v>104</v>
      </c>
      <c r="R121" s="2" t="s">
        <v>454</v>
      </c>
      <c r="S121" s="2" t="s">
        <v>35</v>
      </c>
      <c r="T121" s="150">
        <v>3.32</v>
      </c>
      <c r="U121" s="2" t="s">
        <v>1397</v>
      </c>
      <c r="V121" s="162">
        <v>5.5E-2</v>
      </c>
      <c r="W121" s="2" t="s">
        <v>801</v>
      </c>
      <c r="X121" s="2" t="s">
        <v>955</v>
      </c>
      <c r="Y121" s="150">
        <v>5.5</v>
      </c>
      <c r="Z121" s="164">
        <v>2.2169999999999999E-2</v>
      </c>
      <c r="AA121" s="2" t="s">
        <v>1403</v>
      </c>
      <c r="AB121" s="4" t="s">
        <v>459</v>
      </c>
      <c r="AC121" s="2" t="s">
        <v>530</v>
      </c>
      <c r="AD121" s="150">
        <v>562</v>
      </c>
      <c r="AE121" s="150">
        <v>0.78</v>
      </c>
      <c r="AF121" s="2" t="s">
        <v>1404</v>
      </c>
      <c r="AG121" s="2" t="s">
        <v>164</v>
      </c>
      <c r="AI121" s="2" t="s">
        <v>1405</v>
      </c>
      <c r="AJ121" s="2" t="s">
        <v>387</v>
      </c>
      <c r="AK121" s="2" t="s">
        <v>938</v>
      </c>
      <c r="AL121" s="2" t="s">
        <v>1377</v>
      </c>
      <c r="AN121" s="2" t="s">
        <v>1378</v>
      </c>
      <c r="AO121" s="2" t="s">
        <v>1404</v>
      </c>
      <c r="AP121" s="151">
        <v>0</v>
      </c>
      <c r="AQ121" s="150">
        <v>493.16</v>
      </c>
      <c r="AR121" s="150">
        <v>129.29</v>
      </c>
      <c r="AS121" s="150">
        <v>1</v>
      </c>
      <c r="AT121" s="150">
        <v>0.63800000000000001</v>
      </c>
      <c r="AU121" s="150">
        <v>0.63800000000000001</v>
      </c>
      <c r="AX121" s="4" t="s">
        <v>164</v>
      </c>
      <c r="AY121" s="2" t="s">
        <v>37</v>
      </c>
      <c r="AZ121" s="164">
        <v>4.7633186469377099E-4</v>
      </c>
      <c r="BA121" s="164">
        <v>4.4477738829137901E-6</v>
      </c>
    </row>
    <row r="122" spans="1:53">
      <c r="A122" s="2" t="s">
        <v>128</v>
      </c>
      <c r="B122" s="2">
        <v>7229</v>
      </c>
      <c r="C122" s="2" t="s">
        <v>1387</v>
      </c>
      <c r="D122" s="2" t="s">
        <v>34</v>
      </c>
      <c r="E122" s="2" t="s">
        <v>1424</v>
      </c>
      <c r="F122" s="2" t="s">
        <v>1425</v>
      </c>
      <c r="G122" s="2" t="s">
        <v>1084</v>
      </c>
      <c r="I122" s="2" t="s">
        <v>31</v>
      </c>
      <c r="J122" s="2" t="s">
        <v>31</v>
      </c>
      <c r="K122" s="2" t="s">
        <v>498</v>
      </c>
      <c r="L122" s="2" t="s">
        <v>164</v>
      </c>
      <c r="M122" s="2" t="s">
        <v>387</v>
      </c>
      <c r="N122" s="2" t="s">
        <v>1387</v>
      </c>
      <c r="O122" s="2" t="s">
        <v>1426</v>
      </c>
      <c r="P122" s="2" t="s">
        <v>1396</v>
      </c>
      <c r="Q122" s="2" t="s">
        <v>104</v>
      </c>
      <c r="R122" s="2" t="s">
        <v>454</v>
      </c>
      <c r="S122" s="2" t="s">
        <v>35</v>
      </c>
      <c r="T122" s="150">
        <v>3.32</v>
      </c>
      <c r="U122" s="2" t="s">
        <v>1397</v>
      </c>
      <c r="V122" s="162">
        <v>5.5E-2</v>
      </c>
      <c r="W122" s="2" t="s">
        <v>801</v>
      </c>
      <c r="X122" s="2" t="s">
        <v>955</v>
      </c>
      <c r="Y122" s="150">
        <v>5.5</v>
      </c>
      <c r="Z122" s="164">
        <v>2.3359999999999999E-2</v>
      </c>
      <c r="AA122" s="2" t="s">
        <v>1403</v>
      </c>
      <c r="AB122" s="4" t="s">
        <v>459</v>
      </c>
      <c r="AC122" s="2" t="s">
        <v>530</v>
      </c>
      <c r="AD122" s="150">
        <v>4665</v>
      </c>
      <c r="AE122" s="150">
        <v>0.78</v>
      </c>
      <c r="AF122" s="2" t="s">
        <v>1404</v>
      </c>
      <c r="AG122" s="2" t="s">
        <v>164</v>
      </c>
      <c r="AI122" s="2" t="s">
        <v>1405</v>
      </c>
      <c r="AJ122" s="2" t="s">
        <v>387</v>
      </c>
      <c r="AK122" s="2" t="s">
        <v>938</v>
      </c>
      <c r="AL122" s="2" t="s">
        <v>1377</v>
      </c>
      <c r="AN122" s="2" t="s">
        <v>1378</v>
      </c>
      <c r="AO122" s="2" t="s">
        <v>1404</v>
      </c>
      <c r="AP122" s="151">
        <v>0</v>
      </c>
      <c r="AQ122" s="150">
        <v>8881.48</v>
      </c>
      <c r="AR122" s="150">
        <v>128.94</v>
      </c>
      <c r="AS122" s="150">
        <v>1</v>
      </c>
      <c r="AT122" s="150">
        <v>11.452</v>
      </c>
      <c r="AU122" s="150">
        <v>11.452</v>
      </c>
      <c r="AX122" s="4" t="s">
        <v>164</v>
      </c>
      <c r="AY122" s="2" t="s">
        <v>37</v>
      </c>
      <c r="AZ122" s="164">
        <v>8.5551940304026894E-3</v>
      </c>
      <c r="BA122" s="164">
        <v>7.9884575003496893E-5</v>
      </c>
    </row>
    <row r="123" spans="1:53">
      <c r="A123" s="2" t="s">
        <v>128</v>
      </c>
      <c r="B123" s="2">
        <v>7229</v>
      </c>
      <c r="C123" s="2" t="s">
        <v>1387</v>
      </c>
      <c r="D123" s="2" t="s">
        <v>34</v>
      </c>
      <c r="E123" s="2" t="s">
        <v>1427</v>
      </c>
      <c r="F123" s="2" t="s">
        <v>1428</v>
      </c>
      <c r="G123" s="2" t="s">
        <v>1084</v>
      </c>
      <c r="I123" s="2" t="s">
        <v>31</v>
      </c>
      <c r="J123" s="2" t="s">
        <v>31</v>
      </c>
      <c r="K123" s="2" t="s">
        <v>498</v>
      </c>
      <c r="L123" s="2" t="s">
        <v>164</v>
      </c>
      <c r="M123" s="2" t="s">
        <v>387</v>
      </c>
      <c r="N123" s="2" t="s">
        <v>1387</v>
      </c>
      <c r="O123" s="2" t="s">
        <v>1429</v>
      </c>
      <c r="P123" s="2" t="s">
        <v>1396</v>
      </c>
      <c r="Q123" s="2" t="s">
        <v>104</v>
      </c>
      <c r="R123" s="2" t="s">
        <v>454</v>
      </c>
      <c r="S123" s="2" t="s">
        <v>35</v>
      </c>
      <c r="T123" s="150">
        <v>3.46</v>
      </c>
      <c r="U123" s="2" t="s">
        <v>1397</v>
      </c>
      <c r="V123" s="162">
        <v>5.5E-2</v>
      </c>
      <c r="W123" s="2" t="s">
        <v>801</v>
      </c>
      <c r="X123" s="2" t="s">
        <v>955</v>
      </c>
      <c r="Y123" s="150">
        <v>5.5</v>
      </c>
      <c r="Z123" s="164">
        <v>2.3599999999999999E-2</v>
      </c>
      <c r="AA123" s="2" t="s">
        <v>1393</v>
      </c>
      <c r="AB123" s="4" t="s">
        <v>459</v>
      </c>
      <c r="AC123" s="2" t="s">
        <v>530</v>
      </c>
      <c r="AD123" s="150">
        <v>534</v>
      </c>
      <c r="AE123" s="150">
        <v>0.78</v>
      </c>
      <c r="AF123" s="2" t="s">
        <v>1404</v>
      </c>
      <c r="AG123" s="2" t="s">
        <v>164</v>
      </c>
      <c r="AI123" s="2" t="s">
        <v>1405</v>
      </c>
      <c r="AJ123" s="2" t="s">
        <v>387</v>
      </c>
      <c r="AK123" s="2" t="s">
        <v>938</v>
      </c>
      <c r="AL123" s="2" t="s">
        <v>1377</v>
      </c>
      <c r="AN123" s="2" t="s">
        <v>1378</v>
      </c>
      <c r="AO123" s="2" t="s">
        <v>1404</v>
      </c>
      <c r="AP123" s="151">
        <v>0</v>
      </c>
      <c r="AQ123" s="150">
        <v>1016.76</v>
      </c>
      <c r="AR123" s="150">
        <v>126.1</v>
      </c>
      <c r="AS123" s="150">
        <v>1</v>
      </c>
      <c r="AT123" s="150">
        <v>1.282</v>
      </c>
      <c r="AU123" s="150">
        <v>1.282</v>
      </c>
      <c r="AX123" s="4" t="s">
        <v>164</v>
      </c>
      <c r="AY123" s="2" t="s">
        <v>37</v>
      </c>
      <c r="AZ123" s="164">
        <v>9.5783432130217905E-4</v>
      </c>
      <c r="BA123" s="164">
        <v>8.9438284402517294E-6</v>
      </c>
    </row>
    <row r="124" spans="1:53">
      <c r="A124" s="2" t="s">
        <v>128</v>
      </c>
      <c r="B124" s="2">
        <v>7229</v>
      </c>
      <c r="C124" s="2" t="s">
        <v>1387</v>
      </c>
      <c r="D124" s="2" t="s">
        <v>34</v>
      </c>
      <c r="E124" s="2" t="s">
        <v>1430</v>
      </c>
      <c r="F124" s="2" t="s">
        <v>1431</v>
      </c>
      <c r="G124" s="2" t="s">
        <v>1084</v>
      </c>
      <c r="I124" s="2" t="s">
        <v>31</v>
      </c>
      <c r="J124" s="2" t="s">
        <v>31</v>
      </c>
      <c r="K124" s="2" t="s">
        <v>498</v>
      </c>
      <c r="L124" s="2" t="s">
        <v>164</v>
      </c>
      <c r="M124" s="2" t="s">
        <v>387</v>
      </c>
      <c r="O124" s="2" t="s">
        <v>1390</v>
      </c>
      <c r="P124" s="2" t="s">
        <v>1391</v>
      </c>
      <c r="Q124" s="2" t="s">
        <v>217</v>
      </c>
      <c r="R124" s="2" t="s">
        <v>454</v>
      </c>
      <c r="S124" s="2" t="s">
        <v>35</v>
      </c>
      <c r="T124" s="150">
        <v>3.46</v>
      </c>
      <c r="U124" s="2" t="s">
        <v>204</v>
      </c>
      <c r="V124" s="162">
        <v>5.5E-2</v>
      </c>
      <c r="W124" s="2" t="s">
        <v>801</v>
      </c>
      <c r="X124" s="2" t="s">
        <v>1392</v>
      </c>
      <c r="Y124" s="150">
        <v>5.5</v>
      </c>
      <c r="Z124" s="164">
        <v>2.3599999999999999E-2</v>
      </c>
      <c r="AA124" s="2" t="s">
        <v>1393</v>
      </c>
      <c r="AB124" s="4" t="s">
        <v>459</v>
      </c>
      <c r="AG124" s="2" t="s">
        <v>164</v>
      </c>
      <c r="AJ124" s="2" t="s">
        <v>164</v>
      </c>
      <c r="AK124" s="2" t="s">
        <v>204</v>
      </c>
      <c r="AN124" s="2" t="s">
        <v>1378</v>
      </c>
      <c r="AQ124" s="150">
        <v>842.18</v>
      </c>
      <c r="AR124" s="150">
        <v>126.04</v>
      </c>
      <c r="AS124" s="150">
        <v>1</v>
      </c>
      <c r="AT124" s="150">
        <v>1.0609999999999999</v>
      </c>
      <c r="AU124" s="150">
        <v>1.0609999999999999</v>
      </c>
      <c r="AX124" s="4" t="s">
        <v>164</v>
      </c>
      <c r="AY124" s="2" t="s">
        <v>37</v>
      </c>
      <c r="AZ124" s="164">
        <v>7.9299449750606802E-4</v>
      </c>
      <c r="BA124" s="164">
        <v>7.4046279006955599E-6</v>
      </c>
    </row>
    <row r="125" spans="1:53">
      <c r="A125" s="2" t="s">
        <v>128</v>
      </c>
      <c r="B125" s="2">
        <v>7229</v>
      </c>
      <c r="C125" s="2" t="s">
        <v>1387</v>
      </c>
      <c r="D125" s="2" t="s">
        <v>34</v>
      </c>
      <c r="E125" s="2" t="s">
        <v>1432</v>
      </c>
      <c r="F125" s="2" t="s">
        <v>1433</v>
      </c>
      <c r="G125" s="2" t="s">
        <v>1084</v>
      </c>
      <c r="I125" s="2" t="s">
        <v>31</v>
      </c>
      <c r="J125" s="2" t="s">
        <v>31</v>
      </c>
      <c r="K125" s="2" t="s">
        <v>498</v>
      </c>
      <c r="L125" s="2" t="s">
        <v>164</v>
      </c>
      <c r="M125" s="2" t="s">
        <v>387</v>
      </c>
      <c r="N125" s="2" t="s">
        <v>1387</v>
      </c>
      <c r="O125" s="2" t="s">
        <v>1434</v>
      </c>
      <c r="P125" s="2" t="s">
        <v>1396</v>
      </c>
      <c r="Q125" s="2" t="s">
        <v>104</v>
      </c>
      <c r="R125" s="2" t="s">
        <v>454</v>
      </c>
      <c r="S125" s="2" t="s">
        <v>35</v>
      </c>
      <c r="T125" s="150">
        <v>3.18</v>
      </c>
      <c r="U125" s="2" t="s">
        <v>1397</v>
      </c>
      <c r="V125" s="162">
        <v>5.5E-2</v>
      </c>
      <c r="W125" s="2" t="s">
        <v>801</v>
      </c>
      <c r="X125" s="2" t="s">
        <v>955</v>
      </c>
      <c r="Y125" s="150">
        <v>5.5</v>
      </c>
      <c r="Z125" s="164">
        <v>2.3050000000000001E-2</v>
      </c>
      <c r="AA125" s="2" t="s">
        <v>1403</v>
      </c>
      <c r="AB125" s="4" t="s">
        <v>459</v>
      </c>
      <c r="AC125" s="2" t="s">
        <v>530</v>
      </c>
      <c r="AD125" s="150">
        <v>2192</v>
      </c>
      <c r="AE125" s="150">
        <v>0.78</v>
      </c>
      <c r="AF125" s="2" t="s">
        <v>1404</v>
      </c>
      <c r="AG125" s="2" t="s">
        <v>164</v>
      </c>
      <c r="AI125" s="2" t="s">
        <v>1405</v>
      </c>
      <c r="AJ125" s="2" t="s">
        <v>387</v>
      </c>
      <c r="AK125" s="2" t="s">
        <v>938</v>
      </c>
      <c r="AL125" s="2" t="s">
        <v>1377</v>
      </c>
      <c r="AN125" s="2" t="s">
        <v>1378</v>
      </c>
      <c r="AO125" s="2" t="s">
        <v>1404</v>
      </c>
      <c r="AP125" s="151">
        <v>0</v>
      </c>
      <c r="AQ125" s="150">
        <v>1925.56</v>
      </c>
      <c r="AR125" s="150">
        <v>128.21</v>
      </c>
      <c r="AS125" s="150">
        <v>1</v>
      </c>
      <c r="AT125" s="150">
        <v>2.4689999999999999</v>
      </c>
      <c r="AU125" s="150">
        <v>2.4689999999999999</v>
      </c>
      <c r="AX125" s="4" t="s">
        <v>164</v>
      </c>
      <c r="AY125" s="2" t="s">
        <v>37</v>
      </c>
      <c r="AZ125" s="164">
        <v>1.84431802840625E-3</v>
      </c>
      <c r="BA125" s="164">
        <v>1.72214167612029E-5</v>
      </c>
    </row>
    <row r="126" spans="1:53">
      <c r="A126" s="2" t="s">
        <v>128</v>
      </c>
      <c r="B126" s="2">
        <v>7229</v>
      </c>
      <c r="C126" s="2" t="s">
        <v>1387</v>
      </c>
      <c r="D126" s="2" t="s">
        <v>34</v>
      </c>
      <c r="E126" s="2" t="s">
        <v>1435</v>
      </c>
      <c r="F126" s="2" t="s">
        <v>1436</v>
      </c>
      <c r="G126" s="2" t="s">
        <v>1084</v>
      </c>
      <c r="I126" s="2" t="s">
        <v>31</v>
      </c>
      <c r="J126" s="2" t="s">
        <v>31</v>
      </c>
      <c r="K126" s="2" t="s">
        <v>498</v>
      </c>
      <c r="L126" s="2" t="s">
        <v>164</v>
      </c>
      <c r="M126" s="2" t="s">
        <v>387</v>
      </c>
      <c r="N126" s="2" t="s">
        <v>1387</v>
      </c>
      <c r="O126" s="2" t="s">
        <v>1437</v>
      </c>
      <c r="P126" s="2" t="s">
        <v>1396</v>
      </c>
      <c r="Q126" s="2" t="s">
        <v>104</v>
      </c>
      <c r="R126" s="2" t="s">
        <v>454</v>
      </c>
      <c r="S126" s="2" t="s">
        <v>35</v>
      </c>
      <c r="T126" s="150">
        <v>3.46</v>
      </c>
      <c r="U126" s="2" t="s">
        <v>1397</v>
      </c>
      <c r="V126" s="162">
        <v>5.5E-2</v>
      </c>
      <c r="W126" s="2" t="s">
        <v>801</v>
      </c>
      <c r="X126" s="2" t="s">
        <v>955</v>
      </c>
      <c r="Y126" s="150">
        <v>5.5</v>
      </c>
      <c r="Z126" s="164">
        <v>2.4500000000000001E-2</v>
      </c>
      <c r="AA126" s="2" t="s">
        <v>1393</v>
      </c>
      <c r="AB126" s="4" t="s">
        <v>459</v>
      </c>
      <c r="AC126" s="2" t="s">
        <v>530</v>
      </c>
      <c r="AD126" s="150">
        <v>3904</v>
      </c>
      <c r="AE126" s="150">
        <v>0.78</v>
      </c>
      <c r="AF126" s="2" t="s">
        <v>1404</v>
      </c>
      <c r="AG126" s="2" t="s">
        <v>164</v>
      </c>
      <c r="AI126" s="2" t="s">
        <v>1405</v>
      </c>
      <c r="AJ126" s="2" t="s">
        <v>387</v>
      </c>
      <c r="AK126" s="2" t="s">
        <v>938</v>
      </c>
      <c r="AL126" s="2" t="s">
        <v>1377</v>
      </c>
      <c r="AN126" s="2" t="s">
        <v>1378</v>
      </c>
      <c r="AO126" s="2" t="s">
        <v>1404</v>
      </c>
      <c r="AP126" s="151">
        <v>0</v>
      </c>
      <c r="AQ126" s="150">
        <v>7433.44</v>
      </c>
      <c r="AR126" s="150">
        <v>125.87</v>
      </c>
      <c r="AS126" s="150">
        <v>1</v>
      </c>
      <c r="AT126" s="150">
        <v>9.3559999999999999</v>
      </c>
      <c r="AU126" s="150">
        <v>9.3559999999999999</v>
      </c>
      <c r="AX126" s="4" t="s">
        <v>164</v>
      </c>
      <c r="AY126" s="2" t="s">
        <v>37</v>
      </c>
      <c r="AZ126" s="164">
        <v>6.9898672562713699E-3</v>
      </c>
      <c r="BA126" s="164">
        <v>6.52682537782038E-5</v>
      </c>
    </row>
    <row r="127" spans="1:53">
      <c r="A127" s="2" t="s">
        <v>128</v>
      </c>
      <c r="B127" s="2">
        <v>7229</v>
      </c>
      <c r="C127" s="2" t="s">
        <v>1387</v>
      </c>
      <c r="D127" s="2" t="s">
        <v>34</v>
      </c>
      <c r="E127" s="2" t="s">
        <v>1438</v>
      </c>
      <c r="F127" s="2" t="s">
        <v>1439</v>
      </c>
      <c r="G127" s="2" t="s">
        <v>1084</v>
      </c>
      <c r="I127" s="2" t="s">
        <v>31</v>
      </c>
      <c r="J127" s="2" t="s">
        <v>31</v>
      </c>
      <c r="K127" s="2" t="s">
        <v>498</v>
      </c>
      <c r="L127" s="2" t="s">
        <v>164</v>
      </c>
      <c r="M127" s="2" t="s">
        <v>164</v>
      </c>
      <c r="O127" s="2" t="s">
        <v>1390</v>
      </c>
      <c r="P127" s="2" t="s">
        <v>1396</v>
      </c>
      <c r="Q127" s="2" t="s">
        <v>104</v>
      </c>
      <c r="R127" s="2" t="s">
        <v>454</v>
      </c>
      <c r="S127" s="2" t="s">
        <v>35</v>
      </c>
      <c r="T127" s="150">
        <v>3.31</v>
      </c>
      <c r="U127" s="2" t="s">
        <v>1397</v>
      </c>
      <c r="V127" s="162">
        <v>5.5E-2</v>
      </c>
      <c r="W127" s="2" t="s">
        <v>801</v>
      </c>
      <c r="X127" s="2" t="s">
        <v>1392</v>
      </c>
      <c r="Y127" s="150">
        <v>5.5</v>
      </c>
      <c r="Z127" s="164">
        <v>2.443E-2</v>
      </c>
      <c r="AA127" s="2" t="s">
        <v>1403</v>
      </c>
      <c r="AB127" s="4" t="s">
        <v>459</v>
      </c>
      <c r="AG127" s="2" t="s">
        <v>164</v>
      </c>
      <c r="AJ127" s="2" t="s">
        <v>164</v>
      </c>
      <c r="AK127" s="2" t="s">
        <v>204</v>
      </c>
      <c r="AN127" s="2" t="s">
        <v>1378</v>
      </c>
      <c r="AQ127" s="150">
        <v>9029.02</v>
      </c>
      <c r="AR127" s="150">
        <v>127.82</v>
      </c>
      <c r="AS127" s="150">
        <v>1</v>
      </c>
      <c r="AT127" s="150">
        <v>11.541</v>
      </c>
      <c r="AU127" s="150">
        <v>11.541</v>
      </c>
      <c r="AX127" s="4" t="s">
        <v>164</v>
      </c>
      <c r="AY127" s="2" t="s">
        <v>37</v>
      </c>
      <c r="AZ127" s="164">
        <v>8.6217670373702204E-3</v>
      </c>
      <c r="BA127" s="164">
        <v>8.0506203963565606E-5</v>
      </c>
    </row>
    <row r="128" spans="1:53">
      <c r="A128" s="2" t="s">
        <v>128</v>
      </c>
      <c r="B128" s="2">
        <v>7229</v>
      </c>
      <c r="C128" s="2" t="s">
        <v>1387</v>
      </c>
      <c r="D128" s="2" t="s">
        <v>34</v>
      </c>
      <c r="E128" s="2" t="s">
        <v>1440</v>
      </c>
      <c r="F128" s="2" t="s">
        <v>1441</v>
      </c>
      <c r="G128" s="2" t="s">
        <v>1084</v>
      </c>
      <c r="I128" s="2" t="s">
        <v>31</v>
      </c>
      <c r="J128" s="2" t="s">
        <v>31</v>
      </c>
      <c r="K128" s="2" t="s">
        <v>498</v>
      </c>
      <c r="L128" s="2" t="s">
        <v>164</v>
      </c>
      <c r="M128" s="2" t="s">
        <v>164</v>
      </c>
      <c r="O128" s="2" t="s">
        <v>1390</v>
      </c>
      <c r="P128" s="2" t="s">
        <v>1396</v>
      </c>
      <c r="Q128" s="2" t="s">
        <v>104</v>
      </c>
      <c r="R128" s="2" t="s">
        <v>454</v>
      </c>
      <c r="S128" s="2" t="s">
        <v>35</v>
      </c>
      <c r="T128" s="150">
        <v>3.32</v>
      </c>
      <c r="U128" s="2" t="s">
        <v>1397</v>
      </c>
      <c r="V128" s="162">
        <v>5.5888E-2</v>
      </c>
      <c r="W128" s="2" t="s">
        <v>801</v>
      </c>
      <c r="X128" s="2" t="s">
        <v>1392</v>
      </c>
      <c r="Y128" s="150">
        <v>5.5888</v>
      </c>
      <c r="Z128" s="164">
        <v>2.179E-2</v>
      </c>
      <c r="AA128" s="2" t="s">
        <v>1403</v>
      </c>
      <c r="AB128" s="4" t="s">
        <v>459</v>
      </c>
      <c r="AG128" s="2" t="s">
        <v>164</v>
      </c>
      <c r="AJ128" s="2" t="s">
        <v>164</v>
      </c>
      <c r="AK128" s="2" t="s">
        <v>204</v>
      </c>
      <c r="AN128" s="2" t="s">
        <v>1378</v>
      </c>
      <c r="AQ128" s="150">
        <v>1890.22</v>
      </c>
      <c r="AR128" s="150">
        <v>129.58000000000001</v>
      </c>
      <c r="AS128" s="150">
        <v>1</v>
      </c>
      <c r="AT128" s="150">
        <v>2.4489999999999998</v>
      </c>
      <c r="AU128" s="150">
        <v>2.4489999999999998</v>
      </c>
      <c r="AX128" s="4" t="s">
        <v>164</v>
      </c>
      <c r="AY128" s="2" t="s">
        <v>37</v>
      </c>
      <c r="AZ128" s="164">
        <v>1.8298150079793E-3</v>
      </c>
      <c r="BA128" s="164">
        <v>1.70859940438506E-5</v>
      </c>
    </row>
    <row r="129" spans="1:53">
      <c r="A129" s="2" t="s">
        <v>128</v>
      </c>
      <c r="B129" s="2">
        <v>7229</v>
      </c>
      <c r="C129" s="2" t="s">
        <v>1387</v>
      </c>
      <c r="D129" s="2" t="s">
        <v>34</v>
      </c>
      <c r="E129" s="2" t="s">
        <v>1442</v>
      </c>
      <c r="F129" s="2" t="s">
        <v>1443</v>
      </c>
      <c r="G129" s="2" t="s">
        <v>1084</v>
      </c>
      <c r="I129" s="2" t="s">
        <v>31</v>
      </c>
      <c r="J129" s="2" t="s">
        <v>31</v>
      </c>
      <c r="K129" s="2" t="s">
        <v>498</v>
      </c>
      <c r="L129" s="2" t="s">
        <v>164</v>
      </c>
      <c r="M129" s="2" t="s">
        <v>387</v>
      </c>
      <c r="N129" s="2" t="s">
        <v>1387</v>
      </c>
      <c r="O129" s="2" t="s">
        <v>1444</v>
      </c>
      <c r="P129" s="2" t="s">
        <v>1396</v>
      </c>
      <c r="Q129" s="2" t="s">
        <v>104</v>
      </c>
      <c r="R129" s="2" t="s">
        <v>454</v>
      </c>
      <c r="S129" s="2" t="s">
        <v>35</v>
      </c>
      <c r="T129" s="150">
        <v>3.31</v>
      </c>
      <c r="U129" s="2" t="s">
        <v>1397</v>
      </c>
      <c r="V129" s="162">
        <v>5.6193E-2</v>
      </c>
      <c r="W129" s="2" t="s">
        <v>801</v>
      </c>
      <c r="X129" s="2" t="s">
        <v>955</v>
      </c>
      <c r="Y129" s="150">
        <v>5.6193</v>
      </c>
      <c r="Z129" s="164">
        <v>2.333E-2</v>
      </c>
      <c r="AA129" s="2" t="s">
        <v>1403</v>
      </c>
      <c r="AB129" s="4" t="s">
        <v>459</v>
      </c>
      <c r="AC129" s="2" t="s">
        <v>530</v>
      </c>
      <c r="AD129" s="150">
        <v>3026</v>
      </c>
      <c r="AE129" s="150">
        <v>0.78</v>
      </c>
      <c r="AF129" s="2" t="s">
        <v>1404</v>
      </c>
      <c r="AG129" s="2" t="s">
        <v>164</v>
      </c>
      <c r="AI129" s="2" t="s">
        <v>1405</v>
      </c>
      <c r="AJ129" s="2" t="s">
        <v>387</v>
      </c>
      <c r="AK129" s="2" t="s">
        <v>938</v>
      </c>
      <c r="AL129" s="2" t="s">
        <v>1377</v>
      </c>
      <c r="AN129" s="2" t="s">
        <v>1378</v>
      </c>
      <c r="AO129" s="2" t="s">
        <v>1404</v>
      </c>
      <c r="AP129" s="151">
        <v>0</v>
      </c>
      <c r="AQ129" s="150">
        <v>2656.42</v>
      </c>
      <c r="AR129" s="150">
        <v>128.57</v>
      </c>
      <c r="AS129" s="150">
        <v>1</v>
      </c>
      <c r="AT129" s="150">
        <v>3.415</v>
      </c>
      <c r="AU129" s="150">
        <v>3.415</v>
      </c>
      <c r="AX129" s="4" t="s">
        <v>164</v>
      </c>
      <c r="AY129" s="2" t="s">
        <v>37</v>
      </c>
      <c r="AZ129" s="164">
        <v>2.5514863010052602E-3</v>
      </c>
      <c r="BA129" s="164">
        <v>2.3824637764931599E-5</v>
      </c>
    </row>
    <row r="130" spans="1:53">
      <c r="A130" s="2" t="s">
        <v>128</v>
      </c>
      <c r="B130" s="2">
        <v>7229</v>
      </c>
      <c r="C130" s="2" t="s">
        <v>1387</v>
      </c>
      <c r="D130" s="2" t="s">
        <v>34</v>
      </c>
      <c r="E130" s="2" t="s">
        <v>1445</v>
      </c>
      <c r="F130" s="2" t="s">
        <v>1446</v>
      </c>
      <c r="G130" s="2" t="s">
        <v>1084</v>
      </c>
      <c r="I130" s="2" t="s">
        <v>31</v>
      </c>
      <c r="J130" s="2" t="s">
        <v>31</v>
      </c>
      <c r="K130" s="2" t="s">
        <v>498</v>
      </c>
      <c r="L130" s="2" t="s">
        <v>164</v>
      </c>
      <c r="M130" s="2" t="s">
        <v>387</v>
      </c>
      <c r="O130" s="2" t="s">
        <v>1390</v>
      </c>
      <c r="P130" s="2" t="s">
        <v>1391</v>
      </c>
      <c r="Q130" s="2" t="s">
        <v>217</v>
      </c>
      <c r="R130" s="2" t="s">
        <v>454</v>
      </c>
      <c r="S130" s="2" t="s">
        <v>35</v>
      </c>
      <c r="T130" s="150">
        <v>3.44</v>
      </c>
      <c r="U130" s="2" t="s">
        <v>204</v>
      </c>
      <c r="V130" s="162">
        <v>5.5E-2</v>
      </c>
      <c r="W130" s="2" t="s">
        <v>801</v>
      </c>
      <c r="X130" s="2" t="s">
        <v>1392</v>
      </c>
      <c r="Y130" s="150">
        <v>5.5</v>
      </c>
      <c r="Z130" s="164">
        <v>2.8799999999999999E-2</v>
      </c>
      <c r="AA130" s="2" t="s">
        <v>1393</v>
      </c>
      <c r="AB130" s="4" t="s">
        <v>459</v>
      </c>
      <c r="AG130" s="2" t="s">
        <v>164</v>
      </c>
      <c r="AJ130" s="2" t="s">
        <v>164</v>
      </c>
      <c r="AK130" s="2" t="s">
        <v>204</v>
      </c>
      <c r="AN130" s="2" t="s">
        <v>1378</v>
      </c>
      <c r="AQ130" s="150">
        <v>3364.91</v>
      </c>
      <c r="AR130" s="150">
        <v>122.22</v>
      </c>
      <c r="AS130" s="150">
        <v>1</v>
      </c>
      <c r="AT130" s="150">
        <v>4.1130000000000004</v>
      </c>
      <c r="AU130" s="150">
        <v>4.1130000000000004</v>
      </c>
      <c r="AX130" s="4" t="s">
        <v>164</v>
      </c>
      <c r="AY130" s="2" t="s">
        <v>37</v>
      </c>
      <c r="AZ130" s="164">
        <v>3.07236343534445E-3</v>
      </c>
      <c r="BA130" s="164">
        <v>2.8688355450101099E-5</v>
      </c>
    </row>
    <row r="131" spans="1:53">
      <c r="A131" s="2" t="s">
        <v>128</v>
      </c>
      <c r="B131" s="2">
        <v>7229</v>
      </c>
      <c r="C131" s="2" t="s">
        <v>1387</v>
      </c>
      <c r="D131" s="2" t="s">
        <v>34</v>
      </c>
      <c r="E131" s="2" t="s">
        <v>1447</v>
      </c>
      <c r="F131" s="2" t="s">
        <v>1448</v>
      </c>
      <c r="G131" s="2" t="s">
        <v>1084</v>
      </c>
      <c r="I131" s="2" t="s">
        <v>31</v>
      </c>
      <c r="J131" s="2" t="s">
        <v>31</v>
      </c>
      <c r="K131" s="2" t="s">
        <v>498</v>
      </c>
      <c r="L131" s="2" t="s">
        <v>164</v>
      </c>
      <c r="M131" s="2" t="s">
        <v>387</v>
      </c>
      <c r="O131" s="2" t="s">
        <v>1390</v>
      </c>
      <c r="P131" s="2" t="s">
        <v>1391</v>
      </c>
      <c r="Q131" s="2" t="s">
        <v>217</v>
      </c>
      <c r="R131" s="2" t="s">
        <v>454</v>
      </c>
      <c r="S131" s="2" t="s">
        <v>35</v>
      </c>
      <c r="T131" s="150">
        <v>3.46</v>
      </c>
      <c r="U131" s="2" t="s">
        <v>204</v>
      </c>
      <c r="V131" s="162">
        <v>5.5E-2</v>
      </c>
      <c r="W131" s="2" t="s">
        <v>801</v>
      </c>
      <c r="X131" s="2" t="s">
        <v>1392</v>
      </c>
      <c r="Y131" s="150">
        <v>5.5</v>
      </c>
      <c r="Z131" s="164">
        <v>2.3699999999999999E-2</v>
      </c>
      <c r="AA131" s="2" t="s">
        <v>1393</v>
      </c>
      <c r="AB131" s="4" t="s">
        <v>459</v>
      </c>
      <c r="AG131" s="2" t="s">
        <v>164</v>
      </c>
      <c r="AJ131" s="2" t="s">
        <v>164</v>
      </c>
      <c r="AK131" s="2" t="s">
        <v>204</v>
      </c>
      <c r="AN131" s="2" t="s">
        <v>1378</v>
      </c>
      <c r="AQ131" s="150">
        <v>418.09</v>
      </c>
      <c r="AR131" s="150">
        <v>123.96</v>
      </c>
      <c r="AS131" s="150">
        <v>1</v>
      </c>
      <c r="AT131" s="150">
        <v>0.51800000000000002</v>
      </c>
      <c r="AU131" s="150">
        <v>0.51800000000000002</v>
      </c>
      <c r="AX131" s="4" t="s">
        <v>164</v>
      </c>
      <c r="AY131" s="2" t="s">
        <v>37</v>
      </c>
      <c r="AZ131" s="164">
        <v>3.87175799069175E-4</v>
      </c>
      <c r="BA131" s="164">
        <v>3.6152744228086798E-6</v>
      </c>
    </row>
    <row r="132" spans="1:53">
      <c r="A132" s="2" t="s">
        <v>128</v>
      </c>
      <c r="B132" s="2">
        <v>7229</v>
      </c>
      <c r="C132" s="2" t="s">
        <v>1387</v>
      </c>
      <c r="D132" s="2" t="s">
        <v>34</v>
      </c>
      <c r="E132" s="2" t="s">
        <v>1449</v>
      </c>
      <c r="F132" s="2" t="s">
        <v>1450</v>
      </c>
      <c r="G132" s="2" t="s">
        <v>1084</v>
      </c>
      <c r="I132" s="2" t="s">
        <v>31</v>
      </c>
      <c r="J132" s="2" t="s">
        <v>31</v>
      </c>
      <c r="K132" s="2" t="s">
        <v>498</v>
      </c>
      <c r="L132" s="2" t="s">
        <v>164</v>
      </c>
      <c r="M132" s="2" t="s">
        <v>387</v>
      </c>
      <c r="O132" s="2" t="s">
        <v>1390</v>
      </c>
      <c r="P132" s="2" t="s">
        <v>1391</v>
      </c>
      <c r="Q132" s="2" t="s">
        <v>217</v>
      </c>
      <c r="R132" s="2" t="s">
        <v>454</v>
      </c>
      <c r="S132" s="2" t="s">
        <v>35</v>
      </c>
      <c r="T132" s="150">
        <v>3.46</v>
      </c>
      <c r="U132" s="2" t="s">
        <v>204</v>
      </c>
      <c r="V132" s="162">
        <v>5.5E-2</v>
      </c>
      <c r="W132" s="2" t="s">
        <v>801</v>
      </c>
      <c r="X132" s="2" t="s">
        <v>1392</v>
      </c>
      <c r="Y132" s="150">
        <v>5.5</v>
      </c>
      <c r="Z132" s="164">
        <v>2.4500000000000001E-2</v>
      </c>
      <c r="AA132" s="2" t="s">
        <v>1393</v>
      </c>
      <c r="AB132" s="4" t="s">
        <v>459</v>
      </c>
      <c r="AG132" s="2" t="s">
        <v>164</v>
      </c>
      <c r="AJ132" s="2" t="s">
        <v>164</v>
      </c>
      <c r="AK132" s="2" t="s">
        <v>204</v>
      </c>
      <c r="AN132" s="2" t="s">
        <v>1378</v>
      </c>
      <c r="AQ132" s="150">
        <v>928.54</v>
      </c>
      <c r="AR132" s="150">
        <v>123.98</v>
      </c>
      <c r="AS132" s="150">
        <v>1</v>
      </c>
      <c r="AT132" s="150">
        <v>1.151</v>
      </c>
      <c r="AU132" s="150">
        <v>1.151</v>
      </c>
      <c r="AX132" s="4" t="s">
        <v>164</v>
      </c>
      <c r="AY132" s="2" t="s">
        <v>37</v>
      </c>
      <c r="AZ132" s="164">
        <v>8.6002109683282104E-4</v>
      </c>
      <c r="BA132" s="164">
        <v>8.0304923033168608E-6</v>
      </c>
    </row>
    <row r="133" spans="1:53">
      <c r="A133" s="2" t="s">
        <v>128</v>
      </c>
      <c r="B133" s="2">
        <v>7229</v>
      </c>
      <c r="C133" s="2" t="s">
        <v>1387</v>
      </c>
      <c r="D133" s="2" t="s">
        <v>34</v>
      </c>
      <c r="E133" s="2" t="s">
        <v>1451</v>
      </c>
      <c r="F133" s="2" t="s">
        <v>1452</v>
      </c>
      <c r="G133" s="2" t="s">
        <v>1084</v>
      </c>
      <c r="I133" s="2" t="s">
        <v>31</v>
      </c>
      <c r="J133" s="2" t="s">
        <v>31</v>
      </c>
      <c r="K133" s="2" t="s">
        <v>498</v>
      </c>
      <c r="L133" s="2" t="s">
        <v>164</v>
      </c>
      <c r="M133" s="2" t="s">
        <v>387</v>
      </c>
      <c r="N133" s="2" t="s">
        <v>1387</v>
      </c>
      <c r="O133" s="2" t="s">
        <v>1453</v>
      </c>
      <c r="P133" s="2" t="s">
        <v>1396</v>
      </c>
      <c r="Q133" s="2" t="s">
        <v>104</v>
      </c>
      <c r="R133" s="2" t="s">
        <v>454</v>
      </c>
      <c r="S133" s="2" t="s">
        <v>35</v>
      </c>
      <c r="T133" s="150">
        <v>3.31</v>
      </c>
      <c r="U133" s="2" t="s">
        <v>204</v>
      </c>
      <c r="V133" s="162">
        <v>5.7230999999999997E-2</v>
      </c>
      <c r="W133" s="2" t="s">
        <v>801</v>
      </c>
      <c r="X133" s="2" t="s">
        <v>955</v>
      </c>
      <c r="Y133" s="150">
        <v>5.7230999999999996</v>
      </c>
      <c r="Z133" s="164">
        <v>2.3310000000000001E-2</v>
      </c>
      <c r="AA133" s="2" t="s">
        <v>1403</v>
      </c>
      <c r="AB133" s="4" t="s">
        <v>459</v>
      </c>
      <c r="AC133" s="2" t="s">
        <v>530</v>
      </c>
      <c r="AD133" s="150">
        <v>4685</v>
      </c>
      <c r="AE133" s="150">
        <v>0.78</v>
      </c>
      <c r="AF133" s="2" t="s">
        <v>1404</v>
      </c>
      <c r="AG133" s="2" t="s">
        <v>164</v>
      </c>
      <c r="AI133" s="2" t="s">
        <v>1405</v>
      </c>
      <c r="AJ133" s="2" t="s">
        <v>387</v>
      </c>
      <c r="AK133" s="2" t="s">
        <v>938</v>
      </c>
      <c r="AL133" s="2" t="s">
        <v>1377</v>
      </c>
      <c r="AN133" s="2" t="s">
        <v>1378</v>
      </c>
      <c r="AO133" s="2" t="s">
        <v>1404</v>
      </c>
      <c r="AP133" s="151">
        <v>0</v>
      </c>
      <c r="AQ133" s="150">
        <v>8920.01</v>
      </c>
      <c r="AR133" s="150">
        <v>129.16999999999999</v>
      </c>
      <c r="AS133" s="150">
        <v>1</v>
      </c>
      <c r="AT133" s="150">
        <v>11.522</v>
      </c>
      <c r="AU133" s="150">
        <v>11.522</v>
      </c>
      <c r="AX133" s="4" t="s">
        <v>164</v>
      </c>
      <c r="AY133" s="2" t="s">
        <v>37</v>
      </c>
      <c r="AZ133" s="164">
        <v>8.6076352718244507E-3</v>
      </c>
      <c r="BA133" s="164">
        <v>8.0374247858226497E-5</v>
      </c>
    </row>
    <row r="134" spans="1:53">
      <c r="A134" s="2" t="s">
        <v>128</v>
      </c>
      <c r="B134" s="2">
        <v>7229</v>
      </c>
      <c r="C134" s="2" t="s">
        <v>1387</v>
      </c>
      <c r="D134" s="2" t="s">
        <v>34</v>
      </c>
      <c r="E134" s="2" t="s">
        <v>1454</v>
      </c>
      <c r="F134" s="2" t="s">
        <v>1455</v>
      </c>
      <c r="G134" s="2" t="s">
        <v>1084</v>
      </c>
      <c r="I134" s="2" t="s">
        <v>31</v>
      </c>
      <c r="J134" s="2" t="s">
        <v>31</v>
      </c>
      <c r="K134" s="2" t="s">
        <v>498</v>
      </c>
      <c r="L134" s="2" t="s">
        <v>164</v>
      </c>
      <c r="M134" s="2" t="s">
        <v>164</v>
      </c>
      <c r="O134" s="2" t="s">
        <v>1390</v>
      </c>
      <c r="P134" s="2" t="s">
        <v>1396</v>
      </c>
      <c r="Q134" s="2" t="s">
        <v>104</v>
      </c>
      <c r="R134" s="2" t="s">
        <v>454</v>
      </c>
      <c r="S134" s="2" t="s">
        <v>35</v>
      </c>
      <c r="T134" s="150">
        <v>3.17</v>
      </c>
      <c r="U134" s="2" t="s">
        <v>1397</v>
      </c>
      <c r="V134" s="162">
        <v>5.6619999999999997E-2</v>
      </c>
      <c r="W134" s="2" t="s">
        <v>801</v>
      </c>
      <c r="X134" s="2" t="s">
        <v>1392</v>
      </c>
      <c r="Y134" s="150">
        <v>5.6619999999999999</v>
      </c>
      <c r="Z134" s="164">
        <v>2.9090000000000001E-2</v>
      </c>
      <c r="AA134" s="2" t="s">
        <v>1393</v>
      </c>
      <c r="AB134" s="4" t="s">
        <v>459</v>
      </c>
      <c r="AG134" s="2" t="s">
        <v>164</v>
      </c>
      <c r="AJ134" s="2" t="s">
        <v>164</v>
      </c>
      <c r="AK134" s="2" t="s">
        <v>204</v>
      </c>
      <c r="AN134" s="2" t="s">
        <v>1378</v>
      </c>
      <c r="AQ134" s="150">
        <v>2005.82</v>
      </c>
      <c r="AR134" s="150">
        <v>127.23</v>
      </c>
      <c r="AS134" s="150">
        <v>1</v>
      </c>
      <c r="AT134" s="150">
        <v>2.552</v>
      </c>
      <c r="AU134" s="150">
        <v>2.552</v>
      </c>
      <c r="AX134" s="4" t="s">
        <v>164</v>
      </c>
      <c r="AY134" s="2" t="s">
        <v>37</v>
      </c>
      <c r="AZ134" s="164">
        <v>1.90650671912281E-3</v>
      </c>
      <c r="BA134" s="164">
        <v>1.7802106937283301E-5</v>
      </c>
    </row>
    <row r="135" spans="1:53">
      <c r="A135" s="2" t="s">
        <v>128</v>
      </c>
      <c r="B135" s="2">
        <v>7229</v>
      </c>
      <c r="C135" s="2" t="s">
        <v>1387</v>
      </c>
      <c r="D135" s="2" t="s">
        <v>34</v>
      </c>
      <c r="E135" s="2" t="s">
        <v>1456</v>
      </c>
      <c r="F135" s="2" t="s">
        <v>1457</v>
      </c>
      <c r="G135" s="2" t="s">
        <v>1084</v>
      </c>
      <c r="I135" s="2" t="s">
        <v>31</v>
      </c>
      <c r="J135" s="2" t="s">
        <v>31</v>
      </c>
      <c r="K135" s="2" t="s">
        <v>498</v>
      </c>
      <c r="L135" s="2" t="s">
        <v>164</v>
      </c>
      <c r="M135" s="2" t="s">
        <v>387</v>
      </c>
      <c r="N135" s="2" t="s">
        <v>1387</v>
      </c>
      <c r="O135" s="2" t="s">
        <v>1458</v>
      </c>
      <c r="P135" s="2" t="s">
        <v>1396</v>
      </c>
      <c r="Q135" s="2" t="s">
        <v>104</v>
      </c>
      <c r="R135" s="2" t="s">
        <v>454</v>
      </c>
      <c r="S135" s="2" t="s">
        <v>35</v>
      </c>
      <c r="T135" s="150">
        <v>3.46</v>
      </c>
      <c r="U135" s="2" t="s">
        <v>1397</v>
      </c>
      <c r="V135" s="162">
        <v>5.5E-2</v>
      </c>
      <c r="W135" s="2" t="s">
        <v>801</v>
      </c>
      <c r="X135" s="2" t="s">
        <v>955</v>
      </c>
      <c r="Y135" s="150">
        <v>5.5</v>
      </c>
      <c r="Z135" s="164">
        <v>2.4500000000000001E-2</v>
      </c>
      <c r="AA135" s="2" t="s">
        <v>1403</v>
      </c>
      <c r="AB135" s="4" t="s">
        <v>459</v>
      </c>
      <c r="AC135" s="2" t="s">
        <v>530</v>
      </c>
      <c r="AD135" s="150">
        <v>6161</v>
      </c>
      <c r="AE135" s="150">
        <v>0.78</v>
      </c>
      <c r="AF135" s="2" t="s">
        <v>1404</v>
      </c>
      <c r="AG135" s="2" t="s">
        <v>164</v>
      </c>
      <c r="AI135" s="2" t="s">
        <v>1405</v>
      </c>
      <c r="AJ135" s="2" t="s">
        <v>387</v>
      </c>
      <c r="AK135" s="2" t="s">
        <v>938</v>
      </c>
      <c r="AL135" s="2" t="s">
        <v>1377</v>
      </c>
      <c r="AN135" s="2" t="s">
        <v>1378</v>
      </c>
      <c r="AO135" s="2" t="s">
        <v>1404</v>
      </c>
      <c r="AP135" s="151">
        <v>0</v>
      </c>
      <c r="AQ135" s="150">
        <v>11728.94</v>
      </c>
      <c r="AR135" s="150">
        <v>125.84</v>
      </c>
      <c r="AS135" s="150">
        <v>1</v>
      </c>
      <c r="AT135" s="150">
        <v>14.76</v>
      </c>
      <c r="AU135" s="150">
        <v>14.76</v>
      </c>
      <c r="AX135" s="4" t="s">
        <v>164</v>
      </c>
      <c r="AY135" s="2" t="s">
        <v>37</v>
      </c>
      <c r="AZ135" s="164">
        <v>1.1026414898051101E-2</v>
      </c>
      <c r="BA135" s="164">
        <v>1.0295973005554101E-4</v>
      </c>
    </row>
    <row r="136" spans="1:53">
      <c r="A136" s="2" t="s">
        <v>128</v>
      </c>
      <c r="B136" s="2">
        <v>7229</v>
      </c>
      <c r="C136" s="2" t="s">
        <v>1387</v>
      </c>
      <c r="D136" s="2" t="s">
        <v>34</v>
      </c>
      <c r="E136" s="2" t="s">
        <v>1459</v>
      </c>
      <c r="F136" s="2" t="s">
        <v>1460</v>
      </c>
      <c r="G136" s="2" t="s">
        <v>1084</v>
      </c>
      <c r="I136" s="2" t="s">
        <v>31</v>
      </c>
      <c r="J136" s="2" t="s">
        <v>31</v>
      </c>
      <c r="K136" s="2" t="s">
        <v>498</v>
      </c>
      <c r="L136" s="2" t="s">
        <v>164</v>
      </c>
      <c r="M136" s="2" t="s">
        <v>387</v>
      </c>
      <c r="N136" s="2" t="s">
        <v>1387</v>
      </c>
      <c r="O136" s="2" t="s">
        <v>1461</v>
      </c>
      <c r="P136" s="2" t="s">
        <v>1396</v>
      </c>
      <c r="Q136" s="2" t="s">
        <v>104</v>
      </c>
      <c r="R136" s="2" t="s">
        <v>454</v>
      </c>
      <c r="S136" s="2" t="s">
        <v>35</v>
      </c>
      <c r="T136" s="150">
        <v>3.46</v>
      </c>
      <c r="U136" s="2" t="s">
        <v>1397</v>
      </c>
      <c r="V136" s="162">
        <v>5.5309999999999998E-2</v>
      </c>
      <c r="W136" s="2" t="s">
        <v>801</v>
      </c>
      <c r="X136" s="2" t="s">
        <v>955</v>
      </c>
      <c r="Y136" s="150">
        <v>5.5309999999999997</v>
      </c>
      <c r="Z136" s="164">
        <v>2.4500000000000001E-2</v>
      </c>
      <c r="AA136" s="2" t="s">
        <v>1393</v>
      </c>
      <c r="AB136" s="4" t="s">
        <v>459</v>
      </c>
      <c r="AC136" s="2" t="s">
        <v>530</v>
      </c>
      <c r="AD136" s="150">
        <v>9674</v>
      </c>
      <c r="AE136" s="150">
        <v>0.78</v>
      </c>
      <c r="AF136" s="2" t="s">
        <v>1404</v>
      </c>
      <c r="AG136" s="2" t="s">
        <v>164</v>
      </c>
      <c r="AI136" s="2" t="s">
        <v>1405</v>
      </c>
      <c r="AJ136" s="2" t="s">
        <v>387</v>
      </c>
      <c r="AK136" s="2" t="s">
        <v>938</v>
      </c>
      <c r="AL136" s="2" t="s">
        <v>1377</v>
      </c>
      <c r="AN136" s="2" t="s">
        <v>1378</v>
      </c>
      <c r="AO136" s="2" t="s">
        <v>1404</v>
      </c>
      <c r="AP136" s="151">
        <v>0</v>
      </c>
      <c r="AQ136" s="150">
        <v>8495.31</v>
      </c>
      <c r="AR136" s="150">
        <v>128.44</v>
      </c>
      <c r="AS136" s="150">
        <v>1</v>
      </c>
      <c r="AT136" s="150">
        <v>10.911</v>
      </c>
      <c r="AU136" s="150">
        <v>10.911</v>
      </c>
      <c r="AX136" s="4" t="s">
        <v>164</v>
      </c>
      <c r="AY136" s="2" t="s">
        <v>37</v>
      </c>
      <c r="AZ136" s="164">
        <v>8.1514784320402406E-3</v>
      </c>
      <c r="BA136" s="164">
        <v>7.6114859333360394E-5</v>
      </c>
    </row>
    <row r="137" spans="1:53">
      <c r="A137" s="2" t="s">
        <v>128</v>
      </c>
      <c r="B137" s="2">
        <v>7229</v>
      </c>
      <c r="C137" s="2" t="s">
        <v>1387</v>
      </c>
      <c r="D137" s="2" t="s">
        <v>34</v>
      </c>
      <c r="E137" s="2" t="s">
        <v>1462</v>
      </c>
      <c r="F137" s="2" t="s">
        <v>1463</v>
      </c>
      <c r="G137" s="2" t="s">
        <v>1084</v>
      </c>
      <c r="I137" s="2" t="s">
        <v>31</v>
      </c>
      <c r="J137" s="2" t="s">
        <v>31</v>
      </c>
      <c r="K137" s="2" t="s">
        <v>498</v>
      </c>
      <c r="L137" s="2" t="s">
        <v>164</v>
      </c>
      <c r="M137" s="2" t="s">
        <v>387</v>
      </c>
      <c r="O137" s="2" t="s">
        <v>1464</v>
      </c>
      <c r="P137" s="2" t="s">
        <v>1391</v>
      </c>
      <c r="Q137" s="2" t="s">
        <v>217</v>
      </c>
      <c r="R137" s="2" t="s">
        <v>454</v>
      </c>
      <c r="S137" s="2" t="s">
        <v>35</v>
      </c>
      <c r="T137" s="150">
        <v>3.46</v>
      </c>
      <c r="U137" s="2" t="s">
        <v>204</v>
      </c>
      <c r="V137" s="162">
        <v>5.5E-2</v>
      </c>
      <c r="W137" s="2" t="s">
        <v>801</v>
      </c>
      <c r="X137" s="2" t="s">
        <v>1392</v>
      </c>
      <c r="Y137" s="150">
        <v>5.5</v>
      </c>
      <c r="Z137" s="164">
        <v>2.35E-2</v>
      </c>
      <c r="AA137" s="2" t="s">
        <v>1403</v>
      </c>
      <c r="AB137" s="4" t="s">
        <v>459</v>
      </c>
      <c r="AG137" s="2" t="s">
        <v>164</v>
      </c>
      <c r="AJ137" s="2" t="s">
        <v>164</v>
      </c>
      <c r="AK137" s="2" t="s">
        <v>204</v>
      </c>
      <c r="AN137" s="2" t="s">
        <v>1378</v>
      </c>
      <c r="AQ137" s="150">
        <v>2026.3</v>
      </c>
      <c r="AR137" s="150">
        <v>126.88</v>
      </c>
      <c r="AS137" s="150">
        <v>1</v>
      </c>
      <c r="AT137" s="150">
        <v>2.5710000000000002</v>
      </c>
      <c r="AU137" s="150">
        <v>2.5710000000000002</v>
      </c>
      <c r="AX137" s="4" t="s">
        <v>164</v>
      </c>
      <c r="AY137" s="2" t="s">
        <v>37</v>
      </c>
      <c r="AZ137" s="164">
        <v>1.92067449830378E-3</v>
      </c>
      <c r="BA137" s="164">
        <v>1.7934399321838699E-5</v>
      </c>
    </row>
    <row r="138" spans="1:53">
      <c r="A138" s="2" t="s">
        <v>128</v>
      </c>
      <c r="B138" s="2">
        <v>7229</v>
      </c>
      <c r="C138" s="2" t="s">
        <v>1387</v>
      </c>
      <c r="D138" s="2" t="s">
        <v>34</v>
      </c>
      <c r="E138" s="2" t="s">
        <v>1465</v>
      </c>
      <c r="F138" s="2" t="s">
        <v>1466</v>
      </c>
      <c r="G138" s="2" t="s">
        <v>1084</v>
      </c>
      <c r="I138" s="2" t="s">
        <v>31</v>
      </c>
      <c r="J138" s="2" t="s">
        <v>31</v>
      </c>
      <c r="K138" s="2" t="s">
        <v>498</v>
      </c>
      <c r="L138" s="2" t="s">
        <v>164</v>
      </c>
      <c r="M138" s="2" t="s">
        <v>387</v>
      </c>
      <c r="N138" s="2" t="s">
        <v>1387</v>
      </c>
      <c r="O138" s="2" t="s">
        <v>1467</v>
      </c>
      <c r="P138" s="2" t="s">
        <v>1396</v>
      </c>
      <c r="Q138" s="2" t="s">
        <v>104</v>
      </c>
      <c r="R138" s="2" t="s">
        <v>454</v>
      </c>
      <c r="S138" s="2" t="s">
        <v>35</v>
      </c>
      <c r="T138" s="150">
        <v>3.46</v>
      </c>
      <c r="U138" s="2" t="s">
        <v>1397</v>
      </c>
      <c r="V138" s="162">
        <v>5.5E-2</v>
      </c>
      <c r="W138" s="2" t="s">
        <v>801</v>
      </c>
      <c r="X138" s="2" t="s">
        <v>955</v>
      </c>
      <c r="Y138" s="150">
        <v>5.5</v>
      </c>
      <c r="Z138" s="164">
        <v>2.4500000000000001E-2</v>
      </c>
      <c r="AA138" s="2" t="s">
        <v>1393</v>
      </c>
      <c r="AB138" s="4" t="s">
        <v>459</v>
      </c>
      <c r="AC138" s="2" t="s">
        <v>530</v>
      </c>
      <c r="AD138" s="150">
        <v>2154</v>
      </c>
      <c r="AE138" s="150">
        <v>0.78</v>
      </c>
      <c r="AF138" s="2" t="s">
        <v>1404</v>
      </c>
      <c r="AG138" s="2" t="s">
        <v>164</v>
      </c>
      <c r="AI138" s="2" t="s">
        <v>1405</v>
      </c>
      <c r="AJ138" s="2" t="s">
        <v>387</v>
      </c>
      <c r="AK138" s="2" t="s">
        <v>938</v>
      </c>
      <c r="AL138" s="2" t="s">
        <v>1377</v>
      </c>
      <c r="AN138" s="2" t="s">
        <v>1378</v>
      </c>
      <c r="AO138" s="2" t="s">
        <v>1404</v>
      </c>
      <c r="AP138" s="151">
        <v>0</v>
      </c>
      <c r="AQ138" s="150">
        <v>4102.0600000000004</v>
      </c>
      <c r="AR138" s="150">
        <v>126.22</v>
      </c>
      <c r="AS138" s="150">
        <v>1</v>
      </c>
      <c r="AT138" s="150">
        <v>5.1779999999999999</v>
      </c>
      <c r="AU138" s="150">
        <v>5.1779999999999999</v>
      </c>
      <c r="AX138" s="4" t="s">
        <v>164</v>
      </c>
      <c r="AY138" s="2" t="s">
        <v>37</v>
      </c>
      <c r="AZ138" s="164">
        <v>3.8680051169479E-3</v>
      </c>
      <c r="BA138" s="164">
        <v>3.6117701571777202E-5</v>
      </c>
    </row>
    <row r="139" spans="1:53">
      <c r="A139" s="2" t="s">
        <v>128</v>
      </c>
      <c r="B139" s="2">
        <v>7229</v>
      </c>
      <c r="C139" s="2" t="s">
        <v>1387</v>
      </c>
      <c r="D139" s="2" t="s">
        <v>34</v>
      </c>
      <c r="E139" s="2" t="s">
        <v>1468</v>
      </c>
      <c r="F139" s="2" t="s">
        <v>1469</v>
      </c>
      <c r="G139" s="2" t="s">
        <v>1084</v>
      </c>
      <c r="I139" s="2" t="s">
        <v>31</v>
      </c>
      <c r="J139" s="2" t="s">
        <v>31</v>
      </c>
      <c r="K139" s="2" t="s">
        <v>498</v>
      </c>
      <c r="L139" s="2" t="s">
        <v>164</v>
      </c>
      <c r="M139" s="2" t="s">
        <v>387</v>
      </c>
      <c r="N139" s="2" t="s">
        <v>1387</v>
      </c>
      <c r="O139" s="2" t="s">
        <v>1470</v>
      </c>
      <c r="P139" s="2" t="s">
        <v>1396</v>
      </c>
      <c r="Q139" s="2" t="s">
        <v>104</v>
      </c>
      <c r="R139" s="2" t="s">
        <v>454</v>
      </c>
      <c r="S139" s="2" t="s">
        <v>35</v>
      </c>
      <c r="T139" s="150">
        <v>3.46</v>
      </c>
      <c r="U139" s="2" t="s">
        <v>1397</v>
      </c>
      <c r="V139" s="162">
        <v>5.5E-2</v>
      </c>
      <c r="W139" s="2" t="s">
        <v>801</v>
      </c>
      <c r="X139" s="2" t="s">
        <v>955</v>
      </c>
      <c r="Y139" s="150">
        <v>5.5</v>
      </c>
      <c r="Z139" s="164">
        <v>2.4500000000000001E-2</v>
      </c>
      <c r="AA139" s="2" t="s">
        <v>1393</v>
      </c>
      <c r="AB139" s="4" t="s">
        <v>459</v>
      </c>
      <c r="AC139" s="2" t="s">
        <v>530</v>
      </c>
      <c r="AD139" s="150">
        <v>3341</v>
      </c>
      <c r="AE139" s="150">
        <v>0.78</v>
      </c>
      <c r="AF139" s="2" t="s">
        <v>1404</v>
      </c>
      <c r="AG139" s="2" t="s">
        <v>164</v>
      </c>
      <c r="AI139" s="2" t="s">
        <v>1405</v>
      </c>
      <c r="AJ139" s="2" t="s">
        <v>387</v>
      </c>
      <c r="AK139" s="2" t="s">
        <v>938</v>
      </c>
      <c r="AL139" s="2" t="s">
        <v>1377</v>
      </c>
      <c r="AN139" s="2" t="s">
        <v>1378</v>
      </c>
      <c r="AO139" s="2" t="s">
        <v>1404</v>
      </c>
      <c r="AP139" s="151">
        <v>0</v>
      </c>
      <c r="AQ139" s="150">
        <v>6360.63</v>
      </c>
      <c r="AR139" s="150">
        <v>126.45</v>
      </c>
      <c r="AS139" s="150">
        <v>1</v>
      </c>
      <c r="AT139" s="150">
        <v>8.0429999999999993</v>
      </c>
      <c r="AU139" s="150">
        <v>8.0429999999999993</v>
      </c>
      <c r="AX139" s="4" t="s">
        <v>164</v>
      </c>
      <c r="AY139" s="2" t="s">
        <v>37</v>
      </c>
      <c r="AZ139" s="164">
        <v>6.0086349918953598E-3</v>
      </c>
      <c r="BA139" s="164">
        <v>5.6105945811740599E-5</v>
      </c>
    </row>
    <row r="140" spans="1:53">
      <c r="A140" s="2" t="s">
        <v>128</v>
      </c>
      <c r="B140" s="2">
        <v>7229</v>
      </c>
      <c r="C140" s="2" t="s">
        <v>1387</v>
      </c>
      <c r="D140" s="2" t="s">
        <v>34</v>
      </c>
      <c r="E140" s="2" t="s">
        <v>1471</v>
      </c>
      <c r="F140" s="2" t="s">
        <v>1472</v>
      </c>
      <c r="G140" s="2" t="s">
        <v>1084</v>
      </c>
      <c r="I140" s="2" t="s">
        <v>31</v>
      </c>
      <c r="J140" s="2" t="s">
        <v>31</v>
      </c>
      <c r="K140" s="2" t="s">
        <v>498</v>
      </c>
      <c r="L140" s="2" t="s">
        <v>164</v>
      </c>
      <c r="M140" s="2" t="s">
        <v>387</v>
      </c>
      <c r="O140" s="2" t="s">
        <v>1464</v>
      </c>
      <c r="P140" s="2" t="s">
        <v>1391</v>
      </c>
      <c r="Q140" s="2" t="s">
        <v>217</v>
      </c>
      <c r="R140" s="2" t="s">
        <v>454</v>
      </c>
      <c r="S140" s="2" t="s">
        <v>35</v>
      </c>
      <c r="T140" s="150">
        <v>3.43</v>
      </c>
      <c r="U140" s="2" t="s">
        <v>204</v>
      </c>
      <c r="V140" s="162">
        <v>5.5E-2</v>
      </c>
      <c r="W140" s="2" t="s">
        <v>801</v>
      </c>
      <c r="X140" s="2" t="s">
        <v>1392</v>
      </c>
      <c r="Y140" s="150">
        <v>5.5</v>
      </c>
      <c r="Z140" s="164">
        <v>2.6800000000000001E-2</v>
      </c>
      <c r="AA140" s="2" t="s">
        <v>1403</v>
      </c>
      <c r="AB140" s="4" t="s">
        <v>459</v>
      </c>
      <c r="AG140" s="2" t="s">
        <v>164</v>
      </c>
      <c r="AJ140" s="2" t="s">
        <v>164</v>
      </c>
      <c r="AK140" s="2" t="s">
        <v>204</v>
      </c>
      <c r="AN140" s="2" t="s">
        <v>1378</v>
      </c>
      <c r="AQ140" s="150">
        <v>1677.95</v>
      </c>
      <c r="AR140" s="150">
        <v>125.98</v>
      </c>
      <c r="AS140" s="150">
        <v>1</v>
      </c>
      <c r="AT140" s="150">
        <v>2.1139999999999999</v>
      </c>
      <c r="AU140" s="150">
        <v>2.1139999999999999</v>
      </c>
      <c r="AX140" s="4" t="s">
        <v>164</v>
      </c>
      <c r="AY140" s="2" t="s">
        <v>37</v>
      </c>
      <c r="AZ140" s="164">
        <v>1.5792012357118701E-3</v>
      </c>
      <c r="BA140" s="164">
        <v>1.47458747413005E-5</v>
      </c>
    </row>
    <row r="141" spans="1:53">
      <c r="A141" s="2" t="s">
        <v>128</v>
      </c>
      <c r="B141" s="2">
        <v>7229</v>
      </c>
      <c r="C141" s="2" t="s">
        <v>1387</v>
      </c>
      <c r="D141" s="2" t="s">
        <v>34</v>
      </c>
      <c r="E141" s="2" t="s">
        <v>1473</v>
      </c>
      <c r="F141" s="2" t="s">
        <v>1474</v>
      </c>
      <c r="G141" s="2" t="s">
        <v>1084</v>
      </c>
      <c r="I141" s="2" t="s">
        <v>31</v>
      </c>
      <c r="J141" s="2" t="s">
        <v>31</v>
      </c>
      <c r="K141" s="2" t="s">
        <v>498</v>
      </c>
      <c r="L141" s="2" t="s">
        <v>164</v>
      </c>
      <c r="M141" s="2" t="s">
        <v>387</v>
      </c>
      <c r="N141" s="2" t="s">
        <v>1387</v>
      </c>
      <c r="O141" s="2" t="s">
        <v>1475</v>
      </c>
      <c r="P141" s="2" t="s">
        <v>1396</v>
      </c>
      <c r="Q141" s="2" t="s">
        <v>104</v>
      </c>
      <c r="R141" s="2" t="s">
        <v>454</v>
      </c>
      <c r="S141" s="2" t="s">
        <v>35</v>
      </c>
      <c r="T141" s="150">
        <v>3.46</v>
      </c>
      <c r="U141" s="2" t="s">
        <v>1397</v>
      </c>
      <c r="V141" s="162">
        <v>5.5E-2</v>
      </c>
      <c r="W141" s="2" t="s">
        <v>801</v>
      </c>
      <c r="X141" s="2" t="s">
        <v>955</v>
      </c>
      <c r="Y141" s="150">
        <v>5.5</v>
      </c>
      <c r="Z141" s="164">
        <v>2.3599999999999999E-2</v>
      </c>
      <c r="AA141" s="2" t="s">
        <v>1393</v>
      </c>
      <c r="AB141" s="4" t="s">
        <v>459</v>
      </c>
      <c r="AC141" s="2" t="s">
        <v>530</v>
      </c>
      <c r="AD141" s="150">
        <v>774</v>
      </c>
      <c r="AE141" s="150">
        <v>0.78</v>
      </c>
      <c r="AF141" s="2" t="s">
        <v>1404</v>
      </c>
      <c r="AG141" s="2" t="s">
        <v>164</v>
      </c>
      <c r="AI141" s="2" t="s">
        <v>1405</v>
      </c>
      <c r="AJ141" s="2" t="s">
        <v>387</v>
      </c>
      <c r="AK141" s="2" t="s">
        <v>938</v>
      </c>
      <c r="AL141" s="2" t="s">
        <v>1377</v>
      </c>
      <c r="AN141" s="2" t="s">
        <v>1378</v>
      </c>
      <c r="AO141" s="2" t="s">
        <v>1404</v>
      </c>
      <c r="AP141" s="151">
        <v>0</v>
      </c>
      <c r="AQ141" s="150">
        <v>1472.85</v>
      </c>
      <c r="AR141" s="150">
        <v>124.97</v>
      </c>
      <c r="AS141" s="150">
        <v>1</v>
      </c>
      <c r="AT141" s="150">
        <v>1.841</v>
      </c>
      <c r="AU141" s="150">
        <v>1.841</v>
      </c>
      <c r="AX141" s="4" t="s">
        <v>164</v>
      </c>
      <c r="AY141" s="2" t="s">
        <v>37</v>
      </c>
      <c r="AZ141" s="164">
        <v>1.3750584036125201E-3</v>
      </c>
      <c r="BA141" s="164">
        <v>1.28396802909685E-5</v>
      </c>
    </row>
    <row r="142" spans="1:53">
      <c r="A142" s="2" t="s">
        <v>128</v>
      </c>
      <c r="B142" s="2">
        <v>7229</v>
      </c>
      <c r="C142" s="2" t="s">
        <v>1387</v>
      </c>
      <c r="D142" s="2" t="s">
        <v>34</v>
      </c>
      <c r="E142" s="2" t="s">
        <v>1476</v>
      </c>
      <c r="F142" s="2" t="s">
        <v>1477</v>
      </c>
      <c r="G142" s="2" t="s">
        <v>1084</v>
      </c>
      <c r="I142" s="2" t="s">
        <v>31</v>
      </c>
      <c r="J142" s="2" t="s">
        <v>31</v>
      </c>
      <c r="K142" s="2" t="s">
        <v>498</v>
      </c>
      <c r="L142" s="2" t="s">
        <v>164</v>
      </c>
      <c r="M142" s="2" t="s">
        <v>387</v>
      </c>
      <c r="N142" s="2" t="s">
        <v>1387</v>
      </c>
      <c r="O142" s="2" t="s">
        <v>1478</v>
      </c>
      <c r="P142" s="2" t="s">
        <v>1396</v>
      </c>
      <c r="Q142" s="2" t="s">
        <v>104</v>
      </c>
      <c r="R142" s="2" t="s">
        <v>454</v>
      </c>
      <c r="S142" s="2" t="s">
        <v>35</v>
      </c>
      <c r="T142" s="150">
        <v>3.46</v>
      </c>
      <c r="U142" s="2" t="s">
        <v>1397</v>
      </c>
      <c r="V142" s="162">
        <v>5.5E-2</v>
      </c>
      <c r="W142" s="2" t="s">
        <v>801</v>
      </c>
      <c r="X142" s="2" t="s">
        <v>955</v>
      </c>
      <c r="Y142" s="150">
        <v>5.5</v>
      </c>
      <c r="Z142" s="164">
        <v>2.3699999999999999E-2</v>
      </c>
      <c r="AA142" s="2" t="s">
        <v>1393</v>
      </c>
      <c r="AB142" s="4" t="s">
        <v>459</v>
      </c>
      <c r="AC142" s="2" t="s">
        <v>530</v>
      </c>
      <c r="AD142" s="150">
        <v>862</v>
      </c>
      <c r="AE142" s="150">
        <v>0.78</v>
      </c>
      <c r="AF142" s="2" t="s">
        <v>1404</v>
      </c>
      <c r="AG142" s="2" t="s">
        <v>164</v>
      </c>
      <c r="AI142" s="2" t="s">
        <v>1405</v>
      </c>
      <c r="AJ142" s="2" t="s">
        <v>387</v>
      </c>
      <c r="AK142" s="2" t="s">
        <v>938</v>
      </c>
      <c r="AL142" s="2" t="s">
        <v>1377</v>
      </c>
      <c r="AN142" s="2" t="s">
        <v>1378</v>
      </c>
      <c r="AO142" s="2" t="s">
        <v>1404</v>
      </c>
      <c r="AP142" s="151">
        <v>0</v>
      </c>
      <c r="AQ142" s="150">
        <v>1641.84</v>
      </c>
      <c r="AR142" s="150">
        <v>124.33</v>
      </c>
      <c r="AS142" s="150">
        <v>1</v>
      </c>
      <c r="AT142" s="150">
        <v>2.0409999999999999</v>
      </c>
      <c r="AU142" s="150">
        <v>2.0409999999999999</v>
      </c>
      <c r="AX142" s="4" t="s">
        <v>164</v>
      </c>
      <c r="AY142" s="2" t="s">
        <v>37</v>
      </c>
      <c r="AZ142" s="164">
        <v>1.5249781512013099E-3</v>
      </c>
      <c r="BA142" s="164">
        <v>1.4239563832849899E-5</v>
      </c>
    </row>
    <row r="143" spans="1:53">
      <c r="A143" s="2" t="s">
        <v>128</v>
      </c>
      <c r="B143" s="2">
        <v>7229</v>
      </c>
      <c r="C143" s="2" t="s">
        <v>1387</v>
      </c>
      <c r="D143" s="2" t="s">
        <v>34</v>
      </c>
      <c r="E143" s="2" t="s">
        <v>1479</v>
      </c>
      <c r="F143" s="2" t="s">
        <v>1480</v>
      </c>
      <c r="G143" s="2" t="s">
        <v>1084</v>
      </c>
      <c r="I143" s="2" t="s">
        <v>31</v>
      </c>
      <c r="J143" s="2" t="s">
        <v>31</v>
      </c>
      <c r="K143" s="2" t="s">
        <v>498</v>
      </c>
      <c r="L143" s="2" t="s">
        <v>164</v>
      </c>
      <c r="M143" s="2" t="s">
        <v>387</v>
      </c>
      <c r="N143" s="2" t="s">
        <v>1387</v>
      </c>
      <c r="O143" s="2" t="s">
        <v>1481</v>
      </c>
      <c r="P143" s="2" t="s">
        <v>1396</v>
      </c>
      <c r="Q143" s="2" t="s">
        <v>104</v>
      </c>
      <c r="R143" s="2" t="s">
        <v>454</v>
      </c>
      <c r="S143" s="2" t="s">
        <v>35</v>
      </c>
      <c r="T143" s="150">
        <v>3.46</v>
      </c>
      <c r="U143" s="2" t="s">
        <v>1397</v>
      </c>
      <c r="V143" s="162">
        <v>5.5E-2</v>
      </c>
      <c r="W143" s="2" t="s">
        <v>801</v>
      </c>
      <c r="X143" s="2" t="s">
        <v>955</v>
      </c>
      <c r="Y143" s="150">
        <v>5.5</v>
      </c>
      <c r="Z143" s="164">
        <v>2.4500000000000001E-2</v>
      </c>
      <c r="AA143" s="2" t="s">
        <v>1393</v>
      </c>
      <c r="AB143" s="4" t="s">
        <v>459</v>
      </c>
      <c r="AC143" s="2" t="s">
        <v>530</v>
      </c>
      <c r="AD143" s="150">
        <v>2532</v>
      </c>
      <c r="AE143" s="150">
        <v>0.78</v>
      </c>
      <c r="AF143" s="2" t="s">
        <v>1404</v>
      </c>
      <c r="AG143" s="2" t="s">
        <v>164</v>
      </c>
      <c r="AI143" s="2" t="s">
        <v>1405</v>
      </c>
      <c r="AJ143" s="2" t="s">
        <v>387</v>
      </c>
      <c r="AK143" s="2" t="s">
        <v>938</v>
      </c>
      <c r="AL143" s="2" t="s">
        <v>1377</v>
      </c>
      <c r="AN143" s="2" t="s">
        <v>1378</v>
      </c>
      <c r="AO143" s="2" t="s">
        <v>1404</v>
      </c>
      <c r="AP143" s="151">
        <v>0</v>
      </c>
      <c r="AQ143" s="150">
        <v>4820.74</v>
      </c>
      <c r="AR143" s="150">
        <v>124.09</v>
      </c>
      <c r="AS143" s="150">
        <v>1</v>
      </c>
      <c r="AT143" s="150">
        <v>5.9820000000000002</v>
      </c>
      <c r="AU143" s="150">
        <v>5.9820000000000002</v>
      </c>
      <c r="AX143" s="4" t="s">
        <v>164</v>
      </c>
      <c r="AY143" s="2" t="s">
        <v>37</v>
      </c>
      <c r="AZ143" s="164">
        <v>4.4689690739865597E-3</v>
      </c>
      <c r="BA143" s="164">
        <v>4.17292341834103E-5</v>
      </c>
    </row>
    <row r="144" spans="1:53">
      <c r="A144" s="2" t="s">
        <v>128</v>
      </c>
      <c r="B144" s="2">
        <v>7229</v>
      </c>
      <c r="C144" s="2" t="s">
        <v>1387</v>
      </c>
      <c r="D144" s="2" t="s">
        <v>34</v>
      </c>
      <c r="E144" s="2" t="s">
        <v>1482</v>
      </c>
      <c r="F144" s="2" t="s">
        <v>1483</v>
      </c>
      <c r="G144" s="2" t="s">
        <v>1084</v>
      </c>
      <c r="I144" s="2" t="s">
        <v>31</v>
      </c>
      <c r="J144" s="2" t="s">
        <v>31</v>
      </c>
      <c r="K144" s="2" t="s">
        <v>498</v>
      </c>
      <c r="L144" s="2" t="s">
        <v>164</v>
      </c>
      <c r="M144" s="2" t="s">
        <v>387</v>
      </c>
      <c r="N144" s="2" t="s">
        <v>1387</v>
      </c>
      <c r="O144" s="2" t="s">
        <v>1484</v>
      </c>
      <c r="P144" s="2" t="s">
        <v>1391</v>
      </c>
      <c r="Q144" s="2" t="s">
        <v>217</v>
      </c>
      <c r="R144" s="2" t="s">
        <v>454</v>
      </c>
      <c r="S144" s="2" t="s">
        <v>35</v>
      </c>
      <c r="T144" s="150">
        <v>3.46</v>
      </c>
      <c r="U144" s="2" t="s">
        <v>1397</v>
      </c>
      <c r="V144" s="162">
        <v>5.5E-2</v>
      </c>
      <c r="W144" s="2" t="s">
        <v>801</v>
      </c>
      <c r="X144" s="2" t="s">
        <v>955</v>
      </c>
      <c r="Y144" s="150">
        <v>5.5</v>
      </c>
      <c r="Z144" s="164">
        <v>2.4500000000000001E-2</v>
      </c>
      <c r="AA144" s="2" t="s">
        <v>1393</v>
      </c>
      <c r="AB144" s="4" t="s">
        <v>459</v>
      </c>
      <c r="AC144" s="2" t="s">
        <v>530</v>
      </c>
      <c r="AD144" s="150">
        <v>470</v>
      </c>
      <c r="AE144" s="150">
        <v>0.78</v>
      </c>
      <c r="AF144" s="2" t="s">
        <v>1404</v>
      </c>
      <c r="AG144" s="2" t="s">
        <v>164</v>
      </c>
      <c r="AI144" s="2" t="s">
        <v>1405</v>
      </c>
      <c r="AJ144" s="2" t="s">
        <v>387</v>
      </c>
      <c r="AK144" s="2" t="s">
        <v>938</v>
      </c>
      <c r="AL144" s="2" t="s">
        <v>1377</v>
      </c>
      <c r="AN144" s="2" t="s">
        <v>1378</v>
      </c>
      <c r="AO144" s="2" t="s">
        <v>1404</v>
      </c>
      <c r="AP144" s="151">
        <v>0</v>
      </c>
      <c r="AQ144" s="150">
        <v>894.84</v>
      </c>
      <c r="AR144" s="150">
        <v>124.72</v>
      </c>
      <c r="AS144" s="150">
        <v>1</v>
      </c>
      <c r="AT144" s="150">
        <v>1.1160000000000001</v>
      </c>
      <c r="AU144" s="150">
        <v>1.1160000000000001</v>
      </c>
      <c r="AX144" s="4" t="s">
        <v>164</v>
      </c>
      <c r="AY144" s="2" t="s">
        <v>37</v>
      </c>
      <c r="AZ144" s="164">
        <v>8.33754799608634E-4</v>
      </c>
      <c r="BA144" s="164">
        <v>7.7852293691025E-6</v>
      </c>
    </row>
    <row r="145" spans="1:53">
      <c r="A145" s="2" t="s">
        <v>128</v>
      </c>
      <c r="B145" s="2">
        <v>7229</v>
      </c>
      <c r="C145" s="2" t="s">
        <v>1387</v>
      </c>
      <c r="D145" s="2" t="s">
        <v>34</v>
      </c>
      <c r="E145" s="2" t="s">
        <v>1485</v>
      </c>
      <c r="F145" s="2" t="s">
        <v>1486</v>
      </c>
      <c r="G145" s="2" t="s">
        <v>1084</v>
      </c>
      <c r="I145" s="2" t="s">
        <v>31</v>
      </c>
      <c r="J145" s="2" t="s">
        <v>31</v>
      </c>
      <c r="K145" s="2" t="s">
        <v>498</v>
      </c>
      <c r="L145" s="2" t="s">
        <v>164</v>
      </c>
      <c r="M145" s="2" t="s">
        <v>387</v>
      </c>
      <c r="N145" s="2" t="s">
        <v>1387</v>
      </c>
      <c r="O145" s="2" t="s">
        <v>1487</v>
      </c>
      <c r="P145" s="2" t="s">
        <v>1396</v>
      </c>
      <c r="Q145" s="2" t="s">
        <v>104</v>
      </c>
      <c r="R145" s="2" t="s">
        <v>454</v>
      </c>
      <c r="S145" s="2" t="s">
        <v>35</v>
      </c>
      <c r="T145" s="150">
        <v>3.46</v>
      </c>
      <c r="U145" s="2" t="s">
        <v>1397</v>
      </c>
      <c r="V145" s="162">
        <v>5.5E-2</v>
      </c>
      <c r="W145" s="2" t="s">
        <v>801</v>
      </c>
      <c r="X145" s="2" t="s">
        <v>955</v>
      </c>
      <c r="Y145" s="150">
        <v>5.5</v>
      </c>
      <c r="Z145" s="164">
        <v>2.4500000000000001E-2</v>
      </c>
      <c r="AA145" s="2" t="s">
        <v>1488</v>
      </c>
      <c r="AB145" s="4" t="s">
        <v>459</v>
      </c>
      <c r="AC145" s="2" t="s">
        <v>530</v>
      </c>
      <c r="AD145" s="150">
        <v>938</v>
      </c>
      <c r="AE145" s="150">
        <v>0.78</v>
      </c>
      <c r="AF145" s="2" t="s">
        <v>1404</v>
      </c>
      <c r="AG145" s="2" t="s">
        <v>164</v>
      </c>
      <c r="AI145" s="2" t="s">
        <v>1405</v>
      </c>
      <c r="AJ145" s="2" t="s">
        <v>387</v>
      </c>
      <c r="AK145" s="2" t="s">
        <v>938</v>
      </c>
      <c r="AL145" s="2" t="s">
        <v>1377</v>
      </c>
      <c r="AN145" s="2" t="s">
        <v>1378</v>
      </c>
      <c r="AO145" s="2" t="s">
        <v>1404</v>
      </c>
      <c r="AP145" s="151">
        <v>0</v>
      </c>
      <c r="AQ145" s="150">
        <v>1785.74</v>
      </c>
      <c r="AR145" s="150">
        <v>124.95</v>
      </c>
      <c r="AS145" s="150">
        <v>1</v>
      </c>
      <c r="AT145" s="150">
        <v>2.2309999999999999</v>
      </c>
      <c r="AU145" s="150">
        <v>2.2309999999999999</v>
      </c>
      <c r="AX145" s="4" t="s">
        <v>164</v>
      </c>
      <c r="AY145" s="2" t="s">
        <v>37</v>
      </c>
      <c r="AZ145" s="164">
        <v>1.66690689470504E-3</v>
      </c>
      <c r="BA145" s="164">
        <v>1.55648309530676E-5</v>
      </c>
    </row>
    <row r="146" spans="1:53">
      <c r="A146" s="2" t="s">
        <v>128</v>
      </c>
      <c r="B146" s="2">
        <v>7229</v>
      </c>
      <c r="C146" s="2" t="s">
        <v>1387</v>
      </c>
      <c r="D146" s="2" t="s">
        <v>34</v>
      </c>
      <c r="E146" s="2" t="s">
        <v>1489</v>
      </c>
      <c r="F146" s="2" t="s">
        <v>1490</v>
      </c>
      <c r="G146" s="2" t="s">
        <v>1084</v>
      </c>
      <c r="I146" s="2" t="s">
        <v>31</v>
      </c>
      <c r="J146" s="2" t="s">
        <v>31</v>
      </c>
      <c r="K146" s="2" t="s">
        <v>498</v>
      </c>
      <c r="L146" s="2" t="s">
        <v>164</v>
      </c>
      <c r="M146" s="2" t="s">
        <v>387</v>
      </c>
      <c r="N146" s="2" t="s">
        <v>1387</v>
      </c>
      <c r="O146" s="2" t="s">
        <v>1491</v>
      </c>
      <c r="P146" s="2" t="s">
        <v>1396</v>
      </c>
      <c r="Q146" s="2" t="s">
        <v>104</v>
      </c>
      <c r="R146" s="2" t="s">
        <v>454</v>
      </c>
      <c r="S146" s="2" t="s">
        <v>35</v>
      </c>
      <c r="T146" s="150">
        <v>3.46</v>
      </c>
      <c r="U146" s="2" t="s">
        <v>1397</v>
      </c>
      <c r="V146" s="162">
        <v>5.5E-2</v>
      </c>
      <c r="W146" s="2" t="s">
        <v>801</v>
      </c>
      <c r="X146" s="2" t="s">
        <v>955</v>
      </c>
      <c r="Y146" s="150">
        <v>5.5</v>
      </c>
      <c r="Z146" s="164">
        <v>2.4500000000000001E-2</v>
      </c>
      <c r="AA146" s="2" t="s">
        <v>1393</v>
      </c>
      <c r="AB146" s="4" t="s">
        <v>459</v>
      </c>
      <c r="AC146" s="2" t="s">
        <v>530</v>
      </c>
      <c r="AD146" s="150">
        <v>588</v>
      </c>
      <c r="AE146" s="150">
        <v>0.78</v>
      </c>
      <c r="AF146" s="2" t="s">
        <v>1404</v>
      </c>
      <c r="AG146" s="2" t="s">
        <v>164</v>
      </c>
      <c r="AI146" s="2" t="s">
        <v>1405</v>
      </c>
      <c r="AJ146" s="2" t="s">
        <v>387</v>
      </c>
      <c r="AK146" s="2" t="s">
        <v>938</v>
      </c>
      <c r="AL146" s="2" t="s">
        <v>1377</v>
      </c>
      <c r="AN146" s="2" t="s">
        <v>1378</v>
      </c>
      <c r="AO146" s="2" t="s">
        <v>1404</v>
      </c>
      <c r="AP146" s="151">
        <v>0</v>
      </c>
      <c r="AQ146" s="150">
        <v>1118.98</v>
      </c>
      <c r="AR146" s="150">
        <v>124.47</v>
      </c>
      <c r="AS146" s="150">
        <v>1</v>
      </c>
      <c r="AT146" s="150">
        <v>1.393</v>
      </c>
      <c r="AU146" s="150">
        <v>1.393</v>
      </c>
      <c r="AX146" s="4" t="s">
        <v>164</v>
      </c>
      <c r="AY146" s="2" t="s">
        <v>37</v>
      </c>
      <c r="AZ146" s="164">
        <v>1.04050427646638E-3</v>
      </c>
      <c r="BA146" s="164">
        <v>9.7157635022013704E-6</v>
      </c>
    </row>
    <row r="147" spans="1:53">
      <c r="A147" s="2" t="s">
        <v>128</v>
      </c>
      <c r="B147" s="2">
        <v>7229</v>
      </c>
      <c r="C147" s="2" t="s">
        <v>1387</v>
      </c>
      <c r="D147" s="2" t="s">
        <v>34</v>
      </c>
      <c r="E147" s="2" t="s">
        <v>1492</v>
      </c>
      <c r="F147" s="2" t="s">
        <v>1493</v>
      </c>
      <c r="G147" s="2" t="s">
        <v>1084</v>
      </c>
      <c r="I147" s="2" t="s">
        <v>31</v>
      </c>
      <c r="J147" s="2" t="s">
        <v>31</v>
      </c>
      <c r="K147" s="2" t="s">
        <v>498</v>
      </c>
      <c r="L147" s="2" t="s">
        <v>164</v>
      </c>
      <c r="M147" s="2" t="s">
        <v>387</v>
      </c>
      <c r="N147" s="2" t="s">
        <v>1387</v>
      </c>
      <c r="O147" s="2" t="s">
        <v>1494</v>
      </c>
      <c r="P147" s="2" t="s">
        <v>1396</v>
      </c>
      <c r="Q147" s="2" t="s">
        <v>104</v>
      </c>
      <c r="R147" s="2" t="s">
        <v>454</v>
      </c>
      <c r="S147" s="2" t="s">
        <v>35</v>
      </c>
      <c r="T147" s="150">
        <v>3.46</v>
      </c>
      <c r="U147" s="2" t="s">
        <v>1397</v>
      </c>
      <c r="V147" s="162">
        <v>5.5E-2</v>
      </c>
      <c r="W147" s="2" t="s">
        <v>801</v>
      </c>
      <c r="X147" s="2" t="s">
        <v>955</v>
      </c>
      <c r="Y147" s="150">
        <v>5.5</v>
      </c>
      <c r="Z147" s="164">
        <v>2.4500000000000001E-2</v>
      </c>
      <c r="AA147" s="2" t="s">
        <v>1403</v>
      </c>
      <c r="AB147" s="4" t="s">
        <v>459</v>
      </c>
      <c r="AC147" s="2" t="s">
        <v>530</v>
      </c>
      <c r="AD147" s="150">
        <v>331</v>
      </c>
      <c r="AE147" s="150">
        <v>0.78</v>
      </c>
      <c r="AF147" s="2" t="s">
        <v>1404</v>
      </c>
      <c r="AG147" s="2" t="s">
        <v>164</v>
      </c>
      <c r="AI147" s="2" t="s">
        <v>1405</v>
      </c>
      <c r="AJ147" s="2" t="s">
        <v>387</v>
      </c>
      <c r="AK147" s="2" t="s">
        <v>938</v>
      </c>
      <c r="AL147" s="2" t="s">
        <v>1377</v>
      </c>
      <c r="AN147" s="2" t="s">
        <v>1378</v>
      </c>
      <c r="AO147" s="2" t="s">
        <v>1404</v>
      </c>
      <c r="AP147" s="151">
        <v>0</v>
      </c>
      <c r="AQ147" s="150">
        <v>630.11</v>
      </c>
      <c r="AR147" s="150">
        <v>124.35</v>
      </c>
      <c r="AS147" s="150">
        <v>1</v>
      </c>
      <c r="AT147" s="150">
        <v>0.78400000000000003</v>
      </c>
      <c r="AU147" s="150">
        <v>0.78400000000000003</v>
      </c>
      <c r="AX147" s="4" t="s">
        <v>164</v>
      </c>
      <c r="AY147" s="2" t="s">
        <v>37</v>
      </c>
      <c r="AZ147" s="164">
        <v>5.8535457535618398E-4</v>
      </c>
      <c r="BA147" s="164">
        <v>5.4657791877667201E-6</v>
      </c>
    </row>
    <row r="148" spans="1:53">
      <c r="A148" s="2" t="s">
        <v>128</v>
      </c>
      <c r="B148" s="2">
        <v>7229</v>
      </c>
      <c r="C148" s="2" t="s">
        <v>1387</v>
      </c>
      <c r="D148" s="2" t="s">
        <v>34</v>
      </c>
      <c r="E148" s="2" t="s">
        <v>1495</v>
      </c>
      <c r="F148" s="2" t="s">
        <v>1496</v>
      </c>
      <c r="G148" s="2" t="s">
        <v>1084</v>
      </c>
      <c r="I148" s="2" t="s">
        <v>31</v>
      </c>
      <c r="J148" s="2" t="s">
        <v>31</v>
      </c>
      <c r="K148" s="2" t="s">
        <v>498</v>
      </c>
      <c r="L148" s="2" t="s">
        <v>164</v>
      </c>
      <c r="M148" s="2" t="s">
        <v>387</v>
      </c>
      <c r="N148" s="2" t="s">
        <v>1387</v>
      </c>
      <c r="O148" s="2" t="s">
        <v>1497</v>
      </c>
      <c r="P148" s="2" t="s">
        <v>1396</v>
      </c>
      <c r="Q148" s="2" t="s">
        <v>104</v>
      </c>
      <c r="R148" s="2" t="s">
        <v>454</v>
      </c>
      <c r="S148" s="2" t="s">
        <v>35</v>
      </c>
      <c r="T148" s="150">
        <v>3.46</v>
      </c>
      <c r="U148" s="2" t="s">
        <v>1397</v>
      </c>
      <c r="V148" s="162">
        <v>5.5E-2</v>
      </c>
      <c r="W148" s="2" t="s">
        <v>801</v>
      </c>
      <c r="X148" s="2" t="s">
        <v>955</v>
      </c>
      <c r="Y148" s="150">
        <v>5.5</v>
      </c>
      <c r="Z148" s="164">
        <v>2.4500000000000001E-2</v>
      </c>
      <c r="AA148" s="2" t="s">
        <v>1403</v>
      </c>
      <c r="AB148" s="4" t="s">
        <v>459</v>
      </c>
      <c r="AC148" s="2" t="s">
        <v>530</v>
      </c>
      <c r="AD148" s="150">
        <v>987</v>
      </c>
      <c r="AE148" s="150">
        <v>0.78</v>
      </c>
      <c r="AF148" s="2" t="s">
        <v>1404</v>
      </c>
      <c r="AG148" s="2" t="s">
        <v>164</v>
      </c>
      <c r="AI148" s="2" t="s">
        <v>1405</v>
      </c>
      <c r="AJ148" s="2" t="s">
        <v>387</v>
      </c>
      <c r="AK148" s="2" t="s">
        <v>938</v>
      </c>
      <c r="AL148" s="2" t="s">
        <v>1377</v>
      </c>
      <c r="AN148" s="2" t="s">
        <v>1378</v>
      </c>
      <c r="AO148" s="2" t="s">
        <v>1404</v>
      </c>
      <c r="AP148" s="151">
        <v>0</v>
      </c>
      <c r="AQ148" s="150">
        <v>1879.57</v>
      </c>
      <c r="AR148" s="150">
        <v>123.99</v>
      </c>
      <c r="AS148" s="150">
        <v>1</v>
      </c>
      <c r="AT148" s="150">
        <v>2.33</v>
      </c>
      <c r="AU148" s="150">
        <v>2.33</v>
      </c>
      <c r="AX148" s="4" t="s">
        <v>164</v>
      </c>
      <c r="AY148" s="2" t="s">
        <v>37</v>
      </c>
      <c r="AZ148" s="164">
        <v>1.74101302526047E-3</v>
      </c>
      <c r="BA148" s="164">
        <v>1.6256800851533501E-5</v>
      </c>
    </row>
    <row r="149" spans="1:53">
      <c r="A149" s="2" t="s">
        <v>128</v>
      </c>
      <c r="B149" s="2">
        <v>7229</v>
      </c>
      <c r="C149" s="2" t="s">
        <v>1387</v>
      </c>
      <c r="D149" s="2" t="s">
        <v>34</v>
      </c>
      <c r="E149" s="2" t="s">
        <v>1498</v>
      </c>
      <c r="F149" s="2" t="s">
        <v>1499</v>
      </c>
      <c r="G149" s="2" t="s">
        <v>1084</v>
      </c>
      <c r="I149" s="2" t="s">
        <v>31</v>
      </c>
      <c r="J149" s="2" t="s">
        <v>31</v>
      </c>
      <c r="K149" s="2" t="s">
        <v>498</v>
      </c>
      <c r="L149" s="2" t="s">
        <v>164</v>
      </c>
      <c r="M149" s="2" t="s">
        <v>387</v>
      </c>
      <c r="O149" s="2" t="s">
        <v>1464</v>
      </c>
      <c r="P149" s="2" t="s">
        <v>1391</v>
      </c>
      <c r="Q149" s="2" t="s">
        <v>217</v>
      </c>
      <c r="R149" s="2" t="s">
        <v>454</v>
      </c>
      <c r="S149" s="2" t="s">
        <v>35</v>
      </c>
      <c r="T149" s="150">
        <v>3.75</v>
      </c>
      <c r="U149" s="2" t="s">
        <v>204</v>
      </c>
      <c r="V149" s="162">
        <v>5.5E-2</v>
      </c>
      <c r="W149" s="2" t="s">
        <v>801</v>
      </c>
      <c r="X149" s="2" t="s">
        <v>1392</v>
      </c>
      <c r="Y149" s="150">
        <v>5.5</v>
      </c>
      <c r="Z149" s="164">
        <v>3.0419999999999999E-2</v>
      </c>
      <c r="AA149" s="2" t="s">
        <v>1403</v>
      </c>
      <c r="AB149" s="4" t="s">
        <v>459</v>
      </c>
      <c r="AG149" s="2" t="s">
        <v>164</v>
      </c>
      <c r="AJ149" s="2" t="s">
        <v>164</v>
      </c>
      <c r="AK149" s="2" t="s">
        <v>204</v>
      </c>
      <c r="AN149" s="2" t="s">
        <v>1378</v>
      </c>
      <c r="AQ149" s="150">
        <v>731.69</v>
      </c>
      <c r="AR149" s="150">
        <v>123.99</v>
      </c>
      <c r="AS149" s="150">
        <v>1</v>
      </c>
      <c r="AT149" s="150">
        <v>0.90700000000000003</v>
      </c>
      <c r="AU149" s="150">
        <v>0.90700000000000003</v>
      </c>
      <c r="AX149" s="4" t="s">
        <v>164</v>
      </c>
      <c r="AY149" s="2" t="s">
        <v>37</v>
      </c>
      <c r="AZ149" s="164">
        <v>6.7775173068990798E-4</v>
      </c>
      <c r="BA149" s="164">
        <v>6.3285424937930197E-6</v>
      </c>
    </row>
    <row r="150" spans="1:53">
      <c r="A150" s="2" t="s">
        <v>128</v>
      </c>
      <c r="B150" s="2">
        <v>7229</v>
      </c>
      <c r="C150" s="2" t="s">
        <v>1387</v>
      </c>
      <c r="D150" s="2" t="s">
        <v>34</v>
      </c>
      <c r="E150" s="2" t="s">
        <v>1500</v>
      </c>
      <c r="F150" s="2" t="s">
        <v>1501</v>
      </c>
      <c r="G150" s="2" t="s">
        <v>1084</v>
      </c>
      <c r="I150" s="2" t="s">
        <v>31</v>
      </c>
      <c r="J150" s="2" t="s">
        <v>31</v>
      </c>
      <c r="K150" s="2" t="s">
        <v>498</v>
      </c>
      <c r="L150" s="2" t="s">
        <v>164</v>
      </c>
      <c r="M150" s="2" t="s">
        <v>387</v>
      </c>
      <c r="N150" s="2" t="s">
        <v>1387</v>
      </c>
      <c r="O150" s="2" t="s">
        <v>1502</v>
      </c>
      <c r="P150" s="2" t="s">
        <v>1391</v>
      </c>
      <c r="Q150" s="2" t="s">
        <v>217</v>
      </c>
      <c r="R150" s="2" t="s">
        <v>454</v>
      </c>
      <c r="S150" s="2" t="s">
        <v>35</v>
      </c>
      <c r="T150" s="150">
        <v>3.46</v>
      </c>
      <c r="U150" s="2" t="s">
        <v>1397</v>
      </c>
      <c r="V150" s="162">
        <v>5.5E-2</v>
      </c>
      <c r="W150" s="2" t="s">
        <v>801</v>
      </c>
      <c r="X150" s="2" t="s">
        <v>955</v>
      </c>
      <c r="Y150" s="150">
        <v>5.5</v>
      </c>
      <c r="Z150" s="164">
        <v>2.4500000000000001E-2</v>
      </c>
      <c r="AA150" s="2" t="s">
        <v>1403</v>
      </c>
      <c r="AB150" s="4" t="s">
        <v>459</v>
      </c>
      <c r="AC150" s="2" t="s">
        <v>530</v>
      </c>
      <c r="AD150" s="150">
        <v>5567</v>
      </c>
      <c r="AE150" s="150">
        <v>0.78</v>
      </c>
      <c r="AF150" s="2" t="s">
        <v>1404</v>
      </c>
      <c r="AG150" s="2" t="s">
        <v>164</v>
      </c>
      <c r="AI150" s="2" t="s">
        <v>1405</v>
      </c>
      <c r="AJ150" s="2" t="s">
        <v>387</v>
      </c>
      <c r="AK150" s="2" t="s">
        <v>938</v>
      </c>
      <c r="AL150" s="2" t="s">
        <v>1377</v>
      </c>
      <c r="AN150" s="2" t="s">
        <v>1378</v>
      </c>
      <c r="AO150" s="2" t="s">
        <v>1404</v>
      </c>
      <c r="AP150" s="151">
        <v>0</v>
      </c>
      <c r="AQ150" s="150">
        <v>4917.3500000000004</v>
      </c>
      <c r="AR150" s="150">
        <v>124.23</v>
      </c>
      <c r="AS150" s="150">
        <v>1</v>
      </c>
      <c r="AT150" s="150">
        <v>6.109</v>
      </c>
      <c r="AU150" s="150">
        <v>6.109</v>
      </c>
      <c r="AX150" s="4" t="s">
        <v>164</v>
      </c>
      <c r="AY150" s="2" t="s">
        <v>37</v>
      </c>
      <c r="AZ150" s="164">
        <v>4.56367240559734E-3</v>
      </c>
      <c r="BA150" s="164">
        <v>4.26135315319282E-5</v>
      </c>
    </row>
    <row r="151" spans="1:53">
      <c r="A151" s="2" t="s">
        <v>128</v>
      </c>
      <c r="B151" s="2">
        <v>7229</v>
      </c>
      <c r="C151" s="2" t="s">
        <v>1387</v>
      </c>
      <c r="D151" s="2" t="s">
        <v>34</v>
      </c>
      <c r="E151" s="2" t="s">
        <v>1503</v>
      </c>
      <c r="F151" s="2" t="s">
        <v>1504</v>
      </c>
      <c r="G151" s="2" t="s">
        <v>1084</v>
      </c>
      <c r="I151" s="2" t="s">
        <v>31</v>
      </c>
      <c r="J151" s="2" t="s">
        <v>31</v>
      </c>
      <c r="K151" s="2" t="s">
        <v>498</v>
      </c>
      <c r="L151" s="2" t="s">
        <v>164</v>
      </c>
      <c r="M151" s="2" t="s">
        <v>387</v>
      </c>
      <c r="N151" s="2" t="s">
        <v>1387</v>
      </c>
      <c r="O151" s="2" t="s">
        <v>1505</v>
      </c>
      <c r="P151" s="2" t="s">
        <v>1391</v>
      </c>
      <c r="Q151" s="2" t="s">
        <v>217</v>
      </c>
      <c r="R151" s="2" t="s">
        <v>454</v>
      </c>
      <c r="S151" s="2" t="s">
        <v>35</v>
      </c>
      <c r="T151" s="150">
        <v>3.46</v>
      </c>
      <c r="U151" s="2" t="s">
        <v>1397</v>
      </c>
      <c r="V151" s="162">
        <v>5.5E-2</v>
      </c>
      <c r="W151" s="2" t="s">
        <v>801</v>
      </c>
      <c r="X151" s="2" t="s">
        <v>955</v>
      </c>
      <c r="Y151" s="150">
        <v>5.5</v>
      </c>
      <c r="Z151" s="164">
        <v>2.4500000000000001E-2</v>
      </c>
      <c r="AA151" s="2" t="s">
        <v>1403</v>
      </c>
      <c r="AB151" s="4" t="s">
        <v>459</v>
      </c>
      <c r="AC151" s="2" t="s">
        <v>530</v>
      </c>
      <c r="AD151" s="150">
        <v>5045</v>
      </c>
      <c r="AE151" s="150">
        <v>0.78</v>
      </c>
      <c r="AF151" s="2" t="s">
        <v>1404</v>
      </c>
      <c r="AG151" s="2" t="s">
        <v>164</v>
      </c>
      <c r="AI151" s="2" t="s">
        <v>1405</v>
      </c>
      <c r="AJ151" s="2" t="s">
        <v>387</v>
      </c>
      <c r="AK151" s="2" t="s">
        <v>938</v>
      </c>
      <c r="AL151" s="2" t="s">
        <v>1377</v>
      </c>
      <c r="AN151" s="2" t="s">
        <v>1378</v>
      </c>
      <c r="AO151" s="2" t="s">
        <v>1404</v>
      </c>
      <c r="AP151" s="151">
        <v>0</v>
      </c>
      <c r="AQ151" s="150">
        <v>9605.56</v>
      </c>
      <c r="AR151" s="150">
        <v>125.34</v>
      </c>
      <c r="AS151" s="150">
        <v>1</v>
      </c>
      <c r="AT151" s="150">
        <v>12.04</v>
      </c>
      <c r="AU151" s="150">
        <v>12.04</v>
      </c>
      <c r="AX151" s="4" t="s">
        <v>164</v>
      </c>
      <c r="AY151" s="2" t="s">
        <v>37</v>
      </c>
      <c r="AZ151" s="164">
        <v>8.9943386458393604E-3</v>
      </c>
      <c r="BA151" s="164">
        <v>8.3985110987200404E-5</v>
      </c>
    </row>
    <row r="152" spans="1:53">
      <c r="A152" s="2" t="s">
        <v>128</v>
      </c>
      <c r="B152" s="2">
        <v>7229</v>
      </c>
      <c r="C152" s="2" t="s">
        <v>1387</v>
      </c>
      <c r="D152" s="2" t="s">
        <v>34</v>
      </c>
      <c r="E152" s="2" t="s">
        <v>1506</v>
      </c>
      <c r="F152" s="2" t="s">
        <v>1507</v>
      </c>
      <c r="G152" s="2" t="s">
        <v>1084</v>
      </c>
      <c r="I152" s="2" t="s">
        <v>31</v>
      </c>
      <c r="J152" s="2" t="s">
        <v>31</v>
      </c>
      <c r="K152" s="2" t="s">
        <v>498</v>
      </c>
      <c r="L152" s="2" t="s">
        <v>164</v>
      </c>
      <c r="M152" s="2" t="s">
        <v>387</v>
      </c>
      <c r="O152" s="2" t="s">
        <v>1464</v>
      </c>
      <c r="P152" s="2" t="s">
        <v>1391</v>
      </c>
      <c r="Q152" s="2" t="s">
        <v>217</v>
      </c>
      <c r="R152" s="2" t="s">
        <v>454</v>
      </c>
      <c r="S152" s="2" t="s">
        <v>35</v>
      </c>
      <c r="T152" s="150">
        <v>3.41</v>
      </c>
      <c r="U152" s="2" t="s">
        <v>204</v>
      </c>
      <c r="V152" s="162">
        <v>5.5500000000000001E-2</v>
      </c>
      <c r="W152" s="2" t="s">
        <v>801</v>
      </c>
      <c r="X152" s="2" t="s">
        <v>1392</v>
      </c>
      <c r="Y152" s="150">
        <v>5.55</v>
      </c>
      <c r="Z152" s="164">
        <v>2.6780000000000002E-2</v>
      </c>
      <c r="AA152" s="2" t="s">
        <v>1403</v>
      </c>
      <c r="AB152" s="4" t="s">
        <v>459</v>
      </c>
      <c r="AG152" s="2" t="s">
        <v>164</v>
      </c>
      <c r="AJ152" s="2" t="s">
        <v>164</v>
      </c>
      <c r="AK152" s="2" t="s">
        <v>204</v>
      </c>
      <c r="AN152" s="2" t="s">
        <v>1378</v>
      </c>
      <c r="AQ152" s="150">
        <v>7082.63</v>
      </c>
      <c r="AR152" s="150">
        <v>128.51</v>
      </c>
      <c r="AS152" s="150">
        <v>1</v>
      </c>
      <c r="AT152" s="150">
        <v>9.1020000000000003</v>
      </c>
      <c r="AU152" s="150">
        <v>9.1020000000000003</v>
      </c>
      <c r="AX152" s="4" t="s">
        <v>164</v>
      </c>
      <c r="AY152" s="2" t="s">
        <v>37</v>
      </c>
      <c r="AZ152" s="164">
        <v>6.7996777934673201E-3</v>
      </c>
      <c r="BA152" s="164">
        <v>6.34923496488231E-5</v>
      </c>
    </row>
    <row r="153" spans="1:53">
      <c r="A153" s="2" t="s">
        <v>128</v>
      </c>
      <c r="B153" s="2">
        <v>7229</v>
      </c>
      <c r="C153" s="2" t="s">
        <v>1387</v>
      </c>
      <c r="D153" s="2" t="s">
        <v>34</v>
      </c>
      <c r="E153" s="2" t="s">
        <v>1508</v>
      </c>
      <c r="F153" s="2" t="s">
        <v>1509</v>
      </c>
      <c r="G153" s="2" t="s">
        <v>1084</v>
      </c>
      <c r="I153" s="2" t="s">
        <v>31</v>
      </c>
      <c r="J153" s="2" t="s">
        <v>31</v>
      </c>
      <c r="K153" s="2" t="s">
        <v>498</v>
      </c>
      <c r="L153" s="2" t="s">
        <v>164</v>
      </c>
      <c r="M153" s="2" t="s">
        <v>387</v>
      </c>
      <c r="N153" s="2" t="s">
        <v>1387</v>
      </c>
      <c r="O153" s="2" t="s">
        <v>1510</v>
      </c>
      <c r="P153" s="2" t="s">
        <v>1396</v>
      </c>
      <c r="Q153" s="2" t="s">
        <v>104</v>
      </c>
      <c r="R153" s="2" t="s">
        <v>454</v>
      </c>
      <c r="S153" s="2" t="s">
        <v>35</v>
      </c>
      <c r="T153" s="150">
        <v>3.46</v>
      </c>
      <c r="U153" s="2" t="s">
        <v>1397</v>
      </c>
      <c r="V153" s="162">
        <v>5.5E-2</v>
      </c>
      <c r="W153" s="2" t="s">
        <v>801</v>
      </c>
      <c r="X153" s="2" t="s">
        <v>955</v>
      </c>
      <c r="Y153" s="150">
        <v>5.5</v>
      </c>
      <c r="Z153" s="164">
        <v>2.4500000000000001E-2</v>
      </c>
      <c r="AA153" s="2" t="s">
        <v>1393</v>
      </c>
      <c r="AB153" s="4" t="s">
        <v>459</v>
      </c>
      <c r="AC153" s="2" t="s">
        <v>530</v>
      </c>
      <c r="AD153" s="150">
        <v>936</v>
      </c>
      <c r="AE153" s="150">
        <v>0.78</v>
      </c>
      <c r="AF153" s="2" t="s">
        <v>1404</v>
      </c>
      <c r="AG153" s="2" t="s">
        <v>164</v>
      </c>
      <c r="AI153" s="2" t="s">
        <v>1405</v>
      </c>
      <c r="AJ153" s="2" t="s">
        <v>387</v>
      </c>
      <c r="AK153" s="2" t="s">
        <v>938</v>
      </c>
      <c r="AL153" s="2" t="s">
        <v>1377</v>
      </c>
      <c r="AN153" s="2" t="s">
        <v>1378</v>
      </c>
      <c r="AO153" s="2" t="s">
        <v>1404</v>
      </c>
      <c r="AP153" s="151">
        <v>0</v>
      </c>
      <c r="AQ153" s="150">
        <v>3108.41</v>
      </c>
      <c r="AR153" s="150">
        <v>126.7</v>
      </c>
      <c r="AS153" s="150">
        <v>1</v>
      </c>
      <c r="AT153" s="150">
        <v>3.9380000000000002</v>
      </c>
      <c r="AU153" s="150">
        <v>3.9380000000000002</v>
      </c>
      <c r="AX153" s="4" t="s">
        <v>164</v>
      </c>
      <c r="AY153" s="2" t="s">
        <v>37</v>
      </c>
      <c r="AZ153" s="164">
        <v>2.9421971334222499E-3</v>
      </c>
      <c r="BA153" s="164">
        <v>2.7472920747874599E-5</v>
      </c>
    </row>
    <row r="154" spans="1:53">
      <c r="A154" s="2" t="s">
        <v>128</v>
      </c>
      <c r="B154" s="2">
        <v>7229</v>
      </c>
      <c r="C154" s="2" t="s">
        <v>1387</v>
      </c>
      <c r="D154" s="2" t="s">
        <v>34</v>
      </c>
      <c r="E154" s="2" t="s">
        <v>1511</v>
      </c>
      <c r="F154" s="2" t="s">
        <v>1512</v>
      </c>
      <c r="G154" s="2" t="s">
        <v>1084</v>
      </c>
      <c r="I154" s="2" t="s">
        <v>31</v>
      </c>
      <c r="J154" s="2" t="s">
        <v>31</v>
      </c>
      <c r="K154" s="2" t="s">
        <v>498</v>
      </c>
      <c r="L154" s="2" t="s">
        <v>164</v>
      </c>
      <c r="M154" s="2" t="s">
        <v>387</v>
      </c>
      <c r="N154" s="2" t="s">
        <v>1387</v>
      </c>
      <c r="O154" s="2" t="s">
        <v>1513</v>
      </c>
      <c r="P154" s="2" t="s">
        <v>1391</v>
      </c>
      <c r="Q154" s="2" t="s">
        <v>217</v>
      </c>
      <c r="R154" s="2" t="s">
        <v>454</v>
      </c>
      <c r="S154" s="2" t="s">
        <v>35</v>
      </c>
      <c r="T154" s="150">
        <v>3.46</v>
      </c>
      <c r="U154" s="2" t="s">
        <v>1397</v>
      </c>
      <c r="V154" s="162">
        <v>5.5E-2</v>
      </c>
      <c r="W154" s="2" t="s">
        <v>801</v>
      </c>
      <c r="X154" s="2" t="s">
        <v>955</v>
      </c>
      <c r="Y154" s="150">
        <v>5.5</v>
      </c>
      <c r="Z154" s="164">
        <v>2.46E-2</v>
      </c>
      <c r="AA154" s="2" t="s">
        <v>1393</v>
      </c>
      <c r="AB154" s="4" t="s">
        <v>459</v>
      </c>
      <c r="AC154" s="2" t="s">
        <v>530</v>
      </c>
      <c r="AD154" s="150">
        <v>1524</v>
      </c>
      <c r="AE154" s="150">
        <v>0.78</v>
      </c>
      <c r="AF154" s="2" t="s">
        <v>1404</v>
      </c>
      <c r="AG154" s="2" t="s">
        <v>164</v>
      </c>
      <c r="AI154" s="2" t="s">
        <v>1405</v>
      </c>
      <c r="AJ154" s="2" t="s">
        <v>387</v>
      </c>
      <c r="AK154" s="2" t="s">
        <v>938</v>
      </c>
      <c r="AL154" s="2" t="s">
        <v>1377</v>
      </c>
      <c r="AN154" s="2" t="s">
        <v>1378</v>
      </c>
      <c r="AO154" s="2" t="s">
        <v>1404</v>
      </c>
      <c r="AP154" s="151">
        <v>0</v>
      </c>
      <c r="AQ154" s="150">
        <v>2901.76</v>
      </c>
      <c r="AR154" s="150">
        <v>127.02</v>
      </c>
      <c r="AS154" s="150">
        <v>1</v>
      </c>
      <c r="AT154" s="150">
        <v>3.6859999999999999</v>
      </c>
      <c r="AU154" s="150">
        <v>3.6859999999999999</v>
      </c>
      <c r="AX154" s="4" t="s">
        <v>164</v>
      </c>
      <c r="AY154" s="2" t="s">
        <v>37</v>
      </c>
      <c r="AZ154" s="164">
        <v>2.7535340661917298E-3</v>
      </c>
      <c r="BA154" s="164">
        <v>2.57112694175825E-5</v>
      </c>
    </row>
    <row r="155" spans="1:53">
      <c r="A155" s="2" t="s">
        <v>128</v>
      </c>
      <c r="B155" s="2">
        <v>7229</v>
      </c>
      <c r="C155" s="2" t="s">
        <v>1387</v>
      </c>
      <c r="D155" s="2" t="s">
        <v>34</v>
      </c>
      <c r="E155" s="2" t="s">
        <v>1514</v>
      </c>
      <c r="F155" s="2" t="s">
        <v>1515</v>
      </c>
      <c r="G155" s="2" t="s">
        <v>1084</v>
      </c>
      <c r="I155" s="2" t="s">
        <v>31</v>
      </c>
      <c r="J155" s="2" t="s">
        <v>31</v>
      </c>
      <c r="K155" s="2" t="s">
        <v>498</v>
      </c>
      <c r="L155" s="2" t="s">
        <v>164</v>
      </c>
      <c r="M155" s="2" t="s">
        <v>387</v>
      </c>
      <c r="O155" s="2" t="s">
        <v>1464</v>
      </c>
      <c r="P155" s="2" t="s">
        <v>1391</v>
      </c>
      <c r="Q155" s="2" t="s">
        <v>217</v>
      </c>
      <c r="R155" s="2" t="s">
        <v>454</v>
      </c>
      <c r="S155" s="2" t="s">
        <v>35</v>
      </c>
      <c r="T155" s="150">
        <v>3.46</v>
      </c>
      <c r="U155" s="2" t="s">
        <v>204</v>
      </c>
      <c r="V155" s="162">
        <v>5.5E-2</v>
      </c>
      <c r="W155" s="2" t="s">
        <v>801</v>
      </c>
      <c r="X155" s="2" t="s">
        <v>1392</v>
      </c>
      <c r="Y155" s="150">
        <v>5.5</v>
      </c>
      <c r="Z155" s="164">
        <v>2.4500000000000001E-2</v>
      </c>
      <c r="AA155" s="2" t="s">
        <v>1403</v>
      </c>
      <c r="AB155" s="4" t="s">
        <v>459</v>
      </c>
      <c r="AG155" s="2" t="s">
        <v>164</v>
      </c>
      <c r="AJ155" s="2" t="s">
        <v>164</v>
      </c>
      <c r="AK155" s="2" t="s">
        <v>204</v>
      </c>
      <c r="AN155" s="2" t="s">
        <v>1378</v>
      </c>
      <c r="AQ155" s="150">
        <v>3714.75</v>
      </c>
      <c r="AR155" s="150">
        <v>125.63</v>
      </c>
      <c r="AS155" s="150">
        <v>1</v>
      </c>
      <c r="AT155" s="150">
        <v>4.6669999999999998</v>
      </c>
      <c r="AU155" s="150">
        <v>4.6669999999999998</v>
      </c>
      <c r="AX155" s="4" t="s">
        <v>164</v>
      </c>
      <c r="AY155" s="2" t="s">
        <v>37</v>
      </c>
      <c r="AZ155" s="164">
        <v>3.4864208234037602E-3</v>
      </c>
      <c r="BA155" s="164">
        <v>3.2554638126406202E-5</v>
      </c>
    </row>
    <row r="156" spans="1:53">
      <c r="A156" s="2" t="s">
        <v>128</v>
      </c>
      <c r="B156" s="2">
        <v>7229</v>
      </c>
      <c r="C156" s="2" t="s">
        <v>1516</v>
      </c>
      <c r="D156" s="2" t="s">
        <v>34</v>
      </c>
      <c r="E156" s="2" t="s">
        <v>1517</v>
      </c>
      <c r="F156" s="2" t="s">
        <v>1518</v>
      </c>
      <c r="G156" s="2" t="s">
        <v>1084</v>
      </c>
      <c r="I156" s="2" t="s">
        <v>31</v>
      </c>
      <c r="J156" s="2" t="s">
        <v>31</v>
      </c>
      <c r="K156" s="2" t="s">
        <v>530</v>
      </c>
      <c r="L156" s="2" t="s">
        <v>164</v>
      </c>
      <c r="M156" s="2" t="s">
        <v>164</v>
      </c>
      <c r="O156" s="2" t="s">
        <v>1519</v>
      </c>
      <c r="P156" s="2" t="s">
        <v>1396</v>
      </c>
      <c r="Q156" s="2" t="s">
        <v>104</v>
      </c>
      <c r="R156" s="2" t="s">
        <v>454</v>
      </c>
      <c r="S156" s="2" t="s">
        <v>35</v>
      </c>
      <c r="T156" s="150">
        <v>2.17</v>
      </c>
      <c r="U156" s="2" t="s">
        <v>1397</v>
      </c>
      <c r="V156" s="162">
        <v>2.562E-2</v>
      </c>
      <c r="W156" s="2" t="s">
        <v>801</v>
      </c>
      <c r="X156" s="2" t="s">
        <v>955</v>
      </c>
      <c r="Y156" s="150">
        <v>2.5619999999999998</v>
      </c>
      <c r="Z156" s="164">
        <v>2.29E-2</v>
      </c>
      <c r="AA156" s="2" t="s">
        <v>1520</v>
      </c>
      <c r="AB156" s="4" t="s">
        <v>459</v>
      </c>
      <c r="AG156" s="2" t="s">
        <v>164</v>
      </c>
      <c r="AI156" s="2" t="s">
        <v>1521</v>
      </c>
      <c r="AJ156" s="2" t="s">
        <v>387</v>
      </c>
      <c r="AK156" s="2" t="s">
        <v>938</v>
      </c>
      <c r="AL156" s="2" t="s">
        <v>1377</v>
      </c>
      <c r="AN156" s="2" t="s">
        <v>1378</v>
      </c>
      <c r="AQ156" s="150">
        <v>178310.81</v>
      </c>
      <c r="AR156" s="150">
        <v>112.89</v>
      </c>
      <c r="AS156" s="150">
        <v>1</v>
      </c>
      <c r="AT156" s="150">
        <v>201.29499999999999</v>
      </c>
      <c r="AU156" s="150">
        <v>201.29499999999999</v>
      </c>
      <c r="AX156" s="4" t="s">
        <v>164</v>
      </c>
      <c r="AY156" s="2" t="s">
        <v>37</v>
      </c>
      <c r="AZ156" s="164">
        <v>0.15037997267320899</v>
      </c>
      <c r="BA156" s="164">
        <v>1.4041809178548001E-3</v>
      </c>
    </row>
    <row r="157" spans="1:53">
      <c r="A157" s="2" t="s">
        <v>128</v>
      </c>
      <c r="B157" s="2">
        <v>7229</v>
      </c>
      <c r="C157" s="2" t="s">
        <v>1532</v>
      </c>
      <c r="D157" s="2" t="s">
        <v>34</v>
      </c>
      <c r="E157" s="2" t="s">
        <v>1533</v>
      </c>
      <c r="F157" s="2" t="s">
        <v>1534</v>
      </c>
      <c r="G157" s="2" t="s">
        <v>1084</v>
      </c>
      <c r="H157" s="2" t="s">
        <v>867</v>
      </c>
      <c r="I157" s="2" t="s">
        <v>31</v>
      </c>
      <c r="J157" s="2" t="s">
        <v>31</v>
      </c>
      <c r="K157" s="2" t="s">
        <v>508</v>
      </c>
      <c r="L157" s="2" t="s">
        <v>164</v>
      </c>
      <c r="M157" s="2" t="s">
        <v>387</v>
      </c>
      <c r="N157" s="2" t="s">
        <v>1369</v>
      </c>
      <c r="O157" s="2" t="s">
        <v>1373</v>
      </c>
      <c r="P157" s="2" t="s">
        <v>1535</v>
      </c>
      <c r="Q157" s="2" t="s">
        <v>217</v>
      </c>
      <c r="R157" s="2" t="s">
        <v>454</v>
      </c>
      <c r="S157" s="2" t="s">
        <v>35</v>
      </c>
      <c r="T157" s="150">
        <v>0.01</v>
      </c>
      <c r="U157" s="2" t="s">
        <v>1397</v>
      </c>
      <c r="V157" s="162">
        <v>4.2500000000000003E-2</v>
      </c>
      <c r="W157" s="2" t="s">
        <v>801</v>
      </c>
      <c r="X157" s="2" t="s">
        <v>950</v>
      </c>
      <c r="Y157" s="150">
        <v>4.25</v>
      </c>
      <c r="Z157" s="164">
        <v>3.5639999999999998E-2</v>
      </c>
      <c r="AA157" s="2" t="s">
        <v>1536</v>
      </c>
      <c r="AB157" s="4" t="s">
        <v>459</v>
      </c>
      <c r="AC157" s="2" t="s">
        <v>820</v>
      </c>
      <c r="AD157" s="150">
        <v>67322</v>
      </c>
      <c r="AE157" s="150">
        <v>0.72</v>
      </c>
      <c r="AF157" s="2" t="s">
        <v>1537</v>
      </c>
      <c r="AG157" s="2" t="s">
        <v>387</v>
      </c>
      <c r="AH157" s="2" t="s">
        <v>829</v>
      </c>
      <c r="AI157" s="2" t="s">
        <v>1376</v>
      </c>
      <c r="AJ157" s="2" t="s">
        <v>387</v>
      </c>
      <c r="AK157" s="2" t="s">
        <v>938</v>
      </c>
      <c r="AL157" s="2" t="s">
        <v>1377</v>
      </c>
      <c r="AN157" s="2" t="s">
        <v>1378</v>
      </c>
      <c r="AO157" s="2" t="s">
        <v>1537</v>
      </c>
      <c r="AP157" s="151">
        <v>0</v>
      </c>
      <c r="AQ157" s="150">
        <v>325000</v>
      </c>
      <c r="AR157" s="150">
        <v>102.76</v>
      </c>
      <c r="AS157" s="150">
        <v>1</v>
      </c>
      <c r="AT157" s="150">
        <v>333.97</v>
      </c>
      <c r="AU157" s="150">
        <v>333.97</v>
      </c>
      <c r="AX157" s="4" t="s">
        <v>387</v>
      </c>
      <c r="AY157" s="2" t="s">
        <v>37</v>
      </c>
      <c r="AZ157" s="164">
        <v>0.24949641649513901</v>
      </c>
      <c r="BA157" s="164">
        <v>2.3296859341565999E-3</v>
      </c>
    </row>
    <row r="158" spans="1:53">
      <c r="A158" s="2" t="s">
        <v>128</v>
      </c>
      <c r="B158" s="2">
        <v>7229</v>
      </c>
      <c r="C158" s="2" t="s">
        <v>1538</v>
      </c>
      <c r="D158" s="2" t="s">
        <v>1380</v>
      </c>
      <c r="E158" s="2" t="s">
        <v>1539</v>
      </c>
      <c r="F158" s="2" t="s">
        <v>1540</v>
      </c>
      <c r="G158" s="2" t="s">
        <v>1084</v>
      </c>
      <c r="I158" s="2" t="s">
        <v>31</v>
      </c>
      <c r="J158" s="2" t="s">
        <v>31</v>
      </c>
      <c r="K158" s="2" t="s">
        <v>485</v>
      </c>
      <c r="L158" s="2" t="s">
        <v>164</v>
      </c>
      <c r="M158" s="2" t="s">
        <v>164</v>
      </c>
      <c r="O158" s="2" t="s">
        <v>1541</v>
      </c>
      <c r="P158" s="2" t="s">
        <v>1527</v>
      </c>
      <c r="Q158" s="2" t="s">
        <v>204</v>
      </c>
      <c r="R158" s="2" t="s">
        <v>454</v>
      </c>
      <c r="S158" s="2" t="s">
        <v>35</v>
      </c>
      <c r="T158" s="150">
        <v>3.55</v>
      </c>
      <c r="U158" s="2" t="s">
        <v>204</v>
      </c>
      <c r="V158" s="162">
        <v>7.2499999999999995E-2</v>
      </c>
      <c r="W158" s="2" t="s">
        <v>801</v>
      </c>
      <c r="X158" s="2" t="s">
        <v>955</v>
      </c>
      <c r="Y158" s="150">
        <v>7.25</v>
      </c>
      <c r="Z158" s="164">
        <v>0.1195</v>
      </c>
      <c r="AA158" s="2" t="s">
        <v>1542</v>
      </c>
      <c r="AB158" s="4" t="s">
        <v>459</v>
      </c>
      <c r="AG158" s="2" t="s">
        <v>387</v>
      </c>
      <c r="AI158" s="2" t="s">
        <v>1543</v>
      </c>
      <c r="AJ158" s="2" t="s">
        <v>387</v>
      </c>
      <c r="AK158" s="2" t="s">
        <v>938</v>
      </c>
      <c r="AL158" s="2" t="s">
        <v>1377</v>
      </c>
      <c r="AN158" s="2" t="s">
        <v>1378</v>
      </c>
      <c r="AQ158" s="150">
        <v>73904</v>
      </c>
      <c r="AR158" s="150">
        <v>97.85</v>
      </c>
      <c r="AS158" s="150">
        <v>1</v>
      </c>
      <c r="AT158" s="150">
        <v>72.314999999999998</v>
      </c>
      <c r="AU158" s="150">
        <v>72.314999999999998</v>
      </c>
      <c r="AX158" s="4" t="s">
        <v>387</v>
      </c>
      <c r="AY158" s="2" t="s">
        <v>37</v>
      </c>
      <c r="AZ158" s="164">
        <v>5.4023862402660799E-2</v>
      </c>
      <c r="BA158" s="164">
        <v>5.0445066152179604E-4</v>
      </c>
    </row>
    <row r="159" spans="1:53">
      <c r="A159" s="2" t="s">
        <v>128</v>
      </c>
      <c r="B159" s="2">
        <v>7229</v>
      </c>
      <c r="C159" s="2" t="s">
        <v>1552</v>
      </c>
      <c r="D159" s="2" t="s">
        <v>1380</v>
      </c>
      <c r="E159" s="2" t="s">
        <v>1553</v>
      </c>
      <c r="F159" s="2" t="s">
        <v>1554</v>
      </c>
      <c r="G159" s="2" t="s">
        <v>1084</v>
      </c>
      <c r="I159" s="2" t="s">
        <v>31</v>
      </c>
      <c r="J159" s="2" t="s">
        <v>31</v>
      </c>
      <c r="K159" s="2" t="s">
        <v>484</v>
      </c>
      <c r="L159" s="2" t="s">
        <v>164</v>
      </c>
      <c r="M159" s="2" t="s">
        <v>164</v>
      </c>
      <c r="O159" s="2" t="s">
        <v>1383</v>
      </c>
      <c r="P159" s="2" t="s">
        <v>1384</v>
      </c>
      <c r="Q159" s="2" t="s">
        <v>104</v>
      </c>
      <c r="R159" s="2" t="s">
        <v>454</v>
      </c>
      <c r="S159" s="2" t="s">
        <v>35</v>
      </c>
      <c r="T159" s="150">
        <v>5.27</v>
      </c>
      <c r="U159" s="2" t="s">
        <v>204</v>
      </c>
      <c r="V159" s="162">
        <v>3.5499999999999997E-2</v>
      </c>
      <c r="W159" s="2" t="s">
        <v>801</v>
      </c>
      <c r="X159" s="2" t="s">
        <v>955</v>
      </c>
      <c r="Y159" s="150">
        <v>3.55</v>
      </c>
      <c r="Z159" s="164">
        <v>2.4369999999999999E-2</v>
      </c>
      <c r="AA159" s="2" t="s">
        <v>1385</v>
      </c>
      <c r="AB159" s="4" t="s">
        <v>459</v>
      </c>
      <c r="AG159" s="2" t="s">
        <v>164</v>
      </c>
      <c r="AI159" s="2" t="s">
        <v>1386</v>
      </c>
      <c r="AJ159" s="2" t="s">
        <v>387</v>
      </c>
      <c r="AK159" s="2" t="s">
        <v>938</v>
      </c>
      <c r="AL159" s="2" t="s">
        <v>1377</v>
      </c>
      <c r="AN159" s="2" t="s">
        <v>1378</v>
      </c>
      <c r="AQ159" s="150">
        <v>271992.28000000003</v>
      </c>
      <c r="AR159" s="150">
        <v>109.33</v>
      </c>
      <c r="AS159" s="150">
        <v>1</v>
      </c>
      <c r="AT159" s="150">
        <v>297.36900000000003</v>
      </c>
      <c r="AU159" s="150">
        <v>297.36900000000003</v>
      </c>
      <c r="AX159" s="4" t="s">
        <v>164</v>
      </c>
      <c r="AY159" s="2" t="s">
        <v>37</v>
      </c>
      <c r="AZ159" s="164">
        <v>0.222153306366766</v>
      </c>
      <c r="BA159" s="164">
        <v>2.0743682027157201E-3</v>
      </c>
    </row>
    <row r="160" spans="1:53">
      <c r="A160" s="2" t="s">
        <v>144</v>
      </c>
      <c r="B160" s="2">
        <v>969</v>
      </c>
      <c r="C160" s="2" t="s">
        <v>1369</v>
      </c>
      <c r="D160" s="2" t="s">
        <v>34</v>
      </c>
      <c r="E160" s="2" t="s">
        <v>1370</v>
      </c>
      <c r="F160" s="2" t="s">
        <v>1371</v>
      </c>
      <c r="G160" s="2" t="s">
        <v>1084</v>
      </c>
      <c r="I160" s="2" t="s">
        <v>31</v>
      </c>
      <c r="J160" s="2" t="s">
        <v>31</v>
      </c>
      <c r="K160" s="2" t="s">
        <v>493</v>
      </c>
      <c r="L160" s="2" t="s">
        <v>164</v>
      </c>
      <c r="M160" s="2" t="s">
        <v>164</v>
      </c>
      <c r="O160" s="2" t="s">
        <v>1373</v>
      </c>
      <c r="P160" s="2" t="s">
        <v>1374</v>
      </c>
      <c r="Q160" s="2" t="s">
        <v>104</v>
      </c>
      <c r="R160" s="2" t="s">
        <v>454</v>
      </c>
      <c r="S160" s="2" t="s">
        <v>35</v>
      </c>
      <c r="T160" s="150">
        <v>1.63</v>
      </c>
      <c r="U160" s="2" t="s">
        <v>204</v>
      </c>
      <c r="V160" s="162">
        <v>5.5E-2</v>
      </c>
      <c r="W160" s="2" t="s">
        <v>801</v>
      </c>
      <c r="X160" s="2" t="s">
        <v>955</v>
      </c>
      <c r="Y160" s="150">
        <v>5.5</v>
      </c>
      <c r="Z160" s="164">
        <v>0.2452</v>
      </c>
      <c r="AA160" s="2" t="s">
        <v>1375</v>
      </c>
      <c r="AB160" s="4" t="s">
        <v>459</v>
      </c>
      <c r="AG160" s="2" t="s">
        <v>387</v>
      </c>
      <c r="AH160" s="2" t="s">
        <v>829</v>
      </c>
      <c r="AI160" s="2" t="s">
        <v>1376</v>
      </c>
      <c r="AJ160" s="2" t="s">
        <v>387</v>
      </c>
      <c r="AK160" s="2" t="s">
        <v>938</v>
      </c>
      <c r="AL160" s="2" t="s">
        <v>1377</v>
      </c>
      <c r="AN160" s="2" t="s">
        <v>1378</v>
      </c>
      <c r="AQ160" s="150">
        <v>61765</v>
      </c>
      <c r="AR160" s="150">
        <v>59.978000000000002</v>
      </c>
      <c r="AS160" s="150">
        <v>1</v>
      </c>
      <c r="AT160" s="150">
        <v>37.045000000000002</v>
      </c>
      <c r="AU160" s="150">
        <v>37.045000000000002</v>
      </c>
      <c r="AX160" s="4" t="s">
        <v>387</v>
      </c>
      <c r="AY160" s="2" t="s">
        <v>37</v>
      </c>
      <c r="AZ160" s="164">
        <v>3.8837171716411101E-2</v>
      </c>
      <c r="BA160" s="164">
        <v>5.0437656072107597E-4</v>
      </c>
    </row>
    <row r="161" spans="1:53">
      <c r="A161" s="2" t="s">
        <v>144</v>
      </c>
      <c r="B161" s="2">
        <v>969</v>
      </c>
      <c r="C161" s="2" t="s">
        <v>1379</v>
      </c>
      <c r="D161" s="2" t="s">
        <v>1380</v>
      </c>
      <c r="E161" s="2" t="s">
        <v>1381</v>
      </c>
      <c r="F161" s="2" t="s">
        <v>1382</v>
      </c>
      <c r="G161" s="2" t="s">
        <v>1084</v>
      </c>
      <c r="I161" s="2" t="s">
        <v>31</v>
      </c>
      <c r="J161" s="2" t="s">
        <v>31</v>
      </c>
      <c r="K161" s="2" t="s">
        <v>484</v>
      </c>
      <c r="L161" s="2" t="s">
        <v>164</v>
      </c>
      <c r="M161" s="2" t="s">
        <v>164</v>
      </c>
      <c r="O161" s="2" t="s">
        <v>1383</v>
      </c>
      <c r="P161" s="2" t="s">
        <v>1384</v>
      </c>
      <c r="Q161" s="2" t="s">
        <v>104</v>
      </c>
      <c r="R161" s="2" t="s">
        <v>454</v>
      </c>
      <c r="S161" s="2" t="s">
        <v>35</v>
      </c>
      <c r="T161" s="150">
        <v>4.9000000000000004</v>
      </c>
      <c r="U161" s="2" t="s">
        <v>204</v>
      </c>
      <c r="V161" s="162">
        <v>3.5499999999999997E-2</v>
      </c>
      <c r="W161" s="2" t="s">
        <v>801</v>
      </c>
      <c r="X161" s="2" t="s">
        <v>955</v>
      </c>
      <c r="Y161" s="150">
        <v>3.55</v>
      </c>
      <c r="Z161" s="164">
        <v>5.425E-2</v>
      </c>
      <c r="AA161" s="2" t="s">
        <v>1385</v>
      </c>
      <c r="AB161" s="4" t="s">
        <v>459</v>
      </c>
      <c r="AG161" s="2" t="s">
        <v>164</v>
      </c>
      <c r="AI161" s="2" t="s">
        <v>1386</v>
      </c>
      <c r="AJ161" s="2" t="s">
        <v>387</v>
      </c>
      <c r="AK161" s="2" t="s">
        <v>938</v>
      </c>
      <c r="AL161" s="2" t="s">
        <v>1377</v>
      </c>
      <c r="AN161" s="2" t="s">
        <v>1378</v>
      </c>
      <c r="AQ161" s="150">
        <v>81755.73</v>
      </c>
      <c r="AR161" s="150">
        <v>109.09</v>
      </c>
      <c r="AS161" s="150">
        <v>1</v>
      </c>
      <c r="AT161" s="150">
        <v>89.186999999999998</v>
      </c>
      <c r="AU161" s="150">
        <v>89.186999999999998</v>
      </c>
      <c r="AX161" s="4" t="s">
        <v>164</v>
      </c>
      <c r="AY161" s="2" t="s">
        <v>37</v>
      </c>
      <c r="AZ161" s="164">
        <v>9.3501791611256796E-2</v>
      </c>
      <c r="BA161" s="164">
        <v>1.2143034621189101E-3</v>
      </c>
    </row>
    <row r="162" spans="1:53">
      <c r="A162" s="2" t="s">
        <v>144</v>
      </c>
      <c r="B162" s="2">
        <v>969</v>
      </c>
      <c r="C162" s="2" t="s">
        <v>1387</v>
      </c>
      <c r="D162" s="2" t="s">
        <v>34</v>
      </c>
      <c r="E162" s="2" t="s">
        <v>1388</v>
      </c>
      <c r="F162" s="2" t="s">
        <v>1389</v>
      </c>
      <c r="G162" s="2" t="s">
        <v>1084</v>
      </c>
      <c r="I162" s="2" t="s">
        <v>31</v>
      </c>
      <c r="J162" s="2" t="s">
        <v>31</v>
      </c>
      <c r="K162" s="2" t="s">
        <v>498</v>
      </c>
      <c r="L162" s="2" t="s">
        <v>164</v>
      </c>
      <c r="M162" s="2" t="s">
        <v>387</v>
      </c>
      <c r="O162" s="2" t="s">
        <v>1390</v>
      </c>
      <c r="P162" s="2" t="s">
        <v>1391</v>
      </c>
      <c r="Q162" s="2" t="s">
        <v>217</v>
      </c>
      <c r="R162" s="2" t="s">
        <v>454</v>
      </c>
      <c r="S162" s="2" t="s">
        <v>35</v>
      </c>
      <c r="T162" s="150">
        <v>3.44</v>
      </c>
      <c r="U162" s="2" t="s">
        <v>204</v>
      </c>
      <c r="V162" s="162">
        <v>5.5E-2</v>
      </c>
      <c r="W162" s="2" t="s">
        <v>801</v>
      </c>
      <c r="X162" s="2" t="s">
        <v>1392</v>
      </c>
      <c r="Y162" s="150">
        <v>5.5</v>
      </c>
      <c r="Z162" s="164">
        <v>2.8799999999999999E-2</v>
      </c>
      <c r="AA162" s="2" t="s">
        <v>1393</v>
      </c>
      <c r="AB162" s="4" t="s">
        <v>459</v>
      </c>
      <c r="AG162" s="2" t="s">
        <v>164</v>
      </c>
      <c r="AJ162" s="2" t="s">
        <v>164</v>
      </c>
      <c r="AK162" s="2" t="s">
        <v>204</v>
      </c>
      <c r="AN162" s="2" t="s">
        <v>1378</v>
      </c>
      <c r="AQ162" s="150">
        <v>3198.84</v>
      </c>
      <c r="AR162" s="150">
        <v>122.46</v>
      </c>
      <c r="AS162" s="150">
        <v>1</v>
      </c>
      <c r="AT162" s="150">
        <v>3.9169999999999998</v>
      </c>
      <c r="AU162" s="150">
        <v>3.9169999999999998</v>
      </c>
      <c r="AX162" s="4" t="s">
        <v>164</v>
      </c>
      <c r="AY162" s="2" t="s">
        <v>37</v>
      </c>
      <c r="AZ162" s="164">
        <v>4.1068000934245804E-3</v>
      </c>
      <c r="BA162" s="164">
        <v>5.3334823704868299E-5</v>
      </c>
    </row>
    <row r="163" spans="1:53">
      <c r="A163" s="2" t="s">
        <v>144</v>
      </c>
      <c r="B163" s="2">
        <v>969</v>
      </c>
      <c r="C163" s="2" t="s">
        <v>1387</v>
      </c>
      <c r="D163" s="2" t="s">
        <v>34</v>
      </c>
      <c r="E163" s="2" t="s">
        <v>1394</v>
      </c>
      <c r="F163" s="2" t="s">
        <v>1395</v>
      </c>
      <c r="G163" s="2" t="s">
        <v>1084</v>
      </c>
      <c r="I163" s="2" t="s">
        <v>31</v>
      </c>
      <c r="J163" s="2" t="s">
        <v>31</v>
      </c>
      <c r="K163" s="2" t="s">
        <v>498</v>
      </c>
      <c r="L163" s="2" t="s">
        <v>164</v>
      </c>
      <c r="M163" s="2" t="s">
        <v>387</v>
      </c>
      <c r="O163" s="2" t="s">
        <v>1390</v>
      </c>
      <c r="P163" s="2" t="s">
        <v>1396</v>
      </c>
      <c r="Q163" s="2" t="s">
        <v>104</v>
      </c>
      <c r="R163" s="2" t="s">
        <v>454</v>
      </c>
      <c r="S163" s="2" t="s">
        <v>35</v>
      </c>
      <c r="T163" s="150">
        <v>3.21</v>
      </c>
      <c r="U163" s="2" t="s">
        <v>1397</v>
      </c>
      <c r="V163" s="162">
        <v>5.5E-2</v>
      </c>
      <c r="W163" s="2" t="s">
        <v>801</v>
      </c>
      <c r="X163" s="2" t="s">
        <v>1392</v>
      </c>
      <c r="Y163" s="150">
        <v>5.5</v>
      </c>
      <c r="Z163" s="164">
        <v>2.01E-2</v>
      </c>
      <c r="AA163" s="2" t="s">
        <v>1393</v>
      </c>
      <c r="AB163" s="4" t="s">
        <v>459</v>
      </c>
      <c r="AG163" s="2" t="s">
        <v>164</v>
      </c>
      <c r="AJ163" s="2" t="s">
        <v>164</v>
      </c>
      <c r="AK163" s="2" t="s">
        <v>204</v>
      </c>
      <c r="AN163" s="2" t="s">
        <v>1378</v>
      </c>
      <c r="AQ163" s="150">
        <v>4607.96</v>
      </c>
      <c r="AR163" s="150">
        <v>126.7</v>
      </c>
      <c r="AS163" s="150">
        <v>1</v>
      </c>
      <c r="AT163" s="150">
        <v>5.8380000000000001</v>
      </c>
      <c r="AU163" s="150">
        <v>5.8380000000000001</v>
      </c>
      <c r="AX163" s="4" t="s">
        <v>164</v>
      </c>
      <c r="AY163" s="2" t="s">
        <v>37</v>
      </c>
      <c r="AZ163" s="164">
        <v>6.1207142619452704E-3</v>
      </c>
      <c r="BA163" s="164">
        <v>7.9489434275459395E-5</v>
      </c>
    </row>
    <row r="164" spans="1:53">
      <c r="A164" s="2" t="s">
        <v>144</v>
      </c>
      <c r="B164" s="2">
        <v>969</v>
      </c>
      <c r="C164" s="2" t="s">
        <v>1387</v>
      </c>
      <c r="D164" s="2" t="s">
        <v>34</v>
      </c>
      <c r="E164" s="2" t="s">
        <v>1398</v>
      </c>
      <c r="F164" s="2" t="s">
        <v>1399</v>
      </c>
      <c r="G164" s="2" t="s">
        <v>1084</v>
      </c>
      <c r="I164" s="2" t="s">
        <v>31</v>
      </c>
      <c r="J164" s="2" t="s">
        <v>31</v>
      </c>
      <c r="K164" s="2" t="s">
        <v>498</v>
      </c>
      <c r="L164" s="2" t="s">
        <v>164</v>
      </c>
      <c r="M164" s="2" t="s">
        <v>387</v>
      </c>
      <c r="O164" s="2" t="s">
        <v>1390</v>
      </c>
      <c r="P164" s="2" t="s">
        <v>1396</v>
      </c>
      <c r="Q164" s="2" t="s">
        <v>104</v>
      </c>
      <c r="R164" s="2" t="s">
        <v>454</v>
      </c>
      <c r="S164" s="2" t="s">
        <v>35</v>
      </c>
      <c r="T164" s="150">
        <v>3.21</v>
      </c>
      <c r="U164" s="2" t="s">
        <v>1397</v>
      </c>
      <c r="V164" s="162">
        <v>5.5E-2</v>
      </c>
      <c r="W164" s="2" t="s">
        <v>801</v>
      </c>
      <c r="X164" s="2" t="s">
        <v>1392</v>
      </c>
      <c r="Y164" s="150">
        <v>5.5</v>
      </c>
      <c r="Z164" s="164">
        <v>1.966E-2</v>
      </c>
      <c r="AA164" s="2" t="s">
        <v>1393</v>
      </c>
      <c r="AB164" s="4" t="s">
        <v>459</v>
      </c>
      <c r="AG164" s="2" t="s">
        <v>164</v>
      </c>
      <c r="AJ164" s="2" t="s">
        <v>164</v>
      </c>
      <c r="AK164" s="2" t="s">
        <v>204</v>
      </c>
      <c r="AN164" s="2" t="s">
        <v>1378</v>
      </c>
      <c r="AQ164" s="150">
        <v>507.71</v>
      </c>
      <c r="AR164" s="150">
        <v>126.7</v>
      </c>
      <c r="AS164" s="150">
        <v>1</v>
      </c>
      <c r="AT164" s="150">
        <v>0.64300000000000002</v>
      </c>
      <c r="AU164" s="150">
        <v>0.64300000000000002</v>
      </c>
      <c r="AX164" s="4" t="s">
        <v>164</v>
      </c>
      <c r="AY164" s="2" t="s">
        <v>37</v>
      </c>
      <c r="AZ164" s="164">
        <v>6.7438689527084305E-4</v>
      </c>
      <c r="BA164" s="164">
        <v>8.7582315549600002E-6</v>
      </c>
    </row>
    <row r="165" spans="1:53">
      <c r="A165" s="2" t="s">
        <v>144</v>
      </c>
      <c r="B165" s="2">
        <v>969</v>
      </c>
      <c r="C165" s="2" t="s">
        <v>1387</v>
      </c>
      <c r="D165" s="2" t="s">
        <v>34</v>
      </c>
      <c r="E165" s="2" t="s">
        <v>1400</v>
      </c>
      <c r="F165" s="2" t="s">
        <v>1401</v>
      </c>
      <c r="G165" s="2" t="s">
        <v>1084</v>
      </c>
      <c r="I165" s="2" t="s">
        <v>31</v>
      </c>
      <c r="J165" s="2" t="s">
        <v>31</v>
      </c>
      <c r="K165" s="2" t="s">
        <v>498</v>
      </c>
      <c r="L165" s="2" t="s">
        <v>164</v>
      </c>
      <c r="M165" s="2" t="s">
        <v>387</v>
      </c>
      <c r="N165" s="2" t="s">
        <v>1387</v>
      </c>
      <c r="O165" s="2" t="s">
        <v>1402</v>
      </c>
      <c r="P165" s="2" t="s">
        <v>1396</v>
      </c>
      <c r="Q165" s="2" t="s">
        <v>104</v>
      </c>
      <c r="R165" s="2" t="s">
        <v>454</v>
      </c>
      <c r="S165" s="2" t="s">
        <v>35</v>
      </c>
      <c r="T165" s="150">
        <v>3.32</v>
      </c>
      <c r="U165" s="2" t="s">
        <v>204</v>
      </c>
      <c r="V165" s="162">
        <v>5.5300000000000002E-2</v>
      </c>
      <c r="W165" s="2" t="s">
        <v>801</v>
      </c>
      <c r="X165" s="2" t="s">
        <v>955</v>
      </c>
      <c r="Y165" s="150">
        <v>5.53</v>
      </c>
      <c r="Z165" s="164">
        <v>2.3369999999999998E-2</v>
      </c>
      <c r="AA165" s="2" t="s">
        <v>1403</v>
      </c>
      <c r="AB165" s="4" t="s">
        <v>459</v>
      </c>
      <c r="AC165" s="2" t="s">
        <v>530</v>
      </c>
      <c r="AD165" s="150">
        <v>4791</v>
      </c>
      <c r="AE165" s="150">
        <v>0.78</v>
      </c>
      <c r="AF165" s="2" t="s">
        <v>1404</v>
      </c>
      <c r="AG165" s="2" t="s">
        <v>164</v>
      </c>
      <c r="AI165" s="2" t="s">
        <v>1405</v>
      </c>
      <c r="AJ165" s="2" t="s">
        <v>387</v>
      </c>
      <c r="AK165" s="2" t="s">
        <v>938</v>
      </c>
      <c r="AL165" s="2" t="s">
        <v>1377</v>
      </c>
      <c r="AN165" s="2" t="s">
        <v>1378</v>
      </c>
      <c r="AO165" s="2" t="s">
        <v>1404</v>
      </c>
      <c r="AP165" s="151">
        <v>0</v>
      </c>
      <c r="AQ165" s="150">
        <v>6345.04</v>
      </c>
      <c r="AR165" s="150">
        <v>128.29</v>
      </c>
      <c r="AS165" s="150">
        <v>1</v>
      </c>
      <c r="AT165" s="150">
        <v>8.14</v>
      </c>
      <c r="AU165" s="150">
        <v>8.14</v>
      </c>
      <c r="AX165" s="4" t="s">
        <v>164</v>
      </c>
      <c r="AY165" s="2" t="s">
        <v>37</v>
      </c>
      <c r="AZ165" s="164">
        <v>8.5338294571675206E-3</v>
      </c>
      <c r="BA165" s="164">
        <v>1.1082845019755999E-4</v>
      </c>
    </row>
    <row r="166" spans="1:53">
      <c r="A166" s="2" t="s">
        <v>144</v>
      </c>
      <c r="B166" s="2">
        <v>969</v>
      </c>
      <c r="C166" s="2" t="s">
        <v>1387</v>
      </c>
      <c r="D166" s="2" t="s">
        <v>34</v>
      </c>
      <c r="E166" s="2" t="s">
        <v>1406</v>
      </c>
      <c r="F166" s="2" t="s">
        <v>1407</v>
      </c>
      <c r="G166" s="2" t="s">
        <v>1084</v>
      </c>
      <c r="I166" s="2" t="s">
        <v>31</v>
      </c>
      <c r="J166" s="2" t="s">
        <v>31</v>
      </c>
      <c r="K166" s="2" t="s">
        <v>498</v>
      </c>
      <c r="L166" s="2" t="s">
        <v>164</v>
      </c>
      <c r="M166" s="2" t="s">
        <v>387</v>
      </c>
      <c r="N166" s="2" t="s">
        <v>1387</v>
      </c>
      <c r="O166" s="2" t="s">
        <v>1408</v>
      </c>
      <c r="P166" s="2" t="s">
        <v>1396</v>
      </c>
      <c r="Q166" s="2" t="s">
        <v>104</v>
      </c>
      <c r="R166" s="2" t="s">
        <v>454</v>
      </c>
      <c r="S166" s="2" t="s">
        <v>35</v>
      </c>
      <c r="T166" s="150">
        <v>3.32</v>
      </c>
      <c r="U166" s="2" t="s">
        <v>204</v>
      </c>
      <c r="V166" s="162">
        <v>5.5301000000000003E-2</v>
      </c>
      <c r="W166" s="2" t="s">
        <v>801</v>
      </c>
      <c r="X166" s="2" t="s">
        <v>955</v>
      </c>
      <c r="Y166" s="150">
        <v>5.5301</v>
      </c>
      <c r="Z166" s="164">
        <v>2.3369999999999998E-2</v>
      </c>
      <c r="AA166" s="2" t="s">
        <v>1403</v>
      </c>
      <c r="AB166" s="4" t="s">
        <v>459</v>
      </c>
      <c r="AC166" s="2" t="s">
        <v>530</v>
      </c>
      <c r="AD166" s="150">
        <v>4596</v>
      </c>
      <c r="AE166" s="150">
        <v>0.78</v>
      </c>
      <c r="AF166" s="2" t="s">
        <v>1404</v>
      </c>
      <c r="AG166" s="2" t="s">
        <v>164</v>
      </c>
      <c r="AI166" s="2" t="s">
        <v>1405</v>
      </c>
      <c r="AJ166" s="2" t="s">
        <v>387</v>
      </c>
      <c r="AK166" s="2" t="s">
        <v>938</v>
      </c>
      <c r="AL166" s="2" t="s">
        <v>1377</v>
      </c>
      <c r="AN166" s="2" t="s">
        <v>1378</v>
      </c>
      <c r="AO166" s="2" t="s">
        <v>1404</v>
      </c>
      <c r="AP166" s="151">
        <v>0</v>
      </c>
      <c r="AQ166" s="150">
        <v>6087.49</v>
      </c>
      <c r="AR166" s="150">
        <v>128.29</v>
      </c>
      <c r="AS166" s="150">
        <v>1</v>
      </c>
      <c r="AT166" s="150">
        <v>7.81</v>
      </c>
      <c r="AU166" s="150">
        <v>7.81</v>
      </c>
      <c r="AX166" s="4" t="s">
        <v>164</v>
      </c>
      <c r="AY166" s="2" t="s">
        <v>37</v>
      </c>
      <c r="AZ166" s="164">
        <v>8.1874348281827502E-3</v>
      </c>
      <c r="BA166" s="164">
        <v>1.06329839101589E-4</v>
      </c>
    </row>
    <row r="167" spans="1:53">
      <c r="A167" s="2" t="s">
        <v>144</v>
      </c>
      <c r="B167" s="2">
        <v>969</v>
      </c>
      <c r="C167" s="2" t="s">
        <v>1387</v>
      </c>
      <c r="D167" s="2" t="s">
        <v>34</v>
      </c>
      <c r="E167" s="2" t="s">
        <v>1409</v>
      </c>
      <c r="F167" s="2" t="s">
        <v>1410</v>
      </c>
      <c r="G167" s="2" t="s">
        <v>1084</v>
      </c>
      <c r="I167" s="2" t="s">
        <v>31</v>
      </c>
      <c r="J167" s="2" t="s">
        <v>31</v>
      </c>
      <c r="K167" s="2" t="s">
        <v>498</v>
      </c>
      <c r="L167" s="2" t="s">
        <v>164</v>
      </c>
      <c r="M167" s="2" t="s">
        <v>387</v>
      </c>
      <c r="N167" s="2" t="s">
        <v>1387</v>
      </c>
      <c r="O167" s="2" t="s">
        <v>1411</v>
      </c>
      <c r="P167" s="2" t="s">
        <v>1396</v>
      </c>
      <c r="Q167" s="2" t="s">
        <v>104</v>
      </c>
      <c r="R167" s="2" t="s">
        <v>454</v>
      </c>
      <c r="S167" s="2" t="s">
        <v>35</v>
      </c>
      <c r="T167" s="150">
        <v>3.32</v>
      </c>
      <c r="U167" s="2" t="s">
        <v>204</v>
      </c>
      <c r="V167" s="162">
        <v>5.5300000000000002E-2</v>
      </c>
      <c r="W167" s="2" t="s">
        <v>801</v>
      </c>
      <c r="X167" s="2" t="s">
        <v>955</v>
      </c>
      <c r="Y167" s="150">
        <v>5.53</v>
      </c>
      <c r="Z167" s="164">
        <v>2.333E-2</v>
      </c>
      <c r="AA167" s="2" t="s">
        <v>1403</v>
      </c>
      <c r="AB167" s="4" t="s">
        <v>459</v>
      </c>
      <c r="AC167" s="2" t="s">
        <v>530</v>
      </c>
      <c r="AD167" s="150">
        <v>4622</v>
      </c>
      <c r="AE167" s="150">
        <v>0.78</v>
      </c>
      <c r="AF167" s="2" t="s">
        <v>1404</v>
      </c>
      <c r="AG167" s="2" t="s">
        <v>164</v>
      </c>
      <c r="AI167" s="2" t="s">
        <v>1405</v>
      </c>
      <c r="AJ167" s="2" t="s">
        <v>387</v>
      </c>
      <c r="AK167" s="2" t="s">
        <v>938</v>
      </c>
      <c r="AL167" s="2" t="s">
        <v>1377</v>
      </c>
      <c r="AN167" s="2" t="s">
        <v>1378</v>
      </c>
      <c r="AO167" s="2" t="s">
        <v>1404</v>
      </c>
      <c r="AP167" s="151">
        <v>0</v>
      </c>
      <c r="AQ167" s="150">
        <v>6122.22</v>
      </c>
      <c r="AR167" s="150">
        <v>126.7</v>
      </c>
      <c r="AS167" s="150">
        <v>1</v>
      </c>
      <c r="AT167" s="150">
        <v>7.7569999999999997</v>
      </c>
      <c r="AU167" s="150">
        <v>7.7569999999999997</v>
      </c>
      <c r="AX167" s="4" t="s">
        <v>164</v>
      </c>
      <c r="AY167" s="2" t="s">
        <v>37</v>
      </c>
      <c r="AZ167" s="164">
        <v>8.1320930018417194E-3</v>
      </c>
      <c r="BA167" s="164">
        <v>1.05611117351258E-4</v>
      </c>
    </row>
    <row r="168" spans="1:53">
      <c r="A168" s="2" t="s">
        <v>144</v>
      </c>
      <c r="B168" s="2">
        <v>969</v>
      </c>
      <c r="C168" s="2" t="s">
        <v>1387</v>
      </c>
      <c r="D168" s="2" t="s">
        <v>34</v>
      </c>
      <c r="E168" s="2" t="s">
        <v>1412</v>
      </c>
      <c r="F168" s="2" t="s">
        <v>1413</v>
      </c>
      <c r="G168" s="2" t="s">
        <v>1084</v>
      </c>
      <c r="I168" s="2" t="s">
        <v>31</v>
      </c>
      <c r="J168" s="2" t="s">
        <v>31</v>
      </c>
      <c r="K168" s="2" t="s">
        <v>498</v>
      </c>
      <c r="L168" s="2" t="s">
        <v>164</v>
      </c>
      <c r="M168" s="2" t="s">
        <v>387</v>
      </c>
      <c r="N168" s="2" t="s">
        <v>1387</v>
      </c>
      <c r="O168" s="2" t="s">
        <v>1414</v>
      </c>
      <c r="P168" s="2" t="s">
        <v>1396</v>
      </c>
      <c r="Q168" s="2" t="s">
        <v>104</v>
      </c>
      <c r="R168" s="2" t="s">
        <v>454</v>
      </c>
      <c r="S168" s="2" t="s">
        <v>35</v>
      </c>
      <c r="T168" s="150">
        <v>3.32</v>
      </c>
      <c r="U168" s="2" t="s">
        <v>204</v>
      </c>
      <c r="V168" s="162">
        <v>5.5E-2</v>
      </c>
      <c r="W168" s="2" t="s">
        <v>801</v>
      </c>
      <c r="X168" s="2" t="s">
        <v>1392</v>
      </c>
      <c r="Y168" s="150">
        <v>5.5</v>
      </c>
      <c r="Z168" s="164">
        <v>2.333E-2</v>
      </c>
      <c r="AA168" s="2" t="s">
        <v>1403</v>
      </c>
      <c r="AB168" s="4" t="s">
        <v>459</v>
      </c>
      <c r="AC168" s="2" t="s">
        <v>530</v>
      </c>
      <c r="AD168" s="150">
        <v>3155</v>
      </c>
      <c r="AE168" s="150">
        <v>0.78</v>
      </c>
      <c r="AF168" s="2" t="s">
        <v>1404</v>
      </c>
      <c r="AG168" s="2" t="s">
        <v>164</v>
      </c>
      <c r="AI168" s="2" t="s">
        <v>1405</v>
      </c>
      <c r="AJ168" s="2" t="s">
        <v>387</v>
      </c>
      <c r="AK168" s="2" t="s">
        <v>204</v>
      </c>
      <c r="AN168" s="2" t="s">
        <v>1378</v>
      </c>
      <c r="AO168" s="2" t="s">
        <v>1404</v>
      </c>
      <c r="AP168" s="151">
        <v>0</v>
      </c>
      <c r="AQ168" s="150">
        <v>1933.33</v>
      </c>
      <c r="AR168" s="150">
        <v>126.19</v>
      </c>
      <c r="AS168" s="150">
        <v>1</v>
      </c>
      <c r="AT168" s="150">
        <v>2.44</v>
      </c>
      <c r="AU168" s="150">
        <v>2.44</v>
      </c>
      <c r="AX168" s="4" t="s">
        <v>164</v>
      </c>
      <c r="AY168" s="2" t="s">
        <v>37</v>
      </c>
      <c r="AZ168" s="164">
        <v>2.5576889106297498E-3</v>
      </c>
      <c r="BA168" s="164">
        <v>3.3216588106819999E-5</v>
      </c>
    </row>
    <row r="169" spans="1:53">
      <c r="A169" s="2" t="s">
        <v>144</v>
      </c>
      <c r="B169" s="2">
        <v>969</v>
      </c>
      <c r="C169" s="2" t="s">
        <v>1387</v>
      </c>
      <c r="D169" s="2" t="s">
        <v>34</v>
      </c>
      <c r="E169" s="2" t="s">
        <v>1415</v>
      </c>
      <c r="F169" s="2" t="s">
        <v>1416</v>
      </c>
      <c r="G169" s="2" t="s">
        <v>1084</v>
      </c>
      <c r="I169" s="2" t="s">
        <v>31</v>
      </c>
      <c r="J169" s="2" t="s">
        <v>31</v>
      </c>
      <c r="K169" s="2" t="s">
        <v>498</v>
      </c>
      <c r="L169" s="2" t="s">
        <v>164</v>
      </c>
      <c r="M169" s="2" t="s">
        <v>387</v>
      </c>
      <c r="N169" s="2" t="s">
        <v>1387</v>
      </c>
      <c r="O169" s="2" t="s">
        <v>1417</v>
      </c>
      <c r="P169" s="2" t="s">
        <v>1396</v>
      </c>
      <c r="Q169" s="2" t="s">
        <v>104</v>
      </c>
      <c r="R169" s="2" t="s">
        <v>454</v>
      </c>
      <c r="S169" s="2" t="s">
        <v>35</v>
      </c>
      <c r="T169" s="150">
        <v>3.32</v>
      </c>
      <c r="U169" s="2" t="s">
        <v>1397</v>
      </c>
      <c r="V169" s="162">
        <v>5.6132000000000001E-2</v>
      </c>
      <c r="W169" s="2" t="s">
        <v>801</v>
      </c>
      <c r="X169" s="2" t="s">
        <v>955</v>
      </c>
      <c r="Y169" s="150">
        <v>5.6132</v>
      </c>
      <c r="Z169" s="164">
        <v>2.3130000000000001E-2</v>
      </c>
      <c r="AA169" s="2" t="s">
        <v>1403</v>
      </c>
      <c r="AB169" s="4" t="s">
        <v>459</v>
      </c>
      <c r="AC169" s="2" t="s">
        <v>530</v>
      </c>
      <c r="AD169" s="150">
        <v>465</v>
      </c>
      <c r="AE169" s="150">
        <v>0.78</v>
      </c>
      <c r="AF169" s="2" t="s">
        <v>1404</v>
      </c>
      <c r="AG169" s="2" t="s">
        <v>164</v>
      </c>
      <c r="AI169" s="2" t="s">
        <v>1405</v>
      </c>
      <c r="AJ169" s="2" t="s">
        <v>387</v>
      </c>
      <c r="AK169" s="2" t="s">
        <v>938</v>
      </c>
      <c r="AL169" s="2" t="s">
        <v>1377</v>
      </c>
      <c r="AN169" s="2" t="s">
        <v>1378</v>
      </c>
      <c r="AO169" s="2" t="s">
        <v>1404</v>
      </c>
      <c r="AP169" s="151">
        <v>0</v>
      </c>
      <c r="AQ169" s="150">
        <v>283.94</v>
      </c>
      <c r="AR169" s="150">
        <v>128.9</v>
      </c>
      <c r="AS169" s="150">
        <v>1</v>
      </c>
      <c r="AT169" s="150">
        <v>0.36599999999999999</v>
      </c>
      <c r="AU169" s="150">
        <v>0.36599999999999999</v>
      </c>
      <c r="AX169" s="4" t="s">
        <v>164</v>
      </c>
      <c r="AY169" s="2" t="s">
        <v>37</v>
      </c>
      <c r="AZ169" s="164">
        <v>3.8370396363479798E-4</v>
      </c>
      <c r="BA169" s="164">
        <v>4.9831457070645902E-6</v>
      </c>
    </row>
    <row r="170" spans="1:53">
      <c r="A170" s="2" t="s">
        <v>144</v>
      </c>
      <c r="B170" s="2">
        <v>969</v>
      </c>
      <c r="C170" s="2" t="s">
        <v>1387</v>
      </c>
      <c r="D170" s="2" t="s">
        <v>34</v>
      </c>
      <c r="E170" s="2" t="s">
        <v>1418</v>
      </c>
      <c r="F170" s="2" t="s">
        <v>1419</v>
      </c>
      <c r="G170" s="2" t="s">
        <v>1084</v>
      </c>
      <c r="I170" s="2" t="s">
        <v>31</v>
      </c>
      <c r="J170" s="2" t="s">
        <v>31</v>
      </c>
      <c r="K170" s="2" t="s">
        <v>498</v>
      </c>
      <c r="L170" s="2" t="s">
        <v>164</v>
      </c>
      <c r="M170" s="2" t="s">
        <v>387</v>
      </c>
      <c r="O170" s="2" t="s">
        <v>1390</v>
      </c>
      <c r="P170" s="2" t="s">
        <v>1396</v>
      </c>
      <c r="Q170" s="2" t="s">
        <v>104</v>
      </c>
      <c r="R170" s="2" t="s">
        <v>454</v>
      </c>
      <c r="S170" s="2" t="s">
        <v>35</v>
      </c>
      <c r="T170" s="150">
        <v>3.2</v>
      </c>
      <c r="U170" s="2" t="s">
        <v>1397</v>
      </c>
      <c r="V170" s="162">
        <v>5.6691999999999999E-2</v>
      </c>
      <c r="W170" s="2" t="s">
        <v>801</v>
      </c>
      <c r="X170" s="2" t="s">
        <v>1392</v>
      </c>
      <c r="Y170" s="150">
        <v>5.6692</v>
      </c>
      <c r="Z170" s="164">
        <v>2.1930000000000002E-2</v>
      </c>
      <c r="AA170" s="2" t="s">
        <v>1420</v>
      </c>
      <c r="AB170" s="4" t="s">
        <v>459</v>
      </c>
      <c r="AG170" s="2" t="s">
        <v>164</v>
      </c>
      <c r="AJ170" s="2" t="s">
        <v>164</v>
      </c>
      <c r="AK170" s="2" t="s">
        <v>204</v>
      </c>
      <c r="AN170" s="2" t="s">
        <v>1378</v>
      </c>
      <c r="AQ170" s="150">
        <v>571.73</v>
      </c>
      <c r="AR170" s="150">
        <v>129.34</v>
      </c>
      <c r="AS170" s="150">
        <v>1</v>
      </c>
      <c r="AT170" s="150">
        <v>0.73899999999999999</v>
      </c>
      <c r="AU170" s="150">
        <v>0.73899999999999999</v>
      </c>
      <c r="AX170" s="4" t="s">
        <v>164</v>
      </c>
      <c r="AY170" s="2" t="s">
        <v>37</v>
      </c>
      <c r="AZ170" s="164">
        <v>7.7524795261422401E-4</v>
      </c>
      <c r="BA170" s="164">
        <v>1.0068109462265199E-5</v>
      </c>
    </row>
    <row r="171" spans="1:53">
      <c r="A171" s="2" t="s">
        <v>144</v>
      </c>
      <c r="B171" s="2">
        <v>969</v>
      </c>
      <c r="C171" s="2" t="s">
        <v>1387</v>
      </c>
      <c r="D171" s="2" t="s">
        <v>34</v>
      </c>
      <c r="E171" s="2" t="s">
        <v>1421</v>
      </c>
      <c r="F171" s="2" t="s">
        <v>1422</v>
      </c>
      <c r="G171" s="2" t="s">
        <v>1084</v>
      </c>
      <c r="I171" s="2" t="s">
        <v>31</v>
      </c>
      <c r="J171" s="2" t="s">
        <v>31</v>
      </c>
      <c r="K171" s="2" t="s">
        <v>498</v>
      </c>
      <c r="L171" s="2" t="s">
        <v>164</v>
      </c>
      <c r="M171" s="2" t="s">
        <v>387</v>
      </c>
      <c r="N171" s="2" t="s">
        <v>1387</v>
      </c>
      <c r="O171" s="2" t="s">
        <v>1423</v>
      </c>
      <c r="P171" s="2" t="s">
        <v>1396</v>
      </c>
      <c r="Q171" s="2" t="s">
        <v>104</v>
      </c>
      <c r="R171" s="2" t="s">
        <v>454</v>
      </c>
      <c r="S171" s="2" t="s">
        <v>35</v>
      </c>
      <c r="T171" s="150">
        <v>3.32</v>
      </c>
      <c r="U171" s="2" t="s">
        <v>1397</v>
      </c>
      <c r="V171" s="162">
        <v>5.5E-2</v>
      </c>
      <c r="W171" s="2" t="s">
        <v>801</v>
      </c>
      <c r="X171" s="2" t="s">
        <v>955</v>
      </c>
      <c r="Y171" s="150">
        <v>5.5</v>
      </c>
      <c r="Z171" s="164">
        <v>2.2169999999999999E-2</v>
      </c>
      <c r="AA171" s="2" t="s">
        <v>1403</v>
      </c>
      <c r="AB171" s="4" t="s">
        <v>459</v>
      </c>
      <c r="AC171" s="2" t="s">
        <v>530</v>
      </c>
      <c r="AD171" s="150">
        <v>562</v>
      </c>
      <c r="AE171" s="150">
        <v>0.78</v>
      </c>
      <c r="AF171" s="2" t="s">
        <v>1404</v>
      </c>
      <c r="AG171" s="2" t="s">
        <v>164</v>
      </c>
      <c r="AI171" s="2" t="s">
        <v>1405</v>
      </c>
      <c r="AJ171" s="2" t="s">
        <v>387</v>
      </c>
      <c r="AK171" s="2" t="s">
        <v>938</v>
      </c>
      <c r="AL171" s="2" t="s">
        <v>1377</v>
      </c>
      <c r="AN171" s="2" t="s">
        <v>1378</v>
      </c>
      <c r="AO171" s="2" t="s">
        <v>1404</v>
      </c>
      <c r="AP171" s="151">
        <v>0</v>
      </c>
      <c r="AQ171" s="150">
        <v>343.07</v>
      </c>
      <c r="AR171" s="150">
        <v>129.29</v>
      </c>
      <c r="AS171" s="150">
        <v>1</v>
      </c>
      <c r="AT171" s="150">
        <v>0.44400000000000001</v>
      </c>
      <c r="AU171" s="150">
        <v>0.44400000000000001</v>
      </c>
      <c r="AX171" s="4" t="s">
        <v>164</v>
      </c>
      <c r="AY171" s="2" t="s">
        <v>37</v>
      </c>
      <c r="AZ171" s="164">
        <v>4.6501232950398697E-4</v>
      </c>
      <c r="BA171" s="164">
        <v>6.0390937105496801E-6</v>
      </c>
    </row>
    <row r="172" spans="1:53">
      <c r="A172" s="2" t="s">
        <v>144</v>
      </c>
      <c r="B172" s="2">
        <v>969</v>
      </c>
      <c r="C172" s="2" t="s">
        <v>1387</v>
      </c>
      <c r="D172" s="2" t="s">
        <v>34</v>
      </c>
      <c r="E172" s="2" t="s">
        <v>1424</v>
      </c>
      <c r="F172" s="2" t="s">
        <v>1425</v>
      </c>
      <c r="G172" s="2" t="s">
        <v>1084</v>
      </c>
      <c r="I172" s="2" t="s">
        <v>31</v>
      </c>
      <c r="J172" s="2" t="s">
        <v>31</v>
      </c>
      <c r="K172" s="2" t="s">
        <v>498</v>
      </c>
      <c r="L172" s="2" t="s">
        <v>164</v>
      </c>
      <c r="M172" s="2" t="s">
        <v>387</v>
      </c>
      <c r="N172" s="2" t="s">
        <v>1387</v>
      </c>
      <c r="O172" s="2" t="s">
        <v>1426</v>
      </c>
      <c r="P172" s="2" t="s">
        <v>1396</v>
      </c>
      <c r="Q172" s="2" t="s">
        <v>104</v>
      </c>
      <c r="R172" s="2" t="s">
        <v>454</v>
      </c>
      <c r="S172" s="2" t="s">
        <v>35</v>
      </c>
      <c r="T172" s="150">
        <v>3.32</v>
      </c>
      <c r="U172" s="2" t="s">
        <v>1397</v>
      </c>
      <c r="V172" s="162">
        <v>5.5E-2</v>
      </c>
      <c r="W172" s="2" t="s">
        <v>801</v>
      </c>
      <c r="X172" s="2" t="s">
        <v>955</v>
      </c>
      <c r="Y172" s="150">
        <v>5.5</v>
      </c>
      <c r="Z172" s="164">
        <v>2.3359999999999999E-2</v>
      </c>
      <c r="AA172" s="2" t="s">
        <v>1403</v>
      </c>
      <c r="AB172" s="4" t="s">
        <v>459</v>
      </c>
      <c r="AC172" s="2" t="s">
        <v>530</v>
      </c>
      <c r="AD172" s="150">
        <v>4665</v>
      </c>
      <c r="AE172" s="150">
        <v>0.78</v>
      </c>
      <c r="AF172" s="2" t="s">
        <v>1404</v>
      </c>
      <c r="AG172" s="2" t="s">
        <v>164</v>
      </c>
      <c r="AI172" s="2" t="s">
        <v>1405</v>
      </c>
      <c r="AJ172" s="2" t="s">
        <v>387</v>
      </c>
      <c r="AK172" s="2" t="s">
        <v>938</v>
      </c>
      <c r="AL172" s="2" t="s">
        <v>1377</v>
      </c>
      <c r="AN172" s="2" t="s">
        <v>1378</v>
      </c>
      <c r="AO172" s="2" t="s">
        <v>1404</v>
      </c>
      <c r="AP172" s="151">
        <v>0</v>
      </c>
      <c r="AQ172" s="150">
        <v>6178.41</v>
      </c>
      <c r="AR172" s="150">
        <v>128.94</v>
      </c>
      <c r="AS172" s="150">
        <v>1</v>
      </c>
      <c r="AT172" s="150">
        <v>7.9660000000000002</v>
      </c>
      <c r="AU172" s="150">
        <v>7.9660000000000002</v>
      </c>
      <c r="AX172" s="4" t="s">
        <v>164</v>
      </c>
      <c r="AY172" s="2" t="s">
        <v>37</v>
      </c>
      <c r="AZ172" s="164">
        <v>8.35182105706604E-3</v>
      </c>
      <c r="BA172" s="164">
        <v>1.08464715486499E-4</v>
      </c>
    </row>
    <row r="173" spans="1:53">
      <c r="A173" s="2" t="s">
        <v>144</v>
      </c>
      <c r="B173" s="2">
        <v>969</v>
      </c>
      <c r="C173" s="2" t="s">
        <v>1387</v>
      </c>
      <c r="D173" s="2" t="s">
        <v>34</v>
      </c>
      <c r="E173" s="2" t="s">
        <v>1427</v>
      </c>
      <c r="F173" s="2" t="s">
        <v>1428</v>
      </c>
      <c r="G173" s="2" t="s">
        <v>1084</v>
      </c>
      <c r="I173" s="2" t="s">
        <v>31</v>
      </c>
      <c r="J173" s="2" t="s">
        <v>31</v>
      </c>
      <c r="K173" s="2" t="s">
        <v>498</v>
      </c>
      <c r="L173" s="2" t="s">
        <v>164</v>
      </c>
      <c r="M173" s="2" t="s">
        <v>387</v>
      </c>
      <c r="N173" s="2" t="s">
        <v>1387</v>
      </c>
      <c r="O173" s="2" t="s">
        <v>1429</v>
      </c>
      <c r="P173" s="2" t="s">
        <v>1396</v>
      </c>
      <c r="Q173" s="2" t="s">
        <v>104</v>
      </c>
      <c r="R173" s="2" t="s">
        <v>454</v>
      </c>
      <c r="S173" s="2" t="s">
        <v>35</v>
      </c>
      <c r="T173" s="150">
        <v>3.46</v>
      </c>
      <c r="U173" s="2" t="s">
        <v>1397</v>
      </c>
      <c r="V173" s="162">
        <v>5.5E-2</v>
      </c>
      <c r="W173" s="2" t="s">
        <v>801</v>
      </c>
      <c r="X173" s="2" t="s">
        <v>955</v>
      </c>
      <c r="Y173" s="150">
        <v>5.5</v>
      </c>
      <c r="Z173" s="164">
        <v>2.3599999999999999E-2</v>
      </c>
      <c r="AA173" s="2" t="s">
        <v>1393</v>
      </c>
      <c r="AB173" s="4" t="s">
        <v>459</v>
      </c>
      <c r="AC173" s="2" t="s">
        <v>530</v>
      </c>
      <c r="AD173" s="150">
        <v>534</v>
      </c>
      <c r="AE173" s="150">
        <v>0.78</v>
      </c>
      <c r="AF173" s="2" t="s">
        <v>1404</v>
      </c>
      <c r="AG173" s="2" t="s">
        <v>164</v>
      </c>
      <c r="AI173" s="2" t="s">
        <v>1405</v>
      </c>
      <c r="AJ173" s="2" t="s">
        <v>387</v>
      </c>
      <c r="AK173" s="2" t="s">
        <v>938</v>
      </c>
      <c r="AL173" s="2" t="s">
        <v>1377</v>
      </c>
      <c r="AN173" s="2" t="s">
        <v>1378</v>
      </c>
      <c r="AO173" s="2" t="s">
        <v>1404</v>
      </c>
      <c r="AP173" s="151">
        <v>0</v>
      </c>
      <c r="AQ173" s="150">
        <v>707.3</v>
      </c>
      <c r="AR173" s="150">
        <v>126.1</v>
      </c>
      <c r="AS173" s="150">
        <v>1</v>
      </c>
      <c r="AT173" s="150">
        <v>0.89200000000000002</v>
      </c>
      <c r="AU173" s="150">
        <v>0.89200000000000002</v>
      </c>
      <c r="AX173" s="4" t="s">
        <v>164</v>
      </c>
      <c r="AY173" s="2" t="s">
        <v>37</v>
      </c>
      <c r="AZ173" s="164">
        <v>9.3505150755711505E-4</v>
      </c>
      <c r="BA173" s="164">
        <v>1.21434708717326E-5</v>
      </c>
    </row>
    <row r="174" spans="1:53">
      <c r="A174" s="2" t="s">
        <v>144</v>
      </c>
      <c r="B174" s="2">
        <v>969</v>
      </c>
      <c r="C174" s="2" t="s">
        <v>1387</v>
      </c>
      <c r="D174" s="2" t="s">
        <v>34</v>
      </c>
      <c r="E174" s="2" t="s">
        <v>1430</v>
      </c>
      <c r="F174" s="2" t="s">
        <v>1431</v>
      </c>
      <c r="G174" s="2" t="s">
        <v>1084</v>
      </c>
      <c r="I174" s="2" t="s">
        <v>31</v>
      </c>
      <c r="J174" s="2" t="s">
        <v>31</v>
      </c>
      <c r="K174" s="2" t="s">
        <v>498</v>
      </c>
      <c r="L174" s="2" t="s">
        <v>164</v>
      </c>
      <c r="M174" s="2" t="s">
        <v>387</v>
      </c>
      <c r="O174" s="2" t="s">
        <v>1390</v>
      </c>
      <c r="P174" s="2" t="s">
        <v>1391</v>
      </c>
      <c r="Q174" s="2" t="s">
        <v>217</v>
      </c>
      <c r="R174" s="2" t="s">
        <v>454</v>
      </c>
      <c r="S174" s="2" t="s">
        <v>35</v>
      </c>
      <c r="T174" s="150">
        <v>3.46</v>
      </c>
      <c r="U174" s="2" t="s">
        <v>204</v>
      </c>
      <c r="V174" s="162">
        <v>5.5E-2</v>
      </c>
      <c r="W174" s="2" t="s">
        <v>801</v>
      </c>
      <c r="X174" s="2" t="s">
        <v>1392</v>
      </c>
      <c r="Y174" s="150">
        <v>5.5</v>
      </c>
      <c r="Z174" s="164">
        <v>2.3599999999999999E-2</v>
      </c>
      <c r="AA174" s="2" t="s">
        <v>1393</v>
      </c>
      <c r="AB174" s="4" t="s">
        <v>459</v>
      </c>
      <c r="AG174" s="2" t="s">
        <v>164</v>
      </c>
      <c r="AJ174" s="2" t="s">
        <v>164</v>
      </c>
      <c r="AK174" s="2" t="s">
        <v>204</v>
      </c>
      <c r="AN174" s="2" t="s">
        <v>1378</v>
      </c>
      <c r="AQ174" s="150">
        <v>585.86</v>
      </c>
      <c r="AR174" s="150">
        <v>126.04</v>
      </c>
      <c r="AS174" s="150">
        <v>1</v>
      </c>
      <c r="AT174" s="150">
        <v>0.73799999999999999</v>
      </c>
      <c r="AU174" s="150">
        <v>0.73799999999999999</v>
      </c>
      <c r="AX174" s="4" t="s">
        <v>164</v>
      </c>
      <c r="AY174" s="2" t="s">
        <v>37</v>
      </c>
      <c r="AZ174" s="164">
        <v>7.7413915103366395E-4</v>
      </c>
      <c r="BA174" s="164">
        <v>1.00537095071962E-5</v>
      </c>
    </row>
    <row r="175" spans="1:53">
      <c r="A175" s="2" t="s">
        <v>144</v>
      </c>
      <c r="B175" s="2">
        <v>969</v>
      </c>
      <c r="C175" s="2" t="s">
        <v>1387</v>
      </c>
      <c r="D175" s="2" t="s">
        <v>34</v>
      </c>
      <c r="E175" s="2" t="s">
        <v>1432</v>
      </c>
      <c r="F175" s="2" t="s">
        <v>1433</v>
      </c>
      <c r="G175" s="2" t="s">
        <v>1084</v>
      </c>
      <c r="I175" s="2" t="s">
        <v>31</v>
      </c>
      <c r="J175" s="2" t="s">
        <v>31</v>
      </c>
      <c r="K175" s="2" t="s">
        <v>498</v>
      </c>
      <c r="L175" s="2" t="s">
        <v>164</v>
      </c>
      <c r="M175" s="2" t="s">
        <v>387</v>
      </c>
      <c r="N175" s="2" t="s">
        <v>1387</v>
      </c>
      <c r="O175" s="2" t="s">
        <v>1434</v>
      </c>
      <c r="P175" s="2" t="s">
        <v>1396</v>
      </c>
      <c r="Q175" s="2" t="s">
        <v>104</v>
      </c>
      <c r="R175" s="2" t="s">
        <v>454</v>
      </c>
      <c r="S175" s="2" t="s">
        <v>35</v>
      </c>
      <c r="T175" s="150">
        <v>3.18</v>
      </c>
      <c r="U175" s="2" t="s">
        <v>1397</v>
      </c>
      <c r="V175" s="162">
        <v>5.5E-2</v>
      </c>
      <c r="W175" s="2" t="s">
        <v>801</v>
      </c>
      <c r="X175" s="2" t="s">
        <v>955</v>
      </c>
      <c r="Y175" s="150">
        <v>5.5</v>
      </c>
      <c r="Z175" s="164">
        <v>2.3050000000000001E-2</v>
      </c>
      <c r="AA175" s="2" t="s">
        <v>1403</v>
      </c>
      <c r="AB175" s="4" t="s">
        <v>459</v>
      </c>
      <c r="AC175" s="2" t="s">
        <v>530</v>
      </c>
      <c r="AD175" s="150">
        <v>2192</v>
      </c>
      <c r="AE175" s="150">
        <v>0.78</v>
      </c>
      <c r="AF175" s="2" t="s">
        <v>1404</v>
      </c>
      <c r="AG175" s="2" t="s">
        <v>164</v>
      </c>
      <c r="AI175" s="2" t="s">
        <v>1405</v>
      </c>
      <c r="AJ175" s="2" t="s">
        <v>387</v>
      </c>
      <c r="AK175" s="2" t="s">
        <v>938</v>
      </c>
      <c r="AL175" s="2" t="s">
        <v>1377</v>
      </c>
      <c r="AN175" s="2" t="s">
        <v>1378</v>
      </c>
      <c r="AO175" s="2" t="s">
        <v>1404</v>
      </c>
      <c r="AP175" s="151">
        <v>0</v>
      </c>
      <c r="AQ175" s="150">
        <v>1339.53</v>
      </c>
      <c r="AR175" s="150">
        <v>128.21</v>
      </c>
      <c r="AS175" s="150">
        <v>1</v>
      </c>
      <c r="AT175" s="150">
        <v>1.7170000000000001</v>
      </c>
      <c r="AU175" s="150">
        <v>1.7170000000000001</v>
      </c>
      <c r="AX175" s="4" t="s">
        <v>164</v>
      </c>
      <c r="AY175" s="2" t="s">
        <v>37</v>
      </c>
      <c r="AZ175" s="164">
        <v>1.80049174595268E-3</v>
      </c>
      <c r="BA175" s="164">
        <v>2.3382903396298501E-5</v>
      </c>
    </row>
    <row r="176" spans="1:53">
      <c r="A176" s="2" t="s">
        <v>144</v>
      </c>
      <c r="B176" s="2">
        <v>969</v>
      </c>
      <c r="C176" s="2" t="s">
        <v>1387</v>
      </c>
      <c r="D176" s="2" t="s">
        <v>34</v>
      </c>
      <c r="E176" s="2" t="s">
        <v>1435</v>
      </c>
      <c r="F176" s="2" t="s">
        <v>1436</v>
      </c>
      <c r="G176" s="2" t="s">
        <v>1084</v>
      </c>
      <c r="I176" s="2" t="s">
        <v>31</v>
      </c>
      <c r="J176" s="2" t="s">
        <v>31</v>
      </c>
      <c r="K176" s="2" t="s">
        <v>498</v>
      </c>
      <c r="L176" s="2" t="s">
        <v>164</v>
      </c>
      <c r="M176" s="2" t="s">
        <v>387</v>
      </c>
      <c r="N176" s="2" t="s">
        <v>1387</v>
      </c>
      <c r="O176" s="2" t="s">
        <v>1437</v>
      </c>
      <c r="P176" s="2" t="s">
        <v>1396</v>
      </c>
      <c r="Q176" s="2" t="s">
        <v>104</v>
      </c>
      <c r="R176" s="2" t="s">
        <v>454</v>
      </c>
      <c r="S176" s="2" t="s">
        <v>35</v>
      </c>
      <c r="T176" s="150">
        <v>3.46</v>
      </c>
      <c r="U176" s="2" t="s">
        <v>1397</v>
      </c>
      <c r="V176" s="162">
        <v>5.5E-2</v>
      </c>
      <c r="W176" s="2" t="s">
        <v>801</v>
      </c>
      <c r="X176" s="2" t="s">
        <v>955</v>
      </c>
      <c r="Y176" s="150">
        <v>5.5</v>
      </c>
      <c r="Z176" s="164">
        <v>2.4500000000000001E-2</v>
      </c>
      <c r="AA176" s="2" t="s">
        <v>1393</v>
      </c>
      <c r="AB176" s="4" t="s">
        <v>459</v>
      </c>
      <c r="AC176" s="2" t="s">
        <v>530</v>
      </c>
      <c r="AD176" s="150">
        <v>3904</v>
      </c>
      <c r="AE176" s="150">
        <v>0.78</v>
      </c>
      <c r="AF176" s="2" t="s">
        <v>1404</v>
      </c>
      <c r="AG176" s="2" t="s">
        <v>164</v>
      </c>
      <c r="AI176" s="2" t="s">
        <v>1405</v>
      </c>
      <c r="AJ176" s="2" t="s">
        <v>387</v>
      </c>
      <c r="AK176" s="2" t="s">
        <v>938</v>
      </c>
      <c r="AL176" s="2" t="s">
        <v>1377</v>
      </c>
      <c r="AN176" s="2" t="s">
        <v>1378</v>
      </c>
      <c r="AO176" s="2" t="s">
        <v>1404</v>
      </c>
      <c r="AP176" s="151">
        <v>0</v>
      </c>
      <c r="AQ176" s="150">
        <v>5171.07</v>
      </c>
      <c r="AR176" s="150">
        <v>125.87</v>
      </c>
      <c r="AS176" s="150">
        <v>1</v>
      </c>
      <c r="AT176" s="150">
        <v>6.5090000000000003</v>
      </c>
      <c r="AU176" s="150">
        <v>6.5090000000000003</v>
      </c>
      <c r="AX176" s="4" t="s">
        <v>164</v>
      </c>
      <c r="AY176" s="2" t="s">
        <v>37</v>
      </c>
      <c r="AZ176" s="164">
        <v>6.8236923641244304E-3</v>
      </c>
      <c r="BA176" s="164">
        <v>8.8618978517980305E-5</v>
      </c>
    </row>
    <row r="177" spans="1:53">
      <c r="A177" s="2" t="s">
        <v>144</v>
      </c>
      <c r="B177" s="2">
        <v>969</v>
      </c>
      <c r="C177" s="2" t="s">
        <v>1387</v>
      </c>
      <c r="D177" s="2" t="s">
        <v>34</v>
      </c>
      <c r="E177" s="2" t="s">
        <v>1438</v>
      </c>
      <c r="F177" s="2" t="s">
        <v>1439</v>
      </c>
      <c r="G177" s="2" t="s">
        <v>1084</v>
      </c>
      <c r="I177" s="2" t="s">
        <v>31</v>
      </c>
      <c r="J177" s="2" t="s">
        <v>31</v>
      </c>
      <c r="K177" s="2" t="s">
        <v>498</v>
      </c>
      <c r="L177" s="2" t="s">
        <v>164</v>
      </c>
      <c r="M177" s="2" t="s">
        <v>164</v>
      </c>
      <c r="O177" s="2" t="s">
        <v>1390</v>
      </c>
      <c r="P177" s="2" t="s">
        <v>1396</v>
      </c>
      <c r="Q177" s="2" t="s">
        <v>104</v>
      </c>
      <c r="R177" s="2" t="s">
        <v>454</v>
      </c>
      <c r="S177" s="2" t="s">
        <v>35</v>
      </c>
      <c r="T177" s="150">
        <v>3.31</v>
      </c>
      <c r="U177" s="2" t="s">
        <v>1397</v>
      </c>
      <c r="V177" s="162">
        <v>5.5E-2</v>
      </c>
      <c r="W177" s="2" t="s">
        <v>801</v>
      </c>
      <c r="X177" s="2" t="s">
        <v>1392</v>
      </c>
      <c r="Y177" s="150">
        <v>5.5</v>
      </c>
      <c r="Z177" s="164">
        <v>2.443E-2</v>
      </c>
      <c r="AA177" s="2" t="s">
        <v>1403</v>
      </c>
      <c r="AB177" s="4" t="s">
        <v>459</v>
      </c>
      <c r="AG177" s="2" t="s">
        <v>164</v>
      </c>
      <c r="AJ177" s="2" t="s">
        <v>164</v>
      </c>
      <c r="AK177" s="2" t="s">
        <v>204</v>
      </c>
      <c r="AN177" s="2" t="s">
        <v>1378</v>
      </c>
      <c r="AQ177" s="150">
        <v>6281.06</v>
      </c>
      <c r="AR177" s="150">
        <v>127.82</v>
      </c>
      <c r="AS177" s="150">
        <v>1</v>
      </c>
      <c r="AT177" s="150">
        <v>8.0280000000000005</v>
      </c>
      <c r="AU177" s="150">
        <v>8.0280000000000005</v>
      </c>
      <c r="AX177" s="4" t="s">
        <v>164</v>
      </c>
      <c r="AY177" s="2" t="s">
        <v>37</v>
      </c>
      <c r="AZ177" s="164">
        <v>8.41682980234882E-3</v>
      </c>
      <c r="BA177" s="164">
        <v>1.09308981067987E-4</v>
      </c>
    </row>
    <row r="178" spans="1:53">
      <c r="A178" s="2" t="s">
        <v>144</v>
      </c>
      <c r="B178" s="2">
        <v>969</v>
      </c>
      <c r="C178" s="2" t="s">
        <v>1387</v>
      </c>
      <c r="D178" s="2" t="s">
        <v>34</v>
      </c>
      <c r="E178" s="2" t="s">
        <v>1440</v>
      </c>
      <c r="F178" s="2" t="s">
        <v>1441</v>
      </c>
      <c r="G178" s="2" t="s">
        <v>1084</v>
      </c>
      <c r="I178" s="2" t="s">
        <v>31</v>
      </c>
      <c r="J178" s="2" t="s">
        <v>31</v>
      </c>
      <c r="K178" s="2" t="s">
        <v>498</v>
      </c>
      <c r="L178" s="2" t="s">
        <v>164</v>
      </c>
      <c r="M178" s="2" t="s">
        <v>164</v>
      </c>
      <c r="O178" s="2" t="s">
        <v>1390</v>
      </c>
      <c r="P178" s="2" t="s">
        <v>1396</v>
      </c>
      <c r="Q178" s="2" t="s">
        <v>104</v>
      </c>
      <c r="R178" s="2" t="s">
        <v>454</v>
      </c>
      <c r="S178" s="2" t="s">
        <v>35</v>
      </c>
      <c r="T178" s="150">
        <v>3.32</v>
      </c>
      <c r="U178" s="2" t="s">
        <v>1397</v>
      </c>
      <c r="V178" s="162">
        <v>5.5888E-2</v>
      </c>
      <c r="W178" s="2" t="s">
        <v>801</v>
      </c>
      <c r="X178" s="2" t="s">
        <v>1392</v>
      </c>
      <c r="Y178" s="150">
        <v>5.5888</v>
      </c>
      <c r="Z178" s="164">
        <v>2.179E-2</v>
      </c>
      <c r="AA178" s="2" t="s">
        <v>1403</v>
      </c>
      <c r="AB178" s="4" t="s">
        <v>459</v>
      </c>
      <c r="AG178" s="2" t="s">
        <v>164</v>
      </c>
      <c r="AJ178" s="2" t="s">
        <v>164</v>
      </c>
      <c r="AK178" s="2" t="s">
        <v>204</v>
      </c>
      <c r="AN178" s="2" t="s">
        <v>1378</v>
      </c>
      <c r="AQ178" s="150">
        <v>1314.95</v>
      </c>
      <c r="AR178" s="150">
        <v>129.58000000000001</v>
      </c>
      <c r="AS178" s="150">
        <v>1</v>
      </c>
      <c r="AT178" s="150">
        <v>1.704</v>
      </c>
      <c r="AU178" s="150">
        <v>1.704</v>
      </c>
      <c r="AX178" s="4" t="s">
        <v>164</v>
      </c>
      <c r="AY178" s="2" t="s">
        <v>37</v>
      </c>
      <c r="AZ178" s="164">
        <v>1.7863395146384699E-3</v>
      </c>
      <c r="BA178" s="164">
        <v>2.3199109019897601E-5</v>
      </c>
    </row>
    <row r="179" spans="1:53">
      <c r="A179" s="2" t="s">
        <v>144</v>
      </c>
      <c r="B179" s="2">
        <v>969</v>
      </c>
      <c r="C179" s="2" t="s">
        <v>1387</v>
      </c>
      <c r="D179" s="2" t="s">
        <v>34</v>
      </c>
      <c r="E179" s="2" t="s">
        <v>1442</v>
      </c>
      <c r="F179" s="2" t="s">
        <v>1443</v>
      </c>
      <c r="G179" s="2" t="s">
        <v>1084</v>
      </c>
      <c r="I179" s="2" t="s">
        <v>31</v>
      </c>
      <c r="J179" s="2" t="s">
        <v>31</v>
      </c>
      <c r="K179" s="2" t="s">
        <v>498</v>
      </c>
      <c r="L179" s="2" t="s">
        <v>164</v>
      </c>
      <c r="M179" s="2" t="s">
        <v>387</v>
      </c>
      <c r="N179" s="2" t="s">
        <v>1387</v>
      </c>
      <c r="O179" s="2" t="s">
        <v>1444</v>
      </c>
      <c r="P179" s="2" t="s">
        <v>1396</v>
      </c>
      <c r="Q179" s="2" t="s">
        <v>104</v>
      </c>
      <c r="R179" s="2" t="s">
        <v>454</v>
      </c>
      <c r="S179" s="2" t="s">
        <v>35</v>
      </c>
      <c r="T179" s="150">
        <v>3.31</v>
      </c>
      <c r="U179" s="2" t="s">
        <v>1397</v>
      </c>
      <c r="V179" s="162">
        <v>5.6193E-2</v>
      </c>
      <c r="W179" s="2" t="s">
        <v>801</v>
      </c>
      <c r="X179" s="2" t="s">
        <v>955</v>
      </c>
      <c r="Y179" s="150">
        <v>5.6193</v>
      </c>
      <c r="Z179" s="164">
        <v>2.333E-2</v>
      </c>
      <c r="AA179" s="2" t="s">
        <v>1403</v>
      </c>
      <c r="AB179" s="4" t="s">
        <v>459</v>
      </c>
      <c r="AC179" s="2" t="s">
        <v>530</v>
      </c>
      <c r="AD179" s="150">
        <v>3026</v>
      </c>
      <c r="AE179" s="150">
        <v>0.78</v>
      </c>
      <c r="AF179" s="2" t="s">
        <v>1404</v>
      </c>
      <c r="AG179" s="2" t="s">
        <v>164</v>
      </c>
      <c r="AI179" s="2" t="s">
        <v>1405</v>
      </c>
      <c r="AJ179" s="2" t="s">
        <v>387</v>
      </c>
      <c r="AK179" s="2" t="s">
        <v>938</v>
      </c>
      <c r="AL179" s="2" t="s">
        <v>1377</v>
      </c>
      <c r="AN179" s="2" t="s">
        <v>1378</v>
      </c>
      <c r="AO179" s="2" t="s">
        <v>1404</v>
      </c>
      <c r="AP179" s="151">
        <v>0</v>
      </c>
      <c r="AQ179" s="150">
        <v>1847.95</v>
      </c>
      <c r="AR179" s="150">
        <v>128.57</v>
      </c>
      <c r="AS179" s="150">
        <v>1</v>
      </c>
      <c r="AT179" s="150">
        <v>2.3759999999999999</v>
      </c>
      <c r="AU179" s="150">
        <v>2.3759999999999999</v>
      </c>
      <c r="AX179" s="4" t="s">
        <v>164</v>
      </c>
      <c r="AY179" s="2" t="s">
        <v>37</v>
      </c>
      <c r="AZ179" s="164">
        <v>2.4908446970880699E-3</v>
      </c>
      <c r="BA179" s="164">
        <v>3.2348485383572198E-5</v>
      </c>
    </row>
    <row r="180" spans="1:53">
      <c r="A180" s="2" t="s">
        <v>144</v>
      </c>
      <c r="B180" s="2">
        <v>969</v>
      </c>
      <c r="C180" s="2" t="s">
        <v>1387</v>
      </c>
      <c r="D180" s="2" t="s">
        <v>34</v>
      </c>
      <c r="E180" s="2" t="s">
        <v>1445</v>
      </c>
      <c r="F180" s="2" t="s">
        <v>1446</v>
      </c>
      <c r="G180" s="2" t="s">
        <v>1084</v>
      </c>
      <c r="I180" s="2" t="s">
        <v>31</v>
      </c>
      <c r="J180" s="2" t="s">
        <v>31</v>
      </c>
      <c r="K180" s="2" t="s">
        <v>498</v>
      </c>
      <c r="L180" s="2" t="s">
        <v>164</v>
      </c>
      <c r="M180" s="2" t="s">
        <v>387</v>
      </c>
      <c r="O180" s="2" t="s">
        <v>1390</v>
      </c>
      <c r="P180" s="2" t="s">
        <v>1391</v>
      </c>
      <c r="Q180" s="2" t="s">
        <v>217</v>
      </c>
      <c r="R180" s="2" t="s">
        <v>454</v>
      </c>
      <c r="S180" s="2" t="s">
        <v>35</v>
      </c>
      <c r="T180" s="150">
        <v>3.44</v>
      </c>
      <c r="U180" s="2" t="s">
        <v>204</v>
      </c>
      <c r="V180" s="162">
        <v>5.5E-2</v>
      </c>
      <c r="W180" s="2" t="s">
        <v>801</v>
      </c>
      <c r="X180" s="2" t="s">
        <v>1392</v>
      </c>
      <c r="Y180" s="150">
        <v>5.5</v>
      </c>
      <c r="Z180" s="164">
        <v>2.8799999999999999E-2</v>
      </c>
      <c r="AA180" s="2" t="s">
        <v>1393</v>
      </c>
      <c r="AB180" s="4" t="s">
        <v>459</v>
      </c>
      <c r="AG180" s="2" t="s">
        <v>164</v>
      </c>
      <c r="AJ180" s="2" t="s">
        <v>164</v>
      </c>
      <c r="AK180" s="2" t="s">
        <v>204</v>
      </c>
      <c r="AN180" s="2" t="s">
        <v>1378</v>
      </c>
      <c r="AQ180" s="150">
        <v>2340.8000000000002</v>
      </c>
      <c r="AR180" s="150">
        <v>122.22</v>
      </c>
      <c r="AS180" s="150">
        <v>1</v>
      </c>
      <c r="AT180" s="150">
        <v>2.8610000000000002</v>
      </c>
      <c r="AU180" s="150">
        <v>2.8610000000000002</v>
      </c>
      <c r="AX180" s="4" t="s">
        <v>164</v>
      </c>
      <c r="AY180" s="2" t="s">
        <v>37</v>
      </c>
      <c r="AZ180" s="164">
        <v>2.9993239695929401E-3</v>
      </c>
      <c r="BA180" s="164">
        <v>3.8952082281324497E-5</v>
      </c>
    </row>
    <row r="181" spans="1:53">
      <c r="A181" s="2" t="s">
        <v>144</v>
      </c>
      <c r="B181" s="2">
        <v>969</v>
      </c>
      <c r="C181" s="2" t="s">
        <v>1387</v>
      </c>
      <c r="D181" s="2" t="s">
        <v>34</v>
      </c>
      <c r="E181" s="2" t="s">
        <v>1447</v>
      </c>
      <c r="F181" s="2" t="s">
        <v>1448</v>
      </c>
      <c r="G181" s="2" t="s">
        <v>1084</v>
      </c>
      <c r="I181" s="2" t="s">
        <v>31</v>
      </c>
      <c r="J181" s="2" t="s">
        <v>31</v>
      </c>
      <c r="K181" s="2" t="s">
        <v>498</v>
      </c>
      <c r="L181" s="2" t="s">
        <v>164</v>
      </c>
      <c r="M181" s="2" t="s">
        <v>387</v>
      </c>
      <c r="O181" s="2" t="s">
        <v>1390</v>
      </c>
      <c r="P181" s="2" t="s">
        <v>1391</v>
      </c>
      <c r="Q181" s="2" t="s">
        <v>217</v>
      </c>
      <c r="R181" s="2" t="s">
        <v>454</v>
      </c>
      <c r="S181" s="2" t="s">
        <v>35</v>
      </c>
      <c r="T181" s="150">
        <v>3.46</v>
      </c>
      <c r="U181" s="2" t="s">
        <v>204</v>
      </c>
      <c r="V181" s="162">
        <v>5.5E-2</v>
      </c>
      <c r="W181" s="2" t="s">
        <v>801</v>
      </c>
      <c r="X181" s="2" t="s">
        <v>1392</v>
      </c>
      <c r="Y181" s="150">
        <v>5.5</v>
      </c>
      <c r="Z181" s="164">
        <v>2.3699999999999999E-2</v>
      </c>
      <c r="AA181" s="2" t="s">
        <v>1393</v>
      </c>
      <c r="AB181" s="4" t="s">
        <v>459</v>
      </c>
      <c r="AG181" s="2" t="s">
        <v>164</v>
      </c>
      <c r="AJ181" s="2" t="s">
        <v>164</v>
      </c>
      <c r="AK181" s="2" t="s">
        <v>204</v>
      </c>
      <c r="AN181" s="2" t="s">
        <v>1378</v>
      </c>
      <c r="AQ181" s="150">
        <v>290.86</v>
      </c>
      <c r="AR181" s="150">
        <v>123.96</v>
      </c>
      <c r="AS181" s="150">
        <v>1</v>
      </c>
      <c r="AT181" s="150">
        <v>0.36099999999999999</v>
      </c>
      <c r="AU181" s="150">
        <v>0.36099999999999999</v>
      </c>
      <c r="AX181" s="4" t="s">
        <v>164</v>
      </c>
      <c r="AY181" s="2" t="s">
        <v>37</v>
      </c>
      <c r="AZ181" s="164">
        <v>3.7799178165283002E-4</v>
      </c>
      <c r="BA181" s="164">
        <v>4.9089618626972503E-6</v>
      </c>
    </row>
    <row r="182" spans="1:53">
      <c r="A182" s="2" t="s">
        <v>144</v>
      </c>
      <c r="B182" s="2">
        <v>969</v>
      </c>
      <c r="C182" s="2" t="s">
        <v>1387</v>
      </c>
      <c r="D182" s="2" t="s">
        <v>34</v>
      </c>
      <c r="E182" s="2" t="s">
        <v>1449</v>
      </c>
      <c r="F182" s="2" t="s">
        <v>1450</v>
      </c>
      <c r="G182" s="2" t="s">
        <v>1084</v>
      </c>
      <c r="I182" s="2" t="s">
        <v>31</v>
      </c>
      <c r="J182" s="2" t="s">
        <v>31</v>
      </c>
      <c r="K182" s="2" t="s">
        <v>498</v>
      </c>
      <c r="L182" s="2" t="s">
        <v>164</v>
      </c>
      <c r="M182" s="2" t="s">
        <v>387</v>
      </c>
      <c r="O182" s="2" t="s">
        <v>1390</v>
      </c>
      <c r="P182" s="2" t="s">
        <v>1391</v>
      </c>
      <c r="Q182" s="2" t="s">
        <v>217</v>
      </c>
      <c r="R182" s="2" t="s">
        <v>454</v>
      </c>
      <c r="S182" s="2" t="s">
        <v>35</v>
      </c>
      <c r="T182" s="150">
        <v>3.46</v>
      </c>
      <c r="U182" s="2" t="s">
        <v>204</v>
      </c>
      <c r="V182" s="162">
        <v>5.5E-2</v>
      </c>
      <c r="W182" s="2" t="s">
        <v>801</v>
      </c>
      <c r="X182" s="2" t="s">
        <v>1392</v>
      </c>
      <c r="Y182" s="150">
        <v>5.5</v>
      </c>
      <c r="Z182" s="164">
        <v>2.4500000000000001E-2</v>
      </c>
      <c r="AA182" s="2" t="s">
        <v>1393</v>
      </c>
      <c r="AB182" s="4" t="s">
        <v>459</v>
      </c>
      <c r="AG182" s="2" t="s">
        <v>164</v>
      </c>
      <c r="AJ182" s="2" t="s">
        <v>164</v>
      </c>
      <c r="AK182" s="2" t="s">
        <v>204</v>
      </c>
      <c r="AN182" s="2" t="s">
        <v>1378</v>
      </c>
      <c r="AQ182" s="150">
        <v>645.91999999999996</v>
      </c>
      <c r="AR182" s="150">
        <v>123.98</v>
      </c>
      <c r="AS182" s="150">
        <v>1</v>
      </c>
      <c r="AT182" s="150">
        <v>0.80100000000000005</v>
      </c>
      <c r="AU182" s="150">
        <v>0.80100000000000005</v>
      </c>
      <c r="AX182" s="4" t="s">
        <v>164</v>
      </c>
      <c r="AY182" s="2" t="s">
        <v>37</v>
      </c>
      <c r="AZ182" s="164">
        <v>8.3955113711068805E-4</v>
      </c>
      <c r="BA182" s="164">
        <v>1.09032119583112E-5</v>
      </c>
    </row>
    <row r="183" spans="1:53">
      <c r="A183" s="2" t="s">
        <v>144</v>
      </c>
      <c r="B183" s="2">
        <v>969</v>
      </c>
      <c r="C183" s="2" t="s">
        <v>1387</v>
      </c>
      <c r="D183" s="2" t="s">
        <v>34</v>
      </c>
      <c r="E183" s="2" t="s">
        <v>1451</v>
      </c>
      <c r="F183" s="2" t="s">
        <v>1452</v>
      </c>
      <c r="G183" s="2" t="s">
        <v>1084</v>
      </c>
      <c r="I183" s="2" t="s">
        <v>31</v>
      </c>
      <c r="J183" s="2" t="s">
        <v>31</v>
      </c>
      <c r="K183" s="2" t="s">
        <v>498</v>
      </c>
      <c r="L183" s="2" t="s">
        <v>164</v>
      </c>
      <c r="M183" s="2" t="s">
        <v>387</v>
      </c>
      <c r="N183" s="2" t="s">
        <v>1387</v>
      </c>
      <c r="O183" s="2" t="s">
        <v>1453</v>
      </c>
      <c r="P183" s="2" t="s">
        <v>1396</v>
      </c>
      <c r="Q183" s="2" t="s">
        <v>104</v>
      </c>
      <c r="R183" s="2" t="s">
        <v>454</v>
      </c>
      <c r="S183" s="2" t="s">
        <v>35</v>
      </c>
      <c r="T183" s="150">
        <v>3.31</v>
      </c>
      <c r="U183" s="2" t="s">
        <v>204</v>
      </c>
      <c r="V183" s="162">
        <v>5.7230999999999997E-2</v>
      </c>
      <c r="W183" s="2" t="s">
        <v>801</v>
      </c>
      <c r="X183" s="2" t="s">
        <v>955</v>
      </c>
      <c r="Y183" s="150">
        <v>5.7230999999999996</v>
      </c>
      <c r="Z183" s="164">
        <v>2.3310000000000001E-2</v>
      </c>
      <c r="AA183" s="2" t="s">
        <v>1403</v>
      </c>
      <c r="AB183" s="4" t="s">
        <v>459</v>
      </c>
      <c r="AC183" s="2" t="s">
        <v>530</v>
      </c>
      <c r="AD183" s="150">
        <v>4685</v>
      </c>
      <c r="AE183" s="150">
        <v>0.78</v>
      </c>
      <c r="AF183" s="2" t="s">
        <v>1404</v>
      </c>
      <c r="AG183" s="2" t="s">
        <v>164</v>
      </c>
      <c r="AI183" s="2" t="s">
        <v>1405</v>
      </c>
      <c r="AJ183" s="2" t="s">
        <v>387</v>
      </c>
      <c r="AK183" s="2" t="s">
        <v>938</v>
      </c>
      <c r="AL183" s="2" t="s">
        <v>1377</v>
      </c>
      <c r="AN183" s="2" t="s">
        <v>1378</v>
      </c>
      <c r="AO183" s="2" t="s">
        <v>1404</v>
      </c>
      <c r="AP183" s="151">
        <v>0</v>
      </c>
      <c r="AQ183" s="150">
        <v>6205.22</v>
      </c>
      <c r="AR183" s="150">
        <v>129.16999999999999</v>
      </c>
      <c r="AS183" s="150">
        <v>1</v>
      </c>
      <c r="AT183" s="150">
        <v>8.0150000000000006</v>
      </c>
      <c r="AU183" s="150">
        <v>8.0150000000000006</v>
      </c>
      <c r="AX183" s="4" t="s">
        <v>164</v>
      </c>
      <c r="AY183" s="2" t="s">
        <v>37</v>
      </c>
      <c r="AZ183" s="164">
        <v>8.4030245675411099E-3</v>
      </c>
      <c r="BA183" s="164">
        <v>1.0912969311923799E-4</v>
      </c>
    </row>
    <row r="184" spans="1:53">
      <c r="A184" s="2" t="s">
        <v>144</v>
      </c>
      <c r="B184" s="2">
        <v>969</v>
      </c>
      <c r="C184" s="2" t="s">
        <v>1387</v>
      </c>
      <c r="D184" s="2" t="s">
        <v>34</v>
      </c>
      <c r="E184" s="2" t="s">
        <v>1454</v>
      </c>
      <c r="F184" s="2" t="s">
        <v>1455</v>
      </c>
      <c r="G184" s="2" t="s">
        <v>1084</v>
      </c>
      <c r="I184" s="2" t="s">
        <v>31</v>
      </c>
      <c r="J184" s="2" t="s">
        <v>31</v>
      </c>
      <c r="K184" s="2" t="s">
        <v>498</v>
      </c>
      <c r="L184" s="2" t="s">
        <v>164</v>
      </c>
      <c r="M184" s="2" t="s">
        <v>164</v>
      </c>
      <c r="O184" s="2" t="s">
        <v>1390</v>
      </c>
      <c r="P184" s="2" t="s">
        <v>1396</v>
      </c>
      <c r="Q184" s="2" t="s">
        <v>104</v>
      </c>
      <c r="R184" s="2" t="s">
        <v>454</v>
      </c>
      <c r="S184" s="2" t="s">
        <v>35</v>
      </c>
      <c r="T184" s="150">
        <v>3.17</v>
      </c>
      <c r="U184" s="2" t="s">
        <v>1397</v>
      </c>
      <c r="V184" s="162">
        <v>5.6619999999999997E-2</v>
      </c>
      <c r="W184" s="2" t="s">
        <v>801</v>
      </c>
      <c r="X184" s="2" t="s">
        <v>1392</v>
      </c>
      <c r="Y184" s="150">
        <v>5.6619999999999999</v>
      </c>
      <c r="Z184" s="164">
        <v>2.9090000000000001E-2</v>
      </c>
      <c r="AA184" s="2" t="s">
        <v>1393</v>
      </c>
      <c r="AB184" s="4" t="s">
        <v>459</v>
      </c>
      <c r="AG184" s="2" t="s">
        <v>164</v>
      </c>
      <c r="AJ184" s="2" t="s">
        <v>164</v>
      </c>
      <c r="AK184" s="2" t="s">
        <v>204</v>
      </c>
      <c r="AN184" s="2" t="s">
        <v>1378</v>
      </c>
      <c r="AQ184" s="150">
        <v>1395.35</v>
      </c>
      <c r="AR184" s="150">
        <v>127.23</v>
      </c>
      <c r="AS184" s="150">
        <v>1</v>
      </c>
      <c r="AT184" s="150">
        <v>1.7749999999999999</v>
      </c>
      <c r="AU184" s="150">
        <v>1.7749999999999999</v>
      </c>
      <c r="AX184" s="4" t="s">
        <v>164</v>
      </c>
      <c r="AY184" s="2" t="s">
        <v>37</v>
      </c>
      <c r="AZ184" s="164">
        <v>1.8611847011528401E-3</v>
      </c>
      <c r="BA184" s="164">
        <v>2.4171120010715801E-5</v>
      </c>
    </row>
    <row r="185" spans="1:53">
      <c r="A185" s="2" t="s">
        <v>144</v>
      </c>
      <c r="B185" s="2">
        <v>969</v>
      </c>
      <c r="C185" s="2" t="s">
        <v>1387</v>
      </c>
      <c r="D185" s="2" t="s">
        <v>34</v>
      </c>
      <c r="E185" s="2" t="s">
        <v>1456</v>
      </c>
      <c r="F185" s="2" t="s">
        <v>1457</v>
      </c>
      <c r="G185" s="2" t="s">
        <v>1084</v>
      </c>
      <c r="I185" s="2" t="s">
        <v>31</v>
      </c>
      <c r="J185" s="2" t="s">
        <v>31</v>
      </c>
      <c r="K185" s="2" t="s">
        <v>498</v>
      </c>
      <c r="L185" s="2" t="s">
        <v>164</v>
      </c>
      <c r="M185" s="2" t="s">
        <v>387</v>
      </c>
      <c r="N185" s="2" t="s">
        <v>1387</v>
      </c>
      <c r="O185" s="2" t="s">
        <v>1458</v>
      </c>
      <c r="P185" s="2" t="s">
        <v>1396</v>
      </c>
      <c r="Q185" s="2" t="s">
        <v>104</v>
      </c>
      <c r="R185" s="2" t="s">
        <v>454</v>
      </c>
      <c r="S185" s="2" t="s">
        <v>35</v>
      </c>
      <c r="T185" s="150">
        <v>3.46</v>
      </c>
      <c r="U185" s="2" t="s">
        <v>1397</v>
      </c>
      <c r="V185" s="162">
        <v>5.5E-2</v>
      </c>
      <c r="W185" s="2" t="s">
        <v>801</v>
      </c>
      <c r="X185" s="2" t="s">
        <v>955</v>
      </c>
      <c r="Y185" s="150">
        <v>5.5</v>
      </c>
      <c r="Z185" s="164">
        <v>2.4500000000000001E-2</v>
      </c>
      <c r="AA185" s="2" t="s">
        <v>1403</v>
      </c>
      <c r="AB185" s="4" t="s">
        <v>459</v>
      </c>
      <c r="AC185" s="2" t="s">
        <v>530</v>
      </c>
      <c r="AD185" s="150">
        <v>6161</v>
      </c>
      <c r="AE185" s="150">
        <v>0.78</v>
      </c>
      <c r="AF185" s="2" t="s">
        <v>1404</v>
      </c>
      <c r="AG185" s="2" t="s">
        <v>164</v>
      </c>
      <c r="AI185" s="2" t="s">
        <v>1405</v>
      </c>
      <c r="AJ185" s="2" t="s">
        <v>387</v>
      </c>
      <c r="AK185" s="2" t="s">
        <v>938</v>
      </c>
      <c r="AL185" s="2" t="s">
        <v>1377</v>
      </c>
      <c r="AN185" s="2" t="s">
        <v>1378</v>
      </c>
      <c r="AO185" s="2" t="s">
        <v>1404</v>
      </c>
      <c r="AP185" s="151">
        <v>0</v>
      </c>
      <c r="AQ185" s="150">
        <v>8159.23</v>
      </c>
      <c r="AR185" s="150">
        <v>125.84</v>
      </c>
      <c r="AS185" s="150">
        <v>1</v>
      </c>
      <c r="AT185" s="150">
        <v>10.268000000000001</v>
      </c>
      <c r="AU185" s="150">
        <v>10.268000000000001</v>
      </c>
      <c r="AX185" s="4" t="s">
        <v>164</v>
      </c>
      <c r="AY185" s="2" t="s">
        <v>37</v>
      </c>
      <c r="AZ185" s="164">
        <v>1.07642722973251E-2</v>
      </c>
      <c r="BA185" s="164">
        <v>1.3979510865606501E-4</v>
      </c>
    </row>
    <row r="186" spans="1:53">
      <c r="A186" s="2" t="s">
        <v>144</v>
      </c>
      <c r="B186" s="2">
        <v>969</v>
      </c>
      <c r="C186" s="2" t="s">
        <v>1387</v>
      </c>
      <c r="D186" s="2" t="s">
        <v>34</v>
      </c>
      <c r="E186" s="2" t="s">
        <v>1459</v>
      </c>
      <c r="F186" s="2" t="s">
        <v>1460</v>
      </c>
      <c r="G186" s="2" t="s">
        <v>1084</v>
      </c>
      <c r="I186" s="2" t="s">
        <v>31</v>
      </c>
      <c r="J186" s="2" t="s">
        <v>31</v>
      </c>
      <c r="K186" s="2" t="s">
        <v>498</v>
      </c>
      <c r="L186" s="2" t="s">
        <v>164</v>
      </c>
      <c r="M186" s="2" t="s">
        <v>387</v>
      </c>
      <c r="N186" s="2" t="s">
        <v>1387</v>
      </c>
      <c r="O186" s="2" t="s">
        <v>1461</v>
      </c>
      <c r="P186" s="2" t="s">
        <v>1396</v>
      </c>
      <c r="Q186" s="2" t="s">
        <v>104</v>
      </c>
      <c r="R186" s="2" t="s">
        <v>454</v>
      </c>
      <c r="S186" s="2" t="s">
        <v>35</v>
      </c>
      <c r="T186" s="150">
        <v>3.46</v>
      </c>
      <c r="U186" s="2" t="s">
        <v>1397</v>
      </c>
      <c r="V186" s="162">
        <v>5.5309999999999998E-2</v>
      </c>
      <c r="W186" s="2" t="s">
        <v>801</v>
      </c>
      <c r="X186" s="2" t="s">
        <v>955</v>
      </c>
      <c r="Y186" s="150">
        <v>5.5309999999999997</v>
      </c>
      <c r="Z186" s="164">
        <v>2.4500000000000001E-2</v>
      </c>
      <c r="AA186" s="2" t="s">
        <v>1393</v>
      </c>
      <c r="AB186" s="4" t="s">
        <v>459</v>
      </c>
      <c r="AC186" s="2" t="s">
        <v>530</v>
      </c>
      <c r="AD186" s="150">
        <v>9674</v>
      </c>
      <c r="AE186" s="150">
        <v>0.78</v>
      </c>
      <c r="AF186" s="2" t="s">
        <v>1404</v>
      </c>
      <c r="AG186" s="2" t="s">
        <v>164</v>
      </c>
      <c r="AI186" s="2" t="s">
        <v>1405</v>
      </c>
      <c r="AJ186" s="2" t="s">
        <v>387</v>
      </c>
      <c r="AK186" s="2" t="s">
        <v>938</v>
      </c>
      <c r="AL186" s="2" t="s">
        <v>1377</v>
      </c>
      <c r="AN186" s="2" t="s">
        <v>1378</v>
      </c>
      <c r="AO186" s="2" t="s">
        <v>1404</v>
      </c>
      <c r="AP186" s="151">
        <v>0</v>
      </c>
      <c r="AQ186" s="150">
        <v>5909.78</v>
      </c>
      <c r="AR186" s="150">
        <v>128.44</v>
      </c>
      <c r="AS186" s="150">
        <v>1</v>
      </c>
      <c r="AT186" s="150">
        <v>7.5910000000000002</v>
      </c>
      <c r="AU186" s="150">
        <v>7.5910000000000002</v>
      </c>
      <c r="AX186" s="4" t="s">
        <v>164</v>
      </c>
      <c r="AY186" s="2" t="s">
        <v>37</v>
      </c>
      <c r="AZ186" s="164">
        <v>7.9577153629832604E-3</v>
      </c>
      <c r="BA186" s="164">
        <v>1.03346482985081E-4</v>
      </c>
    </row>
    <row r="187" spans="1:53">
      <c r="A187" s="2" t="s">
        <v>144</v>
      </c>
      <c r="B187" s="2">
        <v>969</v>
      </c>
      <c r="C187" s="2" t="s">
        <v>1387</v>
      </c>
      <c r="D187" s="2" t="s">
        <v>34</v>
      </c>
      <c r="E187" s="2" t="s">
        <v>1462</v>
      </c>
      <c r="F187" s="2" t="s">
        <v>1463</v>
      </c>
      <c r="G187" s="2" t="s">
        <v>1084</v>
      </c>
      <c r="I187" s="2" t="s">
        <v>31</v>
      </c>
      <c r="J187" s="2" t="s">
        <v>31</v>
      </c>
      <c r="K187" s="2" t="s">
        <v>498</v>
      </c>
      <c r="L187" s="2" t="s">
        <v>164</v>
      </c>
      <c r="M187" s="2" t="s">
        <v>387</v>
      </c>
      <c r="O187" s="2" t="s">
        <v>1464</v>
      </c>
      <c r="P187" s="2" t="s">
        <v>1391</v>
      </c>
      <c r="Q187" s="2" t="s">
        <v>217</v>
      </c>
      <c r="R187" s="2" t="s">
        <v>454</v>
      </c>
      <c r="S187" s="2" t="s">
        <v>35</v>
      </c>
      <c r="T187" s="150">
        <v>3.46</v>
      </c>
      <c r="U187" s="2" t="s">
        <v>204</v>
      </c>
      <c r="V187" s="162">
        <v>5.5E-2</v>
      </c>
      <c r="W187" s="2" t="s">
        <v>801</v>
      </c>
      <c r="X187" s="2" t="s">
        <v>1392</v>
      </c>
      <c r="Y187" s="150">
        <v>5.5</v>
      </c>
      <c r="Z187" s="164">
        <v>2.35E-2</v>
      </c>
      <c r="AA187" s="2" t="s">
        <v>1403</v>
      </c>
      <c r="AB187" s="4" t="s">
        <v>459</v>
      </c>
      <c r="AG187" s="2" t="s">
        <v>164</v>
      </c>
      <c r="AJ187" s="2" t="s">
        <v>164</v>
      </c>
      <c r="AK187" s="2" t="s">
        <v>204</v>
      </c>
      <c r="AN187" s="2" t="s">
        <v>1378</v>
      </c>
      <c r="AQ187" s="150">
        <v>1409.61</v>
      </c>
      <c r="AR187" s="150">
        <v>126.88</v>
      </c>
      <c r="AS187" s="150">
        <v>1</v>
      </c>
      <c r="AT187" s="150">
        <v>1.7889999999999999</v>
      </c>
      <c r="AU187" s="150">
        <v>1.7889999999999999</v>
      </c>
      <c r="AX187" s="4" t="s">
        <v>164</v>
      </c>
      <c r="AY187" s="2" t="s">
        <v>37</v>
      </c>
      <c r="AZ187" s="164">
        <v>1.8750330713632401E-3</v>
      </c>
      <c r="BA187" s="164">
        <v>2.4350968156953599E-5</v>
      </c>
    </row>
    <row r="188" spans="1:53">
      <c r="A188" s="2" t="s">
        <v>144</v>
      </c>
      <c r="B188" s="2">
        <v>969</v>
      </c>
      <c r="C188" s="2" t="s">
        <v>1387</v>
      </c>
      <c r="D188" s="2" t="s">
        <v>34</v>
      </c>
      <c r="E188" s="2" t="s">
        <v>1465</v>
      </c>
      <c r="F188" s="2" t="s">
        <v>1466</v>
      </c>
      <c r="G188" s="2" t="s">
        <v>1084</v>
      </c>
      <c r="I188" s="2" t="s">
        <v>31</v>
      </c>
      <c r="J188" s="2" t="s">
        <v>31</v>
      </c>
      <c r="K188" s="2" t="s">
        <v>498</v>
      </c>
      <c r="L188" s="2" t="s">
        <v>164</v>
      </c>
      <c r="M188" s="2" t="s">
        <v>387</v>
      </c>
      <c r="N188" s="2" t="s">
        <v>1387</v>
      </c>
      <c r="O188" s="2" t="s">
        <v>1467</v>
      </c>
      <c r="P188" s="2" t="s">
        <v>1396</v>
      </c>
      <c r="Q188" s="2" t="s">
        <v>104</v>
      </c>
      <c r="R188" s="2" t="s">
        <v>454</v>
      </c>
      <c r="S188" s="2" t="s">
        <v>35</v>
      </c>
      <c r="T188" s="150">
        <v>3.46</v>
      </c>
      <c r="U188" s="2" t="s">
        <v>1397</v>
      </c>
      <c r="V188" s="162">
        <v>5.5E-2</v>
      </c>
      <c r="W188" s="2" t="s">
        <v>801</v>
      </c>
      <c r="X188" s="2" t="s">
        <v>955</v>
      </c>
      <c r="Y188" s="150">
        <v>5.5</v>
      </c>
      <c r="Z188" s="164">
        <v>2.4500000000000001E-2</v>
      </c>
      <c r="AA188" s="2" t="s">
        <v>1393</v>
      </c>
      <c r="AB188" s="4" t="s">
        <v>459</v>
      </c>
      <c r="AC188" s="2" t="s">
        <v>530</v>
      </c>
      <c r="AD188" s="150">
        <v>2154</v>
      </c>
      <c r="AE188" s="150">
        <v>0.78</v>
      </c>
      <c r="AF188" s="2" t="s">
        <v>1404</v>
      </c>
      <c r="AG188" s="2" t="s">
        <v>164</v>
      </c>
      <c r="AI188" s="2" t="s">
        <v>1405</v>
      </c>
      <c r="AJ188" s="2" t="s">
        <v>387</v>
      </c>
      <c r="AK188" s="2" t="s">
        <v>938</v>
      </c>
      <c r="AL188" s="2" t="s">
        <v>1377</v>
      </c>
      <c r="AN188" s="2" t="s">
        <v>1378</v>
      </c>
      <c r="AO188" s="2" t="s">
        <v>1404</v>
      </c>
      <c r="AP188" s="151">
        <v>0</v>
      </c>
      <c r="AQ188" s="150">
        <v>2853.62</v>
      </c>
      <c r="AR188" s="150">
        <v>126.22</v>
      </c>
      <c r="AS188" s="150">
        <v>1</v>
      </c>
      <c r="AT188" s="150">
        <v>3.6019999999999999</v>
      </c>
      <c r="AU188" s="150">
        <v>3.6019999999999999</v>
      </c>
      <c r="AX188" s="4" t="s">
        <v>164</v>
      </c>
      <c r="AY188" s="2" t="s">
        <v>37</v>
      </c>
      <c r="AZ188" s="164">
        <v>3.7760792993117801E-3</v>
      </c>
      <c r="BA188" s="164">
        <v>4.9039767980636098E-5</v>
      </c>
    </row>
    <row r="189" spans="1:53">
      <c r="A189" s="2" t="s">
        <v>144</v>
      </c>
      <c r="B189" s="2">
        <v>969</v>
      </c>
      <c r="C189" s="2" t="s">
        <v>1387</v>
      </c>
      <c r="D189" s="2" t="s">
        <v>34</v>
      </c>
      <c r="E189" s="2" t="s">
        <v>1468</v>
      </c>
      <c r="F189" s="2" t="s">
        <v>1469</v>
      </c>
      <c r="G189" s="2" t="s">
        <v>1084</v>
      </c>
      <c r="I189" s="2" t="s">
        <v>31</v>
      </c>
      <c r="J189" s="2" t="s">
        <v>31</v>
      </c>
      <c r="K189" s="2" t="s">
        <v>498</v>
      </c>
      <c r="L189" s="2" t="s">
        <v>164</v>
      </c>
      <c r="M189" s="2" t="s">
        <v>387</v>
      </c>
      <c r="N189" s="2" t="s">
        <v>1387</v>
      </c>
      <c r="O189" s="2" t="s">
        <v>1470</v>
      </c>
      <c r="P189" s="2" t="s">
        <v>1396</v>
      </c>
      <c r="Q189" s="2" t="s">
        <v>104</v>
      </c>
      <c r="R189" s="2" t="s">
        <v>454</v>
      </c>
      <c r="S189" s="2" t="s">
        <v>35</v>
      </c>
      <c r="T189" s="150">
        <v>3.46</v>
      </c>
      <c r="U189" s="2" t="s">
        <v>1397</v>
      </c>
      <c r="V189" s="162">
        <v>5.5E-2</v>
      </c>
      <c r="W189" s="2" t="s">
        <v>801</v>
      </c>
      <c r="X189" s="2" t="s">
        <v>955</v>
      </c>
      <c r="Y189" s="150">
        <v>5.5</v>
      </c>
      <c r="Z189" s="164">
        <v>2.4500000000000001E-2</v>
      </c>
      <c r="AA189" s="2" t="s">
        <v>1393</v>
      </c>
      <c r="AB189" s="4" t="s">
        <v>459</v>
      </c>
      <c r="AC189" s="2" t="s">
        <v>530</v>
      </c>
      <c r="AD189" s="150">
        <v>3341</v>
      </c>
      <c r="AE189" s="150">
        <v>0.78</v>
      </c>
      <c r="AF189" s="2" t="s">
        <v>1404</v>
      </c>
      <c r="AG189" s="2" t="s">
        <v>164</v>
      </c>
      <c r="AI189" s="2" t="s">
        <v>1405</v>
      </c>
      <c r="AJ189" s="2" t="s">
        <v>387</v>
      </c>
      <c r="AK189" s="2" t="s">
        <v>938</v>
      </c>
      <c r="AL189" s="2" t="s">
        <v>1377</v>
      </c>
      <c r="AN189" s="2" t="s">
        <v>1378</v>
      </c>
      <c r="AO189" s="2" t="s">
        <v>1404</v>
      </c>
      <c r="AP189" s="151">
        <v>0</v>
      </c>
      <c r="AQ189" s="150">
        <v>4424.79</v>
      </c>
      <c r="AR189" s="150">
        <v>126.45</v>
      </c>
      <c r="AS189" s="150">
        <v>1</v>
      </c>
      <c r="AT189" s="150">
        <v>5.5949999999999998</v>
      </c>
      <c r="AU189" s="150">
        <v>5.5949999999999998</v>
      </c>
      <c r="AX189" s="4" t="s">
        <v>164</v>
      </c>
      <c r="AY189" s="2" t="s">
        <v>37</v>
      </c>
      <c r="AZ189" s="164">
        <v>5.8658139998454496E-3</v>
      </c>
      <c r="BA189" s="164">
        <v>7.61790563091236E-5</v>
      </c>
    </row>
    <row r="190" spans="1:53">
      <c r="A190" s="2" t="s">
        <v>144</v>
      </c>
      <c r="B190" s="2">
        <v>969</v>
      </c>
      <c r="C190" s="2" t="s">
        <v>1387</v>
      </c>
      <c r="D190" s="2" t="s">
        <v>34</v>
      </c>
      <c r="E190" s="2" t="s">
        <v>1471</v>
      </c>
      <c r="F190" s="2" t="s">
        <v>1472</v>
      </c>
      <c r="G190" s="2" t="s">
        <v>1084</v>
      </c>
      <c r="I190" s="2" t="s">
        <v>31</v>
      </c>
      <c r="J190" s="2" t="s">
        <v>31</v>
      </c>
      <c r="K190" s="2" t="s">
        <v>498</v>
      </c>
      <c r="L190" s="2" t="s">
        <v>164</v>
      </c>
      <c r="M190" s="2" t="s">
        <v>387</v>
      </c>
      <c r="O190" s="2" t="s">
        <v>1464</v>
      </c>
      <c r="P190" s="2" t="s">
        <v>1391</v>
      </c>
      <c r="Q190" s="2" t="s">
        <v>217</v>
      </c>
      <c r="R190" s="2" t="s">
        <v>454</v>
      </c>
      <c r="S190" s="2" t="s">
        <v>35</v>
      </c>
      <c r="T190" s="150">
        <v>3.43</v>
      </c>
      <c r="U190" s="2" t="s">
        <v>204</v>
      </c>
      <c r="V190" s="162">
        <v>5.5E-2</v>
      </c>
      <c r="W190" s="2" t="s">
        <v>801</v>
      </c>
      <c r="X190" s="2" t="s">
        <v>1392</v>
      </c>
      <c r="Y190" s="150">
        <v>5.5</v>
      </c>
      <c r="Z190" s="164">
        <v>2.6800000000000001E-2</v>
      </c>
      <c r="AA190" s="2" t="s">
        <v>1403</v>
      </c>
      <c r="AB190" s="4" t="s">
        <v>459</v>
      </c>
      <c r="AG190" s="2" t="s">
        <v>164</v>
      </c>
      <c r="AJ190" s="2" t="s">
        <v>164</v>
      </c>
      <c r="AK190" s="2" t="s">
        <v>204</v>
      </c>
      <c r="AN190" s="2" t="s">
        <v>1378</v>
      </c>
      <c r="AQ190" s="150">
        <v>1167.28</v>
      </c>
      <c r="AR190" s="150">
        <v>125.98</v>
      </c>
      <c r="AS190" s="150">
        <v>1</v>
      </c>
      <c r="AT190" s="150">
        <v>1.4710000000000001</v>
      </c>
      <c r="AU190" s="150">
        <v>1.4710000000000001</v>
      </c>
      <c r="AX190" s="4" t="s">
        <v>164</v>
      </c>
      <c r="AY190" s="2" t="s">
        <v>37</v>
      </c>
      <c r="AZ190" s="164">
        <v>1.54167716071342E-3</v>
      </c>
      <c r="BA190" s="164">
        <v>2.0021690295596099E-5</v>
      </c>
    </row>
    <row r="191" spans="1:53">
      <c r="A191" s="2" t="s">
        <v>144</v>
      </c>
      <c r="B191" s="2">
        <v>969</v>
      </c>
      <c r="C191" s="2" t="s">
        <v>1387</v>
      </c>
      <c r="D191" s="2" t="s">
        <v>34</v>
      </c>
      <c r="E191" s="2" t="s">
        <v>1473</v>
      </c>
      <c r="F191" s="2" t="s">
        <v>1474</v>
      </c>
      <c r="G191" s="2" t="s">
        <v>1084</v>
      </c>
      <c r="I191" s="2" t="s">
        <v>31</v>
      </c>
      <c r="J191" s="2" t="s">
        <v>31</v>
      </c>
      <c r="K191" s="2" t="s">
        <v>498</v>
      </c>
      <c r="L191" s="2" t="s">
        <v>164</v>
      </c>
      <c r="M191" s="2" t="s">
        <v>387</v>
      </c>
      <c r="N191" s="2" t="s">
        <v>1387</v>
      </c>
      <c r="O191" s="2" t="s">
        <v>1475</v>
      </c>
      <c r="P191" s="2" t="s">
        <v>1396</v>
      </c>
      <c r="Q191" s="2" t="s">
        <v>104</v>
      </c>
      <c r="R191" s="2" t="s">
        <v>454</v>
      </c>
      <c r="S191" s="2" t="s">
        <v>35</v>
      </c>
      <c r="T191" s="150">
        <v>3.46</v>
      </c>
      <c r="U191" s="2" t="s">
        <v>1397</v>
      </c>
      <c r="V191" s="162">
        <v>5.5E-2</v>
      </c>
      <c r="W191" s="2" t="s">
        <v>801</v>
      </c>
      <c r="X191" s="2" t="s">
        <v>955</v>
      </c>
      <c r="Y191" s="150">
        <v>5.5</v>
      </c>
      <c r="Z191" s="164">
        <v>2.3599999999999999E-2</v>
      </c>
      <c r="AA191" s="2" t="s">
        <v>1393</v>
      </c>
      <c r="AB191" s="4" t="s">
        <v>459</v>
      </c>
      <c r="AC191" s="2" t="s">
        <v>530</v>
      </c>
      <c r="AD191" s="150">
        <v>774</v>
      </c>
      <c r="AE191" s="150">
        <v>0.78</v>
      </c>
      <c r="AF191" s="2" t="s">
        <v>1404</v>
      </c>
      <c r="AG191" s="2" t="s">
        <v>164</v>
      </c>
      <c r="AI191" s="2" t="s">
        <v>1405</v>
      </c>
      <c r="AJ191" s="2" t="s">
        <v>387</v>
      </c>
      <c r="AK191" s="2" t="s">
        <v>938</v>
      </c>
      <c r="AL191" s="2" t="s">
        <v>1377</v>
      </c>
      <c r="AN191" s="2" t="s">
        <v>1378</v>
      </c>
      <c r="AO191" s="2" t="s">
        <v>1404</v>
      </c>
      <c r="AP191" s="151">
        <v>0</v>
      </c>
      <c r="AQ191" s="150">
        <v>1024.5899999999999</v>
      </c>
      <c r="AR191" s="150">
        <v>124.97</v>
      </c>
      <c r="AS191" s="150">
        <v>1</v>
      </c>
      <c r="AT191" s="150">
        <v>1.28</v>
      </c>
      <c r="AU191" s="150">
        <v>1.28</v>
      </c>
      <c r="AX191" s="4" t="s">
        <v>164</v>
      </c>
      <c r="AY191" s="2" t="s">
        <v>37</v>
      </c>
      <c r="AZ191" s="164">
        <v>1.3423713446177399E-3</v>
      </c>
      <c r="BA191" s="164">
        <v>1.7433314839523298E-5</v>
      </c>
    </row>
    <row r="192" spans="1:53">
      <c r="A192" s="2" t="s">
        <v>144</v>
      </c>
      <c r="B192" s="2">
        <v>969</v>
      </c>
      <c r="C192" s="2" t="s">
        <v>1387</v>
      </c>
      <c r="D192" s="2" t="s">
        <v>34</v>
      </c>
      <c r="E192" s="2" t="s">
        <v>1476</v>
      </c>
      <c r="F192" s="2" t="s">
        <v>1477</v>
      </c>
      <c r="G192" s="2" t="s">
        <v>1084</v>
      </c>
      <c r="I192" s="2" t="s">
        <v>31</v>
      </c>
      <c r="J192" s="2" t="s">
        <v>31</v>
      </c>
      <c r="K192" s="2" t="s">
        <v>498</v>
      </c>
      <c r="L192" s="2" t="s">
        <v>164</v>
      </c>
      <c r="M192" s="2" t="s">
        <v>387</v>
      </c>
      <c r="N192" s="2" t="s">
        <v>1387</v>
      </c>
      <c r="O192" s="2" t="s">
        <v>1478</v>
      </c>
      <c r="P192" s="2" t="s">
        <v>1396</v>
      </c>
      <c r="Q192" s="2" t="s">
        <v>104</v>
      </c>
      <c r="R192" s="2" t="s">
        <v>454</v>
      </c>
      <c r="S192" s="2" t="s">
        <v>35</v>
      </c>
      <c r="T192" s="150">
        <v>3.46</v>
      </c>
      <c r="U192" s="2" t="s">
        <v>1397</v>
      </c>
      <c r="V192" s="162">
        <v>5.5E-2</v>
      </c>
      <c r="W192" s="2" t="s">
        <v>801</v>
      </c>
      <c r="X192" s="2" t="s">
        <v>955</v>
      </c>
      <c r="Y192" s="150">
        <v>5.5</v>
      </c>
      <c r="Z192" s="164">
        <v>2.3699999999999999E-2</v>
      </c>
      <c r="AA192" s="2" t="s">
        <v>1393</v>
      </c>
      <c r="AB192" s="4" t="s">
        <v>459</v>
      </c>
      <c r="AC192" s="2" t="s">
        <v>530</v>
      </c>
      <c r="AD192" s="150">
        <v>862</v>
      </c>
      <c r="AE192" s="150">
        <v>0.78</v>
      </c>
      <c r="AF192" s="2" t="s">
        <v>1404</v>
      </c>
      <c r="AG192" s="2" t="s">
        <v>164</v>
      </c>
      <c r="AI192" s="2" t="s">
        <v>1405</v>
      </c>
      <c r="AJ192" s="2" t="s">
        <v>387</v>
      </c>
      <c r="AK192" s="2" t="s">
        <v>938</v>
      </c>
      <c r="AL192" s="2" t="s">
        <v>1377</v>
      </c>
      <c r="AN192" s="2" t="s">
        <v>1378</v>
      </c>
      <c r="AO192" s="2" t="s">
        <v>1404</v>
      </c>
      <c r="AP192" s="151">
        <v>0</v>
      </c>
      <c r="AQ192" s="150">
        <v>1142.1500000000001</v>
      </c>
      <c r="AR192" s="150">
        <v>124.33</v>
      </c>
      <c r="AS192" s="150">
        <v>1</v>
      </c>
      <c r="AT192" s="150">
        <v>1.42</v>
      </c>
      <c r="AU192" s="150">
        <v>1.42</v>
      </c>
      <c r="AX192" s="4" t="s">
        <v>164</v>
      </c>
      <c r="AY192" s="2" t="s">
        <v>37</v>
      </c>
      <c r="AZ192" s="164">
        <v>1.4887297523220901E-3</v>
      </c>
      <c r="BA192" s="164">
        <v>1.9334064740920902E-5</v>
      </c>
    </row>
    <row r="193" spans="1:53">
      <c r="A193" s="2" t="s">
        <v>144</v>
      </c>
      <c r="B193" s="2">
        <v>969</v>
      </c>
      <c r="C193" s="2" t="s">
        <v>1387</v>
      </c>
      <c r="D193" s="2" t="s">
        <v>34</v>
      </c>
      <c r="E193" s="2" t="s">
        <v>1479</v>
      </c>
      <c r="F193" s="2" t="s">
        <v>1480</v>
      </c>
      <c r="G193" s="2" t="s">
        <v>1084</v>
      </c>
      <c r="I193" s="2" t="s">
        <v>31</v>
      </c>
      <c r="J193" s="2" t="s">
        <v>31</v>
      </c>
      <c r="K193" s="2" t="s">
        <v>498</v>
      </c>
      <c r="L193" s="2" t="s">
        <v>164</v>
      </c>
      <c r="M193" s="2" t="s">
        <v>387</v>
      </c>
      <c r="N193" s="2" t="s">
        <v>1387</v>
      </c>
      <c r="O193" s="2" t="s">
        <v>1481</v>
      </c>
      <c r="P193" s="2" t="s">
        <v>1396</v>
      </c>
      <c r="Q193" s="2" t="s">
        <v>104</v>
      </c>
      <c r="R193" s="2" t="s">
        <v>454</v>
      </c>
      <c r="S193" s="2" t="s">
        <v>35</v>
      </c>
      <c r="T193" s="150">
        <v>3.46</v>
      </c>
      <c r="U193" s="2" t="s">
        <v>1397</v>
      </c>
      <c r="V193" s="162">
        <v>5.5E-2</v>
      </c>
      <c r="W193" s="2" t="s">
        <v>801</v>
      </c>
      <c r="X193" s="2" t="s">
        <v>955</v>
      </c>
      <c r="Y193" s="150">
        <v>5.5</v>
      </c>
      <c r="Z193" s="164">
        <v>2.4500000000000001E-2</v>
      </c>
      <c r="AA193" s="2" t="s">
        <v>1393</v>
      </c>
      <c r="AB193" s="4" t="s">
        <v>459</v>
      </c>
      <c r="AC193" s="2" t="s">
        <v>530</v>
      </c>
      <c r="AD193" s="150">
        <v>2532</v>
      </c>
      <c r="AE193" s="150">
        <v>0.78</v>
      </c>
      <c r="AF193" s="2" t="s">
        <v>1404</v>
      </c>
      <c r="AG193" s="2" t="s">
        <v>164</v>
      </c>
      <c r="AI193" s="2" t="s">
        <v>1405</v>
      </c>
      <c r="AJ193" s="2" t="s">
        <v>387</v>
      </c>
      <c r="AK193" s="2" t="s">
        <v>938</v>
      </c>
      <c r="AL193" s="2" t="s">
        <v>1377</v>
      </c>
      <c r="AN193" s="2" t="s">
        <v>1378</v>
      </c>
      <c r="AO193" s="2" t="s">
        <v>1404</v>
      </c>
      <c r="AP193" s="151">
        <v>0</v>
      </c>
      <c r="AQ193" s="150">
        <v>3353.56</v>
      </c>
      <c r="AR193" s="150">
        <v>124.09</v>
      </c>
      <c r="AS193" s="150">
        <v>1</v>
      </c>
      <c r="AT193" s="150">
        <v>4.1609999999999996</v>
      </c>
      <c r="AU193" s="150">
        <v>4.1609999999999996</v>
      </c>
      <c r="AX193" s="4" t="s">
        <v>164</v>
      </c>
      <c r="AY193" s="2" t="s">
        <v>37</v>
      </c>
      <c r="AZ193" s="164">
        <v>4.3627432530869903E-3</v>
      </c>
      <c r="BA193" s="164">
        <v>5.6658745733826502E-5</v>
      </c>
    </row>
    <row r="194" spans="1:53">
      <c r="A194" s="2" t="s">
        <v>144</v>
      </c>
      <c r="B194" s="2">
        <v>969</v>
      </c>
      <c r="C194" s="2" t="s">
        <v>1387</v>
      </c>
      <c r="D194" s="2" t="s">
        <v>34</v>
      </c>
      <c r="E194" s="2" t="s">
        <v>1482</v>
      </c>
      <c r="F194" s="2" t="s">
        <v>1483</v>
      </c>
      <c r="G194" s="2" t="s">
        <v>1084</v>
      </c>
      <c r="I194" s="2" t="s">
        <v>31</v>
      </c>
      <c r="J194" s="2" t="s">
        <v>31</v>
      </c>
      <c r="K194" s="2" t="s">
        <v>498</v>
      </c>
      <c r="L194" s="2" t="s">
        <v>164</v>
      </c>
      <c r="M194" s="2" t="s">
        <v>387</v>
      </c>
      <c r="N194" s="2" t="s">
        <v>1387</v>
      </c>
      <c r="O194" s="2" t="s">
        <v>1484</v>
      </c>
      <c r="P194" s="2" t="s">
        <v>1391</v>
      </c>
      <c r="Q194" s="2" t="s">
        <v>217</v>
      </c>
      <c r="R194" s="2" t="s">
        <v>454</v>
      </c>
      <c r="S194" s="2" t="s">
        <v>35</v>
      </c>
      <c r="T194" s="150">
        <v>3.46</v>
      </c>
      <c r="U194" s="2" t="s">
        <v>1397</v>
      </c>
      <c r="V194" s="162">
        <v>5.5E-2</v>
      </c>
      <c r="W194" s="2" t="s">
        <v>801</v>
      </c>
      <c r="X194" s="2" t="s">
        <v>955</v>
      </c>
      <c r="Y194" s="150">
        <v>5.5</v>
      </c>
      <c r="Z194" s="164">
        <v>2.4500000000000001E-2</v>
      </c>
      <c r="AA194" s="2" t="s">
        <v>1393</v>
      </c>
      <c r="AB194" s="4" t="s">
        <v>459</v>
      </c>
      <c r="AC194" s="2" t="s">
        <v>530</v>
      </c>
      <c r="AD194" s="150">
        <v>470</v>
      </c>
      <c r="AE194" s="150">
        <v>0.78</v>
      </c>
      <c r="AF194" s="2" t="s">
        <v>1404</v>
      </c>
      <c r="AG194" s="2" t="s">
        <v>164</v>
      </c>
      <c r="AI194" s="2" t="s">
        <v>1405</v>
      </c>
      <c r="AJ194" s="2" t="s">
        <v>387</v>
      </c>
      <c r="AK194" s="2" t="s">
        <v>938</v>
      </c>
      <c r="AL194" s="2" t="s">
        <v>1377</v>
      </c>
      <c r="AN194" s="2" t="s">
        <v>1378</v>
      </c>
      <c r="AO194" s="2" t="s">
        <v>1404</v>
      </c>
      <c r="AP194" s="151">
        <v>0</v>
      </c>
      <c r="AQ194" s="150">
        <v>622.5</v>
      </c>
      <c r="AR194" s="150">
        <v>124.72</v>
      </c>
      <c r="AS194" s="150">
        <v>1</v>
      </c>
      <c r="AT194" s="150">
        <v>0.77600000000000002</v>
      </c>
      <c r="AU194" s="150">
        <v>0.77600000000000002</v>
      </c>
      <c r="AX194" s="4" t="s">
        <v>164</v>
      </c>
      <c r="AY194" s="2" t="s">
        <v>37</v>
      </c>
      <c r="AZ194" s="164">
        <v>8.1393973052992102E-4</v>
      </c>
      <c r="BA194" s="164">
        <v>1.05705978003915E-5</v>
      </c>
    </row>
    <row r="195" spans="1:53">
      <c r="A195" s="2" t="s">
        <v>144</v>
      </c>
      <c r="B195" s="2">
        <v>969</v>
      </c>
      <c r="C195" s="2" t="s">
        <v>1387</v>
      </c>
      <c r="D195" s="2" t="s">
        <v>34</v>
      </c>
      <c r="E195" s="2" t="s">
        <v>1485</v>
      </c>
      <c r="F195" s="2" t="s">
        <v>1486</v>
      </c>
      <c r="G195" s="2" t="s">
        <v>1084</v>
      </c>
      <c r="I195" s="2" t="s">
        <v>31</v>
      </c>
      <c r="J195" s="2" t="s">
        <v>31</v>
      </c>
      <c r="K195" s="2" t="s">
        <v>498</v>
      </c>
      <c r="L195" s="2" t="s">
        <v>164</v>
      </c>
      <c r="M195" s="2" t="s">
        <v>387</v>
      </c>
      <c r="N195" s="2" t="s">
        <v>1387</v>
      </c>
      <c r="O195" s="2" t="s">
        <v>1487</v>
      </c>
      <c r="P195" s="2" t="s">
        <v>1396</v>
      </c>
      <c r="Q195" s="2" t="s">
        <v>104</v>
      </c>
      <c r="R195" s="2" t="s">
        <v>454</v>
      </c>
      <c r="S195" s="2" t="s">
        <v>35</v>
      </c>
      <c r="T195" s="150">
        <v>3.46</v>
      </c>
      <c r="U195" s="2" t="s">
        <v>1397</v>
      </c>
      <c r="V195" s="162">
        <v>5.5E-2</v>
      </c>
      <c r="W195" s="2" t="s">
        <v>801</v>
      </c>
      <c r="X195" s="2" t="s">
        <v>955</v>
      </c>
      <c r="Y195" s="150">
        <v>5.5</v>
      </c>
      <c r="Z195" s="164">
        <v>2.4500000000000001E-2</v>
      </c>
      <c r="AA195" s="2" t="s">
        <v>1488</v>
      </c>
      <c r="AB195" s="4" t="s">
        <v>459</v>
      </c>
      <c r="AC195" s="2" t="s">
        <v>530</v>
      </c>
      <c r="AD195" s="150">
        <v>938</v>
      </c>
      <c r="AE195" s="150">
        <v>0.78</v>
      </c>
      <c r="AF195" s="2" t="s">
        <v>1404</v>
      </c>
      <c r="AG195" s="2" t="s">
        <v>164</v>
      </c>
      <c r="AI195" s="2" t="s">
        <v>1405</v>
      </c>
      <c r="AJ195" s="2" t="s">
        <v>387</v>
      </c>
      <c r="AK195" s="2" t="s">
        <v>938</v>
      </c>
      <c r="AL195" s="2" t="s">
        <v>1377</v>
      </c>
      <c r="AN195" s="2" t="s">
        <v>1378</v>
      </c>
      <c r="AO195" s="2" t="s">
        <v>1404</v>
      </c>
      <c r="AP195" s="151">
        <v>0</v>
      </c>
      <c r="AQ195" s="150">
        <v>1242.24</v>
      </c>
      <c r="AR195" s="150">
        <v>124.95</v>
      </c>
      <c r="AS195" s="150">
        <v>1</v>
      </c>
      <c r="AT195" s="150">
        <v>1.552</v>
      </c>
      <c r="AU195" s="150">
        <v>1.552</v>
      </c>
      <c r="AX195" s="4" t="s">
        <v>164</v>
      </c>
      <c r="AY195" s="2" t="s">
        <v>37</v>
      </c>
      <c r="AZ195" s="164">
        <v>1.62726603569046E-3</v>
      </c>
      <c r="BA195" s="164">
        <v>2.1133229073757598E-5</v>
      </c>
    </row>
    <row r="196" spans="1:53">
      <c r="A196" s="2" t="s">
        <v>144</v>
      </c>
      <c r="B196" s="2">
        <v>969</v>
      </c>
      <c r="C196" s="2" t="s">
        <v>1387</v>
      </c>
      <c r="D196" s="2" t="s">
        <v>34</v>
      </c>
      <c r="E196" s="2" t="s">
        <v>1489</v>
      </c>
      <c r="F196" s="2" t="s">
        <v>1490</v>
      </c>
      <c r="G196" s="2" t="s">
        <v>1084</v>
      </c>
      <c r="I196" s="2" t="s">
        <v>31</v>
      </c>
      <c r="J196" s="2" t="s">
        <v>31</v>
      </c>
      <c r="K196" s="2" t="s">
        <v>498</v>
      </c>
      <c r="L196" s="2" t="s">
        <v>164</v>
      </c>
      <c r="M196" s="2" t="s">
        <v>387</v>
      </c>
      <c r="N196" s="2" t="s">
        <v>1387</v>
      </c>
      <c r="O196" s="2" t="s">
        <v>1491</v>
      </c>
      <c r="P196" s="2" t="s">
        <v>1396</v>
      </c>
      <c r="Q196" s="2" t="s">
        <v>104</v>
      </c>
      <c r="R196" s="2" t="s">
        <v>454</v>
      </c>
      <c r="S196" s="2" t="s">
        <v>35</v>
      </c>
      <c r="T196" s="150">
        <v>3.46</v>
      </c>
      <c r="U196" s="2" t="s">
        <v>1397</v>
      </c>
      <c r="V196" s="162">
        <v>5.5E-2</v>
      </c>
      <c r="W196" s="2" t="s">
        <v>801</v>
      </c>
      <c r="X196" s="2" t="s">
        <v>955</v>
      </c>
      <c r="Y196" s="150">
        <v>5.5</v>
      </c>
      <c r="Z196" s="164">
        <v>2.4500000000000001E-2</v>
      </c>
      <c r="AA196" s="2" t="s">
        <v>1393</v>
      </c>
      <c r="AB196" s="4" t="s">
        <v>459</v>
      </c>
      <c r="AC196" s="2" t="s">
        <v>530</v>
      </c>
      <c r="AD196" s="150">
        <v>588</v>
      </c>
      <c r="AE196" s="150">
        <v>0.78</v>
      </c>
      <c r="AF196" s="2" t="s">
        <v>1404</v>
      </c>
      <c r="AG196" s="2" t="s">
        <v>164</v>
      </c>
      <c r="AI196" s="2" t="s">
        <v>1405</v>
      </c>
      <c r="AJ196" s="2" t="s">
        <v>387</v>
      </c>
      <c r="AK196" s="2" t="s">
        <v>938</v>
      </c>
      <c r="AL196" s="2" t="s">
        <v>1377</v>
      </c>
      <c r="AN196" s="2" t="s">
        <v>1378</v>
      </c>
      <c r="AO196" s="2" t="s">
        <v>1404</v>
      </c>
      <c r="AP196" s="151">
        <v>0</v>
      </c>
      <c r="AQ196" s="150">
        <v>778.42</v>
      </c>
      <c r="AR196" s="150">
        <v>124.47</v>
      </c>
      <c r="AS196" s="150">
        <v>1</v>
      </c>
      <c r="AT196" s="150">
        <v>0.96899999999999997</v>
      </c>
      <c r="AU196" s="150">
        <v>0.96899999999999997</v>
      </c>
      <c r="AX196" s="4" t="s">
        <v>164</v>
      </c>
      <c r="AY196" s="2" t="s">
        <v>37</v>
      </c>
      <c r="AZ196" s="164">
        <v>1.0157701948063801E-3</v>
      </c>
      <c r="BA196" s="164">
        <v>1.31917607461341E-5</v>
      </c>
    </row>
    <row r="197" spans="1:53">
      <c r="A197" s="2" t="s">
        <v>144</v>
      </c>
      <c r="B197" s="2">
        <v>969</v>
      </c>
      <c r="C197" s="2" t="s">
        <v>1387</v>
      </c>
      <c r="D197" s="2" t="s">
        <v>34</v>
      </c>
      <c r="E197" s="2" t="s">
        <v>1492</v>
      </c>
      <c r="F197" s="2" t="s">
        <v>1493</v>
      </c>
      <c r="G197" s="2" t="s">
        <v>1084</v>
      </c>
      <c r="I197" s="2" t="s">
        <v>31</v>
      </c>
      <c r="J197" s="2" t="s">
        <v>31</v>
      </c>
      <c r="K197" s="2" t="s">
        <v>498</v>
      </c>
      <c r="L197" s="2" t="s">
        <v>164</v>
      </c>
      <c r="M197" s="2" t="s">
        <v>387</v>
      </c>
      <c r="N197" s="2" t="s">
        <v>1387</v>
      </c>
      <c r="O197" s="2" t="s">
        <v>1494</v>
      </c>
      <c r="P197" s="2" t="s">
        <v>1396</v>
      </c>
      <c r="Q197" s="2" t="s">
        <v>104</v>
      </c>
      <c r="R197" s="2" t="s">
        <v>454</v>
      </c>
      <c r="S197" s="2" t="s">
        <v>35</v>
      </c>
      <c r="T197" s="150">
        <v>3.46</v>
      </c>
      <c r="U197" s="2" t="s">
        <v>1397</v>
      </c>
      <c r="V197" s="162">
        <v>5.5E-2</v>
      </c>
      <c r="W197" s="2" t="s">
        <v>801</v>
      </c>
      <c r="X197" s="2" t="s">
        <v>955</v>
      </c>
      <c r="Y197" s="150">
        <v>5.5</v>
      </c>
      <c r="Z197" s="164">
        <v>2.4500000000000001E-2</v>
      </c>
      <c r="AA197" s="2" t="s">
        <v>1403</v>
      </c>
      <c r="AB197" s="4" t="s">
        <v>459</v>
      </c>
      <c r="AC197" s="2" t="s">
        <v>530</v>
      </c>
      <c r="AD197" s="150">
        <v>331</v>
      </c>
      <c r="AE197" s="150">
        <v>0.78</v>
      </c>
      <c r="AF197" s="2" t="s">
        <v>1404</v>
      </c>
      <c r="AG197" s="2" t="s">
        <v>164</v>
      </c>
      <c r="AI197" s="2" t="s">
        <v>1405</v>
      </c>
      <c r="AJ197" s="2" t="s">
        <v>387</v>
      </c>
      <c r="AK197" s="2" t="s">
        <v>938</v>
      </c>
      <c r="AL197" s="2" t="s">
        <v>1377</v>
      </c>
      <c r="AN197" s="2" t="s">
        <v>1378</v>
      </c>
      <c r="AO197" s="2" t="s">
        <v>1404</v>
      </c>
      <c r="AP197" s="151">
        <v>0</v>
      </c>
      <c r="AQ197" s="150">
        <v>438.34</v>
      </c>
      <c r="AR197" s="150">
        <v>124.35</v>
      </c>
      <c r="AS197" s="150">
        <v>1</v>
      </c>
      <c r="AT197" s="150">
        <v>0.54500000000000004</v>
      </c>
      <c r="AU197" s="150">
        <v>0.54500000000000004</v>
      </c>
      <c r="AX197" s="4" t="s">
        <v>164</v>
      </c>
      <c r="AY197" s="2" t="s">
        <v>37</v>
      </c>
      <c r="AZ197" s="164">
        <v>5.7144400775775803E-4</v>
      </c>
      <c r="BA197" s="164">
        <v>7.4213170151042096E-6</v>
      </c>
    </row>
    <row r="198" spans="1:53">
      <c r="A198" s="2" t="s">
        <v>144</v>
      </c>
      <c r="B198" s="2">
        <v>969</v>
      </c>
      <c r="C198" s="2" t="s">
        <v>1387</v>
      </c>
      <c r="D198" s="2" t="s">
        <v>34</v>
      </c>
      <c r="E198" s="2" t="s">
        <v>1495</v>
      </c>
      <c r="F198" s="2" t="s">
        <v>1496</v>
      </c>
      <c r="G198" s="2" t="s">
        <v>1084</v>
      </c>
      <c r="I198" s="2" t="s">
        <v>31</v>
      </c>
      <c r="J198" s="2" t="s">
        <v>31</v>
      </c>
      <c r="K198" s="2" t="s">
        <v>498</v>
      </c>
      <c r="L198" s="2" t="s">
        <v>164</v>
      </c>
      <c r="M198" s="2" t="s">
        <v>387</v>
      </c>
      <c r="N198" s="2" t="s">
        <v>1387</v>
      </c>
      <c r="O198" s="2" t="s">
        <v>1497</v>
      </c>
      <c r="P198" s="2" t="s">
        <v>1396</v>
      </c>
      <c r="Q198" s="2" t="s">
        <v>104</v>
      </c>
      <c r="R198" s="2" t="s">
        <v>454</v>
      </c>
      <c r="S198" s="2" t="s">
        <v>35</v>
      </c>
      <c r="T198" s="150">
        <v>3.46</v>
      </c>
      <c r="U198" s="2" t="s">
        <v>1397</v>
      </c>
      <c r="V198" s="162">
        <v>5.5E-2</v>
      </c>
      <c r="W198" s="2" t="s">
        <v>801</v>
      </c>
      <c r="X198" s="2" t="s">
        <v>955</v>
      </c>
      <c r="Y198" s="150">
        <v>5.5</v>
      </c>
      <c r="Z198" s="164">
        <v>2.4500000000000001E-2</v>
      </c>
      <c r="AA198" s="2" t="s">
        <v>1403</v>
      </c>
      <c r="AB198" s="4" t="s">
        <v>459</v>
      </c>
      <c r="AC198" s="2" t="s">
        <v>530</v>
      </c>
      <c r="AD198" s="150">
        <v>987</v>
      </c>
      <c r="AE198" s="150">
        <v>0.78</v>
      </c>
      <c r="AF198" s="2" t="s">
        <v>1404</v>
      </c>
      <c r="AG198" s="2" t="s">
        <v>164</v>
      </c>
      <c r="AI198" s="2" t="s">
        <v>1405</v>
      </c>
      <c r="AJ198" s="2" t="s">
        <v>387</v>
      </c>
      <c r="AK198" s="2" t="s">
        <v>938</v>
      </c>
      <c r="AL198" s="2" t="s">
        <v>1377</v>
      </c>
      <c r="AN198" s="2" t="s">
        <v>1378</v>
      </c>
      <c r="AO198" s="2" t="s">
        <v>1404</v>
      </c>
      <c r="AP198" s="151">
        <v>0</v>
      </c>
      <c r="AQ198" s="150">
        <v>1307.51</v>
      </c>
      <c r="AR198" s="150">
        <v>123.99</v>
      </c>
      <c r="AS198" s="150">
        <v>1</v>
      </c>
      <c r="AT198" s="150">
        <v>1.621</v>
      </c>
      <c r="AU198" s="150">
        <v>1.621</v>
      </c>
      <c r="AX198" s="4" t="s">
        <v>164</v>
      </c>
      <c r="AY198" s="2" t="s">
        <v>37</v>
      </c>
      <c r="AZ198" s="164">
        <v>1.69960683597393E-3</v>
      </c>
      <c r="BA198" s="164">
        <v>2.20727157159161E-5</v>
      </c>
    </row>
    <row r="199" spans="1:53">
      <c r="A199" s="2" t="s">
        <v>144</v>
      </c>
      <c r="B199" s="2">
        <v>969</v>
      </c>
      <c r="C199" s="2" t="s">
        <v>1387</v>
      </c>
      <c r="D199" s="2" t="s">
        <v>34</v>
      </c>
      <c r="E199" s="2" t="s">
        <v>1498</v>
      </c>
      <c r="F199" s="2" t="s">
        <v>1499</v>
      </c>
      <c r="G199" s="2" t="s">
        <v>1084</v>
      </c>
      <c r="I199" s="2" t="s">
        <v>31</v>
      </c>
      <c r="J199" s="2" t="s">
        <v>31</v>
      </c>
      <c r="K199" s="2" t="s">
        <v>498</v>
      </c>
      <c r="L199" s="2" t="s">
        <v>164</v>
      </c>
      <c r="M199" s="2" t="s">
        <v>387</v>
      </c>
      <c r="O199" s="2" t="s">
        <v>1464</v>
      </c>
      <c r="P199" s="2" t="s">
        <v>1391</v>
      </c>
      <c r="Q199" s="2" t="s">
        <v>217</v>
      </c>
      <c r="R199" s="2" t="s">
        <v>454</v>
      </c>
      <c r="S199" s="2" t="s">
        <v>35</v>
      </c>
      <c r="T199" s="150">
        <v>3.75</v>
      </c>
      <c r="U199" s="2" t="s">
        <v>204</v>
      </c>
      <c r="V199" s="162">
        <v>5.5E-2</v>
      </c>
      <c r="W199" s="2" t="s">
        <v>801</v>
      </c>
      <c r="X199" s="2" t="s">
        <v>1392</v>
      </c>
      <c r="Y199" s="150">
        <v>5.5</v>
      </c>
      <c r="Z199" s="164">
        <v>3.0419999999999999E-2</v>
      </c>
      <c r="AA199" s="2" t="s">
        <v>1403</v>
      </c>
      <c r="AB199" s="4" t="s">
        <v>459</v>
      </c>
      <c r="AG199" s="2" t="s">
        <v>164</v>
      </c>
      <c r="AJ199" s="2" t="s">
        <v>164</v>
      </c>
      <c r="AK199" s="2" t="s">
        <v>204</v>
      </c>
      <c r="AN199" s="2" t="s">
        <v>1378</v>
      </c>
      <c r="AQ199" s="150">
        <v>509.01</v>
      </c>
      <c r="AR199" s="150">
        <v>123.99</v>
      </c>
      <c r="AS199" s="150">
        <v>1</v>
      </c>
      <c r="AT199" s="150">
        <v>0.63100000000000001</v>
      </c>
      <c r="AU199" s="150">
        <v>0.63100000000000001</v>
      </c>
      <c r="AX199" s="4" t="s">
        <v>164</v>
      </c>
      <c r="AY199" s="2" t="s">
        <v>37</v>
      </c>
      <c r="AZ199" s="164">
        <v>6.6165220577975704E-4</v>
      </c>
      <c r="BA199" s="164">
        <v>8.5928467289416307E-6</v>
      </c>
    </row>
    <row r="200" spans="1:53">
      <c r="A200" s="2" t="s">
        <v>144</v>
      </c>
      <c r="B200" s="2">
        <v>969</v>
      </c>
      <c r="C200" s="2" t="s">
        <v>1387</v>
      </c>
      <c r="D200" s="2" t="s">
        <v>34</v>
      </c>
      <c r="E200" s="2" t="s">
        <v>1500</v>
      </c>
      <c r="F200" s="2" t="s">
        <v>1501</v>
      </c>
      <c r="G200" s="2" t="s">
        <v>1084</v>
      </c>
      <c r="I200" s="2" t="s">
        <v>31</v>
      </c>
      <c r="J200" s="2" t="s">
        <v>31</v>
      </c>
      <c r="K200" s="2" t="s">
        <v>498</v>
      </c>
      <c r="L200" s="2" t="s">
        <v>164</v>
      </c>
      <c r="M200" s="2" t="s">
        <v>387</v>
      </c>
      <c r="N200" s="2" t="s">
        <v>1387</v>
      </c>
      <c r="O200" s="2" t="s">
        <v>1502</v>
      </c>
      <c r="P200" s="2" t="s">
        <v>1391</v>
      </c>
      <c r="Q200" s="2" t="s">
        <v>217</v>
      </c>
      <c r="R200" s="2" t="s">
        <v>454</v>
      </c>
      <c r="S200" s="2" t="s">
        <v>35</v>
      </c>
      <c r="T200" s="150">
        <v>3.46</v>
      </c>
      <c r="U200" s="2" t="s">
        <v>1397</v>
      </c>
      <c r="V200" s="162">
        <v>5.5E-2</v>
      </c>
      <c r="W200" s="2" t="s">
        <v>801</v>
      </c>
      <c r="X200" s="2" t="s">
        <v>955</v>
      </c>
      <c r="Y200" s="150">
        <v>5.5</v>
      </c>
      <c r="Z200" s="164">
        <v>2.4500000000000001E-2</v>
      </c>
      <c r="AA200" s="2" t="s">
        <v>1403</v>
      </c>
      <c r="AB200" s="4" t="s">
        <v>459</v>
      </c>
      <c r="AC200" s="2" t="s">
        <v>530</v>
      </c>
      <c r="AD200" s="150">
        <v>5567</v>
      </c>
      <c r="AE200" s="150">
        <v>0.78</v>
      </c>
      <c r="AF200" s="2" t="s">
        <v>1404</v>
      </c>
      <c r="AG200" s="2" t="s">
        <v>164</v>
      </c>
      <c r="AI200" s="2" t="s">
        <v>1405</v>
      </c>
      <c r="AJ200" s="2" t="s">
        <v>387</v>
      </c>
      <c r="AK200" s="2" t="s">
        <v>938</v>
      </c>
      <c r="AL200" s="2" t="s">
        <v>1377</v>
      </c>
      <c r="AN200" s="2" t="s">
        <v>1378</v>
      </c>
      <c r="AO200" s="2" t="s">
        <v>1404</v>
      </c>
      <c r="AP200" s="151">
        <v>0</v>
      </c>
      <c r="AQ200" s="150">
        <v>3420.76</v>
      </c>
      <c r="AR200" s="150">
        <v>124.23</v>
      </c>
      <c r="AS200" s="150">
        <v>1</v>
      </c>
      <c r="AT200" s="150">
        <v>4.25</v>
      </c>
      <c r="AU200" s="150">
        <v>4.25</v>
      </c>
      <c r="AX200" s="4" t="s">
        <v>164</v>
      </c>
      <c r="AY200" s="2" t="s">
        <v>37</v>
      </c>
      <c r="AZ200" s="164">
        <v>4.4551864143170996E-3</v>
      </c>
      <c r="BA200" s="164">
        <v>5.78593008119328E-5</v>
      </c>
    </row>
    <row r="201" spans="1:53">
      <c r="A201" s="2" t="s">
        <v>144</v>
      </c>
      <c r="B201" s="2">
        <v>969</v>
      </c>
      <c r="C201" s="2" t="s">
        <v>1387</v>
      </c>
      <c r="D201" s="2" t="s">
        <v>34</v>
      </c>
      <c r="E201" s="2" t="s">
        <v>1503</v>
      </c>
      <c r="F201" s="2" t="s">
        <v>1504</v>
      </c>
      <c r="G201" s="2" t="s">
        <v>1084</v>
      </c>
      <c r="I201" s="2" t="s">
        <v>31</v>
      </c>
      <c r="J201" s="2" t="s">
        <v>31</v>
      </c>
      <c r="K201" s="2" t="s">
        <v>498</v>
      </c>
      <c r="L201" s="2" t="s">
        <v>164</v>
      </c>
      <c r="M201" s="2" t="s">
        <v>387</v>
      </c>
      <c r="N201" s="2" t="s">
        <v>1387</v>
      </c>
      <c r="O201" s="2" t="s">
        <v>1505</v>
      </c>
      <c r="P201" s="2" t="s">
        <v>1391</v>
      </c>
      <c r="Q201" s="2" t="s">
        <v>217</v>
      </c>
      <c r="R201" s="2" t="s">
        <v>454</v>
      </c>
      <c r="S201" s="2" t="s">
        <v>35</v>
      </c>
      <c r="T201" s="150">
        <v>3.46</v>
      </c>
      <c r="U201" s="2" t="s">
        <v>1397</v>
      </c>
      <c r="V201" s="162">
        <v>5.5E-2</v>
      </c>
      <c r="W201" s="2" t="s">
        <v>801</v>
      </c>
      <c r="X201" s="2" t="s">
        <v>955</v>
      </c>
      <c r="Y201" s="150">
        <v>5.5</v>
      </c>
      <c r="Z201" s="164">
        <v>2.4500000000000001E-2</v>
      </c>
      <c r="AA201" s="2" t="s">
        <v>1403</v>
      </c>
      <c r="AB201" s="4" t="s">
        <v>459</v>
      </c>
      <c r="AC201" s="2" t="s">
        <v>530</v>
      </c>
      <c r="AD201" s="150">
        <v>5045</v>
      </c>
      <c r="AE201" s="150">
        <v>0.78</v>
      </c>
      <c r="AF201" s="2" t="s">
        <v>1404</v>
      </c>
      <c r="AG201" s="2" t="s">
        <v>164</v>
      </c>
      <c r="AI201" s="2" t="s">
        <v>1405</v>
      </c>
      <c r="AJ201" s="2" t="s">
        <v>387</v>
      </c>
      <c r="AK201" s="2" t="s">
        <v>938</v>
      </c>
      <c r="AL201" s="2" t="s">
        <v>1377</v>
      </c>
      <c r="AN201" s="2" t="s">
        <v>1378</v>
      </c>
      <c r="AO201" s="2" t="s">
        <v>1404</v>
      </c>
      <c r="AP201" s="151">
        <v>0</v>
      </c>
      <c r="AQ201" s="150">
        <v>6682.13</v>
      </c>
      <c r="AR201" s="150">
        <v>125.34</v>
      </c>
      <c r="AS201" s="150">
        <v>1</v>
      </c>
      <c r="AT201" s="150">
        <v>8.375</v>
      </c>
      <c r="AU201" s="150">
        <v>8.375</v>
      </c>
      <c r="AX201" s="4" t="s">
        <v>164</v>
      </c>
      <c r="AY201" s="2" t="s">
        <v>37</v>
      </c>
      <c r="AZ201" s="164">
        <v>8.7805435445034805E-3</v>
      </c>
      <c r="BA201" s="164">
        <v>1.14032514689192E-4</v>
      </c>
    </row>
    <row r="202" spans="1:53">
      <c r="A202" s="2" t="s">
        <v>144</v>
      </c>
      <c r="B202" s="2">
        <v>969</v>
      </c>
      <c r="C202" s="2" t="s">
        <v>1387</v>
      </c>
      <c r="D202" s="2" t="s">
        <v>34</v>
      </c>
      <c r="E202" s="2" t="s">
        <v>1506</v>
      </c>
      <c r="F202" s="2" t="s">
        <v>1507</v>
      </c>
      <c r="G202" s="2" t="s">
        <v>1084</v>
      </c>
      <c r="I202" s="2" t="s">
        <v>31</v>
      </c>
      <c r="J202" s="2" t="s">
        <v>31</v>
      </c>
      <c r="K202" s="2" t="s">
        <v>498</v>
      </c>
      <c r="L202" s="2" t="s">
        <v>164</v>
      </c>
      <c r="M202" s="2" t="s">
        <v>387</v>
      </c>
      <c r="O202" s="2" t="s">
        <v>1464</v>
      </c>
      <c r="P202" s="2" t="s">
        <v>1391</v>
      </c>
      <c r="Q202" s="2" t="s">
        <v>217</v>
      </c>
      <c r="R202" s="2" t="s">
        <v>454</v>
      </c>
      <c r="S202" s="2" t="s">
        <v>35</v>
      </c>
      <c r="T202" s="150">
        <v>3.41</v>
      </c>
      <c r="U202" s="2" t="s">
        <v>204</v>
      </c>
      <c r="V202" s="162">
        <v>5.5500000000000001E-2</v>
      </c>
      <c r="W202" s="2" t="s">
        <v>801</v>
      </c>
      <c r="X202" s="2" t="s">
        <v>1392</v>
      </c>
      <c r="Y202" s="150">
        <v>5.55</v>
      </c>
      <c r="Z202" s="164">
        <v>2.6780000000000002E-2</v>
      </c>
      <c r="AA202" s="2" t="s">
        <v>1403</v>
      </c>
      <c r="AB202" s="4" t="s">
        <v>459</v>
      </c>
      <c r="AG202" s="2" t="s">
        <v>164</v>
      </c>
      <c r="AJ202" s="2" t="s">
        <v>164</v>
      </c>
      <c r="AK202" s="2" t="s">
        <v>204</v>
      </c>
      <c r="AN202" s="2" t="s">
        <v>1378</v>
      </c>
      <c r="AQ202" s="150">
        <v>4927.04</v>
      </c>
      <c r="AR202" s="150">
        <v>128.51</v>
      </c>
      <c r="AS202" s="150">
        <v>1</v>
      </c>
      <c r="AT202" s="150">
        <v>6.3319999999999999</v>
      </c>
      <c r="AU202" s="150">
        <v>6.3319999999999999</v>
      </c>
      <c r="AX202" s="4" t="s">
        <v>164</v>
      </c>
      <c r="AY202" s="2" t="s">
        <v>37</v>
      </c>
      <c r="AZ202" s="164">
        <v>6.6380390324550604E-3</v>
      </c>
      <c r="BA202" s="164">
        <v>8.6207907248487202E-5</v>
      </c>
    </row>
    <row r="203" spans="1:53">
      <c r="A203" s="2" t="s">
        <v>144</v>
      </c>
      <c r="B203" s="2">
        <v>969</v>
      </c>
      <c r="C203" s="2" t="s">
        <v>1387</v>
      </c>
      <c r="D203" s="2" t="s">
        <v>34</v>
      </c>
      <c r="E203" s="2" t="s">
        <v>1508</v>
      </c>
      <c r="F203" s="2" t="s">
        <v>1509</v>
      </c>
      <c r="G203" s="2" t="s">
        <v>1084</v>
      </c>
      <c r="I203" s="2" t="s">
        <v>31</v>
      </c>
      <c r="J203" s="2" t="s">
        <v>31</v>
      </c>
      <c r="K203" s="2" t="s">
        <v>498</v>
      </c>
      <c r="L203" s="2" t="s">
        <v>164</v>
      </c>
      <c r="M203" s="2" t="s">
        <v>387</v>
      </c>
      <c r="N203" s="2" t="s">
        <v>1387</v>
      </c>
      <c r="O203" s="2" t="s">
        <v>1510</v>
      </c>
      <c r="P203" s="2" t="s">
        <v>1396</v>
      </c>
      <c r="Q203" s="2" t="s">
        <v>104</v>
      </c>
      <c r="R203" s="2" t="s">
        <v>454</v>
      </c>
      <c r="S203" s="2" t="s">
        <v>35</v>
      </c>
      <c r="T203" s="150">
        <v>3.46</v>
      </c>
      <c r="U203" s="2" t="s">
        <v>1397</v>
      </c>
      <c r="V203" s="162">
        <v>5.5E-2</v>
      </c>
      <c r="W203" s="2" t="s">
        <v>801</v>
      </c>
      <c r="X203" s="2" t="s">
        <v>955</v>
      </c>
      <c r="Y203" s="150">
        <v>5.5</v>
      </c>
      <c r="Z203" s="164">
        <v>2.4500000000000001E-2</v>
      </c>
      <c r="AA203" s="2" t="s">
        <v>1393</v>
      </c>
      <c r="AB203" s="4" t="s">
        <v>459</v>
      </c>
      <c r="AC203" s="2" t="s">
        <v>530</v>
      </c>
      <c r="AD203" s="150">
        <v>936</v>
      </c>
      <c r="AE203" s="150">
        <v>0.78</v>
      </c>
      <c r="AF203" s="2" t="s">
        <v>1404</v>
      </c>
      <c r="AG203" s="2" t="s">
        <v>164</v>
      </c>
      <c r="AI203" s="2" t="s">
        <v>1405</v>
      </c>
      <c r="AJ203" s="2" t="s">
        <v>387</v>
      </c>
      <c r="AK203" s="2" t="s">
        <v>938</v>
      </c>
      <c r="AL203" s="2" t="s">
        <v>1377</v>
      </c>
      <c r="AN203" s="2" t="s">
        <v>1378</v>
      </c>
      <c r="AO203" s="2" t="s">
        <v>1404</v>
      </c>
      <c r="AP203" s="151">
        <v>0</v>
      </c>
      <c r="AQ203" s="150">
        <v>2162.38</v>
      </c>
      <c r="AR203" s="150">
        <v>126.7</v>
      </c>
      <c r="AS203" s="150">
        <v>1</v>
      </c>
      <c r="AT203" s="150">
        <v>2.74</v>
      </c>
      <c r="AU203" s="150">
        <v>2.74</v>
      </c>
      <c r="AX203" s="4" t="s">
        <v>164</v>
      </c>
      <c r="AY203" s="2" t="s">
        <v>37</v>
      </c>
      <c r="AZ203" s="164">
        <v>2.8722710496066001E-3</v>
      </c>
      <c r="BA203" s="164">
        <v>3.73020518599484E-5</v>
      </c>
    </row>
    <row r="204" spans="1:53">
      <c r="A204" s="2" t="s">
        <v>144</v>
      </c>
      <c r="B204" s="2">
        <v>969</v>
      </c>
      <c r="C204" s="2" t="s">
        <v>1387</v>
      </c>
      <c r="D204" s="2" t="s">
        <v>34</v>
      </c>
      <c r="E204" s="2" t="s">
        <v>1511</v>
      </c>
      <c r="F204" s="2" t="s">
        <v>1512</v>
      </c>
      <c r="G204" s="2" t="s">
        <v>1084</v>
      </c>
      <c r="I204" s="2" t="s">
        <v>31</v>
      </c>
      <c r="J204" s="2" t="s">
        <v>31</v>
      </c>
      <c r="K204" s="2" t="s">
        <v>498</v>
      </c>
      <c r="L204" s="2" t="s">
        <v>164</v>
      </c>
      <c r="M204" s="2" t="s">
        <v>387</v>
      </c>
      <c r="N204" s="2" t="s">
        <v>1387</v>
      </c>
      <c r="O204" s="2" t="s">
        <v>1513</v>
      </c>
      <c r="P204" s="2" t="s">
        <v>1391</v>
      </c>
      <c r="Q204" s="2" t="s">
        <v>217</v>
      </c>
      <c r="R204" s="2" t="s">
        <v>454</v>
      </c>
      <c r="S204" s="2" t="s">
        <v>35</v>
      </c>
      <c r="T204" s="150">
        <v>3.46</v>
      </c>
      <c r="U204" s="2" t="s">
        <v>1397</v>
      </c>
      <c r="V204" s="162">
        <v>5.5E-2</v>
      </c>
      <c r="W204" s="2" t="s">
        <v>801</v>
      </c>
      <c r="X204" s="2" t="s">
        <v>955</v>
      </c>
      <c r="Y204" s="150">
        <v>5.5</v>
      </c>
      <c r="Z204" s="164">
        <v>2.46E-2</v>
      </c>
      <c r="AA204" s="2" t="s">
        <v>1393</v>
      </c>
      <c r="AB204" s="4" t="s">
        <v>459</v>
      </c>
      <c r="AC204" s="2" t="s">
        <v>530</v>
      </c>
      <c r="AD204" s="150">
        <v>1524</v>
      </c>
      <c r="AE204" s="150">
        <v>0.78</v>
      </c>
      <c r="AF204" s="2" t="s">
        <v>1404</v>
      </c>
      <c r="AG204" s="2" t="s">
        <v>164</v>
      </c>
      <c r="AI204" s="2" t="s">
        <v>1405</v>
      </c>
      <c r="AJ204" s="2" t="s">
        <v>387</v>
      </c>
      <c r="AK204" s="2" t="s">
        <v>938</v>
      </c>
      <c r="AL204" s="2" t="s">
        <v>1377</v>
      </c>
      <c r="AN204" s="2" t="s">
        <v>1378</v>
      </c>
      <c r="AO204" s="2" t="s">
        <v>1404</v>
      </c>
      <c r="AP204" s="151">
        <v>0</v>
      </c>
      <c r="AQ204" s="150">
        <v>2018.62</v>
      </c>
      <c r="AR204" s="150">
        <v>127.02</v>
      </c>
      <c r="AS204" s="150">
        <v>1</v>
      </c>
      <c r="AT204" s="150">
        <v>2.5640000000000001</v>
      </c>
      <c r="AU204" s="150">
        <v>2.5640000000000001</v>
      </c>
      <c r="AX204" s="4" t="s">
        <v>164</v>
      </c>
      <c r="AY204" s="2" t="s">
        <v>37</v>
      </c>
      <c r="AZ204" s="164">
        <v>2.6880879269914801E-3</v>
      </c>
      <c r="BA204" s="164">
        <v>3.4910074127743402E-5</v>
      </c>
    </row>
    <row r="205" spans="1:53">
      <c r="A205" s="2" t="s">
        <v>144</v>
      </c>
      <c r="B205" s="2">
        <v>969</v>
      </c>
      <c r="C205" s="2" t="s">
        <v>1387</v>
      </c>
      <c r="D205" s="2" t="s">
        <v>34</v>
      </c>
      <c r="E205" s="2" t="s">
        <v>1514</v>
      </c>
      <c r="F205" s="2" t="s">
        <v>1515</v>
      </c>
      <c r="G205" s="2" t="s">
        <v>1084</v>
      </c>
      <c r="I205" s="2" t="s">
        <v>31</v>
      </c>
      <c r="J205" s="2" t="s">
        <v>31</v>
      </c>
      <c r="K205" s="2" t="s">
        <v>498</v>
      </c>
      <c r="L205" s="2" t="s">
        <v>164</v>
      </c>
      <c r="M205" s="2" t="s">
        <v>387</v>
      </c>
      <c r="O205" s="2" t="s">
        <v>1464</v>
      </c>
      <c r="P205" s="2" t="s">
        <v>1391</v>
      </c>
      <c r="Q205" s="2" t="s">
        <v>217</v>
      </c>
      <c r="R205" s="2" t="s">
        <v>454</v>
      </c>
      <c r="S205" s="2" t="s">
        <v>35</v>
      </c>
      <c r="T205" s="150">
        <v>3.46</v>
      </c>
      <c r="U205" s="2" t="s">
        <v>204</v>
      </c>
      <c r="V205" s="162">
        <v>5.5E-2</v>
      </c>
      <c r="W205" s="2" t="s">
        <v>801</v>
      </c>
      <c r="X205" s="2" t="s">
        <v>1392</v>
      </c>
      <c r="Y205" s="150">
        <v>5.5</v>
      </c>
      <c r="Z205" s="164">
        <v>2.4500000000000001E-2</v>
      </c>
      <c r="AA205" s="2" t="s">
        <v>1403</v>
      </c>
      <c r="AB205" s="4" t="s">
        <v>459</v>
      </c>
      <c r="AG205" s="2" t="s">
        <v>164</v>
      </c>
      <c r="AJ205" s="2" t="s">
        <v>164</v>
      </c>
      <c r="AK205" s="2" t="s">
        <v>204</v>
      </c>
      <c r="AN205" s="2" t="s">
        <v>1378</v>
      </c>
      <c r="AQ205" s="150">
        <v>2584.1799999999998</v>
      </c>
      <c r="AR205" s="150">
        <v>125.63</v>
      </c>
      <c r="AS205" s="150">
        <v>1</v>
      </c>
      <c r="AT205" s="150">
        <v>3.2469999999999999</v>
      </c>
      <c r="AU205" s="150">
        <v>3.2469999999999999</v>
      </c>
      <c r="AX205" s="4" t="s">
        <v>164</v>
      </c>
      <c r="AY205" s="2" t="s">
        <v>37</v>
      </c>
      <c r="AZ205" s="164">
        <v>3.4035560802799501E-3</v>
      </c>
      <c r="BA205" s="164">
        <v>4.4201826088883503E-5</v>
      </c>
    </row>
    <row r="206" spans="1:53">
      <c r="A206" s="2" t="s">
        <v>144</v>
      </c>
      <c r="B206" s="2">
        <v>969</v>
      </c>
      <c r="C206" s="2" t="s">
        <v>1516</v>
      </c>
      <c r="D206" s="2" t="s">
        <v>34</v>
      </c>
      <c r="E206" s="2" t="s">
        <v>1517</v>
      </c>
      <c r="F206" s="2" t="s">
        <v>1518</v>
      </c>
      <c r="G206" s="2" t="s">
        <v>1084</v>
      </c>
      <c r="I206" s="2" t="s">
        <v>31</v>
      </c>
      <c r="J206" s="2" t="s">
        <v>31</v>
      </c>
      <c r="K206" s="2" t="s">
        <v>530</v>
      </c>
      <c r="L206" s="2" t="s">
        <v>164</v>
      </c>
      <c r="M206" s="2" t="s">
        <v>164</v>
      </c>
      <c r="O206" s="2" t="s">
        <v>1519</v>
      </c>
      <c r="P206" s="2" t="s">
        <v>1396</v>
      </c>
      <c r="Q206" s="2" t="s">
        <v>104</v>
      </c>
      <c r="R206" s="2" t="s">
        <v>454</v>
      </c>
      <c r="S206" s="2" t="s">
        <v>35</v>
      </c>
      <c r="T206" s="150">
        <v>2.17</v>
      </c>
      <c r="U206" s="2" t="s">
        <v>1397</v>
      </c>
      <c r="V206" s="162">
        <v>2.562E-2</v>
      </c>
      <c r="W206" s="2" t="s">
        <v>801</v>
      </c>
      <c r="X206" s="2" t="s">
        <v>955</v>
      </c>
      <c r="Y206" s="150">
        <v>2.5619999999999998</v>
      </c>
      <c r="Z206" s="164">
        <v>2.29E-2</v>
      </c>
      <c r="AA206" s="2" t="s">
        <v>1520</v>
      </c>
      <c r="AB206" s="4" t="s">
        <v>459</v>
      </c>
      <c r="AG206" s="2" t="s">
        <v>164</v>
      </c>
      <c r="AI206" s="2" t="s">
        <v>1521</v>
      </c>
      <c r="AJ206" s="2" t="s">
        <v>387</v>
      </c>
      <c r="AK206" s="2" t="s">
        <v>938</v>
      </c>
      <c r="AL206" s="2" t="s">
        <v>1377</v>
      </c>
      <c r="AN206" s="2" t="s">
        <v>1378</v>
      </c>
      <c r="AQ206" s="150">
        <v>178310.81</v>
      </c>
      <c r="AR206" s="150">
        <v>112.89</v>
      </c>
      <c r="AS206" s="150">
        <v>1</v>
      </c>
      <c r="AT206" s="150">
        <v>201.29499999999999</v>
      </c>
      <c r="AU206" s="150">
        <v>201.29499999999999</v>
      </c>
      <c r="AX206" s="4" t="s">
        <v>164</v>
      </c>
      <c r="AY206" s="2" t="s">
        <v>37</v>
      </c>
      <c r="AZ206" s="164">
        <v>0.211032787735319</v>
      </c>
      <c r="BA206" s="164">
        <v>2.7406730967575398E-3</v>
      </c>
    </row>
    <row r="207" spans="1:53">
      <c r="A207" s="2" t="s">
        <v>144</v>
      </c>
      <c r="B207" s="2">
        <v>969</v>
      </c>
      <c r="C207" s="2" t="s">
        <v>1532</v>
      </c>
      <c r="D207" s="2" t="s">
        <v>34</v>
      </c>
      <c r="E207" s="2" t="s">
        <v>1533</v>
      </c>
      <c r="F207" s="2" t="s">
        <v>1534</v>
      </c>
      <c r="G207" s="2" t="s">
        <v>1084</v>
      </c>
      <c r="H207" s="2" t="s">
        <v>867</v>
      </c>
      <c r="I207" s="2" t="s">
        <v>31</v>
      </c>
      <c r="J207" s="2" t="s">
        <v>31</v>
      </c>
      <c r="K207" s="2" t="s">
        <v>508</v>
      </c>
      <c r="L207" s="2" t="s">
        <v>164</v>
      </c>
      <c r="M207" s="2" t="s">
        <v>387</v>
      </c>
      <c r="N207" s="2" t="s">
        <v>1369</v>
      </c>
      <c r="O207" s="2" t="s">
        <v>1373</v>
      </c>
      <c r="P207" s="2" t="s">
        <v>1535</v>
      </c>
      <c r="Q207" s="2" t="s">
        <v>217</v>
      </c>
      <c r="R207" s="2" t="s">
        <v>454</v>
      </c>
      <c r="S207" s="2" t="s">
        <v>35</v>
      </c>
      <c r="T207" s="150">
        <v>0.01</v>
      </c>
      <c r="U207" s="2" t="s">
        <v>1397</v>
      </c>
      <c r="V207" s="162">
        <v>4.2500000000000003E-2</v>
      </c>
      <c r="W207" s="2" t="s">
        <v>801</v>
      </c>
      <c r="X207" s="2" t="s">
        <v>950</v>
      </c>
      <c r="Y207" s="150">
        <v>4.25</v>
      </c>
      <c r="Z207" s="164">
        <v>3.5639999999999998E-2</v>
      </c>
      <c r="AA207" s="2" t="s">
        <v>1536</v>
      </c>
      <c r="AB207" s="4" t="s">
        <v>459</v>
      </c>
      <c r="AC207" s="2" t="s">
        <v>820</v>
      </c>
      <c r="AD207" s="150">
        <v>67322</v>
      </c>
      <c r="AE207" s="150">
        <v>0.72</v>
      </c>
      <c r="AF207" s="2" t="s">
        <v>1537</v>
      </c>
      <c r="AG207" s="2" t="s">
        <v>387</v>
      </c>
      <c r="AH207" s="2" t="s">
        <v>829</v>
      </c>
      <c r="AI207" s="2" t="s">
        <v>1376</v>
      </c>
      <c r="AJ207" s="2" t="s">
        <v>387</v>
      </c>
      <c r="AK207" s="2" t="s">
        <v>938</v>
      </c>
      <c r="AL207" s="2" t="s">
        <v>1377</v>
      </c>
      <c r="AN207" s="2" t="s">
        <v>1378</v>
      </c>
      <c r="AO207" s="2" t="s">
        <v>1537</v>
      </c>
      <c r="AP207" s="151">
        <v>0</v>
      </c>
      <c r="AQ207" s="150">
        <v>140000</v>
      </c>
      <c r="AR207" s="150">
        <v>102.76</v>
      </c>
      <c r="AS207" s="150">
        <v>1</v>
      </c>
      <c r="AT207" s="150">
        <v>143.864</v>
      </c>
      <c r="AU207" s="150">
        <v>143.864</v>
      </c>
      <c r="AX207" s="4" t="s">
        <v>387</v>
      </c>
      <c r="AY207" s="2" t="s">
        <v>37</v>
      </c>
      <c r="AZ207" s="164">
        <v>0.150823467562304</v>
      </c>
      <c r="BA207" s="164">
        <v>1.9587374281674701E-3</v>
      </c>
    </row>
    <row r="208" spans="1:53">
      <c r="A208" s="2" t="s">
        <v>144</v>
      </c>
      <c r="B208" s="2">
        <v>969</v>
      </c>
      <c r="C208" s="2" t="s">
        <v>1538</v>
      </c>
      <c r="D208" s="2" t="s">
        <v>1380</v>
      </c>
      <c r="E208" s="2" t="s">
        <v>1539</v>
      </c>
      <c r="F208" s="2" t="s">
        <v>1540</v>
      </c>
      <c r="G208" s="2" t="s">
        <v>1084</v>
      </c>
      <c r="I208" s="2" t="s">
        <v>31</v>
      </c>
      <c r="J208" s="2" t="s">
        <v>31</v>
      </c>
      <c r="K208" s="2" t="s">
        <v>485</v>
      </c>
      <c r="L208" s="2" t="s">
        <v>164</v>
      </c>
      <c r="M208" s="2" t="s">
        <v>164</v>
      </c>
      <c r="O208" s="2" t="s">
        <v>1541</v>
      </c>
      <c r="P208" s="2" t="s">
        <v>1527</v>
      </c>
      <c r="Q208" s="2" t="s">
        <v>204</v>
      </c>
      <c r="R208" s="2" t="s">
        <v>454</v>
      </c>
      <c r="S208" s="2" t="s">
        <v>35</v>
      </c>
      <c r="T208" s="150">
        <v>3.55</v>
      </c>
      <c r="U208" s="2" t="s">
        <v>204</v>
      </c>
      <c r="V208" s="162">
        <v>7.2499999999999995E-2</v>
      </c>
      <c r="W208" s="2" t="s">
        <v>801</v>
      </c>
      <c r="X208" s="2" t="s">
        <v>955</v>
      </c>
      <c r="Y208" s="150">
        <v>7.25</v>
      </c>
      <c r="Z208" s="164">
        <v>0.1195</v>
      </c>
      <c r="AA208" s="2" t="s">
        <v>1542</v>
      </c>
      <c r="AB208" s="4" t="s">
        <v>459</v>
      </c>
      <c r="AG208" s="2" t="s">
        <v>387</v>
      </c>
      <c r="AI208" s="2" t="s">
        <v>1543</v>
      </c>
      <c r="AJ208" s="2" t="s">
        <v>387</v>
      </c>
      <c r="AK208" s="2" t="s">
        <v>938</v>
      </c>
      <c r="AL208" s="2" t="s">
        <v>1377</v>
      </c>
      <c r="AN208" s="2" t="s">
        <v>1378</v>
      </c>
      <c r="AQ208" s="150">
        <v>143704</v>
      </c>
      <c r="AR208" s="150">
        <v>97.85</v>
      </c>
      <c r="AS208" s="150">
        <v>1</v>
      </c>
      <c r="AT208" s="150">
        <v>140.614</v>
      </c>
      <c r="AU208" s="150">
        <v>140.614</v>
      </c>
      <c r="AX208" s="4" t="s">
        <v>387</v>
      </c>
      <c r="AY208" s="2" t="s">
        <v>37</v>
      </c>
      <c r="AZ208" s="164">
        <v>0.14741662936904301</v>
      </c>
      <c r="BA208" s="164">
        <v>1.9144929774284399E-3</v>
      </c>
    </row>
    <row r="209" spans="1:53">
      <c r="A209" s="2" t="s">
        <v>144</v>
      </c>
      <c r="B209" s="2">
        <v>969</v>
      </c>
      <c r="C209" s="2" t="s">
        <v>1552</v>
      </c>
      <c r="D209" s="2" t="s">
        <v>1380</v>
      </c>
      <c r="E209" s="2" t="s">
        <v>1553</v>
      </c>
      <c r="F209" s="2" t="s">
        <v>1554</v>
      </c>
      <c r="G209" s="2" t="s">
        <v>1084</v>
      </c>
      <c r="I209" s="2" t="s">
        <v>31</v>
      </c>
      <c r="J209" s="2" t="s">
        <v>31</v>
      </c>
      <c r="K209" s="2" t="s">
        <v>484</v>
      </c>
      <c r="L209" s="2" t="s">
        <v>164</v>
      </c>
      <c r="M209" s="2" t="s">
        <v>164</v>
      </c>
      <c r="O209" s="2" t="s">
        <v>1383</v>
      </c>
      <c r="P209" s="2" t="s">
        <v>1384</v>
      </c>
      <c r="Q209" s="2" t="s">
        <v>104</v>
      </c>
      <c r="R209" s="2" t="s">
        <v>454</v>
      </c>
      <c r="S209" s="2" t="s">
        <v>35</v>
      </c>
      <c r="T209" s="150">
        <v>5.27</v>
      </c>
      <c r="U209" s="2" t="s">
        <v>204</v>
      </c>
      <c r="V209" s="162">
        <v>3.5499999999999997E-2</v>
      </c>
      <c r="W209" s="2" t="s">
        <v>801</v>
      </c>
      <c r="X209" s="2" t="s">
        <v>955</v>
      </c>
      <c r="Y209" s="150">
        <v>3.55</v>
      </c>
      <c r="Z209" s="164">
        <v>2.4369999999999999E-2</v>
      </c>
      <c r="AA209" s="2" t="s">
        <v>1385</v>
      </c>
      <c r="AB209" s="4" t="s">
        <v>459</v>
      </c>
      <c r="AG209" s="2" t="s">
        <v>164</v>
      </c>
      <c r="AI209" s="2" t="s">
        <v>1386</v>
      </c>
      <c r="AJ209" s="2" t="s">
        <v>387</v>
      </c>
      <c r="AK209" s="2" t="s">
        <v>938</v>
      </c>
      <c r="AL209" s="2" t="s">
        <v>1377</v>
      </c>
      <c r="AN209" s="2" t="s">
        <v>1378</v>
      </c>
      <c r="AQ209" s="150">
        <v>173085.94</v>
      </c>
      <c r="AR209" s="150">
        <v>109.33</v>
      </c>
      <c r="AS209" s="150">
        <v>1</v>
      </c>
      <c r="AT209" s="150">
        <v>189.23500000000001</v>
      </c>
      <c r="AU209" s="150">
        <v>189.23500000000001</v>
      </c>
      <c r="AX209" s="4" t="s">
        <v>164</v>
      </c>
      <c r="AY209" s="2" t="s">
        <v>37</v>
      </c>
      <c r="AZ209" s="164">
        <v>0.19838915571433099</v>
      </c>
      <c r="BA209" s="164">
        <v>2.5764708299103401E-3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5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150</v>
      </c>
      <c r="M1" s="19" t="s">
        <v>222</v>
      </c>
      <c r="N1" s="19" t="s">
        <v>194</v>
      </c>
      <c r="O1" s="19" t="s">
        <v>9</v>
      </c>
      <c r="P1" s="19" t="s">
        <v>10</v>
      </c>
      <c r="Q1" s="19" t="s">
        <v>223</v>
      </c>
      <c r="R1" s="19" t="s">
        <v>11</v>
      </c>
      <c r="S1" s="19" t="s">
        <v>12</v>
      </c>
      <c r="T1" s="143" t="s">
        <v>14</v>
      </c>
      <c r="U1" s="19" t="s">
        <v>15</v>
      </c>
      <c r="V1" s="19" t="s">
        <v>187</v>
      </c>
      <c r="W1" s="19" t="s">
        <v>188</v>
      </c>
      <c r="X1" s="19" t="s">
        <v>159</v>
      </c>
      <c r="Y1" s="19" t="s">
        <v>17</v>
      </c>
      <c r="Z1" s="19" t="s">
        <v>18</v>
      </c>
      <c r="AA1" s="19" t="s">
        <v>19</v>
      </c>
      <c r="AB1" s="19" t="s">
        <v>20</v>
      </c>
      <c r="AC1" s="19" t="s">
        <v>24</v>
      </c>
      <c r="AD1" s="19" t="s">
        <v>25</v>
      </c>
    </row>
    <row r="2" spans="1:30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148"/>
      <c r="U2" s="20"/>
      <c r="V2" s="20"/>
      <c r="W2" s="20"/>
      <c r="Y2" s="20"/>
      <c r="Z2" s="20"/>
      <c r="AA2" s="20"/>
      <c r="AB2" s="20"/>
      <c r="AC2" s="20"/>
      <c r="AD2" s="20"/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148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148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148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148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148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148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148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148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148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148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148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148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148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148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148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148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148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0"/>
      <c r="P20" s="20"/>
      <c r="Q20" s="20"/>
      <c r="V20" s="20"/>
      <c r="W20" s="20"/>
    </row>
    <row r="21" spans="1:30">
      <c r="T21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5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19" t="s">
        <v>0</v>
      </c>
      <c r="B1" s="19" t="s">
        <v>1</v>
      </c>
      <c r="C1" s="19" t="s">
        <v>205</v>
      </c>
      <c r="D1" s="19" t="s">
        <v>206</v>
      </c>
      <c r="E1" s="19" t="s">
        <v>207</v>
      </c>
      <c r="F1" s="19" t="s">
        <v>5</v>
      </c>
      <c r="G1" s="19" t="s">
        <v>208</v>
      </c>
      <c r="H1" s="19" t="s">
        <v>6</v>
      </c>
      <c r="I1" s="19" t="s">
        <v>7</v>
      </c>
      <c r="J1" s="19" t="s">
        <v>150</v>
      </c>
      <c r="K1" s="19" t="s">
        <v>209</v>
      </c>
      <c r="L1" s="19" t="s">
        <v>10</v>
      </c>
      <c r="M1" s="19" t="s">
        <v>11</v>
      </c>
      <c r="N1" s="19" t="s">
        <v>12</v>
      </c>
      <c r="O1" s="159" t="s">
        <v>14</v>
      </c>
      <c r="P1" s="163" t="s">
        <v>15</v>
      </c>
      <c r="Q1" s="19" t="s">
        <v>160</v>
      </c>
      <c r="R1" s="19" t="s">
        <v>18</v>
      </c>
      <c r="S1" s="19" t="s">
        <v>210</v>
      </c>
      <c r="T1" s="19" t="s">
        <v>20</v>
      </c>
      <c r="U1" s="163" t="s">
        <v>24</v>
      </c>
      <c r="V1" s="163" t="s">
        <v>25</v>
      </c>
    </row>
    <row r="2" spans="1:22">
      <c r="A2" s="20" t="s">
        <v>26</v>
      </c>
      <c r="B2" s="20">
        <v>1182</v>
      </c>
      <c r="C2" s="20" t="s">
        <v>211</v>
      </c>
      <c r="D2" s="2" t="s">
        <v>212</v>
      </c>
      <c r="E2" s="18" t="s">
        <v>213</v>
      </c>
      <c r="F2" s="20" t="s">
        <v>214</v>
      </c>
      <c r="G2" s="20" t="s">
        <v>215</v>
      </c>
      <c r="H2" s="18" t="s">
        <v>100</v>
      </c>
      <c r="I2" s="18"/>
      <c r="J2" s="20" t="s">
        <v>164</v>
      </c>
      <c r="K2" s="20" t="s">
        <v>216</v>
      </c>
      <c r="L2" s="2" t="s">
        <v>217</v>
      </c>
      <c r="M2" s="18" t="s">
        <v>105</v>
      </c>
      <c r="N2" s="153">
        <v>0.93</v>
      </c>
      <c r="O2" s="167">
        <v>5.6000000000000001E-2</v>
      </c>
      <c r="P2" s="168">
        <v>5.2080000000000001E-2</v>
      </c>
      <c r="Q2" s="150">
        <v>1110</v>
      </c>
      <c r="R2" s="153">
        <v>3.681</v>
      </c>
      <c r="S2" s="153">
        <v>100.43</v>
      </c>
      <c r="T2" s="153">
        <v>4103.4629999999997</v>
      </c>
      <c r="U2" s="168">
        <v>0.54033960251925295</v>
      </c>
      <c r="V2" s="168">
        <v>1.08030729562017E-2</v>
      </c>
    </row>
    <row r="3" spans="1:22">
      <c r="A3" s="20" t="s">
        <v>26</v>
      </c>
      <c r="B3" s="20">
        <v>1182</v>
      </c>
      <c r="C3" s="20" t="s">
        <v>211</v>
      </c>
      <c r="D3" s="2" t="s">
        <v>212</v>
      </c>
      <c r="E3" s="18" t="s">
        <v>213</v>
      </c>
      <c r="F3" s="20" t="s">
        <v>214</v>
      </c>
      <c r="G3" s="20" t="s">
        <v>218</v>
      </c>
      <c r="H3" s="18" t="s">
        <v>100</v>
      </c>
      <c r="I3" s="18" t="s">
        <v>31</v>
      </c>
      <c r="J3" s="20" t="s">
        <v>164</v>
      </c>
      <c r="K3" s="20" t="s">
        <v>216</v>
      </c>
      <c r="L3" s="2" t="s">
        <v>217</v>
      </c>
      <c r="M3" s="18" t="s">
        <v>105</v>
      </c>
      <c r="N3" s="153">
        <v>0.3</v>
      </c>
      <c r="O3" s="167">
        <v>6.4699999999999994E-2</v>
      </c>
      <c r="P3" s="168">
        <v>3.27E-2</v>
      </c>
      <c r="Q3" s="150">
        <v>907</v>
      </c>
      <c r="R3" s="153">
        <v>3.681</v>
      </c>
      <c r="S3" s="150">
        <v>104.556</v>
      </c>
      <c r="T3" s="153">
        <v>3490.7669999999998</v>
      </c>
      <c r="U3" s="168">
        <v>0.459660397480746</v>
      </c>
      <c r="V3" s="168">
        <v>9.1900441609482405E-3</v>
      </c>
    </row>
    <row r="4" spans="1:22">
      <c r="A4" s="20" t="s">
        <v>26</v>
      </c>
      <c r="B4" s="20">
        <v>14769</v>
      </c>
      <c r="C4" s="20" t="s">
        <v>211</v>
      </c>
      <c r="D4" s="2" t="s">
        <v>212</v>
      </c>
      <c r="E4" s="18" t="s">
        <v>213</v>
      </c>
      <c r="F4" s="20" t="s">
        <v>214</v>
      </c>
      <c r="G4" s="20"/>
      <c r="H4" s="18" t="s">
        <v>100</v>
      </c>
      <c r="I4" s="18"/>
      <c r="J4" s="20" t="s">
        <v>164</v>
      </c>
      <c r="K4" s="20" t="s">
        <v>216</v>
      </c>
      <c r="L4" s="2" t="s">
        <v>217</v>
      </c>
      <c r="M4" s="18" t="s">
        <v>105</v>
      </c>
      <c r="N4" s="153">
        <v>0</v>
      </c>
      <c r="O4" s="167">
        <v>0</v>
      </c>
      <c r="P4" s="168">
        <v>0</v>
      </c>
      <c r="Q4" s="150">
        <v>70</v>
      </c>
      <c r="R4" s="153">
        <v>3.681</v>
      </c>
      <c r="S4" s="150">
        <v>100.43</v>
      </c>
      <c r="T4" s="153">
        <v>258.77699999999999</v>
      </c>
      <c r="U4" s="168">
        <v>1</v>
      </c>
      <c r="V4" s="168">
        <v>3.3171426362967299E-2</v>
      </c>
    </row>
    <row r="5" spans="1:22">
      <c r="A5" s="20" t="s">
        <v>119</v>
      </c>
      <c r="B5" s="20">
        <v>12905</v>
      </c>
      <c r="C5" s="20" t="s">
        <v>211</v>
      </c>
      <c r="D5" s="2" t="s">
        <v>212</v>
      </c>
      <c r="E5" s="18" t="s">
        <v>213</v>
      </c>
      <c r="F5" s="20" t="s">
        <v>214</v>
      </c>
      <c r="G5" s="20" t="s">
        <v>215</v>
      </c>
      <c r="H5" s="18" t="s">
        <v>100</v>
      </c>
      <c r="I5" s="18"/>
      <c r="J5" s="20" t="s">
        <v>164</v>
      </c>
      <c r="K5" s="20" t="s">
        <v>216</v>
      </c>
      <c r="L5" s="2" t="s">
        <v>217</v>
      </c>
      <c r="M5" s="18" t="s">
        <v>105</v>
      </c>
      <c r="N5" s="153">
        <v>0.93</v>
      </c>
      <c r="O5" s="167">
        <v>5.6000000000000001E-2</v>
      </c>
      <c r="P5" s="168">
        <v>5.2080000000000001E-2</v>
      </c>
      <c r="Q5" s="150">
        <v>150</v>
      </c>
      <c r="R5" s="153">
        <v>3.681</v>
      </c>
      <c r="S5" s="150">
        <v>100.43</v>
      </c>
      <c r="T5" s="153">
        <v>554.52099999999996</v>
      </c>
      <c r="U5" s="168">
        <v>0.40691594427213201</v>
      </c>
      <c r="V5" s="168">
        <v>1.91531526930728E-2</v>
      </c>
    </row>
    <row r="6" spans="1:22">
      <c r="A6" s="20" t="s">
        <v>119</v>
      </c>
      <c r="B6" s="20">
        <v>12905</v>
      </c>
      <c r="C6" s="20" t="s">
        <v>211</v>
      </c>
      <c r="D6" s="2" t="s">
        <v>212</v>
      </c>
      <c r="E6" s="18" t="s">
        <v>213</v>
      </c>
      <c r="F6" s="20" t="s">
        <v>214</v>
      </c>
      <c r="G6" s="20" t="s">
        <v>218</v>
      </c>
      <c r="H6" s="18" t="s">
        <v>100</v>
      </c>
      <c r="I6" s="18" t="s">
        <v>31</v>
      </c>
      <c r="J6" s="20" t="s">
        <v>164</v>
      </c>
      <c r="K6" s="20" t="s">
        <v>216</v>
      </c>
      <c r="L6" s="2" t="s">
        <v>217</v>
      </c>
      <c r="M6" s="18" t="s">
        <v>105</v>
      </c>
      <c r="N6" s="153">
        <v>0.3</v>
      </c>
      <c r="O6" s="167">
        <v>6.4699999999999994E-2</v>
      </c>
      <c r="P6" s="168">
        <v>3.3029999999999997E-2</v>
      </c>
      <c r="Q6" s="150">
        <v>210</v>
      </c>
      <c r="R6" s="153">
        <v>3.681</v>
      </c>
      <c r="S6" s="150">
        <v>104.55500000000001</v>
      </c>
      <c r="T6" s="153">
        <v>808.221</v>
      </c>
      <c r="U6" s="168">
        <v>0.59308405572786804</v>
      </c>
      <c r="V6" s="168">
        <v>2.7915911477742299E-2</v>
      </c>
    </row>
    <row r="7" spans="1:22">
      <c r="A7" s="20" t="s">
        <v>119</v>
      </c>
      <c r="B7" s="20">
        <v>13680</v>
      </c>
      <c r="C7" s="20" t="s">
        <v>211</v>
      </c>
      <c r="D7" s="2" t="s">
        <v>212</v>
      </c>
      <c r="E7" s="18" t="s">
        <v>213</v>
      </c>
      <c r="F7" s="20" t="s">
        <v>214</v>
      </c>
      <c r="G7" s="20" t="s">
        <v>215</v>
      </c>
      <c r="H7" s="18" t="s">
        <v>100</v>
      </c>
      <c r="I7" s="18"/>
      <c r="J7" s="20" t="s">
        <v>164</v>
      </c>
      <c r="K7" s="20" t="s">
        <v>216</v>
      </c>
      <c r="L7" s="2" t="s">
        <v>217</v>
      </c>
      <c r="M7" s="18" t="s">
        <v>105</v>
      </c>
      <c r="N7" s="153">
        <v>0.93</v>
      </c>
      <c r="O7" s="167">
        <v>0</v>
      </c>
      <c r="P7" s="168">
        <v>5.2049999999999999E-2</v>
      </c>
      <c r="Q7" s="150">
        <v>60</v>
      </c>
      <c r="R7" s="153">
        <v>3.681</v>
      </c>
      <c r="S7" s="153">
        <v>100.43</v>
      </c>
      <c r="T7" s="153">
        <v>221.809</v>
      </c>
      <c r="U7" s="168">
        <v>0.20247974437434099</v>
      </c>
      <c r="V7" s="168">
        <v>7.5831731181138697E-3</v>
      </c>
    </row>
    <row r="8" spans="1:22">
      <c r="A8" s="20" t="s">
        <v>119</v>
      </c>
      <c r="B8" s="20">
        <v>13680</v>
      </c>
      <c r="C8" s="20" t="s">
        <v>211</v>
      </c>
      <c r="D8" s="2" t="s">
        <v>212</v>
      </c>
      <c r="E8" s="18" t="s">
        <v>213</v>
      </c>
      <c r="F8" s="20" t="s">
        <v>214</v>
      </c>
      <c r="G8" s="20" t="s">
        <v>218</v>
      </c>
      <c r="H8" s="18" t="s">
        <v>100</v>
      </c>
      <c r="I8" s="18" t="s">
        <v>31</v>
      </c>
      <c r="J8" s="20" t="s">
        <v>164</v>
      </c>
      <c r="K8" s="20" t="s">
        <v>216</v>
      </c>
      <c r="L8" s="2" t="s">
        <v>217</v>
      </c>
      <c r="M8" s="18" t="s">
        <v>105</v>
      </c>
      <c r="N8" s="153">
        <v>0.3</v>
      </c>
      <c r="O8" s="167">
        <v>6.4699999999999994E-2</v>
      </c>
      <c r="P8" s="168">
        <v>3.27E-2</v>
      </c>
      <c r="Q8" s="150">
        <v>227</v>
      </c>
      <c r="R8" s="153">
        <v>3.681</v>
      </c>
      <c r="S8" s="153">
        <v>104.556</v>
      </c>
      <c r="T8" s="153">
        <v>873.65499999999997</v>
      </c>
      <c r="U8" s="168">
        <v>0.79752025562565898</v>
      </c>
      <c r="V8" s="168">
        <v>2.9868341558308399E-2</v>
      </c>
    </row>
    <row r="9" spans="1:22">
      <c r="A9" s="20" t="s">
        <v>128</v>
      </c>
      <c r="B9" s="20">
        <v>7228</v>
      </c>
      <c r="C9" s="20" t="s">
        <v>211</v>
      </c>
      <c r="D9" s="2" t="s">
        <v>212</v>
      </c>
      <c r="E9" s="18" t="s">
        <v>213</v>
      </c>
      <c r="F9" s="20" t="s">
        <v>219</v>
      </c>
      <c r="G9" s="20" t="s">
        <v>220</v>
      </c>
      <c r="H9" s="18" t="s">
        <v>100</v>
      </c>
      <c r="I9" s="18" t="s">
        <v>31</v>
      </c>
      <c r="J9" s="20" t="s">
        <v>164</v>
      </c>
      <c r="K9" s="20" t="s">
        <v>216</v>
      </c>
      <c r="L9" s="2" t="s">
        <v>217</v>
      </c>
      <c r="M9" s="18" t="s">
        <v>35</v>
      </c>
      <c r="N9" s="153">
        <v>5.0199999999999996</v>
      </c>
      <c r="O9" s="167">
        <v>5.2999999999999999E-2</v>
      </c>
      <c r="P9" s="168">
        <v>1.7979999999999999E-2</v>
      </c>
      <c r="Q9" s="150">
        <v>275</v>
      </c>
      <c r="R9" s="153">
        <v>1</v>
      </c>
      <c r="S9" s="153">
        <v>166.09</v>
      </c>
      <c r="T9" s="153">
        <v>456.74700000000001</v>
      </c>
      <c r="U9" s="168">
        <v>1.0222023463815901E-2</v>
      </c>
      <c r="V9" s="168">
        <v>1.97088200767347E-4</v>
      </c>
    </row>
    <row r="10" spans="1:22">
      <c r="A10" s="20" t="s">
        <v>128</v>
      </c>
      <c r="B10" s="20">
        <v>7228</v>
      </c>
      <c r="C10" s="20" t="s">
        <v>211</v>
      </c>
      <c r="D10" s="2" t="s">
        <v>212</v>
      </c>
      <c r="E10" s="18" t="s">
        <v>213</v>
      </c>
      <c r="F10" s="20" t="s">
        <v>214</v>
      </c>
      <c r="G10" s="20" t="s">
        <v>215</v>
      </c>
      <c r="H10" s="18" t="s">
        <v>100</v>
      </c>
      <c r="I10" s="18"/>
      <c r="J10" s="20" t="s">
        <v>164</v>
      </c>
      <c r="K10" s="20" t="s">
        <v>216</v>
      </c>
      <c r="L10" s="2" t="s">
        <v>217</v>
      </c>
      <c r="M10" s="18" t="s">
        <v>105</v>
      </c>
      <c r="N10" s="153">
        <v>0.93</v>
      </c>
      <c r="O10" s="167">
        <v>5.6000000000000001E-2</v>
      </c>
      <c r="P10" s="168">
        <v>5.2080000000000001E-2</v>
      </c>
      <c r="Q10" s="150">
        <v>9600</v>
      </c>
      <c r="R10" s="153">
        <v>3.681</v>
      </c>
      <c r="S10" s="153">
        <v>100.43</v>
      </c>
      <c r="T10" s="153">
        <v>35489.410000000003</v>
      </c>
      <c r="U10" s="168">
        <v>0.79425415201600003</v>
      </c>
      <c r="V10" s="168">
        <v>1.5313809670555499E-2</v>
      </c>
    </row>
    <row r="11" spans="1:22">
      <c r="A11" s="20" t="s">
        <v>128</v>
      </c>
      <c r="B11" s="20">
        <v>7228</v>
      </c>
      <c r="C11" s="20" t="s">
        <v>211</v>
      </c>
      <c r="D11" s="2" t="s">
        <v>212</v>
      </c>
      <c r="E11" s="18" t="s">
        <v>213</v>
      </c>
      <c r="F11" s="20" t="s">
        <v>214</v>
      </c>
      <c r="G11" s="20" t="s">
        <v>218</v>
      </c>
      <c r="H11" s="18" t="s">
        <v>100</v>
      </c>
      <c r="I11" s="18" t="s">
        <v>31</v>
      </c>
      <c r="J11" s="20" t="s">
        <v>164</v>
      </c>
      <c r="K11" s="20" t="s">
        <v>216</v>
      </c>
      <c r="L11" s="2" t="s">
        <v>217</v>
      </c>
      <c r="M11" s="18" t="s">
        <v>105</v>
      </c>
      <c r="N11" s="153">
        <v>0.3</v>
      </c>
      <c r="O11" s="167">
        <v>6.4699999999999994E-2</v>
      </c>
      <c r="P11" s="168">
        <v>3.27E-2</v>
      </c>
      <c r="Q11" s="150">
        <v>2270</v>
      </c>
      <c r="R11" s="153">
        <v>3.681</v>
      </c>
      <c r="S11" s="153">
        <v>104.556</v>
      </c>
      <c r="T11" s="153">
        <v>8736.5300000000007</v>
      </c>
      <c r="U11" s="168">
        <v>0.19552382452018399</v>
      </c>
      <c r="V11" s="168">
        <v>3.7698444851200102E-3</v>
      </c>
    </row>
    <row r="12" spans="1:22">
      <c r="A12" s="20" t="s">
        <v>128</v>
      </c>
      <c r="B12" s="20">
        <v>7229</v>
      </c>
      <c r="C12" s="20" t="s">
        <v>211</v>
      </c>
      <c r="D12" s="2" t="s">
        <v>212</v>
      </c>
      <c r="E12" s="18" t="s">
        <v>213</v>
      </c>
      <c r="F12" s="20" t="s">
        <v>214</v>
      </c>
      <c r="G12" s="20" t="s">
        <v>215</v>
      </c>
      <c r="H12" s="18" t="s">
        <v>100</v>
      </c>
      <c r="I12" s="18"/>
      <c r="J12" s="20" t="s">
        <v>164</v>
      </c>
      <c r="K12" s="20" t="s">
        <v>216</v>
      </c>
      <c r="L12" s="2" t="s">
        <v>217</v>
      </c>
      <c r="M12" s="18" t="s">
        <v>105</v>
      </c>
      <c r="N12" s="153">
        <v>0.93</v>
      </c>
      <c r="O12" s="167">
        <v>5.6000000000000001E-2</v>
      </c>
      <c r="P12" s="168">
        <v>5.2080000000000001E-2</v>
      </c>
      <c r="Q12" s="150">
        <v>300</v>
      </c>
      <c r="R12" s="153">
        <v>3.681</v>
      </c>
      <c r="S12" s="153">
        <v>100.43</v>
      </c>
      <c r="T12" s="153">
        <v>1109.0440000000001</v>
      </c>
      <c r="U12" s="168">
        <v>0.38674532278132701</v>
      </c>
      <c r="V12" s="168">
        <v>7.7363966127553504E-3</v>
      </c>
    </row>
    <row r="13" spans="1:22">
      <c r="A13" s="20" t="s">
        <v>128</v>
      </c>
      <c r="B13" s="20">
        <v>7229</v>
      </c>
      <c r="C13" s="20" t="s">
        <v>211</v>
      </c>
      <c r="D13" s="2" t="s">
        <v>212</v>
      </c>
      <c r="E13" s="18" t="s">
        <v>213</v>
      </c>
      <c r="F13" s="20" t="s">
        <v>214</v>
      </c>
      <c r="G13" s="20" t="s">
        <v>221</v>
      </c>
      <c r="H13" s="18" t="s">
        <v>100</v>
      </c>
      <c r="I13" s="18" t="s">
        <v>31</v>
      </c>
      <c r="J13" s="20" t="s">
        <v>164</v>
      </c>
      <c r="K13" s="20" t="s">
        <v>216</v>
      </c>
      <c r="L13" s="2" t="s">
        <v>217</v>
      </c>
      <c r="M13" s="18" t="s">
        <v>105</v>
      </c>
      <c r="N13" s="153">
        <v>0.01</v>
      </c>
      <c r="O13" s="167">
        <v>6.2E-2</v>
      </c>
      <c r="P13" s="168">
        <v>-2.5699999999999998E-3</v>
      </c>
      <c r="Q13" s="150">
        <v>450</v>
      </c>
      <c r="R13" s="153">
        <v>3.681</v>
      </c>
      <c r="S13" s="153">
        <v>106.166</v>
      </c>
      <c r="T13" s="153">
        <v>1758.59</v>
      </c>
      <c r="U13" s="168">
        <v>0.61325467721867299</v>
      </c>
      <c r="V13" s="168">
        <v>1.22674564580926E-2</v>
      </c>
    </row>
    <row r="14" spans="1:22">
      <c r="A14" s="20" t="s">
        <v>144</v>
      </c>
      <c r="B14" s="20">
        <v>969</v>
      </c>
      <c r="C14" s="20" t="s">
        <v>211</v>
      </c>
      <c r="D14" s="2" t="s">
        <v>212</v>
      </c>
      <c r="E14" s="18" t="s">
        <v>213</v>
      </c>
      <c r="F14" s="20" t="s">
        <v>214</v>
      </c>
      <c r="G14" s="20" t="s">
        <v>215</v>
      </c>
      <c r="H14" s="18" t="s">
        <v>100</v>
      </c>
      <c r="I14" s="18"/>
      <c r="J14" s="20" t="s">
        <v>164</v>
      </c>
      <c r="K14" s="20" t="s">
        <v>216</v>
      </c>
      <c r="L14" s="2" t="s">
        <v>217</v>
      </c>
      <c r="M14" s="18" t="s">
        <v>105</v>
      </c>
      <c r="N14" s="153">
        <v>0.93</v>
      </c>
      <c r="O14" s="167">
        <v>5.6000000000000001E-2</v>
      </c>
      <c r="P14" s="168">
        <v>5.2080000000000001E-2</v>
      </c>
      <c r="Q14" s="150">
        <v>170</v>
      </c>
      <c r="R14" s="153">
        <v>3.681</v>
      </c>
      <c r="S14" s="153">
        <v>100.43</v>
      </c>
      <c r="T14" s="153">
        <v>628.45799999999997</v>
      </c>
      <c r="U14" s="168">
        <v>1</v>
      </c>
      <c r="V14" s="168">
        <v>8.55657832429642E-3</v>
      </c>
    </row>
    <row r="15" spans="1:22">
      <c r="A15" s="20"/>
      <c r="B15" s="20"/>
      <c r="C15" s="20"/>
      <c r="E15" s="18"/>
      <c r="F15" s="20"/>
      <c r="G15" s="20"/>
      <c r="H15" s="18"/>
      <c r="I15" s="18"/>
      <c r="J15" s="20"/>
      <c r="K15" s="20"/>
      <c r="M15" s="18"/>
      <c r="N15" s="20"/>
      <c r="O15" s="148"/>
      <c r="P15" s="20"/>
      <c r="R15" s="20"/>
      <c r="S15" s="20"/>
      <c r="T15" s="20"/>
      <c r="U15" s="20"/>
      <c r="V15" s="20"/>
    </row>
    <row r="16" spans="1:22">
      <c r="A16" s="20"/>
      <c r="B16" s="20"/>
      <c r="C16" s="20"/>
      <c r="E16" s="18"/>
      <c r="F16" s="20"/>
      <c r="G16" s="20"/>
      <c r="H16" s="18"/>
      <c r="I16" s="18"/>
      <c r="J16" s="20"/>
      <c r="K16" s="20"/>
      <c r="M16" s="18"/>
      <c r="N16" s="20"/>
      <c r="O16" s="148"/>
      <c r="P16" s="20"/>
      <c r="R16" s="20"/>
      <c r="S16" s="20"/>
      <c r="T16" s="20"/>
      <c r="U16" s="20"/>
      <c r="V16" s="20"/>
    </row>
    <row r="17" spans="1:22">
      <c r="A17" s="20"/>
      <c r="B17" s="20"/>
      <c r="C17" s="20"/>
      <c r="E17" s="18"/>
      <c r="F17" s="20"/>
      <c r="G17" s="20"/>
      <c r="H17" s="18"/>
      <c r="I17" s="18"/>
      <c r="J17" s="20"/>
      <c r="K17" s="20"/>
      <c r="M17" s="18"/>
      <c r="N17" s="20"/>
      <c r="O17" s="148"/>
      <c r="P17" s="20"/>
      <c r="R17" s="20"/>
      <c r="S17" s="20"/>
      <c r="T17" s="20"/>
      <c r="U17" s="20"/>
      <c r="V17" s="20"/>
    </row>
    <row r="18" spans="1:22">
      <c r="A18" s="20"/>
      <c r="B18" s="20"/>
      <c r="C18" s="20"/>
      <c r="E18" s="18"/>
      <c r="F18" s="20"/>
      <c r="G18" s="20"/>
      <c r="H18" s="18"/>
      <c r="I18" s="18"/>
      <c r="J18" s="20"/>
      <c r="K18" s="20"/>
      <c r="M18" s="18"/>
      <c r="N18" s="20"/>
      <c r="O18" s="148"/>
      <c r="P18" s="20"/>
      <c r="R18" s="20"/>
      <c r="S18" s="20"/>
      <c r="T18" s="20"/>
      <c r="U18" s="20"/>
      <c r="V18" s="20"/>
    </row>
    <row r="19" spans="1:22">
      <c r="A19" s="20"/>
      <c r="B19" s="20"/>
      <c r="C19" s="20"/>
      <c r="E19" s="18"/>
      <c r="F19" s="20"/>
      <c r="G19" s="20"/>
      <c r="H19" s="18"/>
      <c r="I19" s="18"/>
      <c r="J19" s="20"/>
      <c r="K19" s="20"/>
      <c r="M19" s="18"/>
      <c r="N19" s="20"/>
      <c r="O19" s="148"/>
      <c r="P19" s="20"/>
      <c r="R19" s="20"/>
      <c r="S19" s="20"/>
      <c r="T19" s="20"/>
      <c r="U19" s="20"/>
      <c r="V19" s="20"/>
    </row>
    <row r="20" spans="1:22">
      <c r="E20" s="18"/>
      <c r="F20" s="20"/>
      <c r="H20" s="18"/>
      <c r="I20" s="18"/>
      <c r="J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AA2A-43F8-4C50-B147-2D4EA9955F5F}">
  <dimension ref="A1:Y65"/>
  <sheetViews>
    <sheetView rightToLeft="1" zoomScale="84" zoomScaleNormal="84" workbookViewId="0">
      <selection activeCell="H34" sqref="H34"/>
    </sheetView>
  </sheetViews>
  <sheetFormatPr defaultColWidth="9" defaultRowHeight="14.25"/>
  <cols>
    <col min="1" max="7" width="11.625" style="11" customWidth="1"/>
    <col min="8" max="8" width="16.875" style="11" bestFit="1" customWidth="1"/>
    <col min="9" max="17" width="11.625" style="11" customWidth="1"/>
    <col min="18" max="19" width="11.625" style="187" customWidth="1"/>
    <col min="20" max="22" width="11.625" style="11" customWidth="1"/>
    <col min="23" max="24" width="11.625" style="185" customWidth="1"/>
    <col min="25" max="25" width="9" style="11" customWidth="1"/>
    <col min="26" max="16384" width="9" style="11"/>
  </cols>
  <sheetData>
    <row r="1" spans="1:25" ht="66.75" customHeight="1">
      <c r="A1" s="181" t="s">
        <v>0</v>
      </c>
      <c r="B1" s="182" t="s">
        <v>1</v>
      </c>
      <c r="C1" s="182" t="s">
        <v>192</v>
      </c>
      <c r="D1" s="182" t="s">
        <v>5</v>
      </c>
      <c r="E1" s="182" t="s">
        <v>193</v>
      </c>
      <c r="F1" s="182" t="s">
        <v>150</v>
      </c>
      <c r="G1" s="182" t="s">
        <v>194</v>
      </c>
      <c r="H1" s="182" t="s">
        <v>195</v>
      </c>
      <c r="I1" s="182" t="s">
        <v>196</v>
      </c>
      <c r="J1" s="182" t="s">
        <v>197</v>
      </c>
      <c r="K1" s="183" t="s">
        <v>198</v>
      </c>
      <c r="L1" s="182" t="s">
        <v>199</v>
      </c>
      <c r="M1" s="182" t="s">
        <v>187</v>
      </c>
      <c r="N1" s="182" t="s">
        <v>200</v>
      </c>
      <c r="O1" s="182" t="s">
        <v>188</v>
      </c>
      <c r="P1" s="182" t="s">
        <v>159</v>
      </c>
      <c r="Q1" s="182" t="s">
        <v>11</v>
      </c>
      <c r="R1" s="182" t="s">
        <v>201</v>
      </c>
      <c r="S1" s="182" t="s">
        <v>20</v>
      </c>
      <c r="T1" s="182" t="s">
        <v>21</v>
      </c>
      <c r="U1" s="182" t="s">
        <v>202</v>
      </c>
      <c r="V1" s="182" t="s">
        <v>22</v>
      </c>
      <c r="W1" s="182" t="s">
        <v>24</v>
      </c>
      <c r="X1" s="182" t="s">
        <v>25</v>
      </c>
      <c r="Y1"/>
    </row>
    <row r="2" spans="1:25">
      <c r="A2" s="27">
        <v>424</v>
      </c>
      <c r="B2" s="27">
        <v>7228</v>
      </c>
      <c r="C2" s="184" t="s">
        <v>3257</v>
      </c>
      <c r="D2" s="27" t="s">
        <v>203</v>
      </c>
      <c r="E2" s="16" t="s">
        <v>31</v>
      </c>
      <c r="F2" s="27" t="s">
        <v>164</v>
      </c>
      <c r="G2" s="175">
        <v>30317</v>
      </c>
      <c r="H2" s="27" t="s">
        <v>906</v>
      </c>
      <c r="I2" s="27" t="s">
        <v>919</v>
      </c>
      <c r="J2" s="184" t="s">
        <v>3257</v>
      </c>
      <c r="K2" s="185">
        <v>0</v>
      </c>
      <c r="L2" s="27" t="s">
        <v>929</v>
      </c>
      <c r="M2" s="27" t="s">
        <v>939</v>
      </c>
      <c r="N2" s="16" t="s">
        <v>3258</v>
      </c>
      <c r="O2" s="27" t="s">
        <v>941</v>
      </c>
      <c r="P2" s="186">
        <v>45139</v>
      </c>
      <c r="Q2" s="18" t="s">
        <v>35</v>
      </c>
      <c r="R2" s="187">
        <v>2304514.36</v>
      </c>
      <c r="S2" s="187">
        <v>2304.5143599999997</v>
      </c>
      <c r="T2" s="27"/>
      <c r="U2" s="27"/>
      <c r="V2" s="27" t="s">
        <v>37</v>
      </c>
      <c r="W2" s="185">
        <v>6.4276734553959936E-3</v>
      </c>
      <c r="X2" s="185">
        <v>9.9410614765934376E-4</v>
      </c>
    </row>
    <row r="3" spans="1:25">
      <c r="A3" s="27">
        <v>424</v>
      </c>
      <c r="B3" s="27">
        <v>7228</v>
      </c>
      <c r="C3" s="184" t="s">
        <v>3259</v>
      </c>
      <c r="D3" s="27" t="s">
        <v>203</v>
      </c>
      <c r="E3" s="16" t="s">
        <v>31</v>
      </c>
      <c r="F3" s="27" t="s">
        <v>164</v>
      </c>
      <c r="G3" s="175">
        <v>30317</v>
      </c>
      <c r="H3" s="27" t="s">
        <v>908</v>
      </c>
      <c r="I3" s="27" t="s">
        <v>919</v>
      </c>
      <c r="J3" s="184" t="s">
        <v>3259</v>
      </c>
      <c r="K3" s="185">
        <v>0</v>
      </c>
      <c r="L3" s="27" t="s">
        <v>929</v>
      </c>
      <c r="M3" s="27" t="s">
        <v>939</v>
      </c>
      <c r="N3" s="16" t="s">
        <v>3258</v>
      </c>
      <c r="O3" s="27" t="s">
        <v>941</v>
      </c>
      <c r="P3" s="186">
        <v>45139</v>
      </c>
      <c r="Q3" s="18" t="s">
        <v>35</v>
      </c>
      <c r="R3" s="187">
        <v>2113853.1</v>
      </c>
      <c r="S3" s="187">
        <v>2113.8531000000003</v>
      </c>
      <c r="V3" s="27" t="s">
        <v>37</v>
      </c>
      <c r="W3" s="185">
        <v>5.8958875220358944E-3</v>
      </c>
      <c r="X3" s="185">
        <v>9.1185995558680825E-4</v>
      </c>
    </row>
    <row r="4" spans="1:25">
      <c r="A4" s="27">
        <v>424</v>
      </c>
      <c r="B4" s="27">
        <v>7228</v>
      </c>
      <c r="C4" s="184" t="s">
        <v>3260</v>
      </c>
      <c r="D4" s="27" t="s">
        <v>203</v>
      </c>
      <c r="E4" s="16" t="s">
        <v>31</v>
      </c>
      <c r="F4" s="27" t="s">
        <v>164</v>
      </c>
      <c r="G4" s="175">
        <v>30317</v>
      </c>
      <c r="H4" s="27" t="s">
        <v>906</v>
      </c>
      <c r="I4" s="27" t="s">
        <v>919</v>
      </c>
      <c r="J4" s="184" t="s">
        <v>3260</v>
      </c>
      <c r="K4" s="185">
        <v>1.4836795252226587E-3</v>
      </c>
      <c r="L4" s="27" t="s">
        <v>929</v>
      </c>
      <c r="M4" s="27" t="s">
        <v>939</v>
      </c>
      <c r="N4" s="16" t="s">
        <v>3258</v>
      </c>
      <c r="O4" s="27" t="s">
        <v>941</v>
      </c>
      <c r="P4" s="186">
        <v>45323</v>
      </c>
      <c r="Q4" s="18" t="s">
        <v>35</v>
      </c>
      <c r="R4" s="187">
        <v>27977467.5</v>
      </c>
      <c r="S4" s="187">
        <v>27977.467499999999</v>
      </c>
      <c r="V4" s="27" t="s">
        <v>37</v>
      </c>
      <c r="W4" s="185">
        <v>7.8033805438710357E-2</v>
      </c>
      <c r="X4" s="185">
        <v>1.206873470629599E-2</v>
      </c>
    </row>
    <row r="5" spans="1:25">
      <c r="A5" s="27">
        <v>424</v>
      </c>
      <c r="B5" s="27">
        <v>7228</v>
      </c>
      <c r="C5" s="184" t="s">
        <v>3261</v>
      </c>
      <c r="D5" s="27" t="s">
        <v>203</v>
      </c>
      <c r="E5" s="16" t="s">
        <v>31</v>
      </c>
      <c r="F5" s="27" t="s">
        <v>164</v>
      </c>
      <c r="G5" s="175">
        <v>30317</v>
      </c>
      <c r="H5" s="27" t="s">
        <v>906</v>
      </c>
      <c r="I5" s="27" t="s">
        <v>919</v>
      </c>
      <c r="J5" s="184" t="s">
        <v>3261</v>
      </c>
      <c r="K5" s="185">
        <v>0</v>
      </c>
      <c r="L5" s="27" t="s">
        <v>929</v>
      </c>
      <c r="M5" s="27" t="s">
        <v>939</v>
      </c>
      <c r="N5" s="16" t="s">
        <v>3258</v>
      </c>
      <c r="O5" s="27" t="s">
        <v>941</v>
      </c>
      <c r="P5" s="186">
        <v>45139</v>
      </c>
      <c r="Q5" s="18" t="s">
        <v>35</v>
      </c>
      <c r="R5" s="187">
        <v>30422905.400000002</v>
      </c>
      <c r="S5" s="187">
        <v>30422.905400000003</v>
      </c>
      <c r="V5" s="27" t="s">
        <v>37</v>
      </c>
      <c r="W5" s="185">
        <v>8.485453806224208E-2</v>
      </c>
      <c r="X5" s="185">
        <v>1.3123631517661122E-2</v>
      </c>
    </row>
    <row r="6" spans="1:25">
      <c r="A6" s="27">
        <v>424</v>
      </c>
      <c r="B6" s="27">
        <v>7228</v>
      </c>
      <c r="C6" s="184" t="s">
        <v>3262</v>
      </c>
      <c r="D6" s="27" t="s">
        <v>203</v>
      </c>
      <c r="E6" s="16" t="s">
        <v>31</v>
      </c>
      <c r="F6" s="27" t="s">
        <v>164</v>
      </c>
      <c r="G6" s="175">
        <v>30317</v>
      </c>
      <c r="H6" s="27" t="s">
        <v>906</v>
      </c>
      <c r="I6" s="27" t="s">
        <v>919</v>
      </c>
      <c r="J6" s="184" t="s">
        <v>3262</v>
      </c>
      <c r="K6" s="188">
        <v>0</v>
      </c>
      <c r="L6" s="27" t="s">
        <v>929</v>
      </c>
      <c r="M6" s="27" t="s">
        <v>939</v>
      </c>
      <c r="N6" s="16" t="s">
        <v>3258</v>
      </c>
      <c r="O6" s="27" t="s">
        <v>941</v>
      </c>
      <c r="P6" s="186">
        <v>45139</v>
      </c>
      <c r="Q6" s="18" t="s">
        <v>35</v>
      </c>
      <c r="R6" s="187">
        <v>27024161.199999999</v>
      </c>
      <c r="S6" s="187">
        <v>27024.161199999999</v>
      </c>
      <c r="T6" s="27"/>
      <c r="U6" s="27"/>
      <c r="V6" s="27" t="s">
        <v>37</v>
      </c>
      <c r="W6" s="185">
        <v>7.5374875771909849E-2</v>
      </c>
      <c r="X6" s="185">
        <v>1.1657503745933311E-2</v>
      </c>
    </row>
    <row r="7" spans="1:25">
      <c r="A7" s="27">
        <v>424</v>
      </c>
      <c r="B7" s="27">
        <v>7228</v>
      </c>
      <c r="C7" s="184" t="s">
        <v>3263</v>
      </c>
      <c r="D7" s="27" t="s">
        <v>203</v>
      </c>
      <c r="E7" s="16" t="s">
        <v>31</v>
      </c>
      <c r="F7" s="27" t="s">
        <v>164</v>
      </c>
      <c r="G7" s="175">
        <v>30317</v>
      </c>
      <c r="H7" s="27" t="s">
        <v>906</v>
      </c>
      <c r="I7" s="27" t="s">
        <v>919</v>
      </c>
      <c r="J7" s="184" t="s">
        <v>3263</v>
      </c>
      <c r="K7" s="188">
        <v>0</v>
      </c>
      <c r="L7" s="27" t="s">
        <v>929</v>
      </c>
      <c r="M7" s="27" t="s">
        <v>939</v>
      </c>
      <c r="N7" s="16" t="s">
        <v>3258</v>
      </c>
      <c r="O7" s="27" t="s">
        <v>941</v>
      </c>
      <c r="P7" s="186">
        <v>45047</v>
      </c>
      <c r="Q7" s="18" t="s">
        <v>35</v>
      </c>
      <c r="R7" s="187">
        <v>8496860.5</v>
      </c>
      <c r="S7" s="187">
        <v>8496.8605000000007</v>
      </c>
      <c r="T7" s="27"/>
      <c r="U7" s="27"/>
      <c r="V7" s="27" t="s">
        <v>37</v>
      </c>
      <c r="W7" s="185">
        <v>2.3699155725830555E-2</v>
      </c>
      <c r="X7" s="185">
        <v>3.6653194293195229E-3</v>
      </c>
    </row>
    <row r="8" spans="1:25">
      <c r="A8" s="27">
        <v>424</v>
      </c>
      <c r="B8" s="27">
        <v>7228</v>
      </c>
      <c r="C8" s="189" t="s">
        <v>3264</v>
      </c>
      <c r="D8" s="27" t="s">
        <v>203</v>
      </c>
      <c r="E8" s="16" t="s">
        <v>31</v>
      </c>
      <c r="F8" s="27" t="s">
        <v>164</v>
      </c>
      <c r="G8" s="175">
        <v>30317</v>
      </c>
      <c r="H8" s="27" t="s">
        <v>906</v>
      </c>
      <c r="I8" s="27" t="s">
        <v>919</v>
      </c>
      <c r="J8" s="189" t="s">
        <v>3264</v>
      </c>
      <c r="K8" s="188">
        <v>0</v>
      </c>
      <c r="L8" s="27" t="s">
        <v>929</v>
      </c>
      <c r="M8" s="27" t="s">
        <v>939</v>
      </c>
      <c r="N8" s="16" t="s">
        <v>3258</v>
      </c>
      <c r="O8" s="27" t="s">
        <v>941</v>
      </c>
      <c r="P8" s="186">
        <v>45231</v>
      </c>
      <c r="Q8" s="18" t="s">
        <v>35</v>
      </c>
      <c r="R8" s="187">
        <v>12844766.189999999</v>
      </c>
      <c r="S8" s="187">
        <v>12844.76619</v>
      </c>
      <c r="T8" s="27"/>
      <c r="U8" s="27"/>
      <c r="V8" s="27" t="s">
        <v>37</v>
      </c>
      <c r="W8" s="185">
        <v>3.5826187119194573E-2</v>
      </c>
      <c r="X8" s="185">
        <v>5.5408902007127812E-3</v>
      </c>
    </row>
    <row r="9" spans="1:25">
      <c r="A9" s="27">
        <v>424</v>
      </c>
      <c r="B9" s="27">
        <v>7228</v>
      </c>
      <c r="C9" s="189" t="s">
        <v>3265</v>
      </c>
      <c r="D9" s="27" t="s">
        <v>203</v>
      </c>
      <c r="E9" s="16" t="s">
        <v>31</v>
      </c>
      <c r="F9" s="27" t="s">
        <v>164</v>
      </c>
      <c r="G9" s="175">
        <v>30317</v>
      </c>
      <c r="H9" s="27" t="s">
        <v>906</v>
      </c>
      <c r="I9" s="27" t="s">
        <v>919</v>
      </c>
      <c r="J9" s="189" t="s">
        <v>3265</v>
      </c>
      <c r="K9" s="188">
        <v>0</v>
      </c>
      <c r="L9" s="27" t="s">
        <v>929</v>
      </c>
      <c r="M9" s="27" t="s">
        <v>939</v>
      </c>
      <c r="N9" s="16" t="s">
        <v>3258</v>
      </c>
      <c r="O9" s="27" t="s">
        <v>941</v>
      </c>
      <c r="P9" s="186">
        <v>45231</v>
      </c>
      <c r="Q9" s="18" t="s">
        <v>35</v>
      </c>
      <c r="R9" s="187">
        <v>35645366</v>
      </c>
      <c r="S9" s="187">
        <v>35645.366000000002</v>
      </c>
      <c r="T9" s="27"/>
      <c r="U9" s="27"/>
      <c r="V9" s="27" t="s">
        <v>37</v>
      </c>
      <c r="W9" s="185">
        <v>9.9420848410801343E-2</v>
      </c>
      <c r="X9" s="185">
        <v>1.5376461996169707E-2</v>
      </c>
    </row>
    <row r="10" spans="1:25">
      <c r="A10" s="27">
        <v>424</v>
      </c>
      <c r="B10" s="27">
        <v>7228</v>
      </c>
      <c r="C10" s="184" t="s">
        <v>3266</v>
      </c>
      <c r="D10" s="27" t="s">
        <v>203</v>
      </c>
      <c r="E10" s="16" t="s">
        <v>31</v>
      </c>
      <c r="F10" s="27" t="s">
        <v>164</v>
      </c>
      <c r="G10" s="175">
        <v>30317</v>
      </c>
      <c r="H10" s="27" t="s">
        <v>906</v>
      </c>
      <c r="I10" s="27" t="s">
        <v>919</v>
      </c>
      <c r="J10" s="184" t="s">
        <v>3266</v>
      </c>
      <c r="K10" s="188">
        <v>0</v>
      </c>
      <c r="L10" s="27" t="s">
        <v>929</v>
      </c>
      <c r="M10" s="27" t="s">
        <v>939</v>
      </c>
      <c r="N10" s="16" t="s">
        <v>3258</v>
      </c>
      <c r="O10" s="27" t="s">
        <v>941</v>
      </c>
      <c r="P10" s="186">
        <v>45047</v>
      </c>
      <c r="Q10" s="18" t="s">
        <v>35</v>
      </c>
      <c r="R10" s="187">
        <v>9906095.9000000004</v>
      </c>
      <c r="S10" s="187">
        <v>9906.0959000000003</v>
      </c>
      <c r="T10" s="27"/>
      <c r="U10" s="27"/>
      <c r="V10" s="27" t="s">
        <v>37</v>
      </c>
      <c r="W10" s="185">
        <v>2.7629747407187818E-2</v>
      </c>
      <c r="X10" s="185">
        <v>4.2732260663773955E-3</v>
      </c>
    </row>
    <row r="11" spans="1:25">
      <c r="A11" s="27">
        <v>424</v>
      </c>
      <c r="B11" s="27">
        <v>7228</v>
      </c>
      <c r="C11" s="184" t="s">
        <v>3267</v>
      </c>
      <c r="D11" s="27" t="s">
        <v>203</v>
      </c>
      <c r="E11" s="16" t="s">
        <v>31</v>
      </c>
      <c r="F11" s="27" t="s">
        <v>164</v>
      </c>
      <c r="G11" s="175">
        <v>30317</v>
      </c>
      <c r="H11" s="27" t="s">
        <v>906</v>
      </c>
      <c r="I11" s="27" t="s">
        <v>919</v>
      </c>
      <c r="J11" s="184" t="s">
        <v>3267</v>
      </c>
      <c r="K11" s="188">
        <v>-7.3910601546194332E-3</v>
      </c>
      <c r="L11" s="27" t="s">
        <v>929</v>
      </c>
      <c r="M11" s="27" t="s">
        <v>939</v>
      </c>
      <c r="N11" s="16" t="s">
        <v>3258</v>
      </c>
      <c r="O11" s="27" t="s">
        <v>941</v>
      </c>
      <c r="P11" s="186">
        <v>45323</v>
      </c>
      <c r="Q11" s="18" t="s">
        <v>35</v>
      </c>
      <c r="R11" s="187">
        <v>11132842.5798</v>
      </c>
      <c r="S11" s="187">
        <v>11132.842579800001</v>
      </c>
      <c r="T11" s="27"/>
      <c r="U11" s="27"/>
      <c r="V11" s="27" t="s">
        <v>37</v>
      </c>
      <c r="W11" s="185">
        <v>3.1051347726591176E-2</v>
      </c>
      <c r="X11" s="185">
        <v>4.8024119274756392E-3</v>
      </c>
    </row>
    <row r="12" spans="1:25">
      <c r="A12" s="27">
        <v>424</v>
      </c>
      <c r="B12" s="27">
        <v>7228</v>
      </c>
      <c r="C12" s="189" t="s">
        <v>3268</v>
      </c>
      <c r="D12" s="27" t="s">
        <v>203</v>
      </c>
      <c r="E12" s="16" t="s">
        <v>31</v>
      </c>
      <c r="F12" s="27" t="s">
        <v>164</v>
      </c>
      <c r="G12" s="175">
        <v>30317</v>
      </c>
      <c r="H12" s="27" t="s">
        <v>906</v>
      </c>
      <c r="I12" s="27" t="s">
        <v>919</v>
      </c>
      <c r="J12" s="189" t="s">
        <v>3268</v>
      </c>
      <c r="K12" s="188">
        <v>0</v>
      </c>
      <c r="L12" s="27" t="s">
        <v>929</v>
      </c>
      <c r="M12" s="27" t="s">
        <v>939</v>
      </c>
      <c r="N12" s="16" t="s">
        <v>3258</v>
      </c>
      <c r="O12" s="27" t="s">
        <v>941</v>
      </c>
      <c r="P12" s="186">
        <v>45047</v>
      </c>
      <c r="Q12" s="18" t="s">
        <v>35</v>
      </c>
      <c r="R12" s="187">
        <v>27687330.800000001</v>
      </c>
      <c r="S12" s="187">
        <v>27687.3308</v>
      </c>
      <c r="T12" s="27"/>
      <c r="U12" s="27"/>
      <c r="V12" s="27" t="s">
        <v>37</v>
      </c>
      <c r="W12" s="185">
        <v>7.7224565974901516E-2</v>
      </c>
      <c r="X12" s="185">
        <v>1.1943577457489958E-2</v>
      </c>
    </row>
    <row r="13" spans="1:25">
      <c r="A13" s="27">
        <v>424</v>
      </c>
      <c r="B13" s="27">
        <v>7228</v>
      </c>
      <c r="C13" s="184" t="s">
        <v>3269</v>
      </c>
      <c r="D13" s="27" t="s">
        <v>203</v>
      </c>
      <c r="E13" s="16" t="s">
        <v>31</v>
      </c>
      <c r="F13" s="27" t="s">
        <v>164</v>
      </c>
      <c r="G13" s="175">
        <v>30317</v>
      </c>
      <c r="H13" s="27" t="s">
        <v>906</v>
      </c>
      <c r="I13" s="27" t="s">
        <v>919</v>
      </c>
      <c r="J13" s="184" t="s">
        <v>3269</v>
      </c>
      <c r="K13" s="188">
        <v>0</v>
      </c>
      <c r="L13" s="27" t="s">
        <v>929</v>
      </c>
      <c r="M13" s="27" t="s">
        <v>939</v>
      </c>
      <c r="N13" s="16" t="s">
        <v>3258</v>
      </c>
      <c r="O13" s="27" t="s">
        <v>941</v>
      </c>
      <c r="P13" s="186">
        <v>45047</v>
      </c>
      <c r="Q13" s="18" t="s">
        <v>35</v>
      </c>
      <c r="R13" s="187">
        <v>18402956.400000002</v>
      </c>
      <c r="S13" s="187">
        <v>18402.956400000003</v>
      </c>
      <c r="T13" s="27"/>
      <c r="U13" s="27"/>
      <c r="V13" s="27" t="s">
        <v>37</v>
      </c>
      <c r="W13" s="185">
        <v>5.1328903133018376E-2</v>
      </c>
      <c r="X13" s="185">
        <v>7.9385454956969193E-3</v>
      </c>
    </row>
    <row r="14" spans="1:25">
      <c r="A14" s="27">
        <v>424</v>
      </c>
      <c r="B14" s="27">
        <v>7228</v>
      </c>
      <c r="C14" s="189" t="s">
        <v>3270</v>
      </c>
      <c r="D14" s="27" t="s">
        <v>203</v>
      </c>
      <c r="E14" s="16" t="s">
        <v>31</v>
      </c>
      <c r="F14" s="27" t="s">
        <v>164</v>
      </c>
      <c r="G14" s="175">
        <v>30317</v>
      </c>
      <c r="H14" s="27" t="s">
        <v>906</v>
      </c>
      <c r="I14" s="27" t="s">
        <v>919</v>
      </c>
      <c r="J14" s="189" t="s">
        <v>3270</v>
      </c>
      <c r="K14" s="188">
        <v>-1.4858841010401136E-2</v>
      </c>
      <c r="L14" s="27" t="s">
        <v>929</v>
      </c>
      <c r="M14" s="27" t="s">
        <v>939</v>
      </c>
      <c r="N14" s="16" t="s">
        <v>3258</v>
      </c>
      <c r="O14" s="27" t="s">
        <v>941</v>
      </c>
      <c r="P14" s="186">
        <v>45323</v>
      </c>
      <c r="Q14" s="18" t="s">
        <v>35</v>
      </c>
      <c r="R14" s="187">
        <v>54960180.600000001</v>
      </c>
      <c r="S14" s="187">
        <v>54960.1806</v>
      </c>
      <c r="T14" s="27"/>
      <c r="U14" s="27"/>
      <c r="V14" s="27" t="s">
        <v>37</v>
      </c>
      <c r="W14" s="185">
        <v>0.15329307557293323</v>
      </c>
      <c r="X14" s="185">
        <v>2.3708358845257013E-2</v>
      </c>
    </row>
    <row r="15" spans="1:25">
      <c r="A15" s="27">
        <v>424</v>
      </c>
      <c r="B15" s="27">
        <v>7228</v>
      </c>
      <c r="C15" s="184" t="s">
        <v>3271</v>
      </c>
      <c r="D15" s="27" t="s">
        <v>203</v>
      </c>
      <c r="E15" s="16" t="s">
        <v>31</v>
      </c>
      <c r="F15" s="27" t="s">
        <v>164</v>
      </c>
      <c r="G15" s="175">
        <v>30317</v>
      </c>
      <c r="H15" s="27" t="s">
        <v>906</v>
      </c>
      <c r="I15" s="27" t="s">
        <v>919</v>
      </c>
      <c r="J15" s="184" t="s">
        <v>3271</v>
      </c>
      <c r="K15" s="188">
        <v>0</v>
      </c>
      <c r="L15" s="27" t="s">
        <v>929</v>
      </c>
      <c r="M15" s="27" t="s">
        <v>939</v>
      </c>
      <c r="N15" s="16" t="s">
        <v>3258</v>
      </c>
      <c r="O15" s="27" t="s">
        <v>941</v>
      </c>
      <c r="P15" s="186">
        <v>45139</v>
      </c>
      <c r="Q15" s="18" t="s">
        <v>35</v>
      </c>
      <c r="R15" s="187">
        <v>26609680.199999999</v>
      </c>
      <c r="S15" s="187">
        <v>26609.680199999999</v>
      </c>
      <c r="T15" s="27"/>
      <c r="U15" s="27"/>
      <c r="V15" s="27" t="s">
        <v>37</v>
      </c>
      <c r="W15" s="185">
        <v>7.4218819395040075E-2</v>
      </c>
      <c r="X15" s="185">
        <v>1.1478707676210408E-2</v>
      </c>
    </row>
    <row r="16" spans="1:25">
      <c r="A16" s="27">
        <v>424</v>
      </c>
      <c r="B16" s="27">
        <v>7228</v>
      </c>
      <c r="C16" s="189" t="s">
        <v>3272</v>
      </c>
      <c r="D16" s="27" t="s">
        <v>203</v>
      </c>
      <c r="E16" s="16" t="s">
        <v>31</v>
      </c>
      <c r="F16" s="27" t="s">
        <v>164</v>
      </c>
      <c r="G16" s="175">
        <v>30317</v>
      </c>
      <c r="H16" s="27" t="s">
        <v>906</v>
      </c>
      <c r="I16" s="27" t="s">
        <v>919</v>
      </c>
      <c r="J16" s="189" t="s">
        <v>3272</v>
      </c>
      <c r="K16" s="188">
        <v>0</v>
      </c>
      <c r="L16" s="27" t="s">
        <v>929</v>
      </c>
      <c r="M16" s="27" t="s">
        <v>939</v>
      </c>
      <c r="N16" s="16" t="s">
        <v>3258</v>
      </c>
      <c r="O16" s="27" t="s">
        <v>941</v>
      </c>
      <c r="P16" s="186">
        <v>45139</v>
      </c>
      <c r="Q16" s="18" t="s">
        <v>35</v>
      </c>
      <c r="R16" s="187">
        <v>63001112</v>
      </c>
      <c r="S16" s="187">
        <v>63001.112000000001</v>
      </c>
      <c r="T16" s="27"/>
      <c r="U16" s="27"/>
      <c r="V16" s="27" t="s">
        <v>37</v>
      </c>
      <c r="W16" s="185">
        <v>0.17572056928420704</v>
      </c>
      <c r="X16" s="185">
        <v>2.717700259788134E-2</v>
      </c>
    </row>
    <row r="17" spans="1:24">
      <c r="A17" s="27">
        <v>424</v>
      </c>
      <c r="B17" s="27">
        <v>7229</v>
      </c>
      <c r="C17" s="184" t="s">
        <v>3257</v>
      </c>
      <c r="D17" s="27" t="s">
        <v>203</v>
      </c>
      <c r="E17" s="16" t="s">
        <v>31</v>
      </c>
      <c r="F17" s="27" t="s">
        <v>164</v>
      </c>
      <c r="G17" s="175">
        <v>30317</v>
      </c>
      <c r="H17" s="27" t="s">
        <v>906</v>
      </c>
      <c r="I17" s="27" t="s">
        <v>919</v>
      </c>
      <c r="J17" s="184" t="s">
        <v>3257</v>
      </c>
      <c r="K17" s="185">
        <v>0</v>
      </c>
      <c r="L17" s="27" t="s">
        <v>929</v>
      </c>
      <c r="M17" s="27" t="s">
        <v>939</v>
      </c>
      <c r="N17" s="16" t="s">
        <v>3258</v>
      </c>
      <c r="O17" s="27" t="s">
        <v>941</v>
      </c>
      <c r="P17" s="186">
        <v>45139</v>
      </c>
      <c r="Q17" s="18" t="s">
        <v>35</v>
      </c>
      <c r="R17" s="187">
        <v>151009.60000000001</v>
      </c>
      <c r="S17" s="187">
        <v>151.00960000000001</v>
      </c>
      <c r="T17" s="27"/>
      <c r="U17" s="27"/>
      <c r="V17" s="27" t="s">
        <v>37</v>
      </c>
      <c r="W17" s="185">
        <v>6.4276734553959953E-3</v>
      </c>
      <c r="X17" s="185">
        <v>1.053646999243288E-3</v>
      </c>
    </row>
    <row r="18" spans="1:24">
      <c r="A18" s="27">
        <v>424</v>
      </c>
      <c r="B18" s="27">
        <v>7229</v>
      </c>
      <c r="C18" s="184" t="s">
        <v>3259</v>
      </c>
      <c r="D18" s="27" t="s">
        <v>203</v>
      </c>
      <c r="E18" s="16" t="s">
        <v>31</v>
      </c>
      <c r="F18" s="27" t="s">
        <v>164</v>
      </c>
      <c r="G18" s="175">
        <v>30317</v>
      </c>
      <c r="H18" s="27" t="s">
        <v>908</v>
      </c>
      <c r="I18" s="27" t="s">
        <v>919</v>
      </c>
      <c r="J18" s="184" t="s">
        <v>3259</v>
      </c>
      <c r="K18" s="185">
        <v>0</v>
      </c>
      <c r="L18" s="27" t="s">
        <v>929</v>
      </c>
      <c r="M18" s="27" t="s">
        <v>939</v>
      </c>
      <c r="N18" s="16" t="s">
        <v>3258</v>
      </c>
      <c r="O18" s="27" t="s">
        <v>941</v>
      </c>
      <c r="P18" s="186">
        <v>45139</v>
      </c>
      <c r="Q18" s="18" t="s">
        <v>35</v>
      </c>
      <c r="R18" s="187">
        <v>138516</v>
      </c>
      <c r="S18" s="187">
        <v>138.51599999999999</v>
      </c>
      <c r="T18" s="27"/>
      <c r="U18" s="27"/>
      <c r="V18" s="27" t="s">
        <v>37</v>
      </c>
      <c r="W18" s="185">
        <v>5.8958875220358944E-3</v>
      </c>
      <c r="X18" s="185">
        <v>9.6647476549294414E-4</v>
      </c>
    </row>
    <row r="19" spans="1:24">
      <c r="A19" s="27">
        <v>424</v>
      </c>
      <c r="B19" s="27">
        <v>7229</v>
      </c>
      <c r="C19" s="184" t="s">
        <v>3260</v>
      </c>
      <c r="D19" s="27" t="s">
        <v>203</v>
      </c>
      <c r="E19" s="16" t="s">
        <v>31</v>
      </c>
      <c r="F19" s="27" t="s">
        <v>164</v>
      </c>
      <c r="G19" s="175">
        <v>30317</v>
      </c>
      <c r="H19" s="27" t="s">
        <v>906</v>
      </c>
      <c r="I19" s="27" t="s">
        <v>919</v>
      </c>
      <c r="J19" s="184" t="s">
        <v>3260</v>
      </c>
      <c r="K19" s="185">
        <v>1.4836795252226587E-3</v>
      </c>
      <c r="L19" s="27" t="s">
        <v>929</v>
      </c>
      <c r="M19" s="27" t="s">
        <v>939</v>
      </c>
      <c r="N19" s="16" t="s">
        <v>3258</v>
      </c>
      <c r="O19" s="27" t="s">
        <v>941</v>
      </c>
      <c r="P19" s="186">
        <v>45323</v>
      </c>
      <c r="Q19" s="18" t="s">
        <v>35</v>
      </c>
      <c r="R19" s="187">
        <v>1833300</v>
      </c>
      <c r="S19" s="187">
        <v>1833.3</v>
      </c>
      <c r="T19" s="27"/>
      <c r="U19" s="27"/>
      <c r="V19" s="27" t="s">
        <v>37</v>
      </c>
      <c r="W19" s="185">
        <v>7.8033805438710371E-2</v>
      </c>
      <c r="X19" s="185">
        <v>1.2791577778583084E-2</v>
      </c>
    </row>
    <row r="20" spans="1:24">
      <c r="A20" s="27">
        <v>424</v>
      </c>
      <c r="B20" s="27">
        <v>7229</v>
      </c>
      <c r="C20" s="184" t="s">
        <v>3261</v>
      </c>
      <c r="D20" s="27" t="s">
        <v>203</v>
      </c>
      <c r="E20" s="16" t="s">
        <v>31</v>
      </c>
      <c r="F20" s="27" t="s">
        <v>164</v>
      </c>
      <c r="G20" s="175">
        <v>30317</v>
      </c>
      <c r="H20" s="27" t="s">
        <v>906</v>
      </c>
      <c r="I20" s="27" t="s">
        <v>919</v>
      </c>
      <c r="J20" s="184" t="s">
        <v>3261</v>
      </c>
      <c r="K20" s="185">
        <v>0</v>
      </c>
      <c r="L20" s="27" t="s">
        <v>929</v>
      </c>
      <c r="M20" s="27" t="s">
        <v>939</v>
      </c>
      <c r="N20" s="16" t="s">
        <v>3258</v>
      </c>
      <c r="O20" s="27" t="s">
        <v>941</v>
      </c>
      <c r="P20" s="186">
        <v>45139</v>
      </c>
      <c r="Q20" s="18" t="s">
        <v>35</v>
      </c>
      <c r="R20" s="187">
        <v>1993544</v>
      </c>
      <c r="S20" s="187">
        <v>1993.5440000000001</v>
      </c>
      <c r="V20" s="27" t="s">
        <v>37</v>
      </c>
      <c r="W20" s="185">
        <v>8.4854538062242094E-2</v>
      </c>
      <c r="X20" s="185">
        <v>1.3909656428859236E-2</v>
      </c>
    </row>
    <row r="21" spans="1:24">
      <c r="A21" s="27">
        <v>424</v>
      </c>
      <c r="B21" s="27">
        <v>7229</v>
      </c>
      <c r="C21" s="184" t="s">
        <v>3262</v>
      </c>
      <c r="D21" s="27" t="s">
        <v>203</v>
      </c>
      <c r="E21" s="16" t="s">
        <v>31</v>
      </c>
      <c r="F21" s="27" t="s">
        <v>164</v>
      </c>
      <c r="G21" s="175">
        <v>30317</v>
      </c>
      <c r="H21" s="27" t="s">
        <v>906</v>
      </c>
      <c r="I21" s="27" t="s">
        <v>919</v>
      </c>
      <c r="J21" s="184" t="s">
        <v>3262</v>
      </c>
      <c r="K21" s="188">
        <v>0</v>
      </c>
      <c r="L21" s="27" t="s">
        <v>929</v>
      </c>
      <c r="M21" s="27" t="s">
        <v>939</v>
      </c>
      <c r="N21" s="16" t="s">
        <v>3258</v>
      </c>
      <c r="O21" s="27" t="s">
        <v>941</v>
      </c>
      <c r="P21" s="186">
        <v>45139</v>
      </c>
      <c r="Q21" s="18" t="s">
        <v>35</v>
      </c>
      <c r="R21" s="187">
        <v>1770832</v>
      </c>
      <c r="S21" s="187">
        <v>1770.8320000000001</v>
      </c>
      <c r="V21" s="11" t="s">
        <v>37</v>
      </c>
      <c r="W21" s="185">
        <v>7.5374875771909863E-2</v>
      </c>
      <c r="X21" s="185">
        <v>1.2355716609831363E-2</v>
      </c>
    </row>
    <row r="22" spans="1:24">
      <c r="A22" s="27">
        <v>424</v>
      </c>
      <c r="B22" s="27">
        <v>7229</v>
      </c>
      <c r="C22" s="184" t="s">
        <v>3263</v>
      </c>
      <c r="D22" s="27" t="s">
        <v>203</v>
      </c>
      <c r="E22" s="16" t="s">
        <v>31</v>
      </c>
      <c r="F22" s="27" t="s">
        <v>164</v>
      </c>
      <c r="G22" s="175">
        <v>30317</v>
      </c>
      <c r="H22" s="27" t="s">
        <v>906</v>
      </c>
      <c r="I22" s="27" t="s">
        <v>919</v>
      </c>
      <c r="J22" s="184" t="s">
        <v>3263</v>
      </c>
      <c r="K22" s="188">
        <v>0</v>
      </c>
      <c r="L22" s="27" t="s">
        <v>929</v>
      </c>
      <c r="M22" s="27" t="s">
        <v>939</v>
      </c>
      <c r="N22" s="16" t="s">
        <v>3258</v>
      </c>
      <c r="O22" s="27" t="s">
        <v>941</v>
      </c>
      <c r="P22" s="186">
        <v>45047</v>
      </c>
      <c r="Q22" s="18" t="s">
        <v>35</v>
      </c>
      <c r="R22" s="187">
        <v>556780</v>
      </c>
      <c r="S22" s="187">
        <v>556.78</v>
      </c>
      <c r="V22" s="11" t="s">
        <v>37</v>
      </c>
      <c r="W22" s="185">
        <v>2.3699155725830558E-2</v>
      </c>
      <c r="X22" s="185">
        <v>3.8848495475696772E-3</v>
      </c>
    </row>
    <row r="23" spans="1:24">
      <c r="A23" s="27">
        <v>424</v>
      </c>
      <c r="B23" s="27">
        <v>7229</v>
      </c>
      <c r="C23" s="189" t="s">
        <v>3264</v>
      </c>
      <c r="D23" s="27" t="s">
        <v>203</v>
      </c>
      <c r="E23" s="16" t="s">
        <v>31</v>
      </c>
      <c r="F23" s="27" t="s">
        <v>164</v>
      </c>
      <c r="G23" s="175">
        <v>30317</v>
      </c>
      <c r="H23" s="27" t="s">
        <v>906</v>
      </c>
      <c r="I23" s="27" t="s">
        <v>919</v>
      </c>
      <c r="J23" s="189" t="s">
        <v>3264</v>
      </c>
      <c r="K23" s="188">
        <v>0</v>
      </c>
      <c r="L23" s="27" t="s">
        <v>929</v>
      </c>
      <c r="M23" s="27" t="s">
        <v>939</v>
      </c>
      <c r="N23" s="16" t="s">
        <v>3258</v>
      </c>
      <c r="O23" s="27" t="s">
        <v>941</v>
      </c>
      <c r="P23" s="186">
        <v>45231</v>
      </c>
      <c r="Q23" s="18" t="s">
        <v>35</v>
      </c>
      <c r="R23" s="187">
        <v>841688.4</v>
      </c>
      <c r="S23" s="187">
        <v>841.6884</v>
      </c>
      <c r="V23" s="11" t="s">
        <v>37</v>
      </c>
      <c r="W23" s="185">
        <v>3.5826187119194587E-2</v>
      </c>
      <c r="X23" s="185">
        <v>5.872755486789478E-3</v>
      </c>
    </row>
    <row r="24" spans="1:24">
      <c r="A24" s="27">
        <v>424</v>
      </c>
      <c r="B24" s="27">
        <v>7229</v>
      </c>
      <c r="C24" s="189" t="s">
        <v>3265</v>
      </c>
      <c r="D24" s="27" t="s">
        <v>203</v>
      </c>
      <c r="E24" s="16" t="s">
        <v>31</v>
      </c>
      <c r="F24" s="27" t="s">
        <v>164</v>
      </c>
      <c r="G24" s="175">
        <v>30317</v>
      </c>
      <c r="H24" s="27" t="s">
        <v>906</v>
      </c>
      <c r="I24" s="27" t="s">
        <v>919</v>
      </c>
      <c r="J24" s="189" t="s">
        <v>3265</v>
      </c>
      <c r="K24" s="188">
        <v>0</v>
      </c>
      <c r="L24" s="27" t="s">
        <v>929</v>
      </c>
      <c r="M24" s="27" t="s">
        <v>939</v>
      </c>
      <c r="N24" s="16" t="s">
        <v>3258</v>
      </c>
      <c r="O24" s="27" t="s">
        <v>941</v>
      </c>
      <c r="P24" s="186">
        <v>45231</v>
      </c>
      <c r="Q24" s="18" t="s">
        <v>35</v>
      </c>
      <c r="R24" s="187">
        <v>2335760</v>
      </c>
      <c r="S24" s="187">
        <v>2335.7600000000002</v>
      </c>
      <c r="V24" s="11" t="s">
        <v>37</v>
      </c>
      <c r="W24" s="185">
        <v>9.9420848410801357E-2</v>
      </c>
      <c r="X24" s="185">
        <v>1.6297417614194745E-2</v>
      </c>
    </row>
    <row r="25" spans="1:24">
      <c r="A25" s="27">
        <v>424</v>
      </c>
      <c r="B25" s="27">
        <v>7229</v>
      </c>
      <c r="C25" s="184" t="s">
        <v>3266</v>
      </c>
      <c r="D25" s="27" t="s">
        <v>203</v>
      </c>
      <c r="E25" s="16" t="s">
        <v>31</v>
      </c>
      <c r="F25" s="27" t="s">
        <v>164</v>
      </c>
      <c r="G25" s="175">
        <v>30317</v>
      </c>
      <c r="H25" s="27" t="s">
        <v>906</v>
      </c>
      <c r="I25" s="27" t="s">
        <v>919</v>
      </c>
      <c r="J25" s="184" t="s">
        <v>3266</v>
      </c>
      <c r="K25" s="188">
        <v>0</v>
      </c>
      <c r="L25" s="27" t="s">
        <v>929</v>
      </c>
      <c r="M25" s="27" t="s">
        <v>939</v>
      </c>
      <c r="N25" s="16" t="s">
        <v>3258</v>
      </c>
      <c r="O25" s="27" t="s">
        <v>941</v>
      </c>
      <c r="P25" s="186">
        <v>45047</v>
      </c>
      <c r="Q25" s="18" t="s">
        <v>35</v>
      </c>
      <c r="R25" s="187">
        <v>649124</v>
      </c>
      <c r="S25" s="187">
        <v>649.12400000000002</v>
      </c>
      <c r="V25" s="11" t="s">
        <v>37</v>
      </c>
      <c r="W25" s="185">
        <v>2.7629747407187821E-2</v>
      </c>
      <c r="X25" s="185">
        <v>4.5291660578983071E-3</v>
      </c>
    </row>
    <row r="26" spans="1:24">
      <c r="A26" s="27">
        <v>424</v>
      </c>
      <c r="B26" s="27">
        <v>7229</v>
      </c>
      <c r="C26" s="184" t="s">
        <v>3267</v>
      </c>
      <c r="D26" s="27" t="s">
        <v>203</v>
      </c>
      <c r="E26" s="16" t="s">
        <v>31</v>
      </c>
      <c r="F26" s="27" t="s">
        <v>164</v>
      </c>
      <c r="G26" s="175">
        <v>30317</v>
      </c>
      <c r="H26" s="27" t="s">
        <v>906</v>
      </c>
      <c r="I26" s="27" t="s">
        <v>919</v>
      </c>
      <c r="J26" s="184" t="s">
        <v>3267</v>
      </c>
      <c r="K26" s="188">
        <v>-7.3910601546194332E-3</v>
      </c>
      <c r="L26" s="27" t="s">
        <v>929</v>
      </c>
      <c r="M26" s="27" t="s">
        <v>939</v>
      </c>
      <c r="N26" s="16" t="s">
        <v>3258</v>
      </c>
      <c r="O26" s="27" t="s">
        <v>941</v>
      </c>
      <c r="P26" s="186">
        <v>45323</v>
      </c>
      <c r="Q26" s="18" t="s">
        <v>35</v>
      </c>
      <c r="R26" s="187">
        <v>729509.92800000007</v>
      </c>
      <c r="S26" s="187">
        <v>729.50992800000006</v>
      </c>
      <c r="V26" s="11" t="s">
        <v>37</v>
      </c>
      <c r="W26" s="185">
        <v>3.1051347726591183E-2</v>
      </c>
      <c r="X26" s="185">
        <v>5.0900469013585043E-3</v>
      </c>
    </row>
    <row r="27" spans="1:24">
      <c r="A27" s="27">
        <v>424</v>
      </c>
      <c r="B27" s="27">
        <v>7229</v>
      </c>
      <c r="C27" s="189" t="s">
        <v>3268</v>
      </c>
      <c r="D27" s="27" t="s">
        <v>203</v>
      </c>
      <c r="E27" s="16" t="s">
        <v>31</v>
      </c>
      <c r="F27" s="27" t="s">
        <v>164</v>
      </c>
      <c r="G27" s="175">
        <v>30317</v>
      </c>
      <c r="H27" s="27" t="s">
        <v>906</v>
      </c>
      <c r="I27" s="27" t="s">
        <v>919</v>
      </c>
      <c r="J27" s="189" t="s">
        <v>3268</v>
      </c>
      <c r="K27" s="188">
        <v>0</v>
      </c>
      <c r="L27" s="27" t="s">
        <v>929</v>
      </c>
      <c r="M27" s="27" t="s">
        <v>939</v>
      </c>
      <c r="N27" s="16" t="s">
        <v>3258</v>
      </c>
      <c r="O27" s="27" t="s">
        <v>941</v>
      </c>
      <c r="P27" s="186">
        <v>45047</v>
      </c>
      <c r="Q27" s="18" t="s">
        <v>35</v>
      </c>
      <c r="R27" s="187">
        <v>1814288</v>
      </c>
      <c r="S27" s="187">
        <v>1814.288</v>
      </c>
      <c r="V27" s="11" t="s">
        <v>37</v>
      </c>
      <c r="W27" s="185">
        <v>7.7224565974901516E-2</v>
      </c>
      <c r="X27" s="185">
        <v>1.2658924379397777E-2</v>
      </c>
    </row>
    <row r="28" spans="1:24">
      <c r="A28" s="27">
        <v>424</v>
      </c>
      <c r="B28" s="27">
        <v>7229</v>
      </c>
      <c r="C28" s="184" t="s">
        <v>3269</v>
      </c>
      <c r="D28" s="27" t="s">
        <v>203</v>
      </c>
      <c r="E28" s="16" t="s">
        <v>31</v>
      </c>
      <c r="F28" s="27" t="s">
        <v>164</v>
      </c>
      <c r="G28" s="175">
        <v>30317</v>
      </c>
      <c r="H28" s="27" t="s">
        <v>906</v>
      </c>
      <c r="I28" s="27" t="s">
        <v>919</v>
      </c>
      <c r="J28" s="184" t="s">
        <v>3269</v>
      </c>
      <c r="K28" s="188">
        <v>0</v>
      </c>
      <c r="L28" s="27" t="s">
        <v>929</v>
      </c>
      <c r="M28" s="27" t="s">
        <v>939</v>
      </c>
      <c r="N28" s="16" t="s">
        <v>3258</v>
      </c>
      <c r="O28" s="27" t="s">
        <v>941</v>
      </c>
      <c r="P28" s="186">
        <v>45047</v>
      </c>
      <c r="Q28" s="18" t="s">
        <v>35</v>
      </c>
      <c r="R28" s="187">
        <v>1205904</v>
      </c>
      <c r="S28" s="187">
        <v>1205.904</v>
      </c>
      <c r="V28" s="11" t="s">
        <v>37</v>
      </c>
      <c r="W28" s="185">
        <v>5.1328903133018376E-2</v>
      </c>
      <c r="X28" s="185">
        <v>8.4140156054679834E-3</v>
      </c>
    </row>
    <row r="29" spans="1:24">
      <c r="A29" s="27">
        <v>424</v>
      </c>
      <c r="B29" s="27">
        <v>7229</v>
      </c>
      <c r="C29" s="189" t="s">
        <v>3270</v>
      </c>
      <c r="D29" s="27" t="s">
        <v>203</v>
      </c>
      <c r="E29" s="16" t="s">
        <v>31</v>
      </c>
      <c r="F29" s="27" t="s">
        <v>164</v>
      </c>
      <c r="G29" s="175">
        <v>30317</v>
      </c>
      <c r="H29" s="27" t="s">
        <v>906</v>
      </c>
      <c r="I29" s="27" t="s">
        <v>919</v>
      </c>
      <c r="J29" s="189" t="s">
        <v>3270</v>
      </c>
      <c r="K29" s="188">
        <v>-1.4858841010401136E-2</v>
      </c>
      <c r="L29" s="27" t="s">
        <v>929</v>
      </c>
      <c r="M29" s="27" t="s">
        <v>939</v>
      </c>
      <c r="N29" s="16" t="s">
        <v>3258</v>
      </c>
      <c r="O29" s="27" t="s">
        <v>941</v>
      </c>
      <c r="P29" s="186">
        <v>45323</v>
      </c>
      <c r="Q29" s="18" t="s">
        <v>35</v>
      </c>
      <c r="R29" s="187">
        <v>3601416</v>
      </c>
      <c r="S29" s="187">
        <v>3601.4160000000002</v>
      </c>
      <c r="V29" s="11" t="s">
        <v>37</v>
      </c>
      <c r="W29" s="185">
        <v>0.15329307557293326</v>
      </c>
      <c r="X29" s="185">
        <v>2.5128343902816548E-2</v>
      </c>
    </row>
    <row r="30" spans="1:24">
      <c r="A30" s="27">
        <v>424</v>
      </c>
      <c r="B30" s="27">
        <v>7229</v>
      </c>
      <c r="C30" s="184" t="s">
        <v>3271</v>
      </c>
      <c r="D30" s="27" t="s">
        <v>203</v>
      </c>
      <c r="E30" s="16" t="s">
        <v>31</v>
      </c>
      <c r="F30" s="27" t="s">
        <v>164</v>
      </c>
      <c r="G30" s="175">
        <v>30317</v>
      </c>
      <c r="H30" s="27" t="s">
        <v>906</v>
      </c>
      <c r="I30" s="27" t="s">
        <v>919</v>
      </c>
      <c r="J30" s="184" t="s">
        <v>3271</v>
      </c>
      <c r="K30" s="188">
        <v>0</v>
      </c>
      <c r="L30" s="27" t="s">
        <v>929</v>
      </c>
      <c r="M30" s="27" t="s">
        <v>939</v>
      </c>
      <c r="N30" s="16" t="s">
        <v>3258</v>
      </c>
      <c r="O30" s="27" t="s">
        <v>941</v>
      </c>
      <c r="P30" s="186">
        <v>45139</v>
      </c>
      <c r="Q30" s="18" t="s">
        <v>35</v>
      </c>
      <c r="R30" s="187">
        <v>1743672</v>
      </c>
      <c r="S30" s="187">
        <v>1743.672</v>
      </c>
      <c r="V30" s="11" t="s">
        <v>37</v>
      </c>
      <c r="W30" s="185">
        <v>7.4218819395040089E-2</v>
      </c>
      <c r="X30" s="185">
        <v>1.2166211753852355E-2</v>
      </c>
    </row>
    <row r="31" spans="1:24">
      <c r="A31" s="27">
        <v>424</v>
      </c>
      <c r="B31" s="27">
        <v>7229</v>
      </c>
      <c r="C31" s="189" t="s">
        <v>3272</v>
      </c>
      <c r="D31" s="27" t="s">
        <v>203</v>
      </c>
      <c r="E31" s="16" t="s">
        <v>31</v>
      </c>
      <c r="F31" s="27" t="s">
        <v>164</v>
      </c>
      <c r="G31" s="175">
        <v>30317</v>
      </c>
      <c r="H31" s="27" t="s">
        <v>906</v>
      </c>
      <c r="I31" s="27" t="s">
        <v>919</v>
      </c>
      <c r="J31" s="189" t="s">
        <v>3272</v>
      </c>
      <c r="K31" s="188">
        <v>0</v>
      </c>
      <c r="L31" s="27" t="s">
        <v>929</v>
      </c>
      <c r="M31" s="27" t="s">
        <v>939</v>
      </c>
      <c r="N31" s="16" t="s">
        <v>3258</v>
      </c>
      <c r="O31" s="27" t="s">
        <v>941</v>
      </c>
      <c r="P31" s="186">
        <v>45139</v>
      </c>
      <c r="Q31" s="18" t="s">
        <v>35</v>
      </c>
      <c r="R31" s="187">
        <v>4128320</v>
      </c>
      <c r="S31" s="187">
        <v>4128.32</v>
      </c>
      <c r="V31" s="11" t="s">
        <v>37</v>
      </c>
      <c r="W31" s="185">
        <v>0.17572056928420707</v>
      </c>
      <c r="X31" s="185">
        <v>2.8804738108809316E-2</v>
      </c>
    </row>
    <row r="32" spans="1:24">
      <c r="A32" s="27">
        <v>1182</v>
      </c>
      <c r="B32" s="27">
        <v>1182</v>
      </c>
      <c r="C32" s="184" t="s">
        <v>3257</v>
      </c>
      <c r="D32" s="27" t="s">
        <v>203</v>
      </c>
      <c r="E32" s="16" t="s">
        <v>31</v>
      </c>
      <c r="F32" s="27" t="s">
        <v>164</v>
      </c>
      <c r="G32" s="175">
        <v>30317</v>
      </c>
      <c r="H32" s="27" t="s">
        <v>906</v>
      </c>
      <c r="I32" s="27" t="s">
        <v>919</v>
      </c>
      <c r="J32" s="184" t="s">
        <v>3257</v>
      </c>
      <c r="K32" s="185">
        <v>0</v>
      </c>
      <c r="L32" s="27" t="s">
        <v>929</v>
      </c>
      <c r="M32" s="27" t="s">
        <v>939</v>
      </c>
      <c r="N32" s="16" t="s">
        <v>3258</v>
      </c>
      <c r="O32" s="27" t="s">
        <v>941</v>
      </c>
      <c r="P32" s="186">
        <v>45139</v>
      </c>
      <c r="Q32" s="18" t="s">
        <v>35</v>
      </c>
      <c r="R32" s="187">
        <v>229480.65999999997</v>
      </c>
      <c r="S32" s="187">
        <v>229.48065999999997</v>
      </c>
      <c r="V32" s="11" t="s">
        <v>37</v>
      </c>
      <c r="W32" s="185">
        <v>6.4276734553959953E-3</v>
      </c>
      <c r="X32" s="185">
        <v>6.0399589372893414E-4</v>
      </c>
    </row>
    <row r="33" spans="1:24">
      <c r="A33" s="27">
        <v>1182</v>
      </c>
      <c r="B33" s="27">
        <v>1182</v>
      </c>
      <c r="C33" s="184" t="s">
        <v>3259</v>
      </c>
      <c r="D33" s="27" t="s">
        <v>203</v>
      </c>
      <c r="E33" s="16" t="s">
        <v>31</v>
      </c>
      <c r="F33" s="27" t="s">
        <v>164</v>
      </c>
      <c r="G33" s="175">
        <v>30317</v>
      </c>
      <c r="H33" s="27" t="s">
        <v>908</v>
      </c>
      <c r="I33" s="27" t="s">
        <v>919</v>
      </c>
      <c r="J33" s="184" t="s">
        <v>3259</v>
      </c>
      <c r="K33" s="185">
        <v>0</v>
      </c>
      <c r="L33" s="27" t="s">
        <v>929</v>
      </c>
      <c r="M33" s="27" t="s">
        <v>939</v>
      </c>
      <c r="N33" s="16" t="s">
        <v>3258</v>
      </c>
      <c r="O33" s="27" t="s">
        <v>941</v>
      </c>
      <c r="P33" s="186">
        <v>45139</v>
      </c>
      <c r="Q33" s="18" t="s">
        <v>35</v>
      </c>
      <c r="R33" s="187">
        <v>210494.84999999998</v>
      </c>
      <c r="S33" s="187">
        <v>210.49484999999999</v>
      </c>
      <c r="V33" s="11" t="s">
        <v>37</v>
      </c>
      <c r="W33" s="185">
        <v>5.8958875220358944E-3</v>
      </c>
      <c r="X33" s="185">
        <v>5.5402501043481369E-4</v>
      </c>
    </row>
    <row r="34" spans="1:24">
      <c r="A34" s="27">
        <v>1182</v>
      </c>
      <c r="B34" s="27">
        <v>1182</v>
      </c>
      <c r="C34" s="184" t="s">
        <v>3260</v>
      </c>
      <c r="D34" s="27" t="s">
        <v>203</v>
      </c>
      <c r="E34" s="16" t="s">
        <v>31</v>
      </c>
      <c r="F34" s="27" t="s">
        <v>164</v>
      </c>
      <c r="G34" s="175">
        <v>30317</v>
      </c>
      <c r="H34" s="27" t="s">
        <v>906</v>
      </c>
      <c r="I34" s="27" t="s">
        <v>919</v>
      </c>
      <c r="J34" s="184" t="s">
        <v>3260</v>
      </c>
      <c r="K34" s="185">
        <v>1.4836795252226587E-3</v>
      </c>
      <c r="L34" s="27" t="s">
        <v>929</v>
      </c>
      <c r="M34" s="27" t="s">
        <v>939</v>
      </c>
      <c r="N34" s="16" t="s">
        <v>3258</v>
      </c>
      <c r="O34" s="27" t="s">
        <v>941</v>
      </c>
      <c r="P34" s="186">
        <v>45323</v>
      </c>
      <c r="Q34" s="18" t="s">
        <v>35</v>
      </c>
      <c r="R34" s="187">
        <v>2785961.25</v>
      </c>
      <c r="S34" s="187">
        <v>2785.9612499999998</v>
      </c>
      <c r="V34" s="11" t="s">
        <v>37</v>
      </c>
      <c r="W34" s="185">
        <v>7.8033805438710385E-2</v>
      </c>
      <c r="X34" s="185">
        <v>7.3326839616372408E-3</v>
      </c>
    </row>
    <row r="35" spans="1:24">
      <c r="A35" s="27">
        <v>1182</v>
      </c>
      <c r="B35" s="27">
        <v>1182</v>
      </c>
      <c r="C35" s="184" t="s">
        <v>3261</v>
      </c>
      <c r="D35" s="27" t="s">
        <v>203</v>
      </c>
      <c r="E35" s="16" t="s">
        <v>31</v>
      </c>
      <c r="F35" s="27" t="s">
        <v>164</v>
      </c>
      <c r="G35" s="175">
        <v>30317</v>
      </c>
      <c r="H35" s="27" t="s">
        <v>906</v>
      </c>
      <c r="I35" s="27" t="s">
        <v>919</v>
      </c>
      <c r="J35" s="184" t="s">
        <v>3261</v>
      </c>
      <c r="K35" s="185">
        <v>0</v>
      </c>
      <c r="L35" s="27" t="s">
        <v>929</v>
      </c>
      <c r="M35" s="27" t="s">
        <v>939</v>
      </c>
      <c r="N35" s="16" t="s">
        <v>3258</v>
      </c>
      <c r="O35" s="27" t="s">
        <v>941</v>
      </c>
      <c r="P35" s="186">
        <v>45139</v>
      </c>
      <c r="Q35" s="18" t="s">
        <v>35</v>
      </c>
      <c r="R35" s="187">
        <v>3029474.9</v>
      </c>
      <c r="S35" s="187">
        <v>3029.4748999999997</v>
      </c>
      <c r="V35" s="11" t="s">
        <v>37</v>
      </c>
      <c r="W35" s="185">
        <v>8.4854538062242094E-2</v>
      </c>
      <c r="X35" s="185">
        <v>7.9736148560618277E-3</v>
      </c>
    </row>
    <row r="36" spans="1:24">
      <c r="A36" s="27">
        <v>1182</v>
      </c>
      <c r="B36" s="27">
        <v>1182</v>
      </c>
      <c r="C36" s="184" t="s">
        <v>3262</v>
      </c>
      <c r="D36" s="27" t="s">
        <v>203</v>
      </c>
      <c r="E36" s="16" t="s">
        <v>31</v>
      </c>
      <c r="F36" s="27" t="s">
        <v>164</v>
      </c>
      <c r="G36" s="175">
        <v>30317</v>
      </c>
      <c r="H36" s="27" t="s">
        <v>906</v>
      </c>
      <c r="I36" s="27" t="s">
        <v>919</v>
      </c>
      <c r="J36" s="184" t="s">
        <v>3262</v>
      </c>
      <c r="K36" s="188">
        <v>0</v>
      </c>
      <c r="L36" s="27" t="s">
        <v>929</v>
      </c>
      <c r="M36" s="27" t="s">
        <v>939</v>
      </c>
      <c r="N36" s="16" t="s">
        <v>3258</v>
      </c>
      <c r="O36" s="27" t="s">
        <v>941</v>
      </c>
      <c r="P36" s="186">
        <v>45139</v>
      </c>
      <c r="Q36" s="18" t="s">
        <v>35</v>
      </c>
      <c r="R36" s="187">
        <v>2691032.1999999997</v>
      </c>
      <c r="S36" s="187">
        <v>2691.0321999999996</v>
      </c>
      <c r="V36" s="11" t="s">
        <v>37</v>
      </c>
      <c r="W36" s="185">
        <v>7.5374875771909863E-2</v>
      </c>
      <c r="X36" s="185">
        <v>7.0828295451666372E-3</v>
      </c>
    </row>
    <row r="37" spans="1:24">
      <c r="A37" s="27">
        <v>1182</v>
      </c>
      <c r="B37" s="27">
        <v>1182</v>
      </c>
      <c r="C37" s="184" t="s">
        <v>3263</v>
      </c>
      <c r="D37" s="27" t="s">
        <v>203</v>
      </c>
      <c r="E37" s="16" t="s">
        <v>31</v>
      </c>
      <c r="F37" s="27" t="s">
        <v>164</v>
      </c>
      <c r="G37" s="175">
        <v>30317</v>
      </c>
      <c r="H37" s="27" t="s">
        <v>906</v>
      </c>
      <c r="I37" s="27" t="s">
        <v>919</v>
      </c>
      <c r="J37" s="184" t="s">
        <v>3263</v>
      </c>
      <c r="K37" s="188">
        <v>0</v>
      </c>
      <c r="L37" s="27" t="s">
        <v>929</v>
      </c>
      <c r="M37" s="27" t="s">
        <v>939</v>
      </c>
      <c r="N37" s="16" t="s">
        <v>3258</v>
      </c>
      <c r="O37" s="27" t="s">
        <v>941</v>
      </c>
      <c r="P37" s="186">
        <v>45047</v>
      </c>
      <c r="Q37" s="18" t="s">
        <v>35</v>
      </c>
      <c r="R37" s="187">
        <v>846106.75</v>
      </c>
      <c r="S37" s="187">
        <v>846.10675000000003</v>
      </c>
      <c r="V37" s="11" t="s">
        <v>37</v>
      </c>
      <c r="W37" s="185">
        <v>2.3699155725830558E-2</v>
      </c>
      <c r="X37" s="185">
        <v>2.2269632772379767E-3</v>
      </c>
    </row>
    <row r="38" spans="1:24">
      <c r="A38" s="27">
        <v>1182</v>
      </c>
      <c r="B38" s="27">
        <v>1182</v>
      </c>
      <c r="C38" s="189" t="s">
        <v>3264</v>
      </c>
      <c r="D38" s="27" t="s">
        <v>203</v>
      </c>
      <c r="E38" s="16" t="s">
        <v>31</v>
      </c>
      <c r="F38" s="27" t="s">
        <v>164</v>
      </c>
      <c r="G38" s="175">
        <v>30317</v>
      </c>
      <c r="H38" s="27" t="s">
        <v>906</v>
      </c>
      <c r="I38" s="27" t="s">
        <v>919</v>
      </c>
      <c r="J38" s="189" t="s">
        <v>3264</v>
      </c>
      <c r="K38" s="188">
        <v>0</v>
      </c>
      <c r="L38" s="27" t="s">
        <v>929</v>
      </c>
      <c r="M38" s="27" t="s">
        <v>939</v>
      </c>
      <c r="N38" s="16" t="s">
        <v>3258</v>
      </c>
      <c r="O38" s="27" t="s">
        <v>941</v>
      </c>
      <c r="P38" s="186">
        <v>45231</v>
      </c>
      <c r="Q38" s="18" t="s">
        <v>35</v>
      </c>
      <c r="R38" s="187">
        <v>1279065.7649999999</v>
      </c>
      <c r="S38" s="187">
        <v>1279.0657649999998</v>
      </c>
      <c r="V38" s="11" t="s">
        <v>37</v>
      </c>
      <c r="W38" s="185">
        <v>3.5826187119194587E-2</v>
      </c>
      <c r="X38" s="185">
        <v>3.3665166810538973E-3</v>
      </c>
    </row>
    <row r="39" spans="1:24">
      <c r="A39" s="27">
        <v>1182</v>
      </c>
      <c r="B39" s="27">
        <v>1182</v>
      </c>
      <c r="C39" s="189" t="s">
        <v>3265</v>
      </c>
      <c r="D39" s="27" t="s">
        <v>203</v>
      </c>
      <c r="E39" s="16" t="s">
        <v>31</v>
      </c>
      <c r="F39" s="27" t="s">
        <v>164</v>
      </c>
      <c r="G39" s="175">
        <v>30317</v>
      </c>
      <c r="H39" s="27" t="s">
        <v>906</v>
      </c>
      <c r="I39" s="27" t="s">
        <v>919</v>
      </c>
      <c r="J39" s="189" t="s">
        <v>3265</v>
      </c>
      <c r="K39" s="188">
        <v>0</v>
      </c>
      <c r="L39" s="27" t="s">
        <v>929</v>
      </c>
      <c r="M39" s="27" t="s">
        <v>939</v>
      </c>
      <c r="N39" s="16" t="s">
        <v>3258</v>
      </c>
      <c r="O39" s="27" t="s">
        <v>941</v>
      </c>
      <c r="P39" s="186">
        <v>45231</v>
      </c>
      <c r="Q39" s="18" t="s">
        <v>35</v>
      </c>
      <c r="R39" s="187">
        <v>3549521</v>
      </c>
      <c r="S39" s="187">
        <v>3549.5210000000002</v>
      </c>
      <c r="V39" s="11" t="s">
        <v>37</v>
      </c>
      <c r="W39" s="185">
        <v>9.9420848410801371E-2</v>
      </c>
      <c r="X39" s="185">
        <v>9.3423825289007806E-3</v>
      </c>
    </row>
    <row r="40" spans="1:24">
      <c r="A40" s="27">
        <v>1182</v>
      </c>
      <c r="B40" s="27">
        <v>1182</v>
      </c>
      <c r="C40" s="184" t="s">
        <v>3266</v>
      </c>
      <c r="D40" s="27" t="s">
        <v>203</v>
      </c>
      <c r="E40" s="16" t="s">
        <v>31</v>
      </c>
      <c r="F40" s="27" t="s">
        <v>164</v>
      </c>
      <c r="G40" s="175">
        <v>30317</v>
      </c>
      <c r="H40" s="27" t="s">
        <v>906</v>
      </c>
      <c r="I40" s="27" t="s">
        <v>919</v>
      </c>
      <c r="J40" s="184" t="s">
        <v>3266</v>
      </c>
      <c r="K40" s="188">
        <v>0</v>
      </c>
      <c r="L40" s="27" t="s">
        <v>929</v>
      </c>
      <c r="M40" s="27" t="s">
        <v>939</v>
      </c>
      <c r="N40" s="16" t="s">
        <v>3258</v>
      </c>
      <c r="O40" s="27" t="s">
        <v>941</v>
      </c>
      <c r="P40" s="186">
        <v>45047</v>
      </c>
      <c r="Q40" s="18" t="s">
        <v>35</v>
      </c>
      <c r="R40" s="187">
        <v>986436.64999999991</v>
      </c>
      <c r="S40" s="187">
        <v>986.43664999999987</v>
      </c>
      <c r="V40" s="11" t="s">
        <v>37</v>
      </c>
      <c r="W40" s="185">
        <v>2.7629747407187821E-2</v>
      </c>
      <c r="X40" s="185">
        <v>2.5963132841945189E-3</v>
      </c>
    </row>
    <row r="41" spans="1:24">
      <c r="A41" s="27">
        <v>1182</v>
      </c>
      <c r="B41" s="27">
        <v>1182</v>
      </c>
      <c r="C41" s="184" t="s">
        <v>3267</v>
      </c>
      <c r="D41" s="27" t="s">
        <v>203</v>
      </c>
      <c r="E41" s="16" t="s">
        <v>31</v>
      </c>
      <c r="F41" s="27" t="s">
        <v>164</v>
      </c>
      <c r="G41" s="175">
        <v>30317</v>
      </c>
      <c r="H41" s="27" t="s">
        <v>906</v>
      </c>
      <c r="I41" s="27" t="s">
        <v>919</v>
      </c>
      <c r="J41" s="184" t="s">
        <v>3267</v>
      </c>
      <c r="K41" s="188">
        <v>-7.3910601546194332E-3</v>
      </c>
      <c r="L41" s="27" t="s">
        <v>929</v>
      </c>
      <c r="M41" s="27" t="s">
        <v>939</v>
      </c>
      <c r="N41" s="16" t="s">
        <v>3258</v>
      </c>
      <c r="O41" s="27" t="s">
        <v>941</v>
      </c>
      <c r="P41" s="186">
        <v>45323</v>
      </c>
      <c r="Q41" s="18" t="s">
        <v>35</v>
      </c>
      <c r="R41" s="187">
        <v>1108594.5512999999</v>
      </c>
      <c r="S41" s="187">
        <v>1108.5945512999999</v>
      </c>
      <c r="V41" s="11" t="s">
        <v>37</v>
      </c>
      <c r="W41" s="185">
        <v>3.1051347726591183E-2</v>
      </c>
      <c r="X41" s="185">
        <v>2.9178343691162044E-3</v>
      </c>
    </row>
    <row r="42" spans="1:24">
      <c r="A42" s="27">
        <v>1182</v>
      </c>
      <c r="B42" s="27">
        <v>1182</v>
      </c>
      <c r="C42" s="189" t="s">
        <v>3268</v>
      </c>
      <c r="D42" s="27" t="s">
        <v>203</v>
      </c>
      <c r="E42" s="16" t="s">
        <v>31</v>
      </c>
      <c r="F42" s="27" t="s">
        <v>164</v>
      </c>
      <c r="G42" s="175">
        <v>30317</v>
      </c>
      <c r="H42" s="27" t="s">
        <v>906</v>
      </c>
      <c r="I42" s="27" t="s">
        <v>919</v>
      </c>
      <c r="J42" s="189" t="s">
        <v>3268</v>
      </c>
      <c r="K42" s="188">
        <v>0</v>
      </c>
      <c r="L42" s="27" t="s">
        <v>929</v>
      </c>
      <c r="M42" s="27" t="s">
        <v>939</v>
      </c>
      <c r="N42" s="16" t="s">
        <v>3258</v>
      </c>
      <c r="O42" s="27" t="s">
        <v>941</v>
      </c>
      <c r="P42" s="186">
        <v>45047</v>
      </c>
      <c r="Q42" s="18" t="s">
        <v>35</v>
      </c>
      <c r="R42" s="187">
        <v>2757069.8</v>
      </c>
      <c r="S42" s="187">
        <v>2757.0697999999998</v>
      </c>
      <c r="V42" s="11" t="s">
        <v>37</v>
      </c>
      <c r="W42" s="185">
        <v>7.722456597490153E-2</v>
      </c>
      <c r="X42" s="185">
        <v>7.2566413131461872E-3</v>
      </c>
    </row>
    <row r="43" spans="1:24">
      <c r="A43" s="27">
        <v>1182</v>
      </c>
      <c r="B43" s="27">
        <v>1182</v>
      </c>
      <c r="C43" s="184" t="s">
        <v>3269</v>
      </c>
      <c r="D43" s="27" t="s">
        <v>203</v>
      </c>
      <c r="E43" s="16" t="s">
        <v>31</v>
      </c>
      <c r="F43" s="27" t="s">
        <v>164</v>
      </c>
      <c r="G43" s="175">
        <v>30317</v>
      </c>
      <c r="H43" s="27" t="s">
        <v>906</v>
      </c>
      <c r="I43" s="27" t="s">
        <v>919</v>
      </c>
      <c r="J43" s="184" t="s">
        <v>3269</v>
      </c>
      <c r="K43" s="188">
        <v>0</v>
      </c>
      <c r="L43" s="27" t="s">
        <v>929</v>
      </c>
      <c r="M43" s="27" t="s">
        <v>939</v>
      </c>
      <c r="N43" s="16" t="s">
        <v>3258</v>
      </c>
      <c r="O43" s="27" t="s">
        <v>941</v>
      </c>
      <c r="P43" s="186">
        <v>45047</v>
      </c>
      <c r="Q43" s="18" t="s">
        <v>35</v>
      </c>
      <c r="R43" s="187">
        <v>1832543.4</v>
      </c>
      <c r="S43" s="187">
        <v>1832.5434</v>
      </c>
      <c r="V43" s="11" t="s">
        <v>37</v>
      </c>
      <c r="W43" s="185">
        <v>5.1328903133018383E-2</v>
      </c>
      <c r="X43" s="185">
        <v>4.8232765614324956E-3</v>
      </c>
    </row>
    <row r="44" spans="1:24">
      <c r="A44" s="27">
        <v>1182</v>
      </c>
      <c r="B44" s="27">
        <v>1182</v>
      </c>
      <c r="C44" s="189" t="s">
        <v>3270</v>
      </c>
      <c r="D44" s="27" t="s">
        <v>203</v>
      </c>
      <c r="E44" s="16" t="s">
        <v>31</v>
      </c>
      <c r="F44" s="27" t="s">
        <v>164</v>
      </c>
      <c r="G44" s="175">
        <v>30317</v>
      </c>
      <c r="H44" s="27" t="s">
        <v>906</v>
      </c>
      <c r="I44" s="27" t="s">
        <v>919</v>
      </c>
      <c r="J44" s="189" t="s">
        <v>3270</v>
      </c>
      <c r="K44" s="188">
        <v>-1.4858841010401136E-2</v>
      </c>
      <c r="L44" s="27" t="s">
        <v>929</v>
      </c>
      <c r="M44" s="27" t="s">
        <v>939</v>
      </c>
      <c r="N44" s="16" t="s">
        <v>3258</v>
      </c>
      <c r="O44" s="27" t="s">
        <v>941</v>
      </c>
      <c r="P44" s="186">
        <v>45323</v>
      </c>
      <c r="Q44" s="18" t="s">
        <v>35</v>
      </c>
      <c r="R44" s="187">
        <v>5472866.0999999996</v>
      </c>
      <c r="S44" s="187">
        <v>5472.8660999999993</v>
      </c>
      <c r="V44" s="11" t="s">
        <v>37</v>
      </c>
      <c r="W44" s="185">
        <v>0.15329307557293326</v>
      </c>
      <c r="X44" s="185">
        <v>1.4404650271305155E-2</v>
      </c>
    </row>
    <row r="45" spans="1:24">
      <c r="A45" s="27">
        <v>1182</v>
      </c>
      <c r="B45" s="27">
        <v>1182</v>
      </c>
      <c r="C45" s="184" t="s">
        <v>3271</v>
      </c>
      <c r="D45" s="27" t="s">
        <v>203</v>
      </c>
      <c r="E45" s="16" t="s">
        <v>31</v>
      </c>
      <c r="F45" s="27" t="s">
        <v>164</v>
      </c>
      <c r="G45" s="175">
        <v>30317</v>
      </c>
      <c r="H45" s="27" t="s">
        <v>906</v>
      </c>
      <c r="I45" s="27" t="s">
        <v>919</v>
      </c>
      <c r="J45" s="184" t="s">
        <v>3271</v>
      </c>
      <c r="K45" s="188">
        <v>0</v>
      </c>
      <c r="L45" s="27" t="s">
        <v>929</v>
      </c>
      <c r="M45" s="27" t="s">
        <v>939</v>
      </c>
      <c r="N45" s="16" t="s">
        <v>3258</v>
      </c>
      <c r="O45" s="27" t="s">
        <v>941</v>
      </c>
      <c r="P45" s="186">
        <v>45139</v>
      </c>
      <c r="Q45" s="18" t="s">
        <v>35</v>
      </c>
      <c r="R45" s="187">
        <v>2649758.6999999997</v>
      </c>
      <c r="S45" s="187">
        <v>2649.7586999999999</v>
      </c>
      <c r="V45" s="11" t="s">
        <v>37</v>
      </c>
      <c r="W45" s="185">
        <v>7.4218819395040089E-2</v>
      </c>
      <c r="X45" s="185">
        <v>6.9741971901794188E-3</v>
      </c>
    </row>
    <row r="46" spans="1:24">
      <c r="A46" s="27">
        <v>1182</v>
      </c>
      <c r="B46" s="27">
        <v>1182</v>
      </c>
      <c r="C46" s="189" t="s">
        <v>3272</v>
      </c>
      <c r="D46" s="27" t="s">
        <v>203</v>
      </c>
      <c r="E46" s="16" t="s">
        <v>31</v>
      </c>
      <c r="F46" s="27" t="s">
        <v>164</v>
      </c>
      <c r="G46" s="175">
        <v>30317</v>
      </c>
      <c r="H46" s="27" t="s">
        <v>906</v>
      </c>
      <c r="I46" s="27" t="s">
        <v>919</v>
      </c>
      <c r="J46" s="189" t="s">
        <v>3272</v>
      </c>
      <c r="K46" s="188">
        <v>0</v>
      </c>
      <c r="L46" s="27" t="s">
        <v>929</v>
      </c>
      <c r="M46" s="27" t="s">
        <v>939</v>
      </c>
      <c r="N46" s="16" t="s">
        <v>3258</v>
      </c>
      <c r="O46" s="27" t="s">
        <v>941</v>
      </c>
      <c r="P46" s="186">
        <v>45139</v>
      </c>
      <c r="Q46" s="18" t="s">
        <v>35</v>
      </c>
      <c r="R46" s="187">
        <v>6273572</v>
      </c>
      <c r="S46" s="187">
        <v>6273.5720000000001</v>
      </c>
      <c r="V46" s="11" t="s">
        <v>37</v>
      </c>
      <c r="W46" s="185">
        <v>0.17572056928420707</v>
      </c>
      <c r="X46" s="185">
        <v>1.6512117958057192E-2</v>
      </c>
    </row>
    <row r="47" spans="1:24">
      <c r="A47" s="27">
        <v>12904</v>
      </c>
      <c r="B47" s="27">
        <v>12905</v>
      </c>
      <c r="C47" s="184" t="s">
        <v>3257</v>
      </c>
      <c r="D47" s="27" t="s">
        <v>203</v>
      </c>
      <c r="E47" s="16" t="s">
        <v>31</v>
      </c>
      <c r="F47" s="27" t="s">
        <v>164</v>
      </c>
      <c r="G47" s="175">
        <v>30317</v>
      </c>
      <c r="H47" s="27" t="s">
        <v>906</v>
      </c>
      <c r="I47" s="27" t="s">
        <v>919</v>
      </c>
      <c r="J47" s="184" t="s">
        <v>3257</v>
      </c>
      <c r="K47" s="185">
        <v>0</v>
      </c>
      <c r="L47" s="27" t="s">
        <v>929</v>
      </c>
      <c r="M47" s="27" t="s">
        <v>939</v>
      </c>
      <c r="N47" s="16" t="s">
        <v>3258</v>
      </c>
      <c r="O47" s="27" t="s">
        <v>941</v>
      </c>
      <c r="P47" s="186">
        <v>45139</v>
      </c>
      <c r="Q47" s="18" t="s">
        <v>35</v>
      </c>
      <c r="R47" s="187">
        <v>11595.38</v>
      </c>
      <c r="S47" s="187">
        <v>11.595379999999999</v>
      </c>
      <c r="V47" s="11" t="s">
        <v>37</v>
      </c>
      <c r="W47" s="185">
        <v>6.4276734553959936E-3</v>
      </c>
      <c r="X47" s="185">
        <v>4.0134639212829616E-4</v>
      </c>
    </row>
    <row r="48" spans="1:24">
      <c r="A48" s="27">
        <v>12904</v>
      </c>
      <c r="B48" s="27">
        <v>12905</v>
      </c>
      <c r="C48" s="184" t="s">
        <v>3259</v>
      </c>
      <c r="D48" s="27" t="s">
        <v>203</v>
      </c>
      <c r="E48" s="16" t="s">
        <v>31</v>
      </c>
      <c r="F48" s="27" t="s">
        <v>164</v>
      </c>
      <c r="G48" s="175">
        <v>30317</v>
      </c>
      <c r="H48" s="27" t="s">
        <v>908</v>
      </c>
      <c r="I48" s="27" t="s">
        <v>919</v>
      </c>
      <c r="J48" s="184" t="s">
        <v>3259</v>
      </c>
      <c r="K48" s="185">
        <v>0</v>
      </c>
      <c r="L48" s="27" t="s">
        <v>929</v>
      </c>
      <c r="M48" s="27" t="s">
        <v>939</v>
      </c>
      <c r="N48" s="16" t="s">
        <v>3258</v>
      </c>
      <c r="O48" s="27" t="s">
        <v>941</v>
      </c>
      <c r="P48" s="186">
        <v>45139</v>
      </c>
      <c r="Q48" s="18" t="s">
        <v>35</v>
      </c>
      <c r="R48" s="187">
        <v>10636.05</v>
      </c>
      <c r="S48" s="187">
        <v>10.636049999999999</v>
      </c>
      <c r="V48" s="11" t="s">
        <v>37</v>
      </c>
      <c r="W48" s="185">
        <v>5.8958875220358935E-3</v>
      </c>
      <c r="X48" s="185">
        <v>3.6814147479394071E-4</v>
      </c>
    </row>
    <row r="49" spans="1:24">
      <c r="A49" s="27">
        <v>12904</v>
      </c>
      <c r="B49" s="27">
        <v>12905</v>
      </c>
      <c r="C49" s="184" t="s">
        <v>3260</v>
      </c>
      <c r="D49" s="27" t="s">
        <v>203</v>
      </c>
      <c r="E49" s="16" t="s">
        <v>31</v>
      </c>
      <c r="F49" s="27" t="s">
        <v>164</v>
      </c>
      <c r="G49" s="175">
        <v>30317</v>
      </c>
      <c r="H49" s="27" t="s">
        <v>906</v>
      </c>
      <c r="I49" s="27" t="s">
        <v>919</v>
      </c>
      <c r="J49" s="184" t="s">
        <v>3260</v>
      </c>
      <c r="K49" s="185">
        <v>1.4836795252226587E-3</v>
      </c>
      <c r="L49" s="27" t="s">
        <v>929</v>
      </c>
      <c r="M49" s="27" t="s">
        <v>939</v>
      </c>
      <c r="N49" s="16" t="s">
        <v>3258</v>
      </c>
      <c r="O49" s="27" t="s">
        <v>941</v>
      </c>
      <c r="P49" s="186">
        <v>45323</v>
      </c>
      <c r="Q49" s="18" t="s">
        <v>35</v>
      </c>
      <c r="R49" s="187">
        <v>140771.25</v>
      </c>
      <c r="S49" s="187">
        <v>140.77125000000001</v>
      </c>
      <c r="V49" s="11" t="s">
        <v>37</v>
      </c>
      <c r="W49" s="185">
        <v>7.8033805438710357E-2</v>
      </c>
      <c r="X49" s="185">
        <v>4.8724606958021567E-3</v>
      </c>
    </row>
    <row r="50" spans="1:24">
      <c r="A50" s="27">
        <v>12904</v>
      </c>
      <c r="B50" s="27">
        <v>12905</v>
      </c>
      <c r="C50" s="184" t="s">
        <v>3261</v>
      </c>
      <c r="D50" s="27" t="s">
        <v>203</v>
      </c>
      <c r="E50" s="16" t="s">
        <v>31</v>
      </c>
      <c r="F50" s="27" t="s">
        <v>164</v>
      </c>
      <c r="G50" s="175">
        <v>30317</v>
      </c>
      <c r="H50" s="27" t="s">
        <v>906</v>
      </c>
      <c r="I50" s="27" t="s">
        <v>919</v>
      </c>
      <c r="J50" s="184" t="s">
        <v>3261</v>
      </c>
      <c r="K50" s="185">
        <v>0</v>
      </c>
      <c r="L50" s="27" t="s">
        <v>929</v>
      </c>
      <c r="M50" s="27" t="s">
        <v>939</v>
      </c>
      <c r="N50" s="16" t="s">
        <v>3258</v>
      </c>
      <c r="O50" s="27" t="s">
        <v>941</v>
      </c>
      <c r="P50" s="186">
        <v>45139</v>
      </c>
      <c r="Q50" s="18" t="s">
        <v>35</v>
      </c>
      <c r="R50" s="187">
        <v>153075.70000000001</v>
      </c>
      <c r="S50" s="187">
        <v>153.07570000000001</v>
      </c>
      <c r="V50" s="11" t="s">
        <v>37</v>
      </c>
      <c r="W50" s="185">
        <v>8.485453806224208E-2</v>
      </c>
      <c r="X50" s="185">
        <v>5.2983498529167164E-3</v>
      </c>
    </row>
    <row r="51" spans="1:24">
      <c r="A51" s="27">
        <v>12904</v>
      </c>
      <c r="B51" s="27">
        <v>12905</v>
      </c>
      <c r="C51" s="184" t="s">
        <v>3262</v>
      </c>
      <c r="D51" s="27" t="s">
        <v>203</v>
      </c>
      <c r="E51" s="16" t="s">
        <v>31</v>
      </c>
      <c r="F51" s="27" t="s">
        <v>164</v>
      </c>
      <c r="G51" s="175">
        <v>30317</v>
      </c>
      <c r="H51" s="27" t="s">
        <v>906</v>
      </c>
      <c r="I51" s="27" t="s">
        <v>919</v>
      </c>
      <c r="J51" s="184" t="s">
        <v>3262</v>
      </c>
      <c r="K51" s="188">
        <v>0</v>
      </c>
      <c r="L51" s="27" t="s">
        <v>929</v>
      </c>
      <c r="M51" s="27" t="s">
        <v>939</v>
      </c>
      <c r="N51" s="16" t="s">
        <v>3258</v>
      </c>
      <c r="O51" s="27" t="s">
        <v>941</v>
      </c>
      <c r="P51" s="186">
        <v>45139</v>
      </c>
      <c r="Q51" s="18" t="s">
        <v>35</v>
      </c>
      <c r="R51" s="187">
        <v>135974.6</v>
      </c>
      <c r="S51" s="187">
        <v>135.97460000000001</v>
      </c>
      <c r="V51" s="11" t="s">
        <v>37</v>
      </c>
      <c r="W51" s="185">
        <v>7.5374875771909863E-2</v>
      </c>
      <c r="X51" s="185">
        <v>4.7064361091303797E-3</v>
      </c>
    </row>
    <row r="52" spans="1:24">
      <c r="A52" s="27">
        <v>12904</v>
      </c>
      <c r="B52" s="27">
        <v>12905</v>
      </c>
      <c r="C52" s="184" t="s">
        <v>3263</v>
      </c>
      <c r="D52" s="27" t="s">
        <v>203</v>
      </c>
      <c r="E52" s="16" t="s">
        <v>31</v>
      </c>
      <c r="F52" s="27" t="s">
        <v>164</v>
      </c>
      <c r="G52" s="175">
        <v>30317</v>
      </c>
      <c r="H52" s="27" t="s">
        <v>906</v>
      </c>
      <c r="I52" s="27" t="s">
        <v>919</v>
      </c>
      <c r="J52" s="184" t="s">
        <v>3263</v>
      </c>
      <c r="K52" s="188">
        <v>0</v>
      </c>
      <c r="L52" s="27" t="s">
        <v>929</v>
      </c>
      <c r="M52" s="27" t="s">
        <v>939</v>
      </c>
      <c r="N52" s="16" t="s">
        <v>3258</v>
      </c>
      <c r="O52" s="27" t="s">
        <v>941</v>
      </c>
      <c r="P52" s="186">
        <v>45047</v>
      </c>
      <c r="Q52" s="18" t="s">
        <v>35</v>
      </c>
      <c r="R52" s="187">
        <v>42752.75</v>
      </c>
      <c r="S52" s="187">
        <v>42.752749999999999</v>
      </c>
      <c r="V52" s="11" t="s">
        <v>37</v>
      </c>
      <c r="W52" s="185">
        <v>2.3699155725830555E-2</v>
      </c>
      <c r="X52" s="185">
        <v>1.4797843594658402E-3</v>
      </c>
    </row>
    <row r="53" spans="1:24">
      <c r="A53" s="27">
        <v>12904</v>
      </c>
      <c r="B53" s="27">
        <v>12905</v>
      </c>
      <c r="C53" s="189" t="s">
        <v>3264</v>
      </c>
      <c r="D53" s="27" t="s">
        <v>203</v>
      </c>
      <c r="E53" s="16" t="s">
        <v>31</v>
      </c>
      <c r="F53" s="27" t="s">
        <v>164</v>
      </c>
      <c r="G53" s="175">
        <v>30317</v>
      </c>
      <c r="H53" s="27" t="s">
        <v>906</v>
      </c>
      <c r="I53" s="27" t="s">
        <v>919</v>
      </c>
      <c r="J53" s="189" t="s">
        <v>3264</v>
      </c>
      <c r="K53" s="188">
        <v>0</v>
      </c>
      <c r="L53" s="27" t="s">
        <v>929</v>
      </c>
      <c r="M53" s="27" t="s">
        <v>939</v>
      </c>
      <c r="N53" s="16" t="s">
        <v>3258</v>
      </c>
      <c r="O53" s="27" t="s">
        <v>941</v>
      </c>
      <c r="P53" s="186">
        <v>45231</v>
      </c>
      <c r="Q53" s="18" t="s">
        <v>35</v>
      </c>
      <c r="R53" s="187">
        <v>64629.644999999997</v>
      </c>
      <c r="S53" s="187">
        <v>64.629644999999996</v>
      </c>
      <c r="V53" s="11" t="s">
        <v>37</v>
      </c>
      <c r="W53" s="185">
        <v>3.5826187119194573E-2</v>
      </c>
      <c r="X53" s="185">
        <v>2.2370008438949459E-3</v>
      </c>
    </row>
    <row r="54" spans="1:24">
      <c r="A54" s="27">
        <v>12904</v>
      </c>
      <c r="B54" s="27">
        <v>12905</v>
      </c>
      <c r="C54" s="189" t="s">
        <v>3265</v>
      </c>
      <c r="D54" s="27" t="s">
        <v>203</v>
      </c>
      <c r="E54" s="16" t="s">
        <v>31</v>
      </c>
      <c r="F54" s="27" t="s">
        <v>164</v>
      </c>
      <c r="G54" s="175">
        <v>30317</v>
      </c>
      <c r="H54" s="27" t="s">
        <v>906</v>
      </c>
      <c r="I54" s="27" t="s">
        <v>919</v>
      </c>
      <c r="J54" s="189" t="s">
        <v>3265</v>
      </c>
      <c r="K54" s="188">
        <v>0</v>
      </c>
      <c r="L54" s="27" t="s">
        <v>929</v>
      </c>
      <c r="M54" s="27" t="s">
        <v>939</v>
      </c>
      <c r="N54" s="16" t="s">
        <v>3258</v>
      </c>
      <c r="O54" s="27" t="s">
        <v>941</v>
      </c>
      <c r="P54" s="186">
        <v>45231</v>
      </c>
      <c r="Q54" s="18" t="s">
        <v>35</v>
      </c>
      <c r="R54" s="187">
        <v>179353</v>
      </c>
      <c r="S54" s="187">
        <v>179.35300000000001</v>
      </c>
      <c r="V54" s="11" t="s">
        <v>37</v>
      </c>
      <c r="W54" s="185">
        <v>9.9420848410801343E-2</v>
      </c>
      <c r="X54" s="185">
        <v>6.2078758494664519E-3</v>
      </c>
    </row>
    <row r="55" spans="1:24">
      <c r="A55" s="27">
        <v>12904</v>
      </c>
      <c r="B55" s="27">
        <v>12905</v>
      </c>
      <c r="C55" s="184" t="s">
        <v>3266</v>
      </c>
      <c r="D55" s="27" t="s">
        <v>203</v>
      </c>
      <c r="E55" s="16" t="s">
        <v>31</v>
      </c>
      <c r="F55" s="27" t="s">
        <v>164</v>
      </c>
      <c r="G55" s="175">
        <v>30317</v>
      </c>
      <c r="H55" s="27" t="s">
        <v>906</v>
      </c>
      <c r="I55" s="27" t="s">
        <v>919</v>
      </c>
      <c r="J55" s="184" t="s">
        <v>3266</v>
      </c>
      <c r="K55" s="188">
        <v>0</v>
      </c>
      <c r="L55" s="27" t="s">
        <v>929</v>
      </c>
      <c r="M55" s="27" t="s">
        <v>939</v>
      </c>
      <c r="N55" s="16" t="s">
        <v>3258</v>
      </c>
      <c r="O55" s="27" t="s">
        <v>941</v>
      </c>
      <c r="P55" s="186">
        <v>45047</v>
      </c>
      <c r="Q55" s="18" t="s">
        <v>35</v>
      </c>
      <c r="R55" s="187">
        <v>49843.45</v>
      </c>
      <c r="S55" s="187">
        <v>49.843449999999997</v>
      </c>
      <c r="V55" s="11" t="s">
        <v>37</v>
      </c>
      <c r="W55" s="185">
        <v>2.7629747407187814E-2</v>
      </c>
      <c r="X55" s="185">
        <v>1.7252120093284673E-3</v>
      </c>
    </row>
    <row r="56" spans="1:24">
      <c r="A56" s="27">
        <v>12904</v>
      </c>
      <c r="B56" s="27">
        <v>12905</v>
      </c>
      <c r="C56" s="184" t="s">
        <v>3267</v>
      </c>
      <c r="D56" s="27" t="s">
        <v>203</v>
      </c>
      <c r="E56" s="16" t="s">
        <v>31</v>
      </c>
      <c r="F56" s="27" t="s">
        <v>164</v>
      </c>
      <c r="G56" s="175">
        <v>30317</v>
      </c>
      <c r="H56" s="27" t="s">
        <v>906</v>
      </c>
      <c r="I56" s="27" t="s">
        <v>919</v>
      </c>
      <c r="J56" s="184" t="s">
        <v>3267</v>
      </c>
      <c r="K56" s="188">
        <v>-7.3910601546194332E-3</v>
      </c>
      <c r="L56" s="27" t="s">
        <v>929</v>
      </c>
      <c r="M56" s="27" t="s">
        <v>939</v>
      </c>
      <c r="N56" s="16" t="s">
        <v>3258</v>
      </c>
      <c r="O56" s="27" t="s">
        <v>941</v>
      </c>
      <c r="P56" s="186">
        <v>45323</v>
      </c>
      <c r="Q56" s="18" t="s">
        <v>35</v>
      </c>
      <c r="R56" s="187">
        <v>56015.940900000001</v>
      </c>
      <c r="S56" s="187">
        <v>56.015940900000004</v>
      </c>
      <c r="V56" s="11" t="s">
        <v>37</v>
      </c>
      <c r="W56" s="185">
        <v>3.1051347726591176E-2</v>
      </c>
      <c r="X56" s="185">
        <v>1.9388580436248632E-3</v>
      </c>
    </row>
    <row r="57" spans="1:24">
      <c r="A57" s="27">
        <v>12904</v>
      </c>
      <c r="B57" s="27">
        <v>12905</v>
      </c>
      <c r="C57" s="189" t="s">
        <v>3268</v>
      </c>
      <c r="D57" s="27" t="s">
        <v>203</v>
      </c>
      <c r="E57" s="16" t="s">
        <v>31</v>
      </c>
      <c r="F57" s="27" t="s">
        <v>164</v>
      </c>
      <c r="G57" s="175">
        <v>30317</v>
      </c>
      <c r="H57" s="27" t="s">
        <v>906</v>
      </c>
      <c r="I57" s="27" t="s">
        <v>919</v>
      </c>
      <c r="J57" s="189" t="s">
        <v>3268</v>
      </c>
      <c r="K57" s="188">
        <v>0</v>
      </c>
      <c r="L57" s="27" t="s">
        <v>929</v>
      </c>
      <c r="M57" s="27" t="s">
        <v>939</v>
      </c>
      <c r="N57" s="16" t="s">
        <v>3258</v>
      </c>
      <c r="O57" s="27" t="s">
        <v>941</v>
      </c>
      <c r="P57" s="186">
        <v>45047</v>
      </c>
      <c r="Q57" s="18" t="s">
        <v>35</v>
      </c>
      <c r="R57" s="187">
        <v>139311.4</v>
      </c>
      <c r="S57" s="187">
        <v>139.31139999999999</v>
      </c>
      <c r="V57" s="11" t="s">
        <v>37</v>
      </c>
      <c r="W57" s="185">
        <v>7.7224565974901502E-2</v>
      </c>
      <c r="X57" s="185">
        <v>4.8219314737716155E-3</v>
      </c>
    </row>
    <row r="58" spans="1:24">
      <c r="A58" s="27">
        <v>12904</v>
      </c>
      <c r="B58" s="27">
        <v>12905</v>
      </c>
      <c r="C58" s="184" t="s">
        <v>3269</v>
      </c>
      <c r="D58" s="27" t="s">
        <v>203</v>
      </c>
      <c r="E58" s="16" t="s">
        <v>31</v>
      </c>
      <c r="F58" s="27" t="s">
        <v>164</v>
      </c>
      <c r="G58" s="175">
        <v>30317</v>
      </c>
      <c r="H58" s="27" t="s">
        <v>906</v>
      </c>
      <c r="I58" s="27" t="s">
        <v>919</v>
      </c>
      <c r="J58" s="184" t="s">
        <v>3269</v>
      </c>
      <c r="K58" s="188">
        <v>0</v>
      </c>
      <c r="L58" s="27" t="s">
        <v>929</v>
      </c>
      <c r="M58" s="27" t="s">
        <v>939</v>
      </c>
      <c r="N58" s="16" t="s">
        <v>3258</v>
      </c>
      <c r="O58" s="27" t="s">
        <v>941</v>
      </c>
      <c r="P58" s="186">
        <v>45047</v>
      </c>
      <c r="Q58" s="18" t="s">
        <v>35</v>
      </c>
      <c r="R58" s="187">
        <v>92596.2</v>
      </c>
      <c r="S58" s="187">
        <v>92.596199999999996</v>
      </c>
      <c r="V58" s="11" t="s">
        <v>37</v>
      </c>
      <c r="W58" s="185">
        <v>5.1328903133018369E-2</v>
      </c>
      <c r="X58" s="185">
        <v>3.2049963687943075E-3</v>
      </c>
    </row>
    <row r="59" spans="1:24">
      <c r="A59" s="27">
        <v>12904</v>
      </c>
      <c r="B59" s="27">
        <v>12905</v>
      </c>
      <c r="C59" s="189" t="s">
        <v>3270</v>
      </c>
      <c r="D59" s="27" t="s">
        <v>203</v>
      </c>
      <c r="E59" s="16" t="s">
        <v>31</v>
      </c>
      <c r="F59" s="27" t="s">
        <v>164</v>
      </c>
      <c r="G59" s="175">
        <v>30317</v>
      </c>
      <c r="H59" s="27" t="s">
        <v>906</v>
      </c>
      <c r="I59" s="27" t="s">
        <v>919</v>
      </c>
      <c r="J59" s="189" t="s">
        <v>3270</v>
      </c>
      <c r="K59" s="188">
        <v>-1.4858841010401136E-2</v>
      </c>
      <c r="L59" s="27" t="s">
        <v>929</v>
      </c>
      <c r="M59" s="27" t="s">
        <v>939</v>
      </c>
      <c r="N59" s="16" t="s">
        <v>3258</v>
      </c>
      <c r="O59" s="27" t="s">
        <v>941</v>
      </c>
      <c r="P59" s="186">
        <v>45323</v>
      </c>
      <c r="Q59" s="18" t="s">
        <v>35</v>
      </c>
      <c r="R59" s="187">
        <v>276537.3</v>
      </c>
      <c r="S59" s="187">
        <v>276.53730000000002</v>
      </c>
      <c r="V59" s="11" t="s">
        <v>37</v>
      </c>
      <c r="W59" s="185">
        <v>0.15329307557293323</v>
      </c>
      <c r="X59" s="185">
        <v>9.5716783446424588E-3</v>
      </c>
    </row>
    <row r="60" spans="1:24">
      <c r="A60" s="27">
        <v>12904</v>
      </c>
      <c r="B60" s="27">
        <v>12905</v>
      </c>
      <c r="C60" s="184" t="s">
        <v>3271</v>
      </c>
      <c r="D60" s="27" t="s">
        <v>203</v>
      </c>
      <c r="E60" s="16" t="s">
        <v>31</v>
      </c>
      <c r="F60" s="27" t="s">
        <v>164</v>
      </c>
      <c r="G60" s="175">
        <v>30317</v>
      </c>
      <c r="H60" s="27" t="s">
        <v>906</v>
      </c>
      <c r="I60" s="27" t="s">
        <v>919</v>
      </c>
      <c r="J60" s="184" t="s">
        <v>3271</v>
      </c>
      <c r="K60" s="188">
        <v>0</v>
      </c>
      <c r="L60" s="27" t="s">
        <v>929</v>
      </c>
      <c r="M60" s="27" t="s">
        <v>939</v>
      </c>
      <c r="N60" s="16" t="s">
        <v>3258</v>
      </c>
      <c r="O60" s="27" t="s">
        <v>941</v>
      </c>
      <c r="P60" s="186">
        <v>45139</v>
      </c>
      <c r="Q60" s="18" t="s">
        <v>35</v>
      </c>
      <c r="R60" s="187">
        <v>133889.1</v>
      </c>
      <c r="S60" s="187">
        <v>133.88910000000001</v>
      </c>
      <c r="V60" s="11" t="s">
        <v>37</v>
      </c>
      <c r="W60" s="185">
        <v>7.4218819395040075E-2</v>
      </c>
      <c r="X60" s="185">
        <v>4.6342515062296075E-3</v>
      </c>
    </row>
    <row r="61" spans="1:24">
      <c r="A61" s="27">
        <v>12904</v>
      </c>
      <c r="B61" s="27">
        <v>12905</v>
      </c>
      <c r="C61" s="189" t="s">
        <v>3272</v>
      </c>
      <c r="D61" s="27" t="s">
        <v>203</v>
      </c>
      <c r="E61" s="16" t="s">
        <v>31</v>
      </c>
      <c r="F61" s="27" t="s">
        <v>164</v>
      </c>
      <c r="G61" s="175">
        <v>30317</v>
      </c>
      <c r="H61" s="27" t="s">
        <v>906</v>
      </c>
      <c r="I61" s="27" t="s">
        <v>919</v>
      </c>
      <c r="J61" s="189" t="s">
        <v>3272</v>
      </c>
      <c r="K61" s="188">
        <v>0</v>
      </c>
      <c r="L61" s="27" t="s">
        <v>929</v>
      </c>
      <c r="M61" s="27" t="s">
        <v>939</v>
      </c>
      <c r="N61" s="16" t="s">
        <v>3258</v>
      </c>
      <c r="O61" s="27" t="s">
        <v>941</v>
      </c>
      <c r="P61" s="186">
        <v>45139</v>
      </c>
      <c r="Q61" s="18" t="s">
        <v>35</v>
      </c>
      <c r="R61" s="187">
        <v>316996</v>
      </c>
      <c r="S61" s="187">
        <v>316.99599999999998</v>
      </c>
      <c r="V61" s="11" t="s">
        <v>37</v>
      </c>
      <c r="W61" s="185">
        <v>0.17572056928420704</v>
      </c>
      <c r="X61" s="185">
        <v>1.097205964091745E-2</v>
      </c>
    </row>
    <row r="62" spans="1:24">
      <c r="A62" s="27"/>
      <c r="B62" s="27"/>
    </row>
    <row r="63" spans="1:24">
      <c r="A63" s="27"/>
      <c r="B63" s="27"/>
    </row>
    <row r="64" spans="1:24">
      <c r="A64" s="27"/>
      <c r="B64" s="27"/>
    </row>
    <row r="65" spans="1:2">
      <c r="A65" s="27"/>
      <c r="B65" s="27"/>
    </row>
  </sheetData>
  <sheetProtection formatColumns="0"/>
  <dataValidations count="8">
    <dataValidation type="list" allowBlank="1" showInputMessage="1" showErrorMessage="1" sqref="H2:H61" xr:uid="{259E4FD5-1E12-4DC6-B845-A4D8C3D25D50}">
      <formula1>Real_Estate_Main_Use</formula1>
    </dataValidation>
    <dataValidation type="list" allowBlank="1" showInputMessage="1" showErrorMessage="1" sqref="M2:M61" xr:uid="{631E8979-4D57-432E-89E6-C3B8BA4FECFB}">
      <formula1>Valuation_Realestate</formula1>
    </dataValidation>
    <dataValidation type="list" allowBlank="1" showInputMessage="1" showErrorMessage="1" sqref="I2:I61" xr:uid="{D2EEDA5E-030A-42E8-A027-3378E3666C3C}">
      <formula1>real_estate_lifestage</formula1>
    </dataValidation>
    <dataValidation type="list" allowBlank="1" showInputMessage="1" showErrorMessage="1" sqref="E2:E61" xr:uid="{416881E5-2652-47AA-A8A2-68A60DB8A2CC}">
      <formula1>Country_list</formula1>
    </dataValidation>
    <dataValidation type="list" allowBlank="1" showInputMessage="1" showErrorMessage="1" sqref="O2:O61" xr:uid="{81EEE07F-5842-4637-8FE2-A4EC1666CA5F}">
      <formula1>Dependence_Independence</formula1>
    </dataValidation>
    <dataValidation type="list" allowBlank="1" showInputMessage="1" showErrorMessage="1" sqref="L2:L61" xr:uid="{241103FC-07C7-463E-B92C-76AB07902370}">
      <formula1>Valuation_Method</formula1>
    </dataValidation>
    <dataValidation type="list" allowBlank="1" showInputMessage="1" showErrorMessage="1" sqref="V2:V20" xr:uid="{5A7B35E9-9738-403E-AD52-616F6A7EB5B4}">
      <formula1>In_the_books</formula1>
    </dataValidation>
    <dataValidation type="list" allowBlank="1" showInputMessage="1" showErrorMessage="1" sqref="F2:F61" xr:uid="{3B6E2C2F-E9DD-4CF5-8959-7D4ECEEBEC71}">
      <formula1>Holding_interest</formula1>
    </dataValidation>
  </dataValidation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183</v>
      </c>
      <c r="E1" s="19" t="s">
        <v>184</v>
      </c>
      <c r="F1" s="19" t="s">
        <v>3</v>
      </c>
      <c r="G1" s="19" t="s">
        <v>4</v>
      </c>
      <c r="H1" s="19" t="s">
        <v>185</v>
      </c>
      <c r="I1" s="19" t="s">
        <v>5</v>
      </c>
      <c r="J1" s="19" t="s">
        <v>6</v>
      </c>
      <c r="K1" s="19" t="s">
        <v>7</v>
      </c>
      <c r="L1" s="19" t="s">
        <v>186</v>
      </c>
      <c r="M1" s="19" t="s">
        <v>150</v>
      </c>
      <c r="N1" s="19" t="s">
        <v>11</v>
      </c>
      <c r="O1" s="19" t="s">
        <v>187</v>
      </c>
      <c r="P1" s="19" t="s">
        <v>188</v>
      </c>
      <c r="Q1" s="19" t="s">
        <v>159</v>
      </c>
      <c r="R1" s="19" t="s">
        <v>189</v>
      </c>
      <c r="S1" s="19" t="s">
        <v>190</v>
      </c>
      <c r="T1" s="19" t="s">
        <v>191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3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2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19" t="s">
        <v>0</v>
      </c>
      <c r="B1" s="19" t="s">
        <v>1</v>
      </c>
      <c r="C1" s="19" t="s">
        <v>156</v>
      </c>
      <c r="D1" s="19" t="s">
        <v>157</v>
      </c>
      <c r="E1" s="19" t="s">
        <v>5</v>
      </c>
      <c r="F1" s="19" t="s">
        <v>6</v>
      </c>
      <c r="G1" s="19" t="s">
        <v>7</v>
      </c>
      <c r="H1" s="19" t="s">
        <v>150</v>
      </c>
      <c r="I1" s="19" t="s">
        <v>158</v>
      </c>
      <c r="J1" s="19" t="s">
        <v>11</v>
      </c>
      <c r="K1" s="19" t="s">
        <v>159</v>
      </c>
      <c r="L1" s="19" t="s">
        <v>160</v>
      </c>
      <c r="M1" s="19" t="s">
        <v>18</v>
      </c>
      <c r="N1" s="19" t="s">
        <v>20</v>
      </c>
      <c r="O1" s="19" t="s">
        <v>21</v>
      </c>
      <c r="P1" s="19" t="s">
        <v>22</v>
      </c>
      <c r="Q1" s="163" t="s">
        <v>24</v>
      </c>
      <c r="R1" s="163" t="s">
        <v>25</v>
      </c>
    </row>
    <row r="2" spans="1:18">
      <c r="A2" s="20" t="s">
        <v>26</v>
      </c>
      <c r="B2" s="20">
        <v>1182</v>
      </c>
      <c r="C2" s="27" t="s">
        <v>161</v>
      </c>
      <c r="D2" s="27" t="s">
        <v>162</v>
      </c>
      <c r="E2" s="27" t="s">
        <v>163</v>
      </c>
      <c r="F2" s="18"/>
      <c r="G2" s="18" t="s">
        <v>31</v>
      </c>
      <c r="H2" s="20" t="s">
        <v>164</v>
      </c>
      <c r="I2" s="20" t="s">
        <v>165</v>
      </c>
      <c r="J2" s="18" t="s">
        <v>35</v>
      </c>
      <c r="K2" s="20" t="s">
        <v>166</v>
      </c>
      <c r="L2" s="150">
        <v>-21.553000000000001</v>
      </c>
      <c r="M2" s="153">
        <v>1</v>
      </c>
      <c r="N2" s="153">
        <v>-21.553000000000001</v>
      </c>
      <c r="O2" s="20"/>
      <c r="P2" s="18" t="s">
        <v>37</v>
      </c>
      <c r="Q2" s="168">
        <v>0.88223823008588698</v>
      </c>
      <c r="R2" s="168">
        <v>-5.67414037395684E-5</v>
      </c>
    </row>
    <row r="3" spans="1:18">
      <c r="A3" s="20" t="s">
        <v>26</v>
      </c>
      <c r="B3" s="20">
        <v>1182</v>
      </c>
      <c r="C3" s="27" t="s">
        <v>167</v>
      </c>
      <c r="D3" s="20" t="s">
        <v>168</v>
      </c>
      <c r="E3" s="27" t="s">
        <v>169</v>
      </c>
      <c r="F3" s="18"/>
      <c r="G3" s="18" t="s">
        <v>31</v>
      </c>
      <c r="H3" s="20" t="s">
        <v>164</v>
      </c>
      <c r="I3" s="20" t="s">
        <v>165</v>
      </c>
      <c r="J3" s="18" t="s">
        <v>35</v>
      </c>
      <c r="K3" s="20" t="s">
        <v>166</v>
      </c>
      <c r="L3" s="150">
        <v>-2.8849999999999998</v>
      </c>
      <c r="M3" s="153">
        <v>1</v>
      </c>
      <c r="N3" s="153">
        <v>-2.8849999999999998</v>
      </c>
      <c r="O3" s="20"/>
      <c r="P3" s="18" t="s">
        <v>37</v>
      </c>
      <c r="Q3" s="168">
        <v>0.118089240701672</v>
      </c>
      <c r="R3" s="168">
        <v>-7.5949432425982203E-6</v>
      </c>
    </row>
    <row r="4" spans="1:18">
      <c r="A4" s="20" t="s">
        <v>26</v>
      </c>
      <c r="B4" s="20">
        <v>1182</v>
      </c>
      <c r="C4" s="27" t="s">
        <v>170</v>
      </c>
      <c r="D4" s="20" t="s">
        <v>171</v>
      </c>
      <c r="E4" s="27" t="s">
        <v>163</v>
      </c>
      <c r="F4" s="18"/>
      <c r="G4" s="18" t="s">
        <v>31</v>
      </c>
      <c r="H4" s="20" t="s">
        <v>164</v>
      </c>
      <c r="I4" s="20" t="s">
        <v>165</v>
      </c>
      <c r="J4" s="18" t="s">
        <v>35</v>
      </c>
      <c r="K4" s="20" t="s">
        <v>166</v>
      </c>
      <c r="L4" s="150">
        <v>8.0000000000000002E-3</v>
      </c>
      <c r="M4" s="153">
        <v>1</v>
      </c>
      <c r="N4" s="153">
        <v>8.0000000000000002E-3</v>
      </c>
      <c r="O4" s="20"/>
      <c r="P4" s="18" t="s">
        <v>37</v>
      </c>
      <c r="Q4" s="168">
        <v>-3.2747078755905698E-4</v>
      </c>
      <c r="R4" s="168">
        <v>2.1061377229134598E-8</v>
      </c>
    </row>
    <row r="5" spans="1:18">
      <c r="A5" s="20" t="s">
        <v>26</v>
      </c>
      <c r="B5" s="20">
        <v>14769</v>
      </c>
      <c r="C5" s="27" t="s">
        <v>161</v>
      </c>
      <c r="D5" s="20" t="s">
        <v>162</v>
      </c>
      <c r="E5" s="27" t="s">
        <v>163</v>
      </c>
      <c r="F5" s="18"/>
      <c r="G5" s="18" t="s">
        <v>31</v>
      </c>
      <c r="H5" s="20" t="s">
        <v>164</v>
      </c>
      <c r="I5" s="20" t="s">
        <v>165</v>
      </c>
      <c r="J5" s="18" t="s">
        <v>35</v>
      </c>
      <c r="K5" s="20" t="s">
        <v>166</v>
      </c>
      <c r="L5" s="150">
        <v>-2.2029999999999998</v>
      </c>
      <c r="M5" s="153">
        <v>1</v>
      </c>
      <c r="N5" s="153">
        <v>-2.2029999999999998</v>
      </c>
      <c r="O5" s="20"/>
      <c r="P5" s="18" t="s">
        <v>37</v>
      </c>
      <c r="Q5" s="168">
        <v>1</v>
      </c>
      <c r="R5" s="168">
        <v>-2.8236935836253299E-4</v>
      </c>
    </row>
    <row r="6" spans="1:18">
      <c r="A6" s="20" t="s">
        <v>119</v>
      </c>
      <c r="B6" s="20">
        <v>12905</v>
      </c>
      <c r="C6" s="27" t="s">
        <v>161</v>
      </c>
      <c r="D6" s="20" t="s">
        <v>162</v>
      </c>
      <c r="E6" s="27" t="s">
        <v>163</v>
      </c>
      <c r="F6" s="18"/>
      <c r="G6" s="18" t="s">
        <v>31</v>
      </c>
      <c r="H6" s="20" t="s">
        <v>164</v>
      </c>
      <c r="I6" s="20" t="s">
        <v>165</v>
      </c>
      <c r="J6" s="18" t="s">
        <v>35</v>
      </c>
      <c r="K6" s="20" t="s">
        <v>166</v>
      </c>
      <c r="L6" s="150">
        <v>-2.9140000000000001</v>
      </c>
      <c r="M6" s="153">
        <v>1</v>
      </c>
      <c r="N6" s="153">
        <v>-2.9140000000000001</v>
      </c>
      <c r="O6" s="20"/>
      <c r="P6" s="18" t="s">
        <v>37</v>
      </c>
      <c r="Q6" s="168">
        <v>1.00006864878595</v>
      </c>
      <c r="R6" s="168">
        <v>-1.00634951410331E-4</v>
      </c>
    </row>
    <row r="7" spans="1:18">
      <c r="A7" s="20" t="s">
        <v>119</v>
      </c>
      <c r="B7" s="20">
        <v>12905</v>
      </c>
      <c r="C7" s="27" t="s">
        <v>167</v>
      </c>
      <c r="D7" s="20" t="s">
        <v>168</v>
      </c>
      <c r="E7" s="27" t="s">
        <v>169</v>
      </c>
      <c r="F7" s="18"/>
      <c r="G7" s="18" t="s">
        <v>31</v>
      </c>
      <c r="H7" s="20" t="s">
        <v>164</v>
      </c>
      <c r="I7" s="20" t="s">
        <v>165</v>
      </c>
      <c r="J7" s="18" t="s">
        <v>35</v>
      </c>
      <c r="K7" s="20" t="s">
        <v>166</v>
      </c>
      <c r="L7" s="150">
        <v>0</v>
      </c>
      <c r="M7" s="153">
        <v>1</v>
      </c>
      <c r="N7" s="153">
        <v>0</v>
      </c>
      <c r="O7" s="20"/>
      <c r="P7" s="18" t="s">
        <v>37</v>
      </c>
      <c r="Q7" s="168">
        <v>-6.8648785946220497E-5</v>
      </c>
      <c r="R7" s="168">
        <v>6.9079930127424303E-9</v>
      </c>
    </row>
    <row r="8" spans="1:18">
      <c r="A8" s="20" t="s">
        <v>119</v>
      </c>
      <c r="B8" s="20">
        <v>13680</v>
      </c>
      <c r="C8" s="27" t="s">
        <v>161</v>
      </c>
      <c r="D8" s="20" t="s">
        <v>162</v>
      </c>
      <c r="E8" s="27" t="s">
        <v>163</v>
      </c>
      <c r="F8" s="18"/>
      <c r="G8" s="18" t="s">
        <v>31</v>
      </c>
      <c r="H8" s="20" t="s">
        <v>164</v>
      </c>
      <c r="I8" s="20" t="s">
        <v>165</v>
      </c>
      <c r="J8" s="18" t="s">
        <v>35</v>
      </c>
      <c r="K8" s="20" t="s">
        <v>166</v>
      </c>
      <c r="L8" s="150">
        <v>-4.0430000000000001</v>
      </c>
      <c r="M8" s="153">
        <v>1</v>
      </c>
      <c r="N8" s="153">
        <v>-4.0430000000000001</v>
      </c>
      <c r="O8" s="20"/>
      <c r="P8" s="18" t="s">
        <v>37</v>
      </c>
      <c r="Q8" s="168">
        <v>0.88709907466531501</v>
      </c>
      <c r="R8" s="168">
        <v>-1.3821277631694199E-4</v>
      </c>
    </row>
    <row r="9" spans="1:18">
      <c r="A9" s="20" t="s">
        <v>119</v>
      </c>
      <c r="B9" s="20">
        <v>13680</v>
      </c>
      <c r="C9" s="27" t="s">
        <v>167</v>
      </c>
      <c r="D9" s="20" t="s">
        <v>168</v>
      </c>
      <c r="E9" s="27" t="s">
        <v>169</v>
      </c>
      <c r="F9" s="18"/>
      <c r="G9" s="18" t="s">
        <v>31</v>
      </c>
      <c r="H9" s="20" t="s">
        <v>164</v>
      </c>
      <c r="I9" s="20" t="s">
        <v>165</v>
      </c>
      <c r="J9" s="18" t="s">
        <v>35</v>
      </c>
      <c r="K9" s="20" t="s">
        <v>166</v>
      </c>
      <c r="L9" s="150">
        <v>-0.51500000000000001</v>
      </c>
      <c r="M9" s="153">
        <v>1</v>
      </c>
      <c r="N9" s="153">
        <v>-0.51500000000000001</v>
      </c>
      <c r="O9" s="20"/>
      <c r="P9" s="18" t="s">
        <v>37</v>
      </c>
      <c r="Q9" s="168">
        <v>0.112900925334685</v>
      </c>
      <c r="R9" s="168">
        <v>-1.7590312948016299E-5</v>
      </c>
    </row>
    <row r="10" spans="1:18">
      <c r="A10" s="20" t="s">
        <v>128</v>
      </c>
      <c r="B10" s="20">
        <v>7228</v>
      </c>
      <c r="C10" s="27" t="s">
        <v>172</v>
      </c>
      <c r="D10" s="20" t="s">
        <v>173</v>
      </c>
      <c r="E10" s="27" t="s">
        <v>174</v>
      </c>
      <c r="F10" s="18"/>
      <c r="G10" s="18" t="s">
        <v>31</v>
      </c>
      <c r="H10" s="20" t="s">
        <v>164</v>
      </c>
      <c r="I10" s="20" t="s">
        <v>175</v>
      </c>
      <c r="J10" s="18" t="s">
        <v>35</v>
      </c>
      <c r="K10" s="20" t="s">
        <v>176</v>
      </c>
      <c r="L10" s="150">
        <v>1.3959999999999999</v>
      </c>
      <c r="M10" s="153">
        <v>1</v>
      </c>
      <c r="N10" s="153">
        <v>0</v>
      </c>
      <c r="O10" s="20"/>
      <c r="P10" s="18" t="s">
        <v>37</v>
      </c>
      <c r="Q10" s="168">
        <v>2.19704849688151E-9</v>
      </c>
      <c r="R10" s="168">
        <v>6.0230140810557904E-13</v>
      </c>
    </row>
    <row r="11" spans="1:18">
      <c r="A11" s="20" t="s">
        <v>128</v>
      </c>
      <c r="B11" s="20">
        <v>7228</v>
      </c>
      <c r="C11" s="27" t="s">
        <v>161</v>
      </c>
      <c r="D11" s="20" t="s">
        <v>162</v>
      </c>
      <c r="E11" s="27" t="s">
        <v>163</v>
      </c>
      <c r="F11" s="18"/>
      <c r="G11" s="18" t="s">
        <v>31</v>
      </c>
      <c r="H11" s="20" t="s">
        <v>164</v>
      </c>
      <c r="I11" s="20" t="s">
        <v>165</v>
      </c>
      <c r="J11" s="18" t="s">
        <v>35</v>
      </c>
      <c r="K11" s="20" t="s">
        <v>166</v>
      </c>
      <c r="L11" s="150">
        <v>526.29999999999995</v>
      </c>
      <c r="M11" s="153">
        <v>1</v>
      </c>
      <c r="N11" s="153">
        <v>526.29999999999995</v>
      </c>
      <c r="O11" s="20"/>
      <c r="P11" s="18" t="s">
        <v>37</v>
      </c>
      <c r="Q11" s="168">
        <v>0.82840656255452505</v>
      </c>
      <c r="R11" s="168">
        <v>2.27100330201497E-4</v>
      </c>
    </row>
    <row r="12" spans="1:18">
      <c r="A12" s="20" t="s">
        <v>128</v>
      </c>
      <c r="B12" s="20">
        <v>7228</v>
      </c>
      <c r="C12" s="27" t="s">
        <v>167</v>
      </c>
      <c r="D12" s="20" t="s">
        <v>168</v>
      </c>
      <c r="E12" s="27" t="s">
        <v>169</v>
      </c>
      <c r="F12" s="18"/>
      <c r="G12" s="18" t="s">
        <v>31</v>
      </c>
      <c r="H12" s="20" t="s">
        <v>164</v>
      </c>
      <c r="I12" s="20" t="s">
        <v>165</v>
      </c>
      <c r="J12" s="18" t="s">
        <v>35</v>
      </c>
      <c r="K12" s="20" t="s">
        <v>166</v>
      </c>
      <c r="L12" s="150">
        <v>-144.434</v>
      </c>
      <c r="M12" s="153">
        <v>1</v>
      </c>
      <c r="N12" s="153">
        <v>-144.434</v>
      </c>
      <c r="O12" s="20"/>
      <c r="P12" s="18" t="s">
        <v>37</v>
      </c>
      <c r="Q12" s="168">
        <v>-0.227341396254642</v>
      </c>
      <c r="R12" s="168">
        <v>-6.2323632491142203E-5</v>
      </c>
    </row>
    <row r="13" spans="1:18">
      <c r="A13" s="20" t="s">
        <v>128</v>
      </c>
      <c r="B13" s="20">
        <v>7228</v>
      </c>
      <c r="C13" s="27" t="s">
        <v>170</v>
      </c>
      <c r="D13" s="20" t="s">
        <v>171</v>
      </c>
      <c r="E13" s="27" t="s">
        <v>163</v>
      </c>
      <c r="F13" s="18"/>
      <c r="G13" s="18" t="s">
        <v>31</v>
      </c>
      <c r="H13" s="20" t="s">
        <v>164</v>
      </c>
      <c r="I13" s="20" t="s">
        <v>165</v>
      </c>
      <c r="J13" s="18" t="s">
        <v>35</v>
      </c>
      <c r="K13" s="20" t="s">
        <v>166</v>
      </c>
      <c r="L13" s="150">
        <v>253.45</v>
      </c>
      <c r="M13" s="153">
        <v>1</v>
      </c>
      <c r="N13" s="153">
        <v>253.45</v>
      </c>
      <c r="O13" s="20"/>
      <c r="P13" s="18" t="s">
        <v>37</v>
      </c>
      <c r="Q13" s="168">
        <v>0.39893483150306902</v>
      </c>
      <c r="R13" s="168">
        <v>1.09364454675312E-4</v>
      </c>
    </row>
    <row r="14" spans="1:18">
      <c r="A14" s="20" t="s">
        <v>128</v>
      </c>
      <c r="B14" s="20">
        <v>7228</v>
      </c>
      <c r="C14" s="27" t="s">
        <v>177</v>
      </c>
      <c r="D14" s="20" t="s">
        <v>178</v>
      </c>
      <c r="E14" s="27" t="s">
        <v>174</v>
      </c>
      <c r="F14" s="18"/>
      <c r="G14" s="18"/>
      <c r="H14" s="20" t="s">
        <v>164</v>
      </c>
      <c r="I14" s="20" t="s">
        <v>179</v>
      </c>
      <c r="J14" s="18" t="s">
        <v>35</v>
      </c>
      <c r="K14" s="20" t="s">
        <v>179</v>
      </c>
      <c r="L14" s="150">
        <v>286.06700000000001</v>
      </c>
      <c r="M14" s="153">
        <v>1</v>
      </c>
      <c r="N14" s="153">
        <v>286.06700000000001</v>
      </c>
      <c r="O14" s="20"/>
      <c r="P14" s="18" t="s">
        <v>37</v>
      </c>
      <c r="Q14" s="168">
        <v>0.450275158944134</v>
      </c>
      <c r="R14" s="168">
        <v>1.23438951234786E-4</v>
      </c>
    </row>
    <row r="15" spans="1:18">
      <c r="A15" s="20" t="s">
        <v>128</v>
      </c>
      <c r="B15" s="20">
        <v>7228</v>
      </c>
      <c r="C15" s="27" t="s">
        <v>180</v>
      </c>
      <c r="D15" s="20" t="s">
        <v>181</v>
      </c>
      <c r="E15" s="27" t="s">
        <v>174</v>
      </c>
      <c r="F15" s="18"/>
      <c r="G15" s="18"/>
      <c r="H15" s="20" t="s">
        <v>164</v>
      </c>
      <c r="I15" s="20" t="s">
        <v>182</v>
      </c>
      <c r="J15" s="18" t="s">
        <v>35</v>
      </c>
      <c r="K15" s="20" t="s">
        <v>182</v>
      </c>
      <c r="L15" s="150">
        <v>-286.06700000000001</v>
      </c>
      <c r="M15" s="153">
        <v>1</v>
      </c>
      <c r="N15" s="153">
        <v>-286.06700000000001</v>
      </c>
      <c r="O15" s="20"/>
      <c r="P15" s="18" t="s">
        <v>37</v>
      </c>
      <c r="Q15" s="168">
        <v>-0.450275158944134</v>
      </c>
      <c r="R15" s="168">
        <v>-1.23438951234786E-4</v>
      </c>
    </row>
    <row r="16" spans="1:18">
      <c r="A16" s="20" t="s">
        <v>128</v>
      </c>
      <c r="B16" s="20">
        <v>7229</v>
      </c>
      <c r="C16" s="27" t="s">
        <v>161</v>
      </c>
      <c r="D16" s="20" t="s">
        <v>162</v>
      </c>
      <c r="E16" s="27" t="s">
        <v>163</v>
      </c>
      <c r="F16" s="18"/>
      <c r="G16" s="18" t="s">
        <v>31</v>
      </c>
      <c r="H16" s="20" t="s">
        <v>164</v>
      </c>
      <c r="I16" s="20" t="s">
        <v>165</v>
      </c>
      <c r="J16" s="18" t="s">
        <v>35</v>
      </c>
      <c r="K16" s="20" t="s">
        <v>166</v>
      </c>
      <c r="L16" s="150">
        <v>-2.206</v>
      </c>
      <c r="M16" s="153">
        <v>1</v>
      </c>
      <c r="N16" s="153">
        <v>-2.206</v>
      </c>
      <c r="O16" s="20"/>
      <c r="P16" s="18" t="s">
        <v>37</v>
      </c>
      <c r="Q16" s="168">
        <v>0.463541458761836</v>
      </c>
      <c r="R16" s="168">
        <v>-1.53909807997298E-5</v>
      </c>
    </row>
    <row r="17" spans="1:18">
      <c r="A17" s="20" t="s">
        <v>128</v>
      </c>
      <c r="B17" s="20">
        <v>7229</v>
      </c>
      <c r="C17" s="27" t="s">
        <v>167</v>
      </c>
      <c r="D17" s="20" t="s">
        <v>168</v>
      </c>
      <c r="E17" s="27" t="s">
        <v>169</v>
      </c>
      <c r="F17" s="18"/>
      <c r="G17" s="18" t="s">
        <v>31</v>
      </c>
      <c r="H17" s="20" t="s">
        <v>164</v>
      </c>
      <c r="I17" s="20" t="s">
        <v>165</v>
      </c>
      <c r="J17" s="18" t="s">
        <v>35</v>
      </c>
      <c r="K17" s="20" t="s">
        <v>166</v>
      </c>
      <c r="L17" s="150">
        <v>-2.5529999999999999</v>
      </c>
      <c r="M17" s="153">
        <v>1</v>
      </c>
      <c r="N17" s="153">
        <v>-2.5529999999999999</v>
      </c>
      <c r="O17" s="20"/>
      <c r="P17" s="18" t="s">
        <v>37</v>
      </c>
      <c r="Q17" s="168">
        <v>0.53639971511348195</v>
      </c>
      <c r="R17" s="168">
        <v>-1.7810095645692501E-5</v>
      </c>
    </row>
    <row r="18" spans="1:18">
      <c r="A18" s="20" t="s">
        <v>128</v>
      </c>
      <c r="B18" s="20">
        <v>7229</v>
      </c>
      <c r="C18" s="27" t="s">
        <v>170</v>
      </c>
      <c r="D18" s="20" t="s">
        <v>171</v>
      </c>
      <c r="E18" s="27" t="s">
        <v>163</v>
      </c>
      <c r="F18" s="18"/>
      <c r="G18" s="18" t="s">
        <v>31</v>
      </c>
      <c r="H18" s="20" t="s">
        <v>164</v>
      </c>
      <c r="I18" s="20" t="s">
        <v>165</v>
      </c>
      <c r="J18" s="18" t="s">
        <v>35</v>
      </c>
      <c r="K18" s="20" t="s">
        <v>166</v>
      </c>
      <c r="L18" s="150">
        <v>0</v>
      </c>
      <c r="M18" s="153">
        <v>1</v>
      </c>
      <c r="N18" s="153">
        <v>0</v>
      </c>
      <c r="O18" s="20"/>
      <c r="P18" s="18" t="s">
        <v>37</v>
      </c>
      <c r="Q18" s="168">
        <v>5.8826124681971299E-5</v>
      </c>
      <c r="R18" s="168">
        <v>-1.9532055620679902E-9</v>
      </c>
    </row>
    <row r="19" spans="1:18">
      <c r="A19" s="20" t="s">
        <v>128</v>
      </c>
      <c r="B19" s="20">
        <v>9817</v>
      </c>
      <c r="C19" s="27" t="s">
        <v>161</v>
      </c>
      <c r="D19" s="20" t="s">
        <v>162</v>
      </c>
      <c r="E19" s="27" t="s">
        <v>163</v>
      </c>
      <c r="F19" s="18"/>
      <c r="G19" s="18" t="s">
        <v>31</v>
      </c>
      <c r="H19" s="20" t="s">
        <v>164</v>
      </c>
      <c r="I19" s="20" t="s">
        <v>165</v>
      </c>
      <c r="J19" s="18" t="s">
        <v>35</v>
      </c>
      <c r="K19" s="20" t="s">
        <v>166</v>
      </c>
      <c r="L19" s="150">
        <v>-0.05</v>
      </c>
      <c r="M19" s="153">
        <v>1</v>
      </c>
      <c r="N19" s="153">
        <v>-0.05</v>
      </c>
      <c r="O19" s="20"/>
      <c r="P19" s="18" t="s">
        <v>37</v>
      </c>
      <c r="Q19" s="168">
        <v>1</v>
      </c>
      <c r="R19" s="168">
        <v>-3.42614638368685E-5</v>
      </c>
    </row>
    <row r="20" spans="1:18">
      <c r="A20" s="2" t="s">
        <v>144</v>
      </c>
      <c r="B20" s="2">
        <v>969</v>
      </c>
      <c r="C20" s="2" t="s">
        <v>161</v>
      </c>
      <c r="D20" s="2" t="s">
        <v>162</v>
      </c>
      <c r="E20" s="27" t="s">
        <v>163</v>
      </c>
      <c r="F20" s="18"/>
      <c r="G20" s="18" t="s">
        <v>31</v>
      </c>
      <c r="H20" s="20" t="s">
        <v>164</v>
      </c>
      <c r="I20" s="2" t="s">
        <v>165</v>
      </c>
      <c r="J20" s="2" t="s">
        <v>35</v>
      </c>
      <c r="K20" s="2" t="s">
        <v>166</v>
      </c>
      <c r="L20" s="150">
        <v>-1.841</v>
      </c>
      <c r="M20" s="150">
        <v>1</v>
      </c>
      <c r="N20" s="150">
        <v>-1.841</v>
      </c>
      <c r="P20" s="18" t="s">
        <v>37</v>
      </c>
      <c r="Q20" s="164">
        <v>2.71812480460192E-2</v>
      </c>
      <c r="R20" s="164">
        <v>-2.5059596290857499E-5</v>
      </c>
    </row>
    <row r="21" spans="1:18">
      <c r="A21" s="2" t="s">
        <v>144</v>
      </c>
      <c r="B21" s="2">
        <v>969</v>
      </c>
      <c r="C21" s="2" t="s">
        <v>167</v>
      </c>
      <c r="D21" s="2" t="s">
        <v>168</v>
      </c>
      <c r="E21" s="2" t="s">
        <v>169</v>
      </c>
      <c r="G21" s="2" t="s">
        <v>31</v>
      </c>
      <c r="H21" s="2" t="s">
        <v>164</v>
      </c>
      <c r="I21" s="2" t="s">
        <v>165</v>
      </c>
      <c r="J21" s="2" t="s">
        <v>35</v>
      </c>
      <c r="K21" s="2" t="s">
        <v>166</v>
      </c>
      <c r="L21" s="150">
        <v>-65.87</v>
      </c>
      <c r="M21" s="150">
        <v>1</v>
      </c>
      <c r="N21" s="150">
        <v>-65.87</v>
      </c>
      <c r="P21" s="2" t="s">
        <v>37</v>
      </c>
      <c r="Q21" s="164">
        <v>0.97276307688490804</v>
      </c>
      <c r="R21" s="164">
        <v>-8.9683335923783E-4</v>
      </c>
    </row>
    <row r="22" spans="1:18">
      <c r="A22" s="2" t="s">
        <v>144</v>
      </c>
      <c r="B22" s="2">
        <v>969</v>
      </c>
      <c r="C22" s="2" t="s">
        <v>170</v>
      </c>
      <c r="D22" s="2" t="s">
        <v>171</v>
      </c>
      <c r="E22" s="2" t="s">
        <v>163</v>
      </c>
      <c r="G22" s="2" t="s">
        <v>31</v>
      </c>
      <c r="H22" s="2" t="s">
        <v>164</v>
      </c>
      <c r="I22" s="2" t="s">
        <v>165</v>
      </c>
      <c r="J22" s="2" t="s">
        <v>35</v>
      </c>
      <c r="K22" s="2" t="s">
        <v>166</v>
      </c>
      <c r="L22" s="150">
        <v>-4.0000000000000001E-3</v>
      </c>
      <c r="M22" s="150">
        <v>1</v>
      </c>
      <c r="N22" s="150">
        <v>-4.0000000000000001E-3</v>
      </c>
      <c r="P22" s="2" t="s">
        <v>37</v>
      </c>
      <c r="Q22" s="164">
        <v>5.5675069073267103E-5</v>
      </c>
      <c r="R22" s="164">
        <v>-5.1329311740194603E-8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5" customWidth="1"/>
    <col min="17" max="20" width="11.625" style="2" customWidth="1"/>
    <col min="21" max="16384" width="11.625" style="2"/>
  </cols>
  <sheetData>
    <row r="1" spans="1:22" ht="66.75" customHeight="1">
      <c r="A1" s="19" t="s">
        <v>0</v>
      </c>
      <c r="B1" s="19" t="s">
        <v>1</v>
      </c>
      <c r="C1" s="19" t="s">
        <v>145</v>
      </c>
      <c r="D1" s="19" t="s">
        <v>146</v>
      </c>
      <c r="E1" s="19" t="s">
        <v>147</v>
      </c>
      <c r="F1" s="19" t="s">
        <v>148</v>
      </c>
      <c r="G1" s="19" t="s">
        <v>149</v>
      </c>
      <c r="H1" s="19" t="s">
        <v>6</v>
      </c>
      <c r="I1" s="19" t="s">
        <v>7</v>
      </c>
      <c r="J1" s="19" t="s">
        <v>150</v>
      </c>
      <c r="K1" s="19" t="s">
        <v>9</v>
      </c>
      <c r="L1" s="19" t="s">
        <v>10</v>
      </c>
      <c r="M1" s="19" t="s">
        <v>151</v>
      </c>
      <c r="N1" s="19" t="s">
        <v>11</v>
      </c>
      <c r="O1" s="19" t="s">
        <v>18</v>
      </c>
      <c r="P1" s="143" t="s">
        <v>14</v>
      </c>
      <c r="Q1" s="19" t="s">
        <v>152</v>
      </c>
      <c r="R1" s="19" t="s">
        <v>153</v>
      </c>
      <c r="S1" s="19" t="s">
        <v>154</v>
      </c>
      <c r="T1" s="19" t="s">
        <v>155</v>
      </c>
      <c r="U1" s="11"/>
      <c r="V1" s="11"/>
    </row>
    <row r="2" spans="1:22" ht="14.1" customHeight="1">
      <c r="D2" s="20"/>
      <c r="G2" s="18"/>
      <c r="H2" s="18"/>
      <c r="I2" s="18"/>
      <c r="J2" s="20"/>
      <c r="K2" s="20"/>
      <c r="L2" s="20"/>
      <c r="M2" s="20"/>
      <c r="P2" s="144"/>
      <c r="Q2" s="20"/>
      <c r="R2" s="18"/>
      <c r="S2" s="18"/>
      <c r="T2" s="18"/>
    </row>
    <row r="3" spans="1:22" ht="14.1" customHeight="1">
      <c r="D3" s="20"/>
      <c r="H3" s="18"/>
      <c r="I3" s="18"/>
      <c r="J3" s="20"/>
      <c r="K3" s="20"/>
      <c r="L3" s="20"/>
      <c r="M3" s="20"/>
      <c r="Q3" s="20"/>
    </row>
    <row r="4" spans="1:22" ht="14.1" customHeight="1">
      <c r="D4" s="20"/>
      <c r="H4" s="18"/>
      <c r="I4" s="18"/>
      <c r="J4" s="20"/>
      <c r="K4" s="20"/>
      <c r="L4" s="20"/>
      <c r="M4" s="20"/>
      <c r="Q4" s="20"/>
    </row>
    <row r="5" spans="1:22" ht="14.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customHeight="1">
      <c r="D7" s="20"/>
      <c r="H7" s="18"/>
      <c r="I7" s="18"/>
      <c r="J7" s="20"/>
      <c r="K7" s="20"/>
      <c r="L7" s="20"/>
      <c r="M7" s="20"/>
      <c r="Q7" s="20"/>
    </row>
    <row r="8" spans="1:22" ht="14.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customHeight="1">
      <c r="D9" s="20"/>
      <c r="H9" s="18"/>
      <c r="I9" s="18"/>
      <c r="J9" s="20"/>
      <c r="K9" s="20"/>
      <c r="L9" s="20"/>
      <c r="M9" s="20"/>
      <c r="Q9" s="20"/>
    </row>
    <row r="10" spans="1:22" ht="13.5" customHeight="1">
      <c r="D10" s="20"/>
      <c r="H10" s="18"/>
      <c r="I10" s="18"/>
      <c r="J10" s="20"/>
      <c r="K10" s="20"/>
      <c r="L10" s="20"/>
      <c r="M10" s="20"/>
      <c r="Q10" s="20"/>
    </row>
    <row r="11" spans="1:22" ht="13.5" customHeight="1">
      <c r="D11" s="20"/>
      <c r="H11" s="18"/>
      <c r="I11" s="18"/>
      <c r="J11" s="20"/>
      <c r="K11" s="20"/>
      <c r="L11" s="20"/>
      <c r="M11" s="20"/>
      <c r="Q11" s="20"/>
    </row>
    <row r="12" spans="1:22" ht="14.1" customHeight="1">
      <c r="D12" s="20"/>
      <c r="H12" s="18"/>
      <c r="I12" s="18"/>
      <c r="J12" s="20"/>
      <c r="K12" s="20"/>
      <c r="L12" s="20"/>
      <c r="M12" s="20"/>
      <c r="Q12" s="20"/>
    </row>
    <row r="13" spans="1:22" ht="14.1" customHeight="1">
      <c r="D13" s="20"/>
      <c r="H13" s="18"/>
      <c r="I13" s="18"/>
      <c r="J13" s="20"/>
      <c r="K13" s="20"/>
      <c r="L13" s="20"/>
      <c r="M13" s="20"/>
      <c r="Q13" s="20"/>
    </row>
    <row r="14" spans="1:22" ht="14.1" customHeight="1">
      <c r="D14" s="20"/>
      <c r="H14" s="18"/>
      <c r="I14" s="18"/>
      <c r="J14" s="20"/>
      <c r="K14" s="20"/>
      <c r="L14" s="20"/>
      <c r="M14" s="20"/>
      <c r="Q14" s="20"/>
    </row>
    <row r="15" spans="1:22" ht="14.1" customHeight="1">
      <c r="D15" s="20"/>
      <c r="H15" s="18"/>
      <c r="I15" s="18"/>
      <c r="J15" s="20"/>
      <c r="K15" s="20"/>
      <c r="L15" s="20"/>
      <c r="M15" s="20"/>
      <c r="Q15" s="20"/>
    </row>
    <row r="16" spans="1:22" ht="14.1" customHeight="1">
      <c r="D16" s="20"/>
      <c r="H16" s="18"/>
      <c r="I16" s="18"/>
      <c r="J16" s="20"/>
      <c r="K16" s="20"/>
      <c r="L16" s="20"/>
      <c r="M16" s="20"/>
      <c r="Q16" s="20"/>
    </row>
    <row r="17" spans="4:17" ht="14.1" customHeight="1">
      <c r="D17" s="20"/>
      <c r="H17" s="18"/>
      <c r="I17" s="18"/>
      <c r="J17" s="20"/>
      <c r="K17" s="20"/>
      <c r="L17" s="20"/>
      <c r="M17" s="20"/>
      <c r="Q17" s="20"/>
    </row>
    <row r="18" spans="4:17" ht="14.1" customHeight="1">
      <c r="D18" s="20"/>
      <c r="H18" s="18"/>
      <c r="I18" s="18"/>
      <c r="J18" s="20"/>
      <c r="K18" s="20"/>
      <c r="L18" s="20"/>
      <c r="M18" s="20"/>
      <c r="Q18" s="20"/>
    </row>
    <row r="19" spans="4:17" ht="14.1" customHeight="1">
      <c r="D19" s="20"/>
      <c r="H19" s="18"/>
      <c r="I19" s="18"/>
      <c r="J19" s="20"/>
      <c r="K19" s="20"/>
      <c r="L19" s="20"/>
      <c r="M19" s="20"/>
      <c r="Q19" s="20"/>
    </row>
    <row r="20" spans="4:17" ht="14.1" customHeight="1">
      <c r="D20" s="20"/>
      <c r="H20" s="18"/>
      <c r="I20" s="18"/>
      <c r="J20" s="20"/>
      <c r="L20" s="20"/>
      <c r="M20" s="20"/>
      <c r="Q20" s="20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197"/>
  <sheetViews>
    <sheetView rightToLeft="1" zoomScale="70" zoomScaleNormal="70" workbookViewId="0">
      <selection activeCell="S17" sqref="S17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0" width="11.625" style="2" customWidth="1"/>
    <col min="11" max="11" width="11.625" style="177" customWidth="1"/>
    <col min="12" max="15" width="11.625" style="179" customWidth="1"/>
    <col min="16" max="16" width="11.625" style="180" customWidth="1"/>
    <col min="17" max="23" width="11.625" style="2" customWidth="1"/>
    <col min="24" max="16384" width="11.625" style="2"/>
  </cols>
  <sheetData>
    <row r="1" spans="1:22" ht="66.75" customHeight="1">
      <c r="A1" s="19" t="s">
        <v>0</v>
      </c>
      <c r="B1" s="19" t="s">
        <v>1</v>
      </c>
      <c r="C1" s="19" t="s">
        <v>5</v>
      </c>
      <c r="D1" s="19" t="s">
        <v>239</v>
      </c>
      <c r="E1" s="19" t="s">
        <v>240</v>
      </c>
      <c r="F1" s="19" t="s">
        <v>241</v>
      </c>
      <c r="G1" s="19" t="s">
        <v>242</v>
      </c>
      <c r="H1" s="19" t="s">
        <v>243</v>
      </c>
      <c r="I1" s="19" t="s">
        <v>244</v>
      </c>
      <c r="J1" s="19" t="s">
        <v>11</v>
      </c>
      <c r="K1" s="174" t="s">
        <v>245</v>
      </c>
      <c r="L1" s="174" t="s">
        <v>246</v>
      </c>
      <c r="M1" s="174" t="s">
        <v>247</v>
      </c>
      <c r="N1" s="174" t="s">
        <v>248</v>
      </c>
      <c r="O1" s="174" t="s">
        <v>249</v>
      </c>
      <c r="P1" s="174" t="s">
        <v>250</v>
      </c>
      <c r="Q1" s="174" t="s">
        <v>251</v>
      </c>
    </row>
    <row r="2" spans="1:22" ht="14.1" customHeight="1">
      <c r="A2" s="2" t="s">
        <v>128</v>
      </c>
      <c r="B2" s="2">
        <v>7228</v>
      </c>
      <c r="C2" s="2" t="s">
        <v>1070</v>
      </c>
      <c r="D2" s="2" t="s">
        <v>2955</v>
      </c>
      <c r="E2" s="2" t="s">
        <v>2956</v>
      </c>
      <c r="F2" s="20" t="s">
        <v>34</v>
      </c>
      <c r="G2" s="2" t="s">
        <v>2957</v>
      </c>
      <c r="H2" s="2">
        <v>60345527</v>
      </c>
      <c r="I2" s="20" t="s">
        <v>34</v>
      </c>
      <c r="J2" s="2" t="s">
        <v>105</v>
      </c>
      <c r="K2" s="175">
        <v>41364</v>
      </c>
      <c r="L2" s="179">
        <v>500000</v>
      </c>
      <c r="M2" s="179">
        <v>1840.5</v>
      </c>
      <c r="N2" s="179">
        <v>10000</v>
      </c>
      <c r="O2" s="179">
        <v>36.81</v>
      </c>
      <c r="P2" s="180">
        <v>0.02</v>
      </c>
      <c r="R2" s="11"/>
      <c r="V2" s="18"/>
    </row>
    <row r="3" spans="1:22" ht="14.1" customHeight="1">
      <c r="A3" s="2" t="s">
        <v>128</v>
      </c>
      <c r="B3" s="2">
        <v>7228</v>
      </c>
      <c r="C3" s="2" t="s">
        <v>1070</v>
      </c>
      <c r="D3" s="2" t="s">
        <v>2690</v>
      </c>
      <c r="E3" s="2" t="s">
        <v>2691</v>
      </c>
      <c r="F3" s="20" t="s">
        <v>34</v>
      </c>
      <c r="G3" s="2" t="s">
        <v>2690</v>
      </c>
      <c r="H3" s="2">
        <v>60401809</v>
      </c>
      <c r="I3" s="20" t="s">
        <v>34</v>
      </c>
      <c r="J3" s="2" t="s">
        <v>105</v>
      </c>
      <c r="K3" s="176">
        <v>42460</v>
      </c>
      <c r="L3" s="179">
        <v>800000</v>
      </c>
      <c r="M3" s="179">
        <v>2944.8</v>
      </c>
      <c r="N3" s="179">
        <v>8000</v>
      </c>
      <c r="O3" s="179">
        <v>29.448</v>
      </c>
      <c r="P3" s="180">
        <v>0.01</v>
      </c>
      <c r="V3" s="18"/>
    </row>
    <row r="4" spans="1:22" ht="13.5" customHeight="1">
      <c r="A4" s="2" t="s">
        <v>128</v>
      </c>
      <c r="B4" s="2">
        <v>7228</v>
      </c>
      <c r="C4" s="2" t="s">
        <v>1070</v>
      </c>
      <c r="D4" s="2" t="s">
        <v>2972</v>
      </c>
      <c r="E4" s="2" t="s">
        <v>2973</v>
      </c>
      <c r="F4" s="20" t="s">
        <v>34</v>
      </c>
      <c r="G4" s="2" t="s">
        <v>2974</v>
      </c>
      <c r="H4" s="2">
        <v>9840809</v>
      </c>
      <c r="I4" s="20" t="s">
        <v>34</v>
      </c>
      <c r="J4" s="2" t="s">
        <v>105</v>
      </c>
      <c r="K4" s="176">
        <v>39172</v>
      </c>
      <c r="L4" s="179">
        <v>750000</v>
      </c>
      <c r="M4" s="179">
        <v>2760.75</v>
      </c>
      <c r="N4" s="179">
        <v>37500</v>
      </c>
      <c r="O4" s="179">
        <v>138.03749999999999</v>
      </c>
      <c r="P4" s="180">
        <v>0.05</v>
      </c>
      <c r="V4" s="18"/>
    </row>
    <row r="5" spans="1:22" ht="13.5" customHeight="1">
      <c r="A5" s="2" t="s">
        <v>128</v>
      </c>
      <c r="B5" s="2">
        <v>7228</v>
      </c>
      <c r="C5" s="2" t="s">
        <v>1070</v>
      </c>
      <c r="D5" s="2" t="s">
        <v>2922</v>
      </c>
      <c r="E5" s="2" t="s">
        <v>2923</v>
      </c>
      <c r="F5" s="20" t="s">
        <v>34</v>
      </c>
      <c r="G5" s="2" t="s">
        <v>2924</v>
      </c>
      <c r="H5" s="2">
        <v>62006366</v>
      </c>
      <c r="I5" s="20" t="s">
        <v>34</v>
      </c>
      <c r="J5" s="2" t="s">
        <v>105</v>
      </c>
      <c r="K5" s="176">
        <v>43190</v>
      </c>
      <c r="L5" s="179">
        <v>400000</v>
      </c>
      <c r="M5" s="179">
        <v>1472.4</v>
      </c>
      <c r="N5" s="179">
        <v>52000</v>
      </c>
      <c r="O5" s="179">
        <v>191.41200000000001</v>
      </c>
      <c r="P5" s="180">
        <v>0.13</v>
      </c>
      <c r="V5" s="18"/>
    </row>
    <row r="6" spans="1:22" ht="14.1" customHeight="1">
      <c r="A6" s="2" t="s">
        <v>128</v>
      </c>
      <c r="B6" s="2">
        <v>7228</v>
      </c>
      <c r="C6" s="2" t="s">
        <v>1070</v>
      </c>
      <c r="D6" s="2" t="s">
        <v>2987</v>
      </c>
      <c r="E6" s="2" t="s">
        <v>2988</v>
      </c>
      <c r="F6" s="20" t="s">
        <v>1380</v>
      </c>
      <c r="G6" s="2" t="s">
        <v>2989</v>
      </c>
      <c r="H6" s="2">
        <v>9840936</v>
      </c>
      <c r="I6" s="20" t="s">
        <v>34</v>
      </c>
      <c r="J6" s="2" t="s">
        <v>105</v>
      </c>
      <c r="K6" s="176">
        <v>39172</v>
      </c>
      <c r="L6" s="179">
        <v>600000</v>
      </c>
      <c r="M6" s="179">
        <v>2208.6</v>
      </c>
      <c r="N6" s="179">
        <v>12100</v>
      </c>
      <c r="O6" s="179">
        <v>44.540099999999995</v>
      </c>
      <c r="P6" s="180">
        <v>2.0166666666666666E-2</v>
      </c>
      <c r="V6" s="18"/>
    </row>
    <row r="7" spans="1:22" ht="14.1" customHeight="1">
      <c r="A7" s="2" t="s">
        <v>128</v>
      </c>
      <c r="B7" s="2">
        <v>7228</v>
      </c>
      <c r="C7" s="2" t="s">
        <v>1070</v>
      </c>
      <c r="D7" s="2" t="s">
        <v>2701</v>
      </c>
      <c r="E7" s="2" t="s">
        <v>2702</v>
      </c>
      <c r="F7" s="20" t="s">
        <v>359</v>
      </c>
      <c r="G7" s="2" t="s">
        <v>2705</v>
      </c>
      <c r="H7" s="2">
        <v>62002785</v>
      </c>
      <c r="I7" s="20" t="s">
        <v>34</v>
      </c>
      <c r="J7" s="2" t="s">
        <v>105</v>
      </c>
      <c r="K7" s="176">
        <v>42825</v>
      </c>
      <c r="L7" s="179">
        <v>800000</v>
      </c>
      <c r="M7" s="179">
        <v>2944.8</v>
      </c>
      <c r="N7" s="179">
        <v>52000</v>
      </c>
      <c r="O7" s="179">
        <v>191.41200000000001</v>
      </c>
      <c r="P7" s="180">
        <v>6.5000000000000002E-2</v>
      </c>
      <c r="V7" s="18"/>
    </row>
    <row r="8" spans="1:22" ht="14.1" customHeight="1">
      <c r="A8" s="2" t="s">
        <v>128</v>
      </c>
      <c r="B8" s="2">
        <v>7228</v>
      </c>
      <c r="C8" s="2" t="s">
        <v>1070</v>
      </c>
      <c r="D8" s="2" t="s">
        <v>2701</v>
      </c>
      <c r="E8" s="2" t="s">
        <v>2702</v>
      </c>
      <c r="F8" s="20" t="s">
        <v>359</v>
      </c>
      <c r="G8" s="2" t="s">
        <v>2707</v>
      </c>
      <c r="H8" s="2">
        <v>62017827</v>
      </c>
      <c r="I8" s="20" t="s">
        <v>34</v>
      </c>
      <c r="J8" s="2" t="s">
        <v>105</v>
      </c>
      <c r="K8" s="176">
        <v>44286</v>
      </c>
      <c r="L8" s="179">
        <v>600000</v>
      </c>
      <c r="M8" s="179">
        <v>2208.6</v>
      </c>
      <c r="N8" s="179">
        <v>109500</v>
      </c>
      <c r="O8" s="179">
        <v>403.06950000000001</v>
      </c>
      <c r="P8" s="180">
        <v>0.1825</v>
      </c>
      <c r="V8" s="18"/>
    </row>
    <row r="9" spans="1:22" ht="14.1" customHeight="1">
      <c r="A9" s="2" t="s">
        <v>128</v>
      </c>
      <c r="B9" s="2">
        <v>7228</v>
      </c>
      <c r="C9" s="2" t="s">
        <v>1070</v>
      </c>
      <c r="D9" s="2" t="s">
        <v>2701</v>
      </c>
      <c r="E9" s="2" t="s">
        <v>2702</v>
      </c>
      <c r="F9" s="20" t="s">
        <v>359</v>
      </c>
      <c r="G9" s="2" t="s">
        <v>2709</v>
      </c>
      <c r="H9" s="2">
        <v>62018247</v>
      </c>
      <c r="I9" s="20" t="s">
        <v>34</v>
      </c>
      <c r="J9" s="2" t="s">
        <v>105</v>
      </c>
      <c r="K9" s="176">
        <v>44286</v>
      </c>
      <c r="L9" s="179">
        <v>1200000</v>
      </c>
      <c r="M9" s="179">
        <v>4417.2</v>
      </c>
      <c r="N9" s="179">
        <v>312000</v>
      </c>
      <c r="O9" s="179">
        <v>1148.472</v>
      </c>
      <c r="P9" s="180">
        <v>0.26</v>
      </c>
      <c r="V9" s="18"/>
    </row>
    <row r="10" spans="1:22" ht="14.1" customHeight="1">
      <c r="A10" s="2" t="s">
        <v>128</v>
      </c>
      <c r="B10" s="2">
        <v>7228</v>
      </c>
      <c r="C10" s="2" t="s">
        <v>1070</v>
      </c>
      <c r="D10" s="2" t="s">
        <v>2723</v>
      </c>
      <c r="E10" s="2" t="s">
        <v>2724</v>
      </c>
      <c r="F10" s="20" t="s">
        <v>362</v>
      </c>
      <c r="G10" s="2" t="s">
        <v>2964</v>
      </c>
      <c r="H10" s="2">
        <v>60382116</v>
      </c>
      <c r="I10" s="20" t="s">
        <v>34</v>
      </c>
      <c r="J10" s="2" t="s">
        <v>105</v>
      </c>
      <c r="K10" s="176">
        <v>42094</v>
      </c>
      <c r="L10" s="179">
        <v>500000</v>
      </c>
      <c r="M10" s="179">
        <v>1840.5</v>
      </c>
      <c r="N10" s="179">
        <v>25000</v>
      </c>
      <c r="O10" s="179">
        <v>92.025000000000006</v>
      </c>
      <c r="P10" s="180">
        <v>0.05</v>
      </c>
      <c r="V10" s="18"/>
    </row>
    <row r="11" spans="1:22" ht="14.1" customHeight="1">
      <c r="A11" s="2" t="s">
        <v>128</v>
      </c>
      <c r="B11" s="2">
        <v>7228</v>
      </c>
      <c r="C11" s="2" t="s">
        <v>1070</v>
      </c>
      <c r="D11" s="2" t="s">
        <v>2723</v>
      </c>
      <c r="E11" s="2" t="s">
        <v>2724</v>
      </c>
      <c r="F11" s="20" t="s">
        <v>362</v>
      </c>
      <c r="G11" s="2" t="s">
        <v>2725</v>
      </c>
      <c r="H11" s="2">
        <v>62013024</v>
      </c>
      <c r="I11" s="20" t="s">
        <v>34</v>
      </c>
      <c r="J11" s="2" t="s">
        <v>105</v>
      </c>
      <c r="K11" s="176">
        <v>43555</v>
      </c>
      <c r="L11" s="179">
        <v>800000</v>
      </c>
      <c r="M11" s="179">
        <v>2944.8</v>
      </c>
      <c r="N11" s="179">
        <v>360000</v>
      </c>
      <c r="O11" s="179">
        <v>1325.16</v>
      </c>
      <c r="P11" s="180">
        <v>0.45</v>
      </c>
    </row>
    <row r="12" spans="1:22" ht="14.1" customHeight="1">
      <c r="A12" s="2" t="s">
        <v>128</v>
      </c>
      <c r="B12" s="2">
        <v>7228</v>
      </c>
      <c r="C12" s="2" t="s">
        <v>1070</v>
      </c>
      <c r="D12" s="2" t="s">
        <v>2666</v>
      </c>
      <c r="E12" s="2" t="s">
        <v>2667</v>
      </c>
      <c r="F12" s="20" t="s">
        <v>34</v>
      </c>
      <c r="G12" s="2" t="s">
        <v>2672</v>
      </c>
      <c r="H12" s="2">
        <v>62000563</v>
      </c>
      <c r="I12" s="20" t="s">
        <v>34</v>
      </c>
      <c r="J12" s="2" t="s">
        <v>105</v>
      </c>
      <c r="K12" s="176">
        <v>42825</v>
      </c>
      <c r="L12" s="179">
        <v>900000</v>
      </c>
      <c r="M12" s="179">
        <v>3312.9</v>
      </c>
      <c r="N12" s="179">
        <v>33750</v>
      </c>
      <c r="O12" s="179">
        <v>124.23375</v>
      </c>
      <c r="P12" s="180">
        <v>3.7499999999999999E-2</v>
      </c>
    </row>
    <row r="13" spans="1:22" ht="14.1" customHeight="1">
      <c r="A13" s="2" t="s">
        <v>128</v>
      </c>
      <c r="B13" s="2">
        <v>7228</v>
      </c>
      <c r="C13" s="2" t="s">
        <v>1070</v>
      </c>
      <c r="D13" s="2" t="s">
        <v>2666</v>
      </c>
      <c r="E13" s="2" t="s">
        <v>2667</v>
      </c>
      <c r="F13" s="20" t="s">
        <v>34</v>
      </c>
      <c r="G13" s="2" t="s">
        <v>2670</v>
      </c>
      <c r="H13" s="2">
        <v>62019724</v>
      </c>
      <c r="I13" s="20" t="s">
        <v>34</v>
      </c>
      <c r="J13" s="2" t="s">
        <v>105</v>
      </c>
      <c r="K13" s="176">
        <v>44286</v>
      </c>
      <c r="L13" s="179">
        <v>900000</v>
      </c>
      <c r="M13" s="179">
        <v>3312.9</v>
      </c>
      <c r="N13" s="179">
        <v>333000</v>
      </c>
      <c r="O13" s="179">
        <v>1225.7729999999999</v>
      </c>
      <c r="P13" s="180">
        <v>0.37</v>
      </c>
    </row>
    <row r="14" spans="1:22" ht="14.1" customHeight="1">
      <c r="A14" s="2" t="s">
        <v>128</v>
      </c>
      <c r="B14" s="2">
        <v>7228</v>
      </c>
      <c r="C14" s="2" t="s">
        <v>1070</v>
      </c>
      <c r="D14" s="2" t="s">
        <v>2666</v>
      </c>
      <c r="E14" s="2" t="s">
        <v>2667</v>
      </c>
      <c r="F14" s="20" t="s">
        <v>34</v>
      </c>
      <c r="G14" s="2" t="s">
        <v>2699</v>
      </c>
      <c r="H14" s="2">
        <v>62013347</v>
      </c>
      <c r="I14" s="20" t="s">
        <v>34</v>
      </c>
      <c r="J14" s="2" t="s">
        <v>105</v>
      </c>
      <c r="K14" s="176">
        <v>43555</v>
      </c>
      <c r="L14" s="179">
        <v>800000</v>
      </c>
      <c r="M14" s="179">
        <v>2944.8</v>
      </c>
      <c r="N14" s="179">
        <v>20445</v>
      </c>
      <c r="O14" s="179">
        <v>75.258044999999996</v>
      </c>
      <c r="P14" s="180">
        <v>2.5556249999999999E-2</v>
      </c>
    </row>
    <row r="15" spans="1:22" ht="14.1" customHeight="1">
      <c r="A15" s="2" t="s">
        <v>128</v>
      </c>
      <c r="B15" s="2">
        <v>7228</v>
      </c>
      <c r="C15" s="2" t="s">
        <v>1070</v>
      </c>
      <c r="D15" s="2" t="s">
        <v>2968</v>
      </c>
      <c r="E15" s="2" t="s">
        <v>2969</v>
      </c>
      <c r="F15" s="20" t="s">
        <v>204</v>
      </c>
      <c r="G15" s="2" t="s">
        <v>2970</v>
      </c>
      <c r="H15" s="2">
        <v>60335908</v>
      </c>
      <c r="I15" s="20" t="s">
        <v>34</v>
      </c>
      <c r="J15" s="2" t="s">
        <v>105</v>
      </c>
      <c r="K15" s="176">
        <v>41364</v>
      </c>
      <c r="L15" s="179">
        <v>500000</v>
      </c>
      <c r="M15" s="179">
        <v>1840.5</v>
      </c>
      <c r="N15" s="179">
        <v>20026</v>
      </c>
      <c r="O15" s="179">
        <v>73.715706000000011</v>
      </c>
      <c r="P15" s="180">
        <v>4.0051999999999997E-2</v>
      </c>
    </row>
    <row r="16" spans="1:22" ht="14.1" customHeight="1">
      <c r="A16" s="2" t="s">
        <v>128</v>
      </c>
      <c r="B16" s="2">
        <v>7228</v>
      </c>
      <c r="C16" s="2" t="s">
        <v>1070</v>
      </c>
      <c r="D16" s="2" t="s">
        <v>2727</v>
      </c>
      <c r="E16" s="2" t="s">
        <v>2728</v>
      </c>
      <c r="F16" s="20" t="s">
        <v>204</v>
      </c>
      <c r="G16" s="2" t="s">
        <v>2729</v>
      </c>
      <c r="H16" s="2">
        <v>60406600</v>
      </c>
      <c r="I16" s="20" t="s">
        <v>34</v>
      </c>
      <c r="J16" s="2" t="s">
        <v>105</v>
      </c>
      <c r="K16" s="176">
        <v>42460</v>
      </c>
      <c r="L16" s="179">
        <v>1000000</v>
      </c>
      <c r="M16" s="179">
        <v>3681</v>
      </c>
      <c r="N16" s="179">
        <v>79979</v>
      </c>
      <c r="O16" s="179">
        <v>294.40269900000004</v>
      </c>
      <c r="P16" s="180">
        <v>7.9978999999999995E-2</v>
      </c>
    </row>
    <row r="17" spans="1:16" ht="14.1" customHeight="1">
      <c r="A17" s="2" t="s">
        <v>128</v>
      </c>
      <c r="B17" s="2">
        <v>7228</v>
      </c>
      <c r="C17" s="2" t="s">
        <v>1070</v>
      </c>
      <c r="D17" s="2" t="s">
        <v>2750</v>
      </c>
      <c r="E17" s="2">
        <v>0</v>
      </c>
      <c r="F17" s="20" t="s">
        <v>204</v>
      </c>
      <c r="G17" s="2" t="s">
        <v>2753</v>
      </c>
      <c r="H17" s="2">
        <v>62007349</v>
      </c>
      <c r="I17" s="20" t="s">
        <v>34</v>
      </c>
      <c r="J17" s="2" t="s">
        <v>105</v>
      </c>
      <c r="K17" s="176">
        <v>43190</v>
      </c>
      <c r="L17" s="179">
        <v>800000</v>
      </c>
      <c r="M17" s="179">
        <v>2944.8</v>
      </c>
      <c r="N17" s="179">
        <v>79999</v>
      </c>
      <c r="O17" s="179">
        <v>294.47631899999999</v>
      </c>
      <c r="P17" s="180">
        <v>9.9998749999999997E-2</v>
      </c>
    </row>
    <row r="18" spans="1:16" ht="14.1" customHeight="1">
      <c r="A18" s="2" t="s">
        <v>128</v>
      </c>
      <c r="B18" s="2">
        <v>7228</v>
      </c>
      <c r="C18" s="2" t="s">
        <v>1070</v>
      </c>
      <c r="D18" s="2" t="s">
        <v>2755</v>
      </c>
      <c r="E18" s="2" t="s">
        <v>2756</v>
      </c>
      <c r="F18" s="20" t="s">
        <v>204</v>
      </c>
      <c r="G18" s="2" t="s">
        <v>2757</v>
      </c>
      <c r="H18" s="2">
        <v>62020755</v>
      </c>
      <c r="I18" s="20" t="s">
        <v>34</v>
      </c>
      <c r="J18" s="2" t="s">
        <v>105</v>
      </c>
      <c r="K18" s="176">
        <v>44651</v>
      </c>
      <c r="L18" s="179">
        <v>1600000</v>
      </c>
      <c r="M18" s="179">
        <v>5889.6</v>
      </c>
      <c r="N18" s="179">
        <v>1304000</v>
      </c>
      <c r="O18" s="179">
        <v>4800.0240000000003</v>
      </c>
      <c r="P18" s="180">
        <v>0.81499999999999995</v>
      </c>
    </row>
    <row r="19" spans="1:16" ht="14.1" customHeight="1">
      <c r="A19" s="2" t="s">
        <v>128</v>
      </c>
      <c r="B19" s="2">
        <v>7228</v>
      </c>
      <c r="C19" s="2" t="s">
        <v>1070</v>
      </c>
      <c r="D19" s="2" t="s">
        <v>2731</v>
      </c>
      <c r="E19" s="2" t="s">
        <v>2732</v>
      </c>
      <c r="F19" s="20" t="s">
        <v>204</v>
      </c>
      <c r="G19" s="2" t="s">
        <v>2733</v>
      </c>
      <c r="H19" s="2">
        <v>62009048</v>
      </c>
      <c r="I19" s="20" t="s">
        <v>34</v>
      </c>
      <c r="J19" s="2" t="s">
        <v>105</v>
      </c>
      <c r="K19" s="176">
        <v>43190</v>
      </c>
      <c r="L19" s="179">
        <v>800000</v>
      </c>
      <c r="M19" s="179">
        <v>2944.8</v>
      </c>
      <c r="N19" s="179">
        <v>36000</v>
      </c>
      <c r="O19" s="179">
        <v>132.51599999999999</v>
      </c>
      <c r="P19" s="180">
        <v>4.4999999999999998E-2</v>
      </c>
    </row>
    <row r="20" spans="1:16" ht="14.1" customHeight="1">
      <c r="A20" s="2" t="s">
        <v>128</v>
      </c>
      <c r="B20" s="2">
        <v>7228</v>
      </c>
      <c r="C20" s="2" t="s">
        <v>1070</v>
      </c>
      <c r="D20" s="2" t="s">
        <v>2750</v>
      </c>
      <c r="E20" s="2">
        <v>0</v>
      </c>
      <c r="F20" s="20" t="s">
        <v>204</v>
      </c>
      <c r="G20" s="2" t="s">
        <v>2751</v>
      </c>
      <c r="H20" s="2">
        <v>62015151</v>
      </c>
      <c r="I20" s="20" t="s">
        <v>34</v>
      </c>
      <c r="J20" s="2" t="s">
        <v>105</v>
      </c>
      <c r="K20" s="177">
        <v>43921</v>
      </c>
      <c r="L20" s="179">
        <v>1000000</v>
      </c>
      <c r="M20" s="179">
        <v>3681</v>
      </c>
      <c r="N20" s="179">
        <v>305000</v>
      </c>
      <c r="O20" s="179">
        <v>1122.7049999999999</v>
      </c>
      <c r="P20" s="180">
        <v>0.30499999999999999</v>
      </c>
    </row>
    <row r="21" spans="1:16" ht="14.1" customHeight="1">
      <c r="A21" s="2" t="s">
        <v>128</v>
      </c>
      <c r="B21" s="2">
        <v>7228</v>
      </c>
      <c r="C21" s="2" t="s">
        <v>1070</v>
      </c>
      <c r="D21" s="2" t="s">
        <v>2735</v>
      </c>
      <c r="E21" s="2" t="s">
        <v>2736</v>
      </c>
      <c r="F21" s="2" t="s">
        <v>204</v>
      </c>
      <c r="G21" s="2" t="s">
        <v>2737</v>
      </c>
      <c r="H21" s="2">
        <v>62015334</v>
      </c>
      <c r="I21" s="2" t="s">
        <v>34</v>
      </c>
      <c r="J21" s="2" t="s">
        <v>105</v>
      </c>
      <c r="K21" s="177">
        <v>43921</v>
      </c>
      <c r="L21" s="179">
        <v>1200000</v>
      </c>
      <c r="M21" s="179">
        <v>4417.2</v>
      </c>
      <c r="N21" s="179">
        <v>180000</v>
      </c>
      <c r="O21" s="179">
        <v>662.58</v>
      </c>
      <c r="P21" s="180">
        <v>0.15</v>
      </c>
    </row>
    <row r="22" spans="1:16" ht="14.1" customHeight="1">
      <c r="A22" s="2" t="s">
        <v>128</v>
      </c>
      <c r="B22" s="2">
        <v>7228</v>
      </c>
      <c r="C22" s="2" t="s">
        <v>1070</v>
      </c>
      <c r="D22" s="2" t="s">
        <v>2739</v>
      </c>
      <c r="E22" s="2" t="s">
        <v>2740</v>
      </c>
      <c r="F22" s="2" t="s">
        <v>204</v>
      </c>
      <c r="G22" s="2" t="s">
        <v>2741</v>
      </c>
      <c r="H22" s="2">
        <v>62017835</v>
      </c>
      <c r="I22" s="2" t="s">
        <v>34</v>
      </c>
      <c r="J22" s="2" t="s">
        <v>105</v>
      </c>
      <c r="K22" s="177">
        <v>44286</v>
      </c>
      <c r="L22" s="179">
        <v>800000</v>
      </c>
      <c r="M22" s="179">
        <v>2944.8</v>
      </c>
      <c r="N22" s="179">
        <v>204000</v>
      </c>
      <c r="O22" s="179">
        <v>750.92399999999998</v>
      </c>
      <c r="P22" s="180">
        <v>0.255</v>
      </c>
    </row>
    <row r="23" spans="1:16" ht="14.1" customHeight="1">
      <c r="A23" s="2" t="s">
        <v>128</v>
      </c>
      <c r="B23" s="2">
        <v>7228</v>
      </c>
      <c r="C23" s="2" t="s">
        <v>1070</v>
      </c>
      <c r="D23" s="2" t="s">
        <v>2742</v>
      </c>
      <c r="E23" s="2" t="s">
        <v>2743</v>
      </c>
      <c r="F23" s="2" t="s">
        <v>204</v>
      </c>
      <c r="G23" s="2" t="s">
        <v>2744</v>
      </c>
      <c r="H23" s="2">
        <v>62020011</v>
      </c>
      <c r="I23" s="2" t="s">
        <v>34</v>
      </c>
      <c r="J23" s="2" t="s">
        <v>105</v>
      </c>
      <c r="K23" s="177">
        <v>44561</v>
      </c>
      <c r="L23" s="179">
        <v>1200000</v>
      </c>
      <c r="M23" s="179">
        <v>4417.2</v>
      </c>
      <c r="N23" s="179">
        <v>756000</v>
      </c>
      <c r="O23" s="179">
        <v>2782.8359999999998</v>
      </c>
      <c r="P23" s="180">
        <v>0.63</v>
      </c>
    </row>
    <row r="24" spans="1:16" ht="14.1" customHeight="1">
      <c r="A24" s="2" t="s">
        <v>128</v>
      </c>
      <c r="B24" s="2">
        <v>7228</v>
      </c>
      <c r="C24" s="2" t="s">
        <v>1070</v>
      </c>
      <c r="D24" s="2" t="s">
        <v>2746</v>
      </c>
      <c r="E24" s="2" t="s">
        <v>2747</v>
      </c>
      <c r="F24" s="2" t="s">
        <v>204</v>
      </c>
      <c r="G24" s="2" t="s">
        <v>2748</v>
      </c>
      <c r="H24" s="2">
        <v>62020748</v>
      </c>
      <c r="I24" s="2" t="s">
        <v>34</v>
      </c>
      <c r="J24" s="2" t="s">
        <v>105</v>
      </c>
      <c r="K24" s="178">
        <v>44834</v>
      </c>
      <c r="L24" s="179">
        <v>1250000</v>
      </c>
      <c r="M24" s="179">
        <v>4601.25</v>
      </c>
      <c r="N24" s="179">
        <v>1087500</v>
      </c>
      <c r="O24" s="179">
        <v>4003.0875000000001</v>
      </c>
      <c r="P24" s="180">
        <v>0.87</v>
      </c>
    </row>
    <row r="25" spans="1:16" ht="14.1" customHeight="1">
      <c r="A25" s="2" t="s">
        <v>128</v>
      </c>
      <c r="B25" s="2">
        <v>7228</v>
      </c>
      <c r="C25" s="2" t="s">
        <v>1070</v>
      </c>
      <c r="D25" s="2" t="s">
        <v>2938</v>
      </c>
      <c r="E25" s="2" t="s">
        <v>2939</v>
      </c>
      <c r="F25" s="2" t="s">
        <v>204</v>
      </c>
      <c r="G25" s="2" t="s">
        <v>2940</v>
      </c>
      <c r="H25" s="2">
        <v>62020995</v>
      </c>
      <c r="I25" s="2" t="s">
        <v>34</v>
      </c>
      <c r="J25" s="2" t="s">
        <v>105</v>
      </c>
      <c r="K25" s="178">
        <v>44834</v>
      </c>
      <c r="L25" s="179">
        <v>1250000</v>
      </c>
      <c r="M25" s="179">
        <v>4601.25</v>
      </c>
      <c r="N25" s="179">
        <v>1075000</v>
      </c>
      <c r="O25" s="179">
        <v>3957.0749999999998</v>
      </c>
      <c r="P25" s="180">
        <v>0.86</v>
      </c>
    </row>
    <row r="26" spans="1:16" ht="14.1" customHeight="1">
      <c r="A26" s="2" t="s">
        <v>128</v>
      </c>
      <c r="B26" s="2">
        <v>7228</v>
      </c>
      <c r="C26" s="2" t="s">
        <v>1070</v>
      </c>
      <c r="D26" s="2" t="s">
        <v>2881</v>
      </c>
      <c r="E26" s="2" t="s">
        <v>2882</v>
      </c>
      <c r="F26" s="2" t="s">
        <v>361</v>
      </c>
      <c r="G26" s="2" t="s">
        <v>2883</v>
      </c>
      <c r="H26" s="2">
        <v>62020953</v>
      </c>
      <c r="I26" s="2" t="s">
        <v>34</v>
      </c>
      <c r="J26" s="2" t="s">
        <v>105</v>
      </c>
      <c r="K26" s="178">
        <v>44651</v>
      </c>
      <c r="L26" s="179">
        <v>1800000</v>
      </c>
      <c r="M26" s="179">
        <v>6625.8</v>
      </c>
      <c r="N26" s="179">
        <v>1260000</v>
      </c>
      <c r="O26" s="179">
        <v>4638.0600000000004</v>
      </c>
      <c r="P26" s="180">
        <v>0.7</v>
      </c>
    </row>
    <row r="27" spans="1:16" ht="14.1" customHeight="1">
      <c r="A27" s="2" t="s">
        <v>128</v>
      </c>
      <c r="B27" s="2">
        <v>7228</v>
      </c>
      <c r="C27" s="2" t="s">
        <v>1070</v>
      </c>
      <c r="D27" s="2" t="s">
        <v>2662</v>
      </c>
      <c r="E27" s="2" t="s">
        <v>2663</v>
      </c>
      <c r="F27" s="2" t="s">
        <v>34</v>
      </c>
      <c r="G27" s="2" t="s">
        <v>2980</v>
      </c>
      <c r="H27" s="2">
        <v>9840906</v>
      </c>
      <c r="I27" s="2" t="s">
        <v>34</v>
      </c>
      <c r="J27" s="2" t="s">
        <v>105</v>
      </c>
      <c r="K27" s="177">
        <v>38442</v>
      </c>
      <c r="L27" s="179">
        <v>1000000</v>
      </c>
      <c r="M27" s="179">
        <v>3681</v>
      </c>
      <c r="N27" s="179">
        <v>113280</v>
      </c>
      <c r="O27" s="179">
        <v>416.98367999999999</v>
      </c>
      <c r="P27" s="180">
        <v>0.11328000000000001</v>
      </c>
    </row>
    <row r="28" spans="1:16" ht="14.1" customHeight="1">
      <c r="A28" s="2" t="s">
        <v>128</v>
      </c>
      <c r="B28" s="2">
        <v>7228</v>
      </c>
      <c r="C28" s="2" t="s">
        <v>1070</v>
      </c>
      <c r="D28" s="2" t="s">
        <v>2662</v>
      </c>
      <c r="E28" s="2" t="s">
        <v>2663</v>
      </c>
      <c r="F28" s="2" t="s">
        <v>34</v>
      </c>
      <c r="G28" s="2" t="s">
        <v>2948</v>
      </c>
      <c r="H28" s="2">
        <v>60305448</v>
      </c>
      <c r="I28" s="2" t="s">
        <v>34</v>
      </c>
      <c r="J28" s="2" t="s">
        <v>105</v>
      </c>
      <c r="K28" s="178">
        <v>40999</v>
      </c>
      <c r="L28" s="179">
        <v>2000000</v>
      </c>
      <c r="M28" s="179">
        <v>7362</v>
      </c>
      <c r="N28" s="179">
        <v>180567</v>
      </c>
      <c r="O28" s="179">
        <v>664.66712699999994</v>
      </c>
      <c r="P28" s="180">
        <v>9.0283500000000003E-2</v>
      </c>
    </row>
    <row r="29" spans="1:16" ht="14.1" customHeight="1">
      <c r="A29" s="2" t="s">
        <v>128</v>
      </c>
      <c r="B29" s="2">
        <v>7228</v>
      </c>
      <c r="C29" s="2" t="s">
        <v>1070</v>
      </c>
      <c r="D29" s="2" t="s">
        <v>2662</v>
      </c>
      <c r="E29" s="2" t="s">
        <v>2663</v>
      </c>
      <c r="F29" s="2" t="s">
        <v>34</v>
      </c>
      <c r="G29" s="2" t="s">
        <v>2769</v>
      </c>
      <c r="H29" s="2">
        <v>60400892</v>
      </c>
      <c r="I29" s="2" t="s">
        <v>34</v>
      </c>
      <c r="J29" s="2" t="s">
        <v>105</v>
      </c>
      <c r="K29" s="177">
        <v>42460</v>
      </c>
      <c r="L29" s="179">
        <v>2000000</v>
      </c>
      <c r="M29" s="179">
        <v>7362</v>
      </c>
      <c r="N29" s="179">
        <v>214547</v>
      </c>
      <c r="O29" s="179">
        <v>789.74750699999993</v>
      </c>
      <c r="P29" s="180">
        <v>0.10727349999999999</v>
      </c>
    </row>
    <row r="30" spans="1:16" ht="14.1" customHeight="1">
      <c r="A30" s="2" t="s">
        <v>128</v>
      </c>
      <c r="B30" s="2">
        <v>7228</v>
      </c>
      <c r="C30" s="2" t="s">
        <v>1070</v>
      </c>
      <c r="D30" s="2" t="s">
        <v>2662</v>
      </c>
      <c r="E30" s="2" t="s">
        <v>2663</v>
      </c>
      <c r="F30" s="2" t="s">
        <v>34</v>
      </c>
      <c r="G30" s="2" t="s">
        <v>2664</v>
      </c>
      <c r="H30" s="2">
        <v>62018312</v>
      </c>
      <c r="I30" s="2" t="s">
        <v>34</v>
      </c>
      <c r="J30" s="2" t="s">
        <v>105</v>
      </c>
      <c r="K30" s="177">
        <v>44286</v>
      </c>
      <c r="L30" s="179">
        <v>2000000</v>
      </c>
      <c r="M30" s="179">
        <v>7362</v>
      </c>
      <c r="N30" s="179">
        <v>1368000</v>
      </c>
      <c r="O30" s="179">
        <v>5035.6080000000002</v>
      </c>
      <c r="P30" s="180">
        <v>0.68400000000000005</v>
      </c>
    </row>
    <row r="31" spans="1:16" ht="14.1" customHeight="1">
      <c r="A31" s="2" t="s">
        <v>128</v>
      </c>
      <c r="B31" s="2">
        <v>7228</v>
      </c>
      <c r="C31" s="2" t="s">
        <v>1070</v>
      </c>
      <c r="D31" s="2" t="s">
        <v>2993</v>
      </c>
      <c r="E31" s="2" t="s">
        <v>2994</v>
      </c>
      <c r="F31" s="2" t="s">
        <v>1380</v>
      </c>
      <c r="G31" s="2" t="s">
        <v>2995</v>
      </c>
      <c r="H31" s="2">
        <v>9840947</v>
      </c>
      <c r="I31" s="2" t="s">
        <v>34</v>
      </c>
      <c r="J31" s="2" t="s">
        <v>105</v>
      </c>
      <c r="K31" s="177">
        <v>38442</v>
      </c>
      <c r="L31" s="179">
        <v>1000000</v>
      </c>
      <c r="M31" s="179">
        <v>3681</v>
      </c>
      <c r="N31" s="179">
        <v>64979</v>
      </c>
      <c r="O31" s="179">
        <v>239.18769899999998</v>
      </c>
      <c r="P31" s="180">
        <v>6.4978999999999995E-2</v>
      </c>
    </row>
    <row r="32" spans="1:16" ht="14.1" customHeight="1">
      <c r="A32" s="2" t="s">
        <v>128</v>
      </c>
      <c r="B32" s="2">
        <v>7228</v>
      </c>
      <c r="C32" s="2" t="s">
        <v>1070</v>
      </c>
      <c r="D32" s="2" t="s">
        <v>2949</v>
      </c>
      <c r="E32" s="2" t="s">
        <v>2950</v>
      </c>
      <c r="F32" s="2" t="s">
        <v>34</v>
      </c>
      <c r="G32" s="2" t="s">
        <v>2951</v>
      </c>
      <c r="H32" s="2">
        <v>60283439</v>
      </c>
      <c r="I32" s="2" t="s">
        <v>34</v>
      </c>
      <c r="J32" s="2" t="s">
        <v>105</v>
      </c>
      <c r="K32" s="177">
        <v>40633</v>
      </c>
      <c r="L32" s="179">
        <v>1000000</v>
      </c>
      <c r="M32" s="179">
        <v>3681</v>
      </c>
      <c r="N32" s="179">
        <v>10000</v>
      </c>
      <c r="O32" s="179">
        <v>36.81</v>
      </c>
      <c r="P32" s="180">
        <v>0.01</v>
      </c>
    </row>
    <row r="33" spans="1:16" ht="14.1" customHeight="1">
      <c r="A33" s="2" t="s">
        <v>128</v>
      </c>
      <c r="B33" s="2">
        <v>7228</v>
      </c>
      <c r="C33" s="2" t="s">
        <v>1070</v>
      </c>
      <c r="D33" s="2" t="s">
        <v>2682</v>
      </c>
      <c r="E33" s="2" t="s">
        <v>2683</v>
      </c>
      <c r="F33" s="2" t="s">
        <v>34</v>
      </c>
      <c r="G33" s="2" t="s">
        <v>2684</v>
      </c>
      <c r="H33" s="2">
        <v>62017538</v>
      </c>
      <c r="I33" s="2" t="s">
        <v>34</v>
      </c>
      <c r="J33" s="2" t="s">
        <v>105</v>
      </c>
      <c r="K33" s="177">
        <v>43921</v>
      </c>
      <c r="L33" s="179">
        <v>4600000</v>
      </c>
      <c r="M33" s="179">
        <v>16932.599999999999</v>
      </c>
      <c r="N33" s="179">
        <v>920000</v>
      </c>
      <c r="O33" s="179">
        <v>3386.52</v>
      </c>
      <c r="P33" s="180">
        <v>0.2</v>
      </c>
    </row>
    <row r="34" spans="1:16" ht="14.1" customHeight="1">
      <c r="A34" s="2" t="s">
        <v>128</v>
      </c>
      <c r="B34" s="2">
        <v>7228</v>
      </c>
      <c r="C34" s="2" t="s">
        <v>1070</v>
      </c>
      <c r="D34" s="2" t="s">
        <v>2942</v>
      </c>
      <c r="E34" s="2" t="s">
        <v>2943</v>
      </c>
      <c r="F34" s="2" t="s">
        <v>1380</v>
      </c>
      <c r="G34" s="2" t="s">
        <v>2944</v>
      </c>
      <c r="H34" s="2">
        <v>9840847</v>
      </c>
      <c r="I34" s="2" t="s">
        <v>34</v>
      </c>
      <c r="J34" s="2" t="s">
        <v>105</v>
      </c>
      <c r="K34" s="177">
        <v>38442</v>
      </c>
      <c r="L34" s="179">
        <v>500000</v>
      </c>
      <c r="M34" s="179">
        <v>1840.5</v>
      </c>
      <c r="N34" s="179">
        <v>20000</v>
      </c>
      <c r="O34" s="179">
        <v>73.62</v>
      </c>
      <c r="P34" s="180">
        <v>0.04</v>
      </c>
    </row>
    <row r="35" spans="1:16" ht="14.1" customHeight="1">
      <c r="A35" s="2" t="s">
        <v>128</v>
      </c>
      <c r="B35" s="2">
        <v>7228</v>
      </c>
      <c r="C35" s="2" t="s">
        <v>1070</v>
      </c>
      <c r="D35" s="2" t="s">
        <v>2961</v>
      </c>
      <c r="E35" s="2" t="s">
        <v>2962</v>
      </c>
      <c r="F35" s="2" t="s">
        <v>362</v>
      </c>
      <c r="G35" s="2" t="s">
        <v>2963</v>
      </c>
      <c r="H35" s="2">
        <v>60346871</v>
      </c>
      <c r="I35" s="2" t="s">
        <v>34</v>
      </c>
      <c r="J35" s="2" t="s">
        <v>105</v>
      </c>
      <c r="K35" s="177">
        <v>41729</v>
      </c>
      <c r="L35" s="179">
        <v>500000</v>
      </c>
      <c r="M35" s="179">
        <v>1840.5</v>
      </c>
      <c r="N35" s="179">
        <v>43279</v>
      </c>
      <c r="O35" s="179">
        <v>159.309999</v>
      </c>
      <c r="P35" s="180">
        <v>8.6557999999999996E-2</v>
      </c>
    </row>
    <row r="36" spans="1:16" ht="14.1" customHeight="1">
      <c r="A36" s="2" t="s">
        <v>128</v>
      </c>
      <c r="B36" s="2">
        <v>7228</v>
      </c>
      <c r="C36" s="2" t="s">
        <v>1070</v>
      </c>
      <c r="D36" s="2" t="s">
        <v>2802</v>
      </c>
      <c r="E36" s="2" t="s">
        <v>2803</v>
      </c>
      <c r="F36" s="2" t="s">
        <v>361</v>
      </c>
      <c r="G36" s="2" t="s">
        <v>2804</v>
      </c>
      <c r="H36" s="2">
        <v>60419041</v>
      </c>
      <c r="I36" s="2" t="s">
        <v>34</v>
      </c>
      <c r="J36" s="2" t="s">
        <v>105</v>
      </c>
      <c r="K36" s="177">
        <v>42460</v>
      </c>
      <c r="L36" s="179">
        <v>1000000</v>
      </c>
      <c r="M36" s="179">
        <v>3681</v>
      </c>
      <c r="N36" s="179">
        <v>110000</v>
      </c>
      <c r="O36" s="179">
        <v>404.91</v>
      </c>
      <c r="P36" s="180">
        <v>0.11</v>
      </c>
    </row>
    <row r="37" spans="1:16" ht="14.1" customHeight="1">
      <c r="A37" s="2" t="s">
        <v>128</v>
      </c>
      <c r="B37" s="2">
        <v>7228</v>
      </c>
      <c r="C37" s="2" t="s">
        <v>1070</v>
      </c>
      <c r="D37" s="2" t="s">
        <v>2806</v>
      </c>
      <c r="E37" s="2" t="s">
        <v>2807</v>
      </c>
      <c r="F37" s="2" t="s">
        <v>361</v>
      </c>
      <c r="G37" s="2" t="s">
        <v>2808</v>
      </c>
      <c r="H37" s="2">
        <v>62016654</v>
      </c>
      <c r="I37" s="2" t="s">
        <v>34</v>
      </c>
      <c r="J37" s="2" t="s">
        <v>105</v>
      </c>
      <c r="K37" s="177">
        <v>43921</v>
      </c>
      <c r="L37" s="179">
        <v>2250000</v>
      </c>
      <c r="M37" s="179">
        <v>8282.25</v>
      </c>
      <c r="N37" s="179">
        <v>573750</v>
      </c>
      <c r="O37" s="179">
        <v>2111.9737500000001</v>
      </c>
      <c r="P37" s="180">
        <v>0.255</v>
      </c>
    </row>
    <row r="38" spans="1:16" ht="14.1" customHeight="1">
      <c r="A38" s="2" t="s">
        <v>128</v>
      </c>
      <c r="B38" s="2">
        <v>7228</v>
      </c>
      <c r="C38" s="2" t="s">
        <v>1070</v>
      </c>
      <c r="D38" s="2" t="s">
        <v>2810</v>
      </c>
      <c r="E38" s="2" t="s">
        <v>2811</v>
      </c>
      <c r="F38" s="2" t="s">
        <v>362</v>
      </c>
      <c r="G38" s="2" t="s">
        <v>2812</v>
      </c>
      <c r="H38" s="2">
        <v>62021241</v>
      </c>
      <c r="I38" s="2" t="s">
        <v>34</v>
      </c>
      <c r="J38" s="2" t="s">
        <v>105</v>
      </c>
      <c r="K38" s="177">
        <v>45016</v>
      </c>
      <c r="L38" s="179">
        <v>1600000</v>
      </c>
      <c r="M38" s="179">
        <v>5889.6</v>
      </c>
      <c r="N38" s="179">
        <v>1296000</v>
      </c>
      <c r="O38" s="179">
        <v>4770.576</v>
      </c>
      <c r="P38" s="180">
        <v>0.81</v>
      </c>
    </row>
    <row r="39" spans="1:16" ht="14.1" customHeight="1">
      <c r="A39" s="2" t="s">
        <v>128</v>
      </c>
      <c r="B39" s="2">
        <v>7228</v>
      </c>
      <c r="C39" s="2" t="s">
        <v>1070</v>
      </c>
      <c r="D39" s="2" t="s">
        <v>2840</v>
      </c>
      <c r="E39" s="2" t="s">
        <v>2841</v>
      </c>
      <c r="F39" s="2" t="s">
        <v>362</v>
      </c>
      <c r="G39" s="2" t="s">
        <v>2842</v>
      </c>
      <c r="H39" s="2">
        <v>62003800</v>
      </c>
      <c r="I39" s="2" t="s">
        <v>34</v>
      </c>
      <c r="J39" s="2" t="s">
        <v>105</v>
      </c>
      <c r="K39" s="177">
        <v>43008</v>
      </c>
      <c r="L39" s="179">
        <v>3000000</v>
      </c>
      <c r="M39" s="179">
        <v>11043</v>
      </c>
      <c r="N39" s="179">
        <v>585000</v>
      </c>
      <c r="O39" s="179">
        <v>2153.3850000000002</v>
      </c>
      <c r="P39" s="180">
        <v>0.19500000000000001</v>
      </c>
    </row>
    <row r="40" spans="1:16" ht="14.1" customHeight="1">
      <c r="A40" s="2" t="s">
        <v>128</v>
      </c>
      <c r="B40" s="2">
        <v>7228</v>
      </c>
      <c r="C40" s="2" t="s">
        <v>1070</v>
      </c>
      <c r="D40" s="2" t="s">
        <v>2840</v>
      </c>
      <c r="E40" s="2" t="s">
        <v>2841</v>
      </c>
      <c r="F40" s="2" t="s">
        <v>362</v>
      </c>
      <c r="G40" s="2" t="s">
        <v>2844</v>
      </c>
      <c r="H40" s="2">
        <v>620101031</v>
      </c>
      <c r="I40" s="2" t="s">
        <v>34</v>
      </c>
      <c r="J40" s="2" t="s">
        <v>105</v>
      </c>
      <c r="K40" s="177">
        <v>43190</v>
      </c>
      <c r="L40" s="179">
        <v>1500000</v>
      </c>
      <c r="M40" s="179">
        <v>5521.5</v>
      </c>
      <c r="N40" s="179">
        <v>285000</v>
      </c>
      <c r="O40" s="179">
        <v>1049.085</v>
      </c>
      <c r="P40" s="180">
        <v>0.19</v>
      </c>
    </row>
    <row r="41" spans="1:16" ht="14.1" customHeight="1">
      <c r="A41" s="2" t="s">
        <v>128</v>
      </c>
      <c r="B41" s="2">
        <v>7228</v>
      </c>
      <c r="C41" s="2" t="s">
        <v>1070</v>
      </c>
      <c r="D41" s="2" t="s">
        <v>2840</v>
      </c>
      <c r="E41" s="2" t="s">
        <v>2841</v>
      </c>
      <c r="F41" s="2" t="s">
        <v>362</v>
      </c>
      <c r="G41" s="2" t="s">
        <v>2845</v>
      </c>
      <c r="H41" s="2">
        <v>62014857</v>
      </c>
      <c r="I41" s="2" t="s">
        <v>34</v>
      </c>
      <c r="J41" s="2" t="s">
        <v>105</v>
      </c>
      <c r="K41" s="177">
        <v>43555</v>
      </c>
      <c r="L41" s="179">
        <v>1500000</v>
      </c>
      <c r="M41" s="179">
        <v>5521.5</v>
      </c>
      <c r="N41" s="179">
        <v>390000</v>
      </c>
      <c r="O41" s="179">
        <v>1435.59</v>
      </c>
      <c r="P41" s="180">
        <v>0.26</v>
      </c>
    </row>
    <row r="42" spans="1:16" ht="14.1" customHeight="1">
      <c r="A42" s="2" t="s">
        <v>128</v>
      </c>
      <c r="B42" s="2">
        <v>7228</v>
      </c>
      <c r="C42" s="2" t="s">
        <v>1070</v>
      </c>
      <c r="D42" s="2" t="s">
        <v>2840</v>
      </c>
      <c r="E42" s="2" t="s">
        <v>2841</v>
      </c>
      <c r="F42" s="2" t="s">
        <v>362</v>
      </c>
      <c r="G42" s="2" t="s">
        <v>2847</v>
      </c>
      <c r="H42" s="2">
        <v>62019476</v>
      </c>
      <c r="I42" s="2" t="s">
        <v>34</v>
      </c>
      <c r="J42" s="2" t="s">
        <v>105</v>
      </c>
      <c r="K42" s="177">
        <v>44469</v>
      </c>
      <c r="L42" s="179">
        <v>1750000</v>
      </c>
      <c r="M42" s="179">
        <v>6441.75</v>
      </c>
      <c r="N42" s="179">
        <v>729561</v>
      </c>
      <c r="O42" s="179">
        <v>2685.5140410000004</v>
      </c>
      <c r="P42" s="180">
        <v>0.41689199999999998</v>
      </c>
    </row>
    <row r="43" spans="1:16" ht="14.1" customHeight="1">
      <c r="A43" s="2" t="s">
        <v>128</v>
      </c>
      <c r="B43" s="2">
        <v>7228</v>
      </c>
      <c r="C43" s="2" t="s">
        <v>1070</v>
      </c>
      <c r="D43" s="2" t="s">
        <v>2840</v>
      </c>
      <c r="E43" s="2" t="s">
        <v>2841</v>
      </c>
      <c r="F43" s="2" t="s">
        <v>362</v>
      </c>
      <c r="G43" s="2" t="s">
        <v>2850</v>
      </c>
      <c r="H43" s="2">
        <v>62017678</v>
      </c>
      <c r="I43" s="2" t="s">
        <v>34</v>
      </c>
      <c r="J43" s="2" t="s">
        <v>105</v>
      </c>
      <c r="K43" s="177">
        <v>43921</v>
      </c>
      <c r="L43" s="179">
        <v>3000000</v>
      </c>
      <c r="M43" s="179">
        <v>11043</v>
      </c>
      <c r="N43" s="179">
        <v>90000</v>
      </c>
      <c r="O43" s="179">
        <v>331.29</v>
      </c>
      <c r="P43" s="180">
        <v>0.03</v>
      </c>
    </row>
    <row r="44" spans="1:16" ht="14.1" customHeight="1">
      <c r="A44" s="2" t="s">
        <v>128</v>
      </c>
      <c r="B44" s="2">
        <v>7228</v>
      </c>
      <c r="C44" s="2" t="s">
        <v>1070</v>
      </c>
      <c r="D44" s="2" t="s">
        <v>2840</v>
      </c>
      <c r="E44" s="2" t="s">
        <v>2841</v>
      </c>
      <c r="F44" s="2" t="s">
        <v>362</v>
      </c>
      <c r="G44" s="2" t="s">
        <v>2852</v>
      </c>
      <c r="H44" s="2">
        <v>62019237</v>
      </c>
      <c r="I44" s="2" t="s">
        <v>34</v>
      </c>
      <c r="J44" s="2" t="s">
        <v>105</v>
      </c>
      <c r="K44" s="177">
        <v>44286</v>
      </c>
      <c r="L44" s="179">
        <v>3000000</v>
      </c>
      <c r="M44" s="179">
        <v>11043</v>
      </c>
      <c r="N44" s="179">
        <v>300000</v>
      </c>
      <c r="O44" s="179">
        <v>1104.3</v>
      </c>
      <c r="P44" s="180">
        <v>0.1</v>
      </c>
    </row>
    <row r="45" spans="1:16" ht="14.1" customHeight="1">
      <c r="A45" s="2" t="s">
        <v>128</v>
      </c>
      <c r="B45" s="2">
        <v>7228</v>
      </c>
      <c r="C45" s="2" t="s">
        <v>1070</v>
      </c>
      <c r="D45" s="2" t="s">
        <v>2840</v>
      </c>
      <c r="E45" s="2" t="s">
        <v>2841</v>
      </c>
      <c r="F45" s="2" t="s">
        <v>362</v>
      </c>
      <c r="G45" s="2" t="s">
        <v>2848</v>
      </c>
      <c r="H45" s="2">
        <v>62020458</v>
      </c>
      <c r="I45" s="2" t="s">
        <v>34</v>
      </c>
      <c r="J45" s="2" t="s">
        <v>105</v>
      </c>
      <c r="K45" s="177">
        <v>44742</v>
      </c>
      <c r="L45" s="179">
        <v>1000000</v>
      </c>
      <c r="M45" s="179">
        <v>3681</v>
      </c>
      <c r="N45" s="179">
        <v>200000</v>
      </c>
      <c r="O45" s="179">
        <v>736.2</v>
      </c>
      <c r="P45" s="180">
        <v>0.2</v>
      </c>
    </row>
    <row r="46" spans="1:16" ht="14.1" customHeight="1">
      <c r="A46" s="2" t="s">
        <v>128</v>
      </c>
      <c r="B46" s="2">
        <v>7228</v>
      </c>
      <c r="C46" s="2" t="s">
        <v>1070</v>
      </c>
      <c r="D46" s="2" t="s">
        <v>2686</v>
      </c>
      <c r="E46" s="2" t="s">
        <v>2687</v>
      </c>
      <c r="F46" s="2" t="s">
        <v>34</v>
      </c>
      <c r="G46" s="2" t="s">
        <v>2688</v>
      </c>
      <c r="H46" s="2">
        <v>62001189</v>
      </c>
      <c r="I46" s="2" t="s">
        <v>34</v>
      </c>
      <c r="J46" s="2" t="s">
        <v>105</v>
      </c>
      <c r="K46" s="177">
        <v>42825</v>
      </c>
      <c r="L46" s="179">
        <v>730000</v>
      </c>
      <c r="M46" s="179">
        <v>2687.13</v>
      </c>
      <c r="N46" s="179">
        <v>58400</v>
      </c>
      <c r="O46" s="179">
        <v>214.97039999999998</v>
      </c>
      <c r="P46" s="180">
        <v>0.08</v>
      </c>
    </row>
    <row r="47" spans="1:16" ht="14.1" customHeight="1">
      <c r="A47" s="2" t="s">
        <v>128</v>
      </c>
      <c r="B47" s="2">
        <v>7228</v>
      </c>
      <c r="C47" s="2" t="s">
        <v>1070</v>
      </c>
      <c r="D47" s="2" t="s">
        <v>2998</v>
      </c>
      <c r="E47" s="2" t="s">
        <v>2999</v>
      </c>
      <c r="F47" s="2" t="s">
        <v>361</v>
      </c>
      <c r="G47" s="2" t="s">
        <v>3000</v>
      </c>
      <c r="H47" s="2">
        <v>62001875</v>
      </c>
      <c r="I47" s="2" t="s">
        <v>34</v>
      </c>
      <c r="J47" s="2" t="s">
        <v>105</v>
      </c>
      <c r="K47" s="177">
        <v>42825</v>
      </c>
      <c r="L47" s="179">
        <v>1000000</v>
      </c>
      <c r="M47" s="179">
        <v>3681</v>
      </c>
      <c r="N47" s="179">
        <v>248076.87000000011</v>
      </c>
      <c r="O47" s="179">
        <v>913.17095847000041</v>
      </c>
      <c r="P47" s="180">
        <v>0.24807687000000012</v>
      </c>
    </row>
    <row r="48" spans="1:16" ht="14.1" customHeight="1">
      <c r="A48" s="2" t="s">
        <v>128</v>
      </c>
      <c r="B48" s="2">
        <v>7228</v>
      </c>
      <c r="C48" s="2" t="s">
        <v>1070</v>
      </c>
      <c r="D48" s="2" t="s">
        <v>2869</v>
      </c>
      <c r="E48" s="2" t="s">
        <v>2870</v>
      </c>
      <c r="F48" s="2" t="s">
        <v>361</v>
      </c>
      <c r="G48" s="2" t="s">
        <v>2871</v>
      </c>
      <c r="H48" s="2">
        <v>62006705</v>
      </c>
      <c r="I48" s="2" t="s">
        <v>34</v>
      </c>
      <c r="J48" s="2" t="s">
        <v>105</v>
      </c>
      <c r="K48" s="177">
        <v>43190</v>
      </c>
      <c r="L48" s="179">
        <v>1000000</v>
      </c>
      <c r="M48" s="179">
        <v>3681</v>
      </c>
      <c r="N48" s="179">
        <v>36360.940000000061</v>
      </c>
      <c r="O48" s="179">
        <v>133.84462014000022</v>
      </c>
      <c r="P48" s="180">
        <v>3.6360940000000064E-2</v>
      </c>
    </row>
    <row r="49" spans="1:16" ht="14.1" customHeight="1">
      <c r="A49" s="2" t="s">
        <v>128</v>
      </c>
      <c r="B49" s="2">
        <v>7228</v>
      </c>
      <c r="C49" s="2" t="s">
        <v>1070</v>
      </c>
      <c r="D49" s="2" t="s">
        <v>2865</v>
      </c>
      <c r="E49" s="2" t="s">
        <v>2866</v>
      </c>
      <c r="F49" s="2" t="s">
        <v>361</v>
      </c>
      <c r="G49" s="2" t="s">
        <v>2867</v>
      </c>
      <c r="H49" s="2">
        <v>62019013</v>
      </c>
      <c r="I49" s="2" t="s">
        <v>34</v>
      </c>
      <c r="J49" s="2" t="s">
        <v>105</v>
      </c>
      <c r="K49" s="177">
        <v>44286</v>
      </c>
      <c r="L49" s="179">
        <v>2700000</v>
      </c>
      <c r="M49" s="179">
        <v>9938.7000000000007</v>
      </c>
      <c r="N49" s="179">
        <v>198101.3200000003</v>
      </c>
      <c r="O49" s="179">
        <v>729.21095892000108</v>
      </c>
      <c r="P49" s="180">
        <v>7.3370859259259374E-2</v>
      </c>
    </row>
    <row r="50" spans="1:16" ht="14.1" customHeight="1">
      <c r="A50" s="2" t="s">
        <v>128</v>
      </c>
      <c r="B50" s="2">
        <v>7228</v>
      </c>
      <c r="C50" s="2" t="s">
        <v>1070</v>
      </c>
      <c r="D50" s="2" t="s">
        <v>2762</v>
      </c>
      <c r="E50" s="2" t="s">
        <v>2763</v>
      </c>
      <c r="F50" s="2" t="s">
        <v>1380</v>
      </c>
      <c r="G50" s="2" t="s">
        <v>2762</v>
      </c>
      <c r="H50" s="2">
        <v>18952</v>
      </c>
      <c r="I50" s="2" t="s">
        <v>34</v>
      </c>
      <c r="J50" s="2" t="s">
        <v>35</v>
      </c>
      <c r="K50" s="177">
        <v>42825</v>
      </c>
      <c r="L50" s="179">
        <v>3250000</v>
      </c>
      <c r="M50" s="179">
        <v>3250</v>
      </c>
      <c r="N50" s="179">
        <v>557669</v>
      </c>
      <c r="O50" s="179">
        <v>557.66899999999998</v>
      </c>
      <c r="P50" s="180">
        <v>0.17159046153846153</v>
      </c>
    </row>
    <row r="51" spans="1:16" ht="14.1" customHeight="1">
      <c r="A51" s="2" t="s">
        <v>128</v>
      </c>
      <c r="B51" s="2">
        <v>7228</v>
      </c>
      <c r="C51" s="2" t="s">
        <v>1070</v>
      </c>
      <c r="D51" s="2" t="s">
        <v>2762</v>
      </c>
      <c r="E51" s="2" t="s">
        <v>2763</v>
      </c>
      <c r="F51" s="2" t="s">
        <v>1380</v>
      </c>
      <c r="G51" s="2" t="s">
        <v>2764</v>
      </c>
      <c r="H51" s="2">
        <v>50007004</v>
      </c>
      <c r="I51" s="2" t="s">
        <v>34</v>
      </c>
      <c r="J51" s="2" t="s">
        <v>35</v>
      </c>
      <c r="K51" s="177">
        <v>44469</v>
      </c>
      <c r="L51" s="179">
        <v>8000000</v>
      </c>
      <c r="M51" s="179">
        <v>8000</v>
      </c>
      <c r="N51" s="179">
        <v>2976302</v>
      </c>
      <c r="O51" s="179">
        <v>2976.3020000000001</v>
      </c>
      <c r="P51" s="180">
        <v>0.37203775</v>
      </c>
    </row>
    <row r="52" spans="1:16" ht="14.1" customHeight="1">
      <c r="A52" s="2" t="s">
        <v>128</v>
      </c>
      <c r="B52" s="2">
        <v>7228</v>
      </c>
      <c r="C52" s="2" t="s">
        <v>1070</v>
      </c>
      <c r="D52" s="2" t="s">
        <v>2693</v>
      </c>
      <c r="E52" s="2" t="s">
        <v>2694</v>
      </c>
      <c r="F52" s="2" t="s">
        <v>361</v>
      </c>
      <c r="G52" s="2" t="s">
        <v>2695</v>
      </c>
      <c r="H52" s="2">
        <v>50000983</v>
      </c>
      <c r="I52" s="2" t="s">
        <v>34</v>
      </c>
      <c r="J52" s="2" t="s">
        <v>35</v>
      </c>
      <c r="K52" s="177">
        <v>43555</v>
      </c>
      <c r="L52" s="179">
        <v>6000000</v>
      </c>
      <c r="M52" s="179">
        <v>6000</v>
      </c>
      <c r="N52" s="179">
        <v>1800000</v>
      </c>
      <c r="O52" s="179">
        <v>1800</v>
      </c>
      <c r="P52" s="180">
        <v>0.3</v>
      </c>
    </row>
    <row r="53" spans="1:16" ht="14.1" customHeight="1">
      <c r="A53" s="2" t="s">
        <v>128</v>
      </c>
      <c r="B53" s="2">
        <v>7228</v>
      </c>
      <c r="C53" s="2" t="s">
        <v>1070</v>
      </c>
      <c r="D53" s="2" t="s">
        <v>2693</v>
      </c>
      <c r="E53" s="2" t="s">
        <v>2694</v>
      </c>
      <c r="F53" s="2" t="s">
        <v>361</v>
      </c>
      <c r="G53" s="2" t="s">
        <v>2697</v>
      </c>
      <c r="H53" s="2">
        <v>50007897</v>
      </c>
      <c r="I53" s="2" t="s">
        <v>34</v>
      </c>
      <c r="J53" s="2" t="s">
        <v>35</v>
      </c>
      <c r="K53" s="177">
        <v>45016</v>
      </c>
      <c r="L53" s="179">
        <v>9900000</v>
      </c>
      <c r="M53" s="179">
        <v>9900</v>
      </c>
      <c r="N53" s="179">
        <v>6930000</v>
      </c>
      <c r="O53" s="179">
        <v>6930</v>
      </c>
      <c r="P53" s="180">
        <v>0.7</v>
      </c>
    </row>
    <row r="54" spans="1:16" ht="14.1" customHeight="1">
      <c r="A54" s="2" t="s">
        <v>128</v>
      </c>
      <c r="B54" s="2">
        <v>7228</v>
      </c>
      <c r="C54" s="2" t="s">
        <v>1070</v>
      </c>
      <c r="D54" s="2" t="s">
        <v>3002</v>
      </c>
      <c r="E54" s="2" t="s">
        <v>3003</v>
      </c>
      <c r="F54" s="2" t="s">
        <v>361</v>
      </c>
      <c r="G54" s="2" t="s">
        <v>3004</v>
      </c>
      <c r="H54" s="2">
        <v>62006754</v>
      </c>
      <c r="I54" s="2" t="s">
        <v>34</v>
      </c>
      <c r="J54" s="2" t="s">
        <v>105</v>
      </c>
      <c r="K54" s="177">
        <v>43190</v>
      </c>
      <c r="L54" s="179">
        <v>750000</v>
      </c>
      <c r="M54" s="179">
        <v>2760.75</v>
      </c>
      <c r="N54" s="179">
        <v>52027.489999999874</v>
      </c>
      <c r="O54" s="179">
        <v>191.51319068999956</v>
      </c>
      <c r="P54" s="180">
        <v>6.9369986666666494E-2</v>
      </c>
    </row>
    <row r="55" spans="1:16" ht="14.1" customHeight="1">
      <c r="A55" s="2" t="s">
        <v>128</v>
      </c>
      <c r="B55" s="2">
        <v>7228</v>
      </c>
      <c r="C55" s="2" t="s">
        <v>1070</v>
      </c>
      <c r="D55" s="2" t="s">
        <v>2904</v>
      </c>
      <c r="E55" s="2" t="s">
        <v>2905</v>
      </c>
      <c r="F55" s="2" t="s">
        <v>361</v>
      </c>
      <c r="G55" s="2" t="s">
        <v>2906</v>
      </c>
      <c r="H55" s="2">
        <v>62009204</v>
      </c>
      <c r="I55" s="2" t="s">
        <v>34</v>
      </c>
      <c r="J55" s="2" t="s">
        <v>105</v>
      </c>
      <c r="K55" s="177">
        <v>43190</v>
      </c>
      <c r="L55" s="179">
        <v>1500000</v>
      </c>
      <c r="M55" s="179">
        <v>5521.5</v>
      </c>
      <c r="N55" s="179">
        <v>137628</v>
      </c>
      <c r="O55" s="179">
        <v>506.60866800000002</v>
      </c>
      <c r="P55" s="180">
        <v>9.1752E-2</v>
      </c>
    </row>
    <row r="56" spans="1:16" ht="14.1" customHeight="1">
      <c r="A56" s="2" t="s">
        <v>128</v>
      </c>
      <c r="B56" s="2">
        <v>7228</v>
      </c>
      <c r="C56" s="2" t="s">
        <v>1070</v>
      </c>
      <c r="D56" s="2" t="s">
        <v>2918</v>
      </c>
      <c r="E56" s="2" t="s">
        <v>2919</v>
      </c>
      <c r="F56" s="2" t="s">
        <v>361</v>
      </c>
      <c r="G56" s="2" t="s">
        <v>2920</v>
      </c>
      <c r="H56" s="2">
        <v>62010137</v>
      </c>
      <c r="I56" s="2" t="s">
        <v>34</v>
      </c>
      <c r="J56" s="2" t="s">
        <v>105</v>
      </c>
      <c r="K56" s="177">
        <v>43190</v>
      </c>
      <c r="L56" s="179">
        <v>1500000</v>
      </c>
      <c r="M56" s="179">
        <v>5521.5</v>
      </c>
      <c r="N56" s="179">
        <v>445893</v>
      </c>
      <c r="O56" s="179">
        <v>1641.3321329999999</v>
      </c>
      <c r="P56" s="180">
        <v>0.29726200000000003</v>
      </c>
    </row>
    <row r="57" spans="1:16" ht="14.1" customHeight="1">
      <c r="A57" s="2" t="s">
        <v>128</v>
      </c>
      <c r="B57" s="2">
        <v>7228</v>
      </c>
      <c r="C57" s="2" t="s">
        <v>1070</v>
      </c>
      <c r="D57" s="2" t="s">
        <v>2914</v>
      </c>
      <c r="E57" s="2" t="s">
        <v>2915</v>
      </c>
      <c r="F57" s="2" t="s">
        <v>361</v>
      </c>
      <c r="G57" s="2" t="s">
        <v>2916</v>
      </c>
      <c r="H57" s="2">
        <v>62020813</v>
      </c>
      <c r="I57" s="2" t="s">
        <v>34</v>
      </c>
      <c r="J57" s="2" t="s">
        <v>105</v>
      </c>
      <c r="K57" s="177">
        <v>44742</v>
      </c>
      <c r="L57" s="179">
        <v>2200000</v>
      </c>
      <c r="M57" s="179">
        <v>8098.2</v>
      </c>
      <c r="N57" s="179">
        <v>1742167</v>
      </c>
      <c r="O57" s="179">
        <v>6412.9167269999998</v>
      </c>
      <c r="P57" s="180">
        <v>0.79189409090909091</v>
      </c>
    </row>
    <row r="58" spans="1:16" ht="14.1" customHeight="1">
      <c r="A58" s="2" t="s">
        <v>128</v>
      </c>
      <c r="B58" s="2">
        <v>7228</v>
      </c>
      <c r="C58" s="2" t="s">
        <v>1070</v>
      </c>
      <c r="D58" s="2" t="s">
        <v>2908</v>
      </c>
      <c r="E58" s="2" t="s">
        <v>2909</v>
      </c>
      <c r="F58" s="2" t="s">
        <v>361</v>
      </c>
      <c r="G58" s="2" t="s">
        <v>2910</v>
      </c>
      <c r="H58" s="2">
        <v>62019807</v>
      </c>
      <c r="I58" s="2" t="s">
        <v>34</v>
      </c>
      <c r="J58" s="2" t="s">
        <v>105</v>
      </c>
      <c r="K58" s="177">
        <v>44561</v>
      </c>
      <c r="L58" s="179">
        <v>2700000</v>
      </c>
      <c r="M58" s="179">
        <v>9938.7000000000007</v>
      </c>
      <c r="N58" s="179">
        <v>593521</v>
      </c>
      <c r="O58" s="179">
        <v>2184.7508010000001</v>
      </c>
      <c r="P58" s="180">
        <v>0.2198225925925926</v>
      </c>
    </row>
    <row r="59" spans="1:16" ht="14.1" customHeight="1">
      <c r="A59" s="2" t="s">
        <v>128</v>
      </c>
      <c r="B59" s="2">
        <v>7228</v>
      </c>
      <c r="C59" s="2" t="s">
        <v>1070</v>
      </c>
      <c r="D59" s="2" t="s">
        <v>2900</v>
      </c>
      <c r="E59" s="2" t="s">
        <v>2901</v>
      </c>
      <c r="F59" s="2" t="s">
        <v>361</v>
      </c>
      <c r="G59" s="2" t="s">
        <v>2902</v>
      </c>
      <c r="H59" s="2">
        <v>62019849</v>
      </c>
      <c r="I59" s="2" t="s">
        <v>34</v>
      </c>
      <c r="J59" s="2" t="s">
        <v>105</v>
      </c>
      <c r="K59" s="177">
        <v>44561</v>
      </c>
      <c r="L59" s="179">
        <v>2800000</v>
      </c>
      <c r="M59" s="179">
        <v>10306.799999999999</v>
      </c>
      <c r="N59" s="179">
        <v>489247.3200000003</v>
      </c>
      <c r="O59" s="179">
        <v>1800.919384920001</v>
      </c>
      <c r="P59" s="180">
        <v>0.17473118571428581</v>
      </c>
    </row>
    <row r="60" spans="1:16" ht="14.1" customHeight="1">
      <c r="A60" s="2" t="s">
        <v>128</v>
      </c>
      <c r="B60" s="2">
        <v>7228</v>
      </c>
      <c r="C60" s="2" t="s">
        <v>1070</v>
      </c>
      <c r="D60" s="2" t="s">
        <v>2911</v>
      </c>
      <c r="E60" s="2" t="s">
        <v>2905</v>
      </c>
      <c r="F60" s="2" t="s">
        <v>361</v>
      </c>
      <c r="G60" s="2" t="s">
        <v>2912</v>
      </c>
      <c r="H60" s="2">
        <v>62020615</v>
      </c>
      <c r="I60" s="2" t="s">
        <v>34</v>
      </c>
      <c r="J60" s="2" t="s">
        <v>105</v>
      </c>
      <c r="K60" s="177">
        <v>44651</v>
      </c>
      <c r="L60" s="179">
        <v>2600000</v>
      </c>
      <c r="M60" s="179">
        <v>9570.6</v>
      </c>
      <c r="N60" s="179">
        <v>1301333</v>
      </c>
      <c r="O60" s="179">
        <v>4790.2067729999999</v>
      </c>
      <c r="P60" s="180">
        <v>0.50051269230769235</v>
      </c>
    </row>
    <row r="61" spans="1:16" ht="14.1" customHeight="1">
      <c r="A61" s="2" t="s">
        <v>128</v>
      </c>
      <c r="B61" s="2">
        <v>7228</v>
      </c>
      <c r="C61" s="2" t="s">
        <v>1070</v>
      </c>
      <c r="D61" s="2" t="s">
        <v>2896</v>
      </c>
      <c r="E61" s="2" t="s">
        <v>2897</v>
      </c>
      <c r="F61" s="2" t="s">
        <v>362</v>
      </c>
      <c r="G61" s="2" t="s">
        <v>2898</v>
      </c>
      <c r="H61" s="2">
        <v>62021571</v>
      </c>
      <c r="I61" s="2" t="s">
        <v>34</v>
      </c>
      <c r="J61" s="2" t="s">
        <v>1224</v>
      </c>
      <c r="K61" s="177">
        <v>45382</v>
      </c>
      <c r="L61" s="179">
        <v>1600000</v>
      </c>
      <c r="M61" s="179">
        <v>6366.56</v>
      </c>
      <c r="N61" s="179">
        <v>913992.92</v>
      </c>
      <c r="O61" s="179">
        <v>3636.8692279719999</v>
      </c>
      <c r="P61" s="180">
        <v>0.57124557500000006</v>
      </c>
    </row>
    <row r="62" spans="1:16" ht="14.1" customHeight="1">
      <c r="A62" s="2" t="s">
        <v>128</v>
      </c>
      <c r="B62" s="2">
        <v>7228</v>
      </c>
      <c r="C62" s="2" t="s">
        <v>1070</v>
      </c>
      <c r="D62" s="2" t="s">
        <v>2832</v>
      </c>
      <c r="E62" s="2" t="s">
        <v>2833</v>
      </c>
      <c r="F62" s="2" t="s">
        <v>362</v>
      </c>
      <c r="G62" s="2" t="s">
        <v>2834</v>
      </c>
      <c r="H62" s="2">
        <v>62020946</v>
      </c>
      <c r="I62" s="2" t="s">
        <v>34</v>
      </c>
      <c r="J62" s="2" t="s">
        <v>105</v>
      </c>
      <c r="K62" s="177">
        <v>44651</v>
      </c>
      <c r="L62" s="179">
        <v>2700000</v>
      </c>
      <c r="M62" s="179">
        <v>9938.7000000000007</v>
      </c>
      <c r="N62" s="179">
        <v>1477373</v>
      </c>
      <c r="O62" s="179">
        <v>5438.2100129999999</v>
      </c>
      <c r="P62" s="180">
        <v>0.54717518518518515</v>
      </c>
    </row>
    <row r="63" spans="1:16" ht="14.1" customHeight="1">
      <c r="A63" s="2" t="s">
        <v>128</v>
      </c>
      <c r="B63" s="2">
        <v>7228</v>
      </c>
      <c r="C63" s="2" t="s">
        <v>1070</v>
      </c>
      <c r="D63" s="2" t="s">
        <v>2873</v>
      </c>
      <c r="E63" s="2" t="s">
        <v>2874</v>
      </c>
      <c r="F63" s="2" t="s">
        <v>361</v>
      </c>
      <c r="G63" s="2" t="s">
        <v>2875</v>
      </c>
      <c r="H63" s="2">
        <v>62017652</v>
      </c>
      <c r="I63" s="2" t="s">
        <v>34</v>
      </c>
      <c r="J63" s="2" t="s">
        <v>105</v>
      </c>
      <c r="K63" s="177">
        <v>43921</v>
      </c>
      <c r="L63" s="179">
        <v>2200000</v>
      </c>
      <c r="M63" s="179">
        <v>8098.2</v>
      </c>
      <c r="N63" s="179">
        <v>504008.98</v>
      </c>
      <c r="O63" s="179">
        <v>1855.2570553800001</v>
      </c>
      <c r="P63" s="180">
        <v>0.22909499090909091</v>
      </c>
    </row>
    <row r="64" spans="1:16" ht="14.1" customHeight="1">
      <c r="A64" s="2" t="s">
        <v>128</v>
      </c>
      <c r="B64" s="2">
        <v>7228</v>
      </c>
      <c r="C64" s="2" t="s">
        <v>1070</v>
      </c>
      <c r="D64" s="2" t="s">
        <v>2877</v>
      </c>
      <c r="E64" s="2" t="s">
        <v>2878</v>
      </c>
      <c r="F64" s="2" t="s">
        <v>361</v>
      </c>
      <c r="G64" s="2" t="s">
        <v>2879</v>
      </c>
      <c r="H64" s="2">
        <v>62021142</v>
      </c>
      <c r="I64" s="2" t="s">
        <v>34</v>
      </c>
      <c r="J64" s="2" t="s">
        <v>105</v>
      </c>
      <c r="K64" s="177">
        <v>45016</v>
      </c>
      <c r="L64" s="179">
        <v>2800000</v>
      </c>
      <c r="M64" s="179">
        <v>10306.799999999999</v>
      </c>
      <c r="N64" s="179">
        <v>1540000</v>
      </c>
      <c r="O64" s="179">
        <v>5668.74</v>
      </c>
      <c r="P64" s="180">
        <v>0.55000000000000004</v>
      </c>
    </row>
    <row r="65" spans="1:16" ht="14.1" customHeight="1">
      <c r="A65" s="2" t="s">
        <v>128</v>
      </c>
      <c r="B65" s="2">
        <v>7228</v>
      </c>
      <c r="C65" s="2" t="s">
        <v>1070</v>
      </c>
      <c r="D65" s="2" t="s">
        <v>2857</v>
      </c>
      <c r="E65" s="2" t="s">
        <v>2858</v>
      </c>
      <c r="F65" s="2" t="s">
        <v>361</v>
      </c>
      <c r="G65" s="2" t="s">
        <v>2859</v>
      </c>
      <c r="H65" s="2">
        <v>62017702</v>
      </c>
      <c r="I65" s="2" t="s">
        <v>34</v>
      </c>
      <c r="J65" s="2" t="s">
        <v>105</v>
      </c>
      <c r="K65" s="177">
        <v>43921</v>
      </c>
      <c r="L65" s="179">
        <v>2500000</v>
      </c>
      <c r="M65" s="179">
        <v>9202.5</v>
      </c>
      <c r="N65" s="179">
        <v>153138</v>
      </c>
      <c r="O65" s="179">
        <v>563.70097799999996</v>
      </c>
      <c r="P65" s="180">
        <v>6.1255200000000003E-2</v>
      </c>
    </row>
    <row r="66" spans="1:16" ht="14.1" customHeight="1">
      <c r="A66" s="2" t="s">
        <v>128</v>
      </c>
      <c r="B66" s="2">
        <v>7228</v>
      </c>
      <c r="C66" s="2" t="s">
        <v>1070</v>
      </c>
      <c r="D66" s="2" t="s">
        <v>2926</v>
      </c>
      <c r="E66" s="2" t="s">
        <v>2927</v>
      </c>
      <c r="F66" s="2" t="s">
        <v>361</v>
      </c>
      <c r="G66" s="2" t="s">
        <v>2928</v>
      </c>
      <c r="H66" s="2">
        <v>62018387</v>
      </c>
      <c r="I66" s="2" t="s">
        <v>34</v>
      </c>
      <c r="J66" s="2" t="s">
        <v>105</v>
      </c>
      <c r="K66" s="177">
        <v>44286</v>
      </c>
      <c r="L66" s="179">
        <v>1500000</v>
      </c>
      <c r="M66" s="179">
        <v>5521.5</v>
      </c>
      <c r="N66" s="179">
        <v>396165.92999999993</v>
      </c>
      <c r="O66" s="179">
        <v>1458.2867883299998</v>
      </c>
      <c r="P66" s="180">
        <v>0.26411061999999996</v>
      </c>
    </row>
    <row r="67" spans="1:16" ht="14.1" customHeight="1">
      <c r="A67" s="2" t="s">
        <v>128</v>
      </c>
      <c r="B67" s="2">
        <v>7228</v>
      </c>
      <c r="C67" s="2" t="s">
        <v>1070</v>
      </c>
      <c r="D67" s="2" t="s">
        <v>2814</v>
      </c>
      <c r="E67" s="2" t="s">
        <v>2815</v>
      </c>
      <c r="F67" s="2" t="s">
        <v>362</v>
      </c>
      <c r="G67" s="2" t="s">
        <v>2816</v>
      </c>
      <c r="H67" s="2">
        <v>62018064</v>
      </c>
      <c r="I67" s="2" t="s">
        <v>34</v>
      </c>
      <c r="J67" s="2" t="s">
        <v>105</v>
      </c>
      <c r="K67" s="177">
        <v>44286</v>
      </c>
      <c r="L67" s="179">
        <v>1000000</v>
      </c>
      <c r="M67" s="179">
        <v>3681</v>
      </c>
      <c r="N67" s="179">
        <v>152614</v>
      </c>
      <c r="O67" s="179">
        <v>561.77213399999994</v>
      </c>
      <c r="P67" s="180">
        <v>0.152614</v>
      </c>
    </row>
    <row r="68" spans="1:16" ht="14.1" customHeight="1">
      <c r="A68" s="2" t="s">
        <v>128</v>
      </c>
      <c r="B68" s="2">
        <v>7228</v>
      </c>
      <c r="C68" s="2" t="s">
        <v>1070</v>
      </c>
      <c r="D68" s="2" t="s">
        <v>2814</v>
      </c>
      <c r="E68" s="2" t="s">
        <v>2815</v>
      </c>
      <c r="F68" s="2" t="s">
        <v>362</v>
      </c>
      <c r="G68" s="2" t="s">
        <v>2818</v>
      </c>
      <c r="H68" s="2">
        <v>62021340</v>
      </c>
      <c r="I68" s="2" t="s">
        <v>34</v>
      </c>
      <c r="J68" s="2" t="s">
        <v>105</v>
      </c>
      <c r="K68" s="177">
        <v>45016</v>
      </c>
      <c r="L68" s="179">
        <v>1500000</v>
      </c>
      <c r="M68" s="179">
        <v>5521.5</v>
      </c>
      <c r="N68" s="179">
        <v>976767</v>
      </c>
      <c r="O68" s="179">
        <v>3595.479327</v>
      </c>
      <c r="P68" s="180">
        <v>0.65117800000000003</v>
      </c>
    </row>
    <row r="69" spans="1:16" ht="14.1" customHeight="1">
      <c r="A69" s="2" t="s">
        <v>128</v>
      </c>
      <c r="B69" s="2">
        <v>7228</v>
      </c>
      <c r="C69" s="2" t="s">
        <v>1070</v>
      </c>
      <c r="D69" s="2" t="s">
        <v>2930</v>
      </c>
      <c r="E69" s="2" t="s">
        <v>2931</v>
      </c>
      <c r="F69" s="2" t="s">
        <v>362</v>
      </c>
      <c r="G69" s="2" t="s">
        <v>2932</v>
      </c>
      <c r="H69" s="2">
        <v>62018551</v>
      </c>
      <c r="I69" s="2" t="s">
        <v>34</v>
      </c>
      <c r="J69" s="2" t="s">
        <v>105</v>
      </c>
      <c r="K69" s="177">
        <v>44377</v>
      </c>
      <c r="L69" s="179">
        <v>2080000</v>
      </c>
      <c r="M69" s="179">
        <v>7656.48</v>
      </c>
      <c r="N69" s="179">
        <v>603200</v>
      </c>
      <c r="O69" s="179">
        <v>2220.3792000000003</v>
      </c>
      <c r="P69" s="180">
        <v>0.28999999999999998</v>
      </c>
    </row>
    <row r="70" spans="1:16" ht="14.1" customHeight="1">
      <c r="A70" s="2" t="s">
        <v>128</v>
      </c>
      <c r="B70" s="2">
        <v>7228</v>
      </c>
      <c r="C70" s="2" t="s">
        <v>1070</v>
      </c>
      <c r="D70" s="2" t="s">
        <v>2934</v>
      </c>
      <c r="E70" s="2" t="s">
        <v>2935</v>
      </c>
      <c r="F70" s="2" t="s">
        <v>362</v>
      </c>
      <c r="G70" s="2" t="s">
        <v>2936</v>
      </c>
      <c r="H70" s="2">
        <v>62020169</v>
      </c>
      <c r="I70" s="2" t="s">
        <v>34</v>
      </c>
      <c r="J70" s="2" t="s">
        <v>105</v>
      </c>
      <c r="K70" s="177">
        <v>44651</v>
      </c>
      <c r="L70" s="179">
        <v>2500000</v>
      </c>
      <c r="M70" s="179">
        <v>9202.5</v>
      </c>
      <c r="N70" s="179">
        <v>1075000</v>
      </c>
      <c r="O70" s="179">
        <v>3957.0749999999998</v>
      </c>
      <c r="P70" s="180">
        <v>0.43</v>
      </c>
    </row>
    <row r="71" spans="1:16" ht="14.1" customHeight="1">
      <c r="A71" s="2" t="s">
        <v>128</v>
      </c>
      <c r="B71" s="2">
        <v>7228</v>
      </c>
      <c r="C71" s="2" t="s">
        <v>1070</v>
      </c>
      <c r="D71" s="2" t="s">
        <v>2820</v>
      </c>
      <c r="E71" s="2" t="s">
        <v>2821</v>
      </c>
      <c r="F71" s="2" t="s">
        <v>361</v>
      </c>
      <c r="G71" s="2" t="s">
        <v>2822</v>
      </c>
      <c r="H71" s="2">
        <v>62018908</v>
      </c>
      <c r="I71" s="2" t="s">
        <v>34</v>
      </c>
      <c r="J71" s="2" t="s">
        <v>105</v>
      </c>
      <c r="K71" s="177">
        <v>44286</v>
      </c>
      <c r="L71" s="179">
        <v>3400000</v>
      </c>
      <c r="M71" s="179">
        <v>12515.4</v>
      </c>
      <c r="N71" s="179">
        <v>745251.48</v>
      </c>
      <c r="O71" s="179">
        <v>2743.2706978799997</v>
      </c>
      <c r="P71" s="180">
        <v>0.21919161176470589</v>
      </c>
    </row>
    <row r="72" spans="1:16" ht="14.1" customHeight="1">
      <c r="A72" s="2" t="s">
        <v>128</v>
      </c>
      <c r="B72" s="2">
        <v>7228</v>
      </c>
      <c r="C72" s="2" t="s">
        <v>1070</v>
      </c>
      <c r="D72" s="2" t="s">
        <v>2790</v>
      </c>
      <c r="E72" s="2" t="s">
        <v>2791</v>
      </c>
      <c r="F72" s="2" t="s">
        <v>361</v>
      </c>
      <c r="G72" s="2" t="s">
        <v>2792</v>
      </c>
      <c r="H72" s="2">
        <v>62019757</v>
      </c>
      <c r="I72" s="2" t="s">
        <v>34</v>
      </c>
      <c r="J72" s="2" t="s">
        <v>105</v>
      </c>
      <c r="K72" s="177">
        <v>44286</v>
      </c>
      <c r="L72" s="179">
        <v>1400000</v>
      </c>
      <c r="M72" s="179">
        <v>5153.3999999999996</v>
      </c>
      <c r="N72" s="179">
        <v>740174</v>
      </c>
      <c r="O72" s="179">
        <v>2724.5804939999998</v>
      </c>
      <c r="P72" s="180">
        <v>0.52869571428571427</v>
      </c>
    </row>
    <row r="73" spans="1:16" ht="14.1" customHeight="1">
      <c r="A73" s="2" t="s">
        <v>128</v>
      </c>
      <c r="B73" s="2">
        <v>7228</v>
      </c>
      <c r="C73" s="2" t="s">
        <v>1070</v>
      </c>
      <c r="D73" s="2" t="s">
        <v>2772</v>
      </c>
      <c r="E73" s="2" t="s">
        <v>2773</v>
      </c>
      <c r="F73" s="2" t="s">
        <v>204</v>
      </c>
      <c r="G73" s="2" t="s">
        <v>2774</v>
      </c>
      <c r="H73" s="2">
        <v>50007160</v>
      </c>
      <c r="I73" s="2" t="s">
        <v>34</v>
      </c>
      <c r="J73" s="2" t="s">
        <v>35</v>
      </c>
      <c r="K73" s="177">
        <v>44561</v>
      </c>
      <c r="L73" s="179">
        <v>4500000</v>
      </c>
      <c r="M73" s="179">
        <v>4500</v>
      </c>
      <c r="N73" s="179">
        <v>2150197</v>
      </c>
      <c r="O73" s="179">
        <v>2150.1970000000001</v>
      </c>
      <c r="P73" s="180">
        <v>0.47782155555555555</v>
      </c>
    </row>
    <row r="74" spans="1:16" ht="14.1" customHeight="1">
      <c r="A74" s="2" t="s">
        <v>128</v>
      </c>
      <c r="B74" s="2">
        <v>7228</v>
      </c>
      <c r="C74" s="2" t="s">
        <v>1070</v>
      </c>
      <c r="D74" s="2" t="s">
        <v>2787</v>
      </c>
      <c r="E74" s="2" t="s">
        <v>2788</v>
      </c>
      <c r="F74" s="2" t="s">
        <v>362</v>
      </c>
      <c r="G74" s="2" t="s">
        <v>2787</v>
      </c>
      <c r="H74" s="2">
        <v>62019815</v>
      </c>
      <c r="I74" s="2" t="s">
        <v>34</v>
      </c>
      <c r="J74" s="2" t="s">
        <v>105</v>
      </c>
      <c r="K74" s="177">
        <v>44561</v>
      </c>
      <c r="L74" s="179">
        <v>4000000</v>
      </c>
      <c r="M74" s="179">
        <v>14724</v>
      </c>
      <c r="N74" s="179">
        <v>3002552</v>
      </c>
      <c r="O74" s="179">
        <v>11052.393912000001</v>
      </c>
      <c r="P74" s="180">
        <v>0.75063800000000003</v>
      </c>
    </row>
    <row r="75" spans="1:16" ht="14.1" customHeight="1">
      <c r="A75" s="2" t="s">
        <v>128</v>
      </c>
      <c r="B75" s="2">
        <v>7228</v>
      </c>
      <c r="C75" s="2" t="s">
        <v>1070</v>
      </c>
      <c r="D75" s="2" t="s">
        <v>2783</v>
      </c>
      <c r="E75" s="2" t="s">
        <v>2784</v>
      </c>
      <c r="F75" s="2" t="s">
        <v>361</v>
      </c>
      <c r="G75" s="2" t="s">
        <v>2783</v>
      </c>
      <c r="H75" s="2">
        <v>62020896</v>
      </c>
      <c r="I75" s="2" t="s">
        <v>34</v>
      </c>
      <c r="J75" s="2" t="s">
        <v>105</v>
      </c>
      <c r="K75" s="177">
        <v>44651</v>
      </c>
      <c r="L75" s="179">
        <v>2700000</v>
      </c>
      <c r="M75" s="179">
        <v>9938.7000000000007</v>
      </c>
      <c r="N75" s="179">
        <v>2463978</v>
      </c>
      <c r="O75" s="179">
        <v>9069.9030179999991</v>
      </c>
      <c r="P75" s="180">
        <v>0.91258444444444442</v>
      </c>
    </row>
    <row r="76" spans="1:16" ht="14.1" customHeight="1">
      <c r="A76" s="2" t="s">
        <v>128</v>
      </c>
      <c r="B76" s="2">
        <v>7228</v>
      </c>
      <c r="C76" s="2" t="s">
        <v>1070</v>
      </c>
      <c r="D76" s="2" t="s">
        <v>2780</v>
      </c>
      <c r="E76" s="2" t="s">
        <v>2781</v>
      </c>
      <c r="F76" s="2" t="s">
        <v>362</v>
      </c>
      <c r="G76" s="2" t="s">
        <v>2780</v>
      </c>
      <c r="H76" s="2">
        <v>62021365</v>
      </c>
      <c r="I76" s="2" t="s">
        <v>34</v>
      </c>
      <c r="J76" s="2" t="s">
        <v>105</v>
      </c>
      <c r="K76" s="177">
        <v>45016</v>
      </c>
      <c r="L76" s="179">
        <v>3000000</v>
      </c>
      <c r="M76" s="179">
        <v>11043</v>
      </c>
      <c r="N76" s="179">
        <v>2668779.36</v>
      </c>
      <c r="O76" s="179">
        <v>9823.7768241600006</v>
      </c>
      <c r="P76" s="180">
        <v>0.8895931199999999</v>
      </c>
    </row>
    <row r="77" spans="1:16" ht="14.1" customHeight="1">
      <c r="A77" s="2" t="s">
        <v>128</v>
      </c>
      <c r="B77" s="2">
        <v>7228</v>
      </c>
      <c r="C77" s="2" t="s">
        <v>1070</v>
      </c>
      <c r="D77" s="2" t="s">
        <v>2766</v>
      </c>
      <c r="E77" s="2" t="s">
        <v>2767</v>
      </c>
      <c r="F77" s="2" t="s">
        <v>1380</v>
      </c>
      <c r="G77" s="2" t="s">
        <v>2766</v>
      </c>
      <c r="H77" s="2">
        <v>50007350</v>
      </c>
      <c r="I77" s="2" t="s">
        <v>34</v>
      </c>
      <c r="J77" s="2" t="s">
        <v>35</v>
      </c>
      <c r="K77" s="177">
        <v>44651</v>
      </c>
      <c r="L77" s="179">
        <v>8000000</v>
      </c>
      <c r="M77" s="179">
        <v>8000</v>
      </c>
      <c r="N77" s="179">
        <v>1859267</v>
      </c>
      <c r="O77" s="179">
        <v>1859.2670000000001</v>
      </c>
      <c r="P77" s="180">
        <v>0.232408375</v>
      </c>
    </row>
    <row r="78" spans="1:16" ht="14.1" customHeight="1">
      <c r="A78" s="2" t="s">
        <v>128</v>
      </c>
      <c r="B78" s="2">
        <v>7228</v>
      </c>
      <c r="C78" s="2" t="s">
        <v>1070</v>
      </c>
      <c r="D78" s="2" t="s">
        <v>2658</v>
      </c>
      <c r="E78" s="2" t="s">
        <v>2659</v>
      </c>
      <c r="F78" s="2" t="s">
        <v>204</v>
      </c>
      <c r="G78" s="2" t="s">
        <v>2660</v>
      </c>
      <c r="H78" s="2">
        <v>50007566</v>
      </c>
      <c r="I78" s="2" t="s">
        <v>34</v>
      </c>
      <c r="J78" s="2" t="s">
        <v>35</v>
      </c>
      <c r="K78" s="177">
        <v>44651</v>
      </c>
      <c r="L78" s="179">
        <v>2800000</v>
      </c>
      <c r="M78" s="179">
        <v>2800</v>
      </c>
      <c r="N78" s="179">
        <v>1268200</v>
      </c>
      <c r="O78" s="179">
        <v>1268.2</v>
      </c>
      <c r="P78" s="180">
        <v>0.4529285714285714</v>
      </c>
    </row>
    <row r="79" spans="1:16" ht="14.1" customHeight="1">
      <c r="A79" s="2" t="s">
        <v>128</v>
      </c>
      <c r="B79" s="2">
        <v>7228</v>
      </c>
      <c r="C79" s="2" t="s">
        <v>1070</v>
      </c>
      <c r="D79" s="2" t="s">
        <v>2720</v>
      </c>
      <c r="E79" s="2" t="s">
        <v>2721</v>
      </c>
      <c r="F79" s="2" t="s">
        <v>34</v>
      </c>
      <c r="G79" s="2" t="s">
        <v>2720</v>
      </c>
      <c r="H79" s="2">
        <v>62020375</v>
      </c>
      <c r="I79" s="2" t="s">
        <v>34</v>
      </c>
      <c r="J79" s="2" t="s">
        <v>105</v>
      </c>
      <c r="K79" s="177">
        <v>44651</v>
      </c>
      <c r="L79" s="179">
        <v>2500000</v>
      </c>
      <c r="M79" s="179">
        <v>9202.5</v>
      </c>
      <c r="N79" s="179">
        <v>1929028</v>
      </c>
      <c r="O79" s="179">
        <v>7100.7520679999998</v>
      </c>
      <c r="P79" s="180">
        <v>0.77161120000000005</v>
      </c>
    </row>
    <row r="80" spans="1:16" ht="14.1" customHeight="1">
      <c r="A80" s="2" t="s">
        <v>128</v>
      </c>
      <c r="B80" s="2">
        <v>7228</v>
      </c>
      <c r="C80" s="2" t="s">
        <v>1070</v>
      </c>
      <c r="D80" s="2" t="s">
        <v>2885</v>
      </c>
      <c r="E80" s="2" t="s">
        <v>2886</v>
      </c>
      <c r="F80" s="2" t="s">
        <v>361</v>
      </c>
      <c r="G80" s="2" t="s">
        <v>2887</v>
      </c>
      <c r="H80" s="2">
        <v>62020425</v>
      </c>
      <c r="I80" s="2" t="s">
        <v>34</v>
      </c>
      <c r="J80" s="2" t="s">
        <v>105</v>
      </c>
      <c r="K80" s="177">
        <v>44742</v>
      </c>
      <c r="L80" s="179">
        <v>3000000</v>
      </c>
      <c r="M80" s="179">
        <v>11043</v>
      </c>
      <c r="N80" s="179">
        <v>268104</v>
      </c>
      <c r="O80" s="179">
        <v>986.89082400000007</v>
      </c>
      <c r="P80" s="180">
        <v>8.9368000000000003E-2</v>
      </c>
    </row>
    <row r="81" spans="1:16" ht="14.1" customHeight="1">
      <c r="A81" s="2" t="s">
        <v>128</v>
      </c>
      <c r="B81" s="2">
        <v>7228</v>
      </c>
      <c r="C81" s="2" t="s">
        <v>1070</v>
      </c>
      <c r="D81" s="2" t="s">
        <v>2854</v>
      </c>
      <c r="E81" s="2" t="s">
        <v>2855</v>
      </c>
      <c r="F81" s="2" t="s">
        <v>362</v>
      </c>
      <c r="G81" s="2" t="s">
        <v>2856</v>
      </c>
      <c r="H81" s="2">
        <v>62020565</v>
      </c>
      <c r="I81" s="2" t="s">
        <v>34</v>
      </c>
      <c r="J81" s="2" t="s">
        <v>1224</v>
      </c>
      <c r="K81" s="177">
        <v>44651</v>
      </c>
      <c r="L81" s="179">
        <v>1320000</v>
      </c>
      <c r="M81" s="179">
        <v>5252.4120000000003</v>
      </c>
      <c r="N81" s="179">
        <v>805134.85</v>
      </c>
      <c r="O81" s="179">
        <v>3203.7120816349998</v>
      </c>
      <c r="P81" s="180">
        <v>0.60995064393939391</v>
      </c>
    </row>
    <row r="82" spans="1:16" ht="14.1" customHeight="1">
      <c r="A82" s="2" t="s">
        <v>128</v>
      </c>
      <c r="B82" s="2">
        <v>7228</v>
      </c>
      <c r="C82" s="2" t="s">
        <v>1070</v>
      </c>
      <c r="D82" s="2" t="s">
        <v>2776</v>
      </c>
      <c r="E82" s="2" t="s">
        <v>2777</v>
      </c>
      <c r="F82" s="2" t="s">
        <v>34</v>
      </c>
      <c r="G82" s="2" t="s">
        <v>2778</v>
      </c>
      <c r="H82" s="2">
        <v>62020672</v>
      </c>
      <c r="I82" s="2" t="s">
        <v>34</v>
      </c>
      <c r="J82" s="2" t="s">
        <v>105</v>
      </c>
      <c r="K82" s="177">
        <v>44651</v>
      </c>
      <c r="L82" s="179">
        <v>1100000</v>
      </c>
      <c r="M82" s="179">
        <v>4049.1</v>
      </c>
      <c r="N82" s="179">
        <v>155424</v>
      </c>
      <c r="O82" s="179">
        <v>572.11574400000006</v>
      </c>
      <c r="P82" s="180">
        <v>0.14129454545454545</v>
      </c>
    </row>
    <row r="83" spans="1:16" ht="14.1" customHeight="1">
      <c r="A83" s="2" t="s">
        <v>128</v>
      </c>
      <c r="B83" s="2">
        <v>7228</v>
      </c>
      <c r="C83" s="2" t="s">
        <v>1070</v>
      </c>
      <c r="D83" s="2" t="s">
        <v>2836</v>
      </c>
      <c r="E83" s="2" t="s">
        <v>2837</v>
      </c>
      <c r="F83" s="2" t="s">
        <v>360</v>
      </c>
      <c r="G83" s="2" t="s">
        <v>2838</v>
      </c>
      <c r="H83" s="2">
        <v>62021431</v>
      </c>
      <c r="I83" s="2" t="s">
        <v>34</v>
      </c>
      <c r="J83" s="2" t="s">
        <v>105</v>
      </c>
      <c r="K83" s="177">
        <v>45016</v>
      </c>
      <c r="L83" s="179">
        <v>1120000</v>
      </c>
      <c r="M83" s="179">
        <v>4122.72</v>
      </c>
      <c r="N83" s="179">
        <v>1008000</v>
      </c>
      <c r="O83" s="179">
        <v>3710.4479999999999</v>
      </c>
      <c r="P83" s="180">
        <v>0.9</v>
      </c>
    </row>
    <row r="84" spans="1:16" ht="14.1" customHeight="1">
      <c r="A84" s="2" t="s">
        <v>128</v>
      </c>
      <c r="B84" s="2">
        <v>7228</v>
      </c>
      <c r="C84" s="2" t="s">
        <v>1070</v>
      </c>
      <c r="D84" s="2" t="s">
        <v>2977</v>
      </c>
      <c r="E84" s="2" t="s">
        <v>2978</v>
      </c>
      <c r="F84" s="2" t="s">
        <v>1380</v>
      </c>
      <c r="G84" s="2" t="s">
        <v>2979</v>
      </c>
      <c r="H84" s="2">
        <v>26427</v>
      </c>
      <c r="I84" s="2" t="s">
        <v>34</v>
      </c>
      <c r="J84" s="2" t="s">
        <v>35</v>
      </c>
      <c r="K84" s="177">
        <v>39903</v>
      </c>
      <c r="L84" s="179">
        <v>4000000</v>
      </c>
      <c r="M84" s="179">
        <v>4000</v>
      </c>
      <c r="N84" s="179">
        <v>15951</v>
      </c>
      <c r="O84" s="179">
        <v>15.951000000000001</v>
      </c>
      <c r="P84" s="180">
        <v>3.98775E-3</v>
      </c>
    </row>
    <row r="85" spans="1:16" ht="14.1" customHeight="1">
      <c r="A85" s="2">
        <v>424</v>
      </c>
      <c r="B85" s="2">
        <v>7229</v>
      </c>
      <c r="C85" s="2" t="s">
        <v>1070</v>
      </c>
      <c r="D85" s="2" t="s">
        <v>2701</v>
      </c>
      <c r="E85" s="2" t="s">
        <v>2702</v>
      </c>
      <c r="F85" s="2" t="s">
        <v>359</v>
      </c>
      <c r="G85" s="2" t="s">
        <v>2705</v>
      </c>
      <c r="H85" s="2">
        <v>62002785</v>
      </c>
      <c r="I85" s="2" t="s">
        <v>34</v>
      </c>
      <c r="J85" s="2" t="s">
        <v>105</v>
      </c>
      <c r="K85" s="177">
        <v>42825</v>
      </c>
      <c r="L85" s="179">
        <v>50000</v>
      </c>
      <c r="M85" s="179">
        <v>184.05</v>
      </c>
      <c r="N85" s="179">
        <v>3250</v>
      </c>
      <c r="O85" s="179">
        <v>11.96325</v>
      </c>
      <c r="P85" s="180">
        <v>6.5000000000000002E-2</v>
      </c>
    </row>
    <row r="86" spans="1:16" ht="14.1" customHeight="1">
      <c r="A86" s="2">
        <v>424</v>
      </c>
      <c r="B86" s="2">
        <v>7229</v>
      </c>
      <c r="C86" s="2" t="s">
        <v>1070</v>
      </c>
      <c r="D86" s="2" t="s">
        <v>2686</v>
      </c>
      <c r="E86" s="2" t="s">
        <v>2687</v>
      </c>
      <c r="F86" s="2" t="s">
        <v>34</v>
      </c>
      <c r="G86" s="2" t="s">
        <v>2688</v>
      </c>
      <c r="H86" s="2">
        <v>62001189</v>
      </c>
      <c r="I86" s="2" t="s">
        <v>34</v>
      </c>
      <c r="J86" s="2" t="s">
        <v>105</v>
      </c>
      <c r="K86" s="177">
        <v>42825</v>
      </c>
      <c r="L86" s="179">
        <v>70000</v>
      </c>
      <c r="M86" s="179">
        <v>257.67</v>
      </c>
      <c r="N86" s="179">
        <v>5600</v>
      </c>
      <c r="O86" s="179">
        <v>20.613599999999998</v>
      </c>
      <c r="P86" s="180">
        <v>0.08</v>
      </c>
    </row>
    <row r="87" spans="1:16" ht="14.1" customHeight="1">
      <c r="A87" s="2">
        <v>424</v>
      </c>
      <c r="B87" s="2">
        <v>7229</v>
      </c>
      <c r="C87" s="2" t="s">
        <v>1070</v>
      </c>
      <c r="D87" s="2" t="s">
        <v>2840</v>
      </c>
      <c r="E87" s="2" t="s">
        <v>2841</v>
      </c>
      <c r="F87" s="2" t="s">
        <v>362</v>
      </c>
      <c r="G87" s="2" t="s">
        <v>2842</v>
      </c>
      <c r="H87" s="2">
        <v>62003800</v>
      </c>
      <c r="I87" s="2" t="s">
        <v>34</v>
      </c>
      <c r="J87" s="2" t="s">
        <v>105</v>
      </c>
      <c r="K87" s="177">
        <v>43008</v>
      </c>
      <c r="L87" s="179">
        <v>240000</v>
      </c>
      <c r="M87" s="179">
        <v>883.44</v>
      </c>
      <c r="N87" s="179">
        <v>46800</v>
      </c>
      <c r="O87" s="179">
        <v>172.27079999999998</v>
      </c>
      <c r="P87" s="180">
        <v>0.19500000000000001</v>
      </c>
    </row>
    <row r="88" spans="1:16" ht="14.1" customHeight="1">
      <c r="A88" s="2">
        <v>424</v>
      </c>
      <c r="B88" s="2">
        <v>7229</v>
      </c>
      <c r="C88" s="2" t="s">
        <v>1070</v>
      </c>
      <c r="D88" s="2" t="s">
        <v>2840</v>
      </c>
      <c r="E88" s="2" t="s">
        <v>2841</v>
      </c>
      <c r="F88" s="2" t="s">
        <v>362</v>
      </c>
      <c r="G88" s="2" t="s">
        <v>2844</v>
      </c>
      <c r="H88" s="2">
        <v>620101031</v>
      </c>
      <c r="I88" s="2" t="s">
        <v>34</v>
      </c>
      <c r="J88" s="2" t="s">
        <v>105</v>
      </c>
      <c r="K88" s="177">
        <v>43190</v>
      </c>
      <c r="L88" s="179">
        <v>120000</v>
      </c>
      <c r="M88" s="179">
        <v>441.72</v>
      </c>
      <c r="N88" s="179">
        <v>22800</v>
      </c>
      <c r="O88" s="179">
        <v>83.9268</v>
      </c>
      <c r="P88" s="180">
        <v>0.19</v>
      </c>
    </row>
    <row r="89" spans="1:16" ht="14.1" customHeight="1">
      <c r="A89" s="2">
        <v>424</v>
      </c>
      <c r="B89" s="2">
        <v>7229</v>
      </c>
      <c r="C89" s="2" t="s">
        <v>1070</v>
      </c>
      <c r="D89" s="2" t="s">
        <v>2840</v>
      </c>
      <c r="E89" s="2" t="s">
        <v>2841</v>
      </c>
      <c r="F89" s="2" t="s">
        <v>362</v>
      </c>
      <c r="G89" s="2" t="s">
        <v>2845</v>
      </c>
      <c r="H89" s="2">
        <v>62014857</v>
      </c>
      <c r="I89" s="2" t="s">
        <v>34</v>
      </c>
      <c r="J89" s="2" t="s">
        <v>105</v>
      </c>
      <c r="K89" s="177">
        <v>43555</v>
      </c>
      <c r="L89" s="179">
        <v>120000</v>
      </c>
      <c r="M89" s="179">
        <v>441.72</v>
      </c>
      <c r="N89" s="179">
        <v>31200</v>
      </c>
      <c r="O89" s="179">
        <v>114.8472</v>
      </c>
      <c r="P89" s="180">
        <v>0.26</v>
      </c>
    </row>
    <row r="90" spans="1:16" ht="14.1" customHeight="1">
      <c r="A90" s="2">
        <v>424</v>
      </c>
      <c r="B90" s="2">
        <v>7229</v>
      </c>
      <c r="C90" s="2" t="s">
        <v>1070</v>
      </c>
      <c r="D90" s="2" t="s">
        <v>2840</v>
      </c>
      <c r="E90" s="2" t="s">
        <v>2841</v>
      </c>
      <c r="F90" s="2" t="s">
        <v>362</v>
      </c>
      <c r="G90" s="2" t="s">
        <v>2847</v>
      </c>
      <c r="H90" s="2">
        <v>62019476</v>
      </c>
      <c r="I90" s="2" t="s">
        <v>34</v>
      </c>
      <c r="J90" s="2" t="s">
        <v>105</v>
      </c>
      <c r="K90" s="177">
        <v>44469</v>
      </c>
      <c r="L90" s="179">
        <v>120000</v>
      </c>
      <c r="M90" s="179">
        <v>441.72</v>
      </c>
      <c r="N90" s="179">
        <v>50027</v>
      </c>
      <c r="O90" s="179">
        <v>184.14938700000002</v>
      </c>
      <c r="P90" s="180">
        <v>0.41689166666666666</v>
      </c>
    </row>
    <row r="91" spans="1:16" ht="14.1" customHeight="1">
      <c r="A91" s="2">
        <v>424</v>
      </c>
      <c r="B91" s="2">
        <v>7229</v>
      </c>
      <c r="C91" s="2" t="s">
        <v>1070</v>
      </c>
      <c r="D91" s="2" t="s">
        <v>2840</v>
      </c>
      <c r="E91" s="2" t="s">
        <v>2841</v>
      </c>
      <c r="F91" s="2" t="s">
        <v>362</v>
      </c>
      <c r="G91" s="2" t="s">
        <v>2850</v>
      </c>
      <c r="H91" s="2">
        <v>62017678</v>
      </c>
      <c r="I91" s="2" t="s">
        <v>34</v>
      </c>
      <c r="J91" s="2" t="s">
        <v>105</v>
      </c>
      <c r="K91" s="177">
        <v>43921</v>
      </c>
      <c r="L91" s="179">
        <v>240000</v>
      </c>
      <c r="M91" s="179">
        <v>883.44</v>
      </c>
      <c r="N91" s="179">
        <v>7200</v>
      </c>
      <c r="O91" s="179">
        <v>26.5032</v>
      </c>
      <c r="P91" s="180">
        <v>0.03</v>
      </c>
    </row>
    <row r="92" spans="1:16" ht="14.1" customHeight="1">
      <c r="A92" s="2">
        <v>424</v>
      </c>
      <c r="B92" s="2">
        <v>7229</v>
      </c>
      <c r="C92" s="2" t="s">
        <v>1070</v>
      </c>
      <c r="D92" s="2" t="s">
        <v>2840</v>
      </c>
      <c r="E92" s="2" t="s">
        <v>2841</v>
      </c>
      <c r="F92" s="2" t="s">
        <v>362</v>
      </c>
      <c r="G92" s="2" t="s">
        <v>2848</v>
      </c>
      <c r="H92" s="2">
        <v>62020458</v>
      </c>
      <c r="I92" s="2" t="s">
        <v>34</v>
      </c>
      <c r="J92" s="2" t="s">
        <v>105</v>
      </c>
      <c r="K92" s="177">
        <v>44742</v>
      </c>
      <c r="L92" s="179">
        <v>100000</v>
      </c>
      <c r="M92" s="179">
        <v>368.1</v>
      </c>
      <c r="N92" s="179">
        <v>20000</v>
      </c>
      <c r="O92" s="179">
        <v>73.62</v>
      </c>
      <c r="P92" s="180">
        <v>0.2</v>
      </c>
    </row>
    <row r="93" spans="1:16" ht="14.1" customHeight="1">
      <c r="A93" s="2">
        <v>424</v>
      </c>
      <c r="B93" s="2">
        <v>7229</v>
      </c>
      <c r="C93" s="2" t="s">
        <v>1070</v>
      </c>
      <c r="D93" s="2" t="s">
        <v>2806</v>
      </c>
      <c r="E93" s="2" t="s">
        <v>2807</v>
      </c>
      <c r="F93" s="2" t="s">
        <v>361</v>
      </c>
      <c r="G93" s="2" t="s">
        <v>2808</v>
      </c>
      <c r="H93" s="2">
        <v>62016654</v>
      </c>
      <c r="I93" s="2" t="s">
        <v>34</v>
      </c>
      <c r="J93" s="2" t="s">
        <v>105</v>
      </c>
      <c r="K93" s="177">
        <v>43921</v>
      </c>
      <c r="L93" s="179">
        <v>180000</v>
      </c>
      <c r="M93" s="179">
        <v>662.58</v>
      </c>
      <c r="N93" s="179">
        <v>45900</v>
      </c>
      <c r="O93" s="179">
        <v>168.9579</v>
      </c>
      <c r="P93" s="180">
        <v>0.255</v>
      </c>
    </row>
    <row r="94" spans="1:16" ht="14.1" customHeight="1">
      <c r="A94" s="2">
        <v>424</v>
      </c>
      <c r="B94" s="2">
        <v>7229</v>
      </c>
      <c r="C94" s="2" t="s">
        <v>1070</v>
      </c>
      <c r="D94" s="2" t="s">
        <v>2762</v>
      </c>
      <c r="E94" s="2" t="s">
        <v>2763</v>
      </c>
      <c r="F94" s="2" t="s">
        <v>1380</v>
      </c>
      <c r="G94" s="2" t="s">
        <v>2762</v>
      </c>
      <c r="H94" s="2">
        <v>18952</v>
      </c>
      <c r="I94" s="2" t="s">
        <v>34</v>
      </c>
      <c r="J94" s="2" t="s">
        <v>35</v>
      </c>
      <c r="K94" s="177">
        <v>42825</v>
      </c>
      <c r="L94" s="179">
        <v>260000</v>
      </c>
      <c r="M94" s="179">
        <v>260</v>
      </c>
      <c r="N94" s="179">
        <v>44615</v>
      </c>
      <c r="O94" s="179">
        <v>44.615000000000002</v>
      </c>
      <c r="P94" s="180">
        <v>0.17159615384615384</v>
      </c>
    </row>
    <row r="95" spans="1:16" ht="14.1" customHeight="1">
      <c r="A95" s="2">
        <v>424</v>
      </c>
      <c r="B95" s="2">
        <v>7229</v>
      </c>
      <c r="C95" s="2" t="s">
        <v>1070</v>
      </c>
      <c r="D95" s="2" t="s">
        <v>2762</v>
      </c>
      <c r="E95" s="2" t="s">
        <v>2763</v>
      </c>
      <c r="F95" s="2" t="s">
        <v>1380</v>
      </c>
      <c r="G95" s="2" t="s">
        <v>2764</v>
      </c>
      <c r="H95" s="2">
        <v>50007004</v>
      </c>
      <c r="I95" s="2" t="s">
        <v>34</v>
      </c>
      <c r="J95" s="2" t="s">
        <v>35</v>
      </c>
      <c r="K95" s="177">
        <v>44469</v>
      </c>
      <c r="L95" s="179">
        <v>800000</v>
      </c>
      <c r="M95" s="179">
        <v>800</v>
      </c>
      <c r="N95" s="179">
        <v>297630</v>
      </c>
      <c r="O95" s="179">
        <v>297.63</v>
      </c>
      <c r="P95" s="180">
        <v>0.37203750000000002</v>
      </c>
    </row>
    <row r="96" spans="1:16" ht="14.1" customHeight="1">
      <c r="A96" s="2">
        <v>424</v>
      </c>
      <c r="B96" s="2">
        <v>7229</v>
      </c>
      <c r="C96" s="2" t="s">
        <v>1070</v>
      </c>
      <c r="D96" s="2" t="s">
        <v>2693</v>
      </c>
      <c r="E96" s="2" t="s">
        <v>2694</v>
      </c>
      <c r="F96" s="2" t="s">
        <v>361</v>
      </c>
      <c r="G96" s="2" t="s">
        <v>2695</v>
      </c>
      <c r="H96" s="2">
        <v>50000983</v>
      </c>
      <c r="I96" s="2" t="s">
        <v>34</v>
      </c>
      <c r="J96" s="2" t="s">
        <v>35</v>
      </c>
      <c r="K96" s="177">
        <v>43555</v>
      </c>
      <c r="L96" s="179">
        <v>500000</v>
      </c>
      <c r="M96" s="179">
        <v>500</v>
      </c>
      <c r="N96" s="179">
        <v>144280</v>
      </c>
      <c r="O96" s="179">
        <v>144.28</v>
      </c>
      <c r="P96" s="180">
        <v>0.28855999999999998</v>
      </c>
    </row>
    <row r="97" spans="1:16" ht="14.1" customHeight="1">
      <c r="A97" s="2">
        <v>424</v>
      </c>
      <c r="B97" s="2">
        <v>7229</v>
      </c>
      <c r="C97" s="2" t="s">
        <v>1070</v>
      </c>
      <c r="D97" s="2" t="s">
        <v>2904</v>
      </c>
      <c r="E97" s="2" t="s">
        <v>2905</v>
      </c>
      <c r="F97" s="2" t="s">
        <v>361</v>
      </c>
      <c r="G97" s="2" t="s">
        <v>2906</v>
      </c>
      <c r="H97" s="2">
        <v>62009204</v>
      </c>
      <c r="I97" s="2" t="s">
        <v>34</v>
      </c>
      <c r="J97" s="2" t="s">
        <v>105</v>
      </c>
      <c r="K97" s="177">
        <v>43190</v>
      </c>
      <c r="L97" s="179">
        <v>120000</v>
      </c>
      <c r="M97" s="179">
        <v>441.72</v>
      </c>
      <c r="N97" s="179">
        <v>11011</v>
      </c>
      <c r="O97" s="179">
        <v>40.531491000000003</v>
      </c>
      <c r="P97" s="180">
        <v>9.1758333333333331E-2</v>
      </c>
    </row>
    <row r="98" spans="1:16" ht="14.1" customHeight="1">
      <c r="A98" s="2">
        <v>424</v>
      </c>
      <c r="B98" s="2">
        <v>7229</v>
      </c>
      <c r="C98" s="2" t="s">
        <v>1070</v>
      </c>
      <c r="D98" s="2" t="s">
        <v>2918</v>
      </c>
      <c r="E98" s="2" t="s">
        <v>2919</v>
      </c>
      <c r="F98" s="2" t="s">
        <v>361</v>
      </c>
      <c r="G98" s="2" t="s">
        <v>2920</v>
      </c>
      <c r="H98" s="2">
        <v>62010137</v>
      </c>
      <c r="I98" s="2" t="s">
        <v>34</v>
      </c>
      <c r="J98" s="2" t="s">
        <v>105</v>
      </c>
      <c r="K98" s="177">
        <v>43190</v>
      </c>
      <c r="L98" s="179">
        <v>120000</v>
      </c>
      <c r="M98" s="179">
        <v>441.72</v>
      </c>
      <c r="N98" s="179">
        <v>35673</v>
      </c>
      <c r="O98" s="179">
        <v>131.31231299999999</v>
      </c>
      <c r="P98" s="180">
        <v>0.29727500000000001</v>
      </c>
    </row>
    <row r="99" spans="1:16" ht="14.1" customHeight="1">
      <c r="A99" s="2">
        <v>424</v>
      </c>
      <c r="B99" s="2">
        <v>7229</v>
      </c>
      <c r="C99" s="2" t="s">
        <v>1070</v>
      </c>
      <c r="D99" s="2" t="s">
        <v>2908</v>
      </c>
      <c r="E99" s="2" t="s">
        <v>2909</v>
      </c>
      <c r="F99" s="2" t="s">
        <v>361</v>
      </c>
      <c r="G99" s="2" t="s">
        <v>2910</v>
      </c>
      <c r="H99" s="2">
        <v>62019807</v>
      </c>
      <c r="I99" s="2" t="s">
        <v>34</v>
      </c>
      <c r="J99" s="2" t="s">
        <v>105</v>
      </c>
      <c r="K99" s="177">
        <v>44561</v>
      </c>
      <c r="L99" s="179">
        <v>250000</v>
      </c>
      <c r="M99" s="179">
        <v>920.25</v>
      </c>
      <c r="N99" s="179">
        <v>54955</v>
      </c>
      <c r="O99" s="179">
        <v>202.289355</v>
      </c>
      <c r="P99" s="180">
        <v>0.21981999999999999</v>
      </c>
    </row>
    <row r="100" spans="1:16" ht="14.1" customHeight="1">
      <c r="A100" s="2">
        <v>424</v>
      </c>
      <c r="B100" s="2">
        <v>7229</v>
      </c>
      <c r="C100" s="2" t="s">
        <v>1070</v>
      </c>
      <c r="D100" s="2" t="s">
        <v>2896</v>
      </c>
      <c r="E100" s="2" t="s">
        <v>2897</v>
      </c>
      <c r="F100" s="2" t="s">
        <v>362</v>
      </c>
      <c r="G100" s="2" t="s">
        <v>2898</v>
      </c>
      <c r="H100" s="2">
        <v>62021571</v>
      </c>
      <c r="I100" s="2" t="s">
        <v>34</v>
      </c>
      <c r="J100" s="2" t="s">
        <v>1224</v>
      </c>
      <c r="K100" s="177">
        <v>45382</v>
      </c>
      <c r="L100" s="179">
        <v>100000</v>
      </c>
      <c r="M100" s="179">
        <v>397.91</v>
      </c>
      <c r="N100" s="179">
        <v>57124.56</v>
      </c>
      <c r="O100" s="179">
        <v>227.30433669599998</v>
      </c>
      <c r="P100" s="180">
        <v>0.57124560000000002</v>
      </c>
    </row>
    <row r="101" spans="1:16" ht="14.1" customHeight="1">
      <c r="A101" s="2">
        <v>424</v>
      </c>
      <c r="B101" s="2">
        <v>7229</v>
      </c>
      <c r="C101" s="2" t="s">
        <v>1070</v>
      </c>
      <c r="D101" s="2" t="s">
        <v>2682</v>
      </c>
      <c r="E101" s="2" t="s">
        <v>2683</v>
      </c>
      <c r="F101" s="2" t="s">
        <v>34</v>
      </c>
      <c r="G101" s="2" t="s">
        <v>2684</v>
      </c>
      <c r="H101" s="2">
        <v>62017538</v>
      </c>
      <c r="I101" s="2" t="s">
        <v>34</v>
      </c>
      <c r="J101" s="2" t="s">
        <v>105</v>
      </c>
      <c r="K101" s="177">
        <v>43921</v>
      </c>
      <c r="L101" s="179">
        <v>300000</v>
      </c>
      <c r="M101" s="179">
        <v>1104.3</v>
      </c>
      <c r="N101" s="179">
        <v>60000</v>
      </c>
      <c r="O101" s="179">
        <v>220.86</v>
      </c>
      <c r="P101" s="180">
        <v>0.2</v>
      </c>
    </row>
    <row r="102" spans="1:16" ht="14.1" customHeight="1">
      <c r="A102" s="2">
        <v>424</v>
      </c>
      <c r="B102" s="2">
        <v>7229</v>
      </c>
      <c r="C102" s="2" t="s">
        <v>1070</v>
      </c>
      <c r="D102" s="2" t="s">
        <v>2873</v>
      </c>
      <c r="E102" s="2" t="s">
        <v>2874</v>
      </c>
      <c r="F102" s="2" t="s">
        <v>361</v>
      </c>
      <c r="G102" s="2" t="s">
        <v>2875</v>
      </c>
      <c r="H102" s="2">
        <v>62017652</v>
      </c>
      <c r="I102" s="2" t="s">
        <v>34</v>
      </c>
      <c r="J102" s="2" t="s">
        <v>105</v>
      </c>
      <c r="K102" s="177">
        <v>43921</v>
      </c>
      <c r="L102" s="179">
        <v>200000</v>
      </c>
      <c r="M102" s="179">
        <v>736.2</v>
      </c>
      <c r="N102" s="179">
        <v>45818.989999999991</v>
      </c>
      <c r="O102" s="179">
        <v>168.65970218999999</v>
      </c>
      <c r="P102" s="180">
        <v>0.22909494999999996</v>
      </c>
    </row>
    <row r="103" spans="1:16" ht="14.1" customHeight="1">
      <c r="A103" s="2">
        <v>424</v>
      </c>
      <c r="B103" s="2">
        <v>7229</v>
      </c>
      <c r="C103" s="2" t="s">
        <v>1070</v>
      </c>
      <c r="D103" s="2" t="s">
        <v>2877</v>
      </c>
      <c r="E103" s="2" t="s">
        <v>2878</v>
      </c>
      <c r="F103" s="2" t="s">
        <v>361</v>
      </c>
      <c r="G103" s="2" t="s">
        <v>2879</v>
      </c>
      <c r="H103" s="2">
        <v>62021142</v>
      </c>
      <c r="I103" s="2" t="s">
        <v>34</v>
      </c>
      <c r="J103" s="2" t="s">
        <v>105</v>
      </c>
      <c r="K103" s="177">
        <v>45016</v>
      </c>
      <c r="L103" s="179">
        <v>210000</v>
      </c>
      <c r="M103" s="179">
        <v>773.01</v>
      </c>
      <c r="N103" s="179">
        <v>115500</v>
      </c>
      <c r="O103" s="179">
        <v>425.15550000000002</v>
      </c>
      <c r="P103" s="180">
        <v>0.55000000000000004</v>
      </c>
    </row>
    <row r="104" spans="1:16" ht="14.1" customHeight="1">
      <c r="A104" s="2">
        <v>424</v>
      </c>
      <c r="B104" s="2">
        <v>7229</v>
      </c>
      <c r="C104" s="2" t="s">
        <v>1070</v>
      </c>
      <c r="D104" s="2" t="s">
        <v>2814</v>
      </c>
      <c r="E104" s="2" t="s">
        <v>2815</v>
      </c>
      <c r="F104" s="2" t="s">
        <v>362</v>
      </c>
      <c r="G104" s="2" t="s">
        <v>2816</v>
      </c>
      <c r="H104" s="2">
        <v>62018064</v>
      </c>
      <c r="I104" s="2" t="s">
        <v>34</v>
      </c>
      <c r="J104" s="2" t="s">
        <v>105</v>
      </c>
      <c r="K104" s="177">
        <v>44286</v>
      </c>
      <c r="L104" s="179">
        <v>100000</v>
      </c>
      <c r="M104" s="179">
        <v>368.1</v>
      </c>
      <c r="N104" s="179">
        <v>15261</v>
      </c>
      <c r="O104" s="179">
        <v>56.175741000000002</v>
      </c>
      <c r="P104" s="180">
        <v>0.15261</v>
      </c>
    </row>
    <row r="105" spans="1:16" ht="14.1" customHeight="1">
      <c r="A105" s="2">
        <v>424</v>
      </c>
      <c r="B105" s="2">
        <v>7229</v>
      </c>
      <c r="C105" s="2" t="s">
        <v>1070</v>
      </c>
      <c r="D105" s="2" t="s">
        <v>2820</v>
      </c>
      <c r="E105" s="2" t="s">
        <v>2821</v>
      </c>
      <c r="F105" s="2" t="s">
        <v>361</v>
      </c>
      <c r="G105" s="2" t="s">
        <v>2822</v>
      </c>
      <c r="H105" s="2">
        <v>62018908</v>
      </c>
      <c r="I105" s="2" t="s">
        <v>34</v>
      </c>
      <c r="J105" s="2" t="s">
        <v>105</v>
      </c>
      <c r="K105" s="177">
        <v>44286</v>
      </c>
      <c r="L105" s="179">
        <v>200000</v>
      </c>
      <c r="M105" s="179">
        <v>736.2</v>
      </c>
      <c r="N105" s="179">
        <v>44286.000000000029</v>
      </c>
      <c r="O105" s="179">
        <v>163.01676600000013</v>
      </c>
      <c r="P105" s="180">
        <v>0.22143000000000015</v>
      </c>
    </row>
    <row r="106" spans="1:16" ht="14.1" customHeight="1">
      <c r="A106" s="2">
        <v>424</v>
      </c>
      <c r="B106" s="2">
        <v>7229</v>
      </c>
      <c r="C106" s="2" t="s">
        <v>1070</v>
      </c>
      <c r="D106" s="2" t="s">
        <v>2772</v>
      </c>
      <c r="E106" s="2" t="s">
        <v>2773</v>
      </c>
      <c r="F106" s="2" t="s">
        <v>204</v>
      </c>
      <c r="G106" s="2" t="s">
        <v>2774</v>
      </c>
      <c r="H106" s="2">
        <v>50007160</v>
      </c>
      <c r="I106" s="2" t="s">
        <v>34</v>
      </c>
      <c r="J106" s="2" t="s">
        <v>35</v>
      </c>
      <c r="K106" s="177">
        <v>44561</v>
      </c>
      <c r="L106" s="179">
        <v>600000</v>
      </c>
      <c r="M106" s="179">
        <v>600</v>
      </c>
      <c r="N106" s="179">
        <v>286693</v>
      </c>
      <c r="O106" s="179">
        <v>286.69299999999998</v>
      </c>
      <c r="P106" s="180">
        <v>0.47782166666666664</v>
      </c>
    </row>
    <row r="107" spans="1:16" ht="14.1" customHeight="1">
      <c r="A107" s="2">
        <v>424</v>
      </c>
      <c r="B107" s="2">
        <v>7229</v>
      </c>
      <c r="C107" s="2" t="s">
        <v>1070</v>
      </c>
      <c r="D107" s="2" t="s">
        <v>2787</v>
      </c>
      <c r="E107" s="2" t="s">
        <v>2788</v>
      </c>
      <c r="F107" s="2" t="s">
        <v>362</v>
      </c>
      <c r="G107" s="2" t="s">
        <v>2787</v>
      </c>
      <c r="H107" s="2">
        <v>62019815</v>
      </c>
      <c r="I107" s="2" t="s">
        <v>34</v>
      </c>
      <c r="J107" s="2" t="s">
        <v>105</v>
      </c>
      <c r="K107" s="177">
        <v>44561</v>
      </c>
      <c r="L107" s="179">
        <v>350000</v>
      </c>
      <c r="M107" s="179">
        <v>1288.3499999999999</v>
      </c>
      <c r="N107" s="179">
        <v>268441</v>
      </c>
      <c r="O107" s="179">
        <v>988.13132099999996</v>
      </c>
      <c r="P107" s="180">
        <v>0.76697428571428572</v>
      </c>
    </row>
    <row r="108" spans="1:16" ht="14.1" customHeight="1">
      <c r="A108" s="2">
        <v>424</v>
      </c>
      <c r="B108" s="2">
        <v>7229</v>
      </c>
      <c r="C108" s="2" t="s">
        <v>1070</v>
      </c>
      <c r="D108" s="2" t="s">
        <v>2780</v>
      </c>
      <c r="E108" s="2" t="s">
        <v>2781</v>
      </c>
      <c r="F108" s="2" t="s">
        <v>362</v>
      </c>
      <c r="G108" s="2" t="s">
        <v>2780</v>
      </c>
      <c r="H108" s="2">
        <v>62021365</v>
      </c>
      <c r="I108" s="2" t="s">
        <v>34</v>
      </c>
      <c r="J108" s="2" t="s">
        <v>105</v>
      </c>
      <c r="K108" s="177">
        <v>45016</v>
      </c>
      <c r="L108" s="179">
        <v>220000</v>
      </c>
      <c r="M108" s="179">
        <v>809.82</v>
      </c>
      <c r="N108" s="179">
        <v>195710.48</v>
      </c>
      <c r="O108" s="179">
        <v>720.41027687999997</v>
      </c>
      <c r="P108" s="180">
        <v>0.889593090909091</v>
      </c>
    </row>
    <row r="109" spans="1:16" ht="14.1" customHeight="1">
      <c r="A109" s="2">
        <v>424</v>
      </c>
      <c r="B109" s="2">
        <v>7229</v>
      </c>
      <c r="C109" s="2" t="s">
        <v>1070</v>
      </c>
      <c r="D109" s="2" t="s">
        <v>2766</v>
      </c>
      <c r="E109" s="2" t="s">
        <v>2767</v>
      </c>
      <c r="F109" s="2" t="s">
        <v>1380</v>
      </c>
      <c r="G109" s="2" t="s">
        <v>2766</v>
      </c>
      <c r="H109" s="2">
        <v>50007350</v>
      </c>
      <c r="I109" s="2" t="s">
        <v>34</v>
      </c>
      <c r="J109" s="2" t="s">
        <v>35</v>
      </c>
      <c r="K109" s="177">
        <v>44651</v>
      </c>
      <c r="L109" s="179">
        <v>750000</v>
      </c>
      <c r="M109" s="179">
        <v>750</v>
      </c>
      <c r="N109" s="179">
        <v>174306</v>
      </c>
      <c r="O109" s="179">
        <v>174.30600000000001</v>
      </c>
      <c r="P109" s="180">
        <v>0.232408</v>
      </c>
    </row>
    <row r="110" spans="1:16" ht="14.1" customHeight="1">
      <c r="A110" s="2">
        <v>424</v>
      </c>
      <c r="B110" s="2">
        <v>7229</v>
      </c>
      <c r="C110" s="2" t="s">
        <v>1070</v>
      </c>
      <c r="D110" s="2" t="s">
        <v>2854</v>
      </c>
      <c r="E110" s="2" t="s">
        <v>2855</v>
      </c>
      <c r="F110" s="2" t="s">
        <v>362</v>
      </c>
      <c r="G110" s="2" t="s">
        <v>2856</v>
      </c>
      <c r="H110" s="2">
        <v>62020565</v>
      </c>
      <c r="I110" s="2" t="s">
        <v>34</v>
      </c>
      <c r="J110" s="2" t="s">
        <v>1224</v>
      </c>
      <c r="K110" s="177">
        <v>44651</v>
      </c>
      <c r="L110" s="179">
        <v>175000</v>
      </c>
      <c r="M110" s="179">
        <v>696.34249999999997</v>
      </c>
      <c r="N110" s="179">
        <v>106741.37</v>
      </c>
      <c r="O110" s="179">
        <v>424.73458536699997</v>
      </c>
      <c r="P110" s="180">
        <v>0.60995068571428568</v>
      </c>
    </row>
    <row r="111" spans="1:16" ht="14.1" customHeight="1">
      <c r="A111" s="2">
        <v>1182</v>
      </c>
      <c r="B111" s="2">
        <v>1182</v>
      </c>
      <c r="C111" s="2" t="s">
        <v>1070</v>
      </c>
      <c r="D111" s="2" t="s">
        <v>2701</v>
      </c>
      <c r="E111" s="2" t="s">
        <v>2702</v>
      </c>
      <c r="F111" s="2" t="s">
        <v>359</v>
      </c>
      <c r="G111" s="2" t="s">
        <v>2705</v>
      </c>
      <c r="H111" s="2">
        <v>62002785</v>
      </c>
      <c r="I111" s="2" t="s">
        <v>34</v>
      </c>
      <c r="J111" s="2" t="s">
        <v>105</v>
      </c>
      <c r="K111" s="177">
        <v>42825</v>
      </c>
      <c r="L111" s="179">
        <v>100000</v>
      </c>
      <c r="M111" s="179">
        <v>368.1</v>
      </c>
      <c r="N111" s="179">
        <v>6500</v>
      </c>
      <c r="O111" s="179">
        <v>23.926500000000001</v>
      </c>
      <c r="P111" s="180">
        <v>6.5000000000000002E-2</v>
      </c>
    </row>
    <row r="112" spans="1:16" ht="14.1" customHeight="1">
      <c r="A112" s="2">
        <v>1182</v>
      </c>
      <c r="B112" s="2">
        <v>1182</v>
      </c>
      <c r="C112" s="2" t="s">
        <v>1070</v>
      </c>
      <c r="D112" s="2" t="s">
        <v>2701</v>
      </c>
      <c r="E112" s="2" t="s">
        <v>2702</v>
      </c>
      <c r="F112" s="2" t="s">
        <v>359</v>
      </c>
      <c r="G112" s="2" t="s">
        <v>2707</v>
      </c>
      <c r="H112" s="2">
        <v>62017827</v>
      </c>
      <c r="I112" s="2" t="s">
        <v>34</v>
      </c>
      <c r="J112" s="2" t="s">
        <v>105</v>
      </c>
      <c r="K112" s="177">
        <v>44286</v>
      </c>
      <c r="L112" s="179">
        <v>75000</v>
      </c>
      <c r="M112" s="179">
        <v>276.07499999999999</v>
      </c>
      <c r="N112" s="179">
        <v>13687</v>
      </c>
      <c r="O112" s="179">
        <v>50.381847</v>
      </c>
      <c r="P112" s="180">
        <v>0.18249333333333334</v>
      </c>
    </row>
    <row r="113" spans="1:16" ht="14.1" customHeight="1">
      <c r="A113" s="2">
        <v>1182</v>
      </c>
      <c r="B113" s="2">
        <v>1182</v>
      </c>
      <c r="C113" s="2" t="s">
        <v>1070</v>
      </c>
      <c r="D113" s="2" t="s">
        <v>2701</v>
      </c>
      <c r="E113" s="2" t="s">
        <v>2702</v>
      </c>
      <c r="F113" s="2" t="s">
        <v>359</v>
      </c>
      <c r="G113" s="2" t="s">
        <v>2709</v>
      </c>
      <c r="H113" s="2">
        <v>62018247</v>
      </c>
      <c r="I113" s="2" t="s">
        <v>34</v>
      </c>
      <c r="J113" s="2" t="s">
        <v>105</v>
      </c>
      <c r="K113" s="177">
        <v>44286</v>
      </c>
      <c r="L113" s="179">
        <v>250000</v>
      </c>
      <c r="M113" s="179">
        <v>920.25</v>
      </c>
      <c r="N113" s="179">
        <v>65000</v>
      </c>
      <c r="O113" s="179">
        <v>239.26499999999999</v>
      </c>
      <c r="P113" s="180">
        <v>0.26</v>
      </c>
    </row>
    <row r="114" spans="1:16" ht="14.1" customHeight="1">
      <c r="A114" s="2">
        <v>1182</v>
      </c>
      <c r="B114" s="2">
        <v>1182</v>
      </c>
      <c r="C114" s="2" t="s">
        <v>1070</v>
      </c>
      <c r="D114" s="2" t="s">
        <v>2666</v>
      </c>
      <c r="E114" s="2" t="s">
        <v>2667</v>
      </c>
      <c r="F114" s="2" t="s">
        <v>34</v>
      </c>
      <c r="G114" s="2" t="s">
        <v>2672</v>
      </c>
      <c r="H114" s="2">
        <v>62000563</v>
      </c>
      <c r="I114" s="2" t="s">
        <v>34</v>
      </c>
      <c r="J114" s="2" t="s">
        <v>105</v>
      </c>
      <c r="K114" s="177">
        <v>42825</v>
      </c>
      <c r="L114" s="179">
        <v>100000</v>
      </c>
      <c r="M114" s="179">
        <v>368.1</v>
      </c>
      <c r="N114" s="179">
        <v>3750</v>
      </c>
      <c r="O114" s="179">
        <v>13.803750000000001</v>
      </c>
      <c r="P114" s="180">
        <v>3.7499999999999999E-2</v>
      </c>
    </row>
    <row r="115" spans="1:16" ht="14.1" customHeight="1">
      <c r="A115" s="2">
        <v>1182</v>
      </c>
      <c r="B115" s="2">
        <v>1182</v>
      </c>
      <c r="C115" s="2" t="s">
        <v>1070</v>
      </c>
      <c r="D115" s="2" t="s">
        <v>2666</v>
      </c>
      <c r="E115" s="2" t="s">
        <v>2667</v>
      </c>
      <c r="F115" s="2" t="s">
        <v>34</v>
      </c>
      <c r="G115" s="2" t="s">
        <v>2670</v>
      </c>
      <c r="H115" s="2">
        <v>62019724</v>
      </c>
      <c r="I115" s="2" t="s">
        <v>34</v>
      </c>
      <c r="J115" s="2" t="s">
        <v>105</v>
      </c>
      <c r="K115" s="177">
        <v>44286</v>
      </c>
      <c r="L115" s="179">
        <v>100000</v>
      </c>
      <c r="M115" s="179">
        <v>368.1</v>
      </c>
      <c r="N115" s="179">
        <v>37000</v>
      </c>
      <c r="O115" s="179">
        <v>136.197</v>
      </c>
      <c r="P115" s="180">
        <v>0.37</v>
      </c>
    </row>
    <row r="116" spans="1:16" ht="14.1" customHeight="1">
      <c r="A116" s="2">
        <v>1182</v>
      </c>
      <c r="B116" s="2">
        <v>1182</v>
      </c>
      <c r="C116" s="2" t="s">
        <v>1070</v>
      </c>
      <c r="D116" s="2" t="s">
        <v>2666</v>
      </c>
      <c r="E116" s="2" t="s">
        <v>2667</v>
      </c>
      <c r="F116" s="2" t="s">
        <v>34</v>
      </c>
      <c r="G116" s="2" t="s">
        <v>2699</v>
      </c>
      <c r="H116" s="2">
        <v>62013347</v>
      </c>
      <c r="I116" s="2" t="s">
        <v>34</v>
      </c>
      <c r="J116" s="2" t="s">
        <v>105</v>
      </c>
      <c r="K116" s="177">
        <v>43555</v>
      </c>
      <c r="L116" s="179">
        <v>200000</v>
      </c>
      <c r="M116" s="179">
        <v>736.2</v>
      </c>
      <c r="N116" s="179">
        <v>5111</v>
      </c>
      <c r="O116" s="179">
        <v>18.813590999999999</v>
      </c>
      <c r="P116" s="180">
        <v>2.5555000000000001E-2</v>
      </c>
    </row>
    <row r="117" spans="1:16" ht="14.1" customHeight="1">
      <c r="A117" s="2">
        <v>1182</v>
      </c>
      <c r="B117" s="2">
        <v>1182</v>
      </c>
      <c r="C117" s="2" t="s">
        <v>1070</v>
      </c>
      <c r="D117" s="2" t="s">
        <v>2690</v>
      </c>
      <c r="E117" s="2" t="s">
        <v>2691</v>
      </c>
      <c r="F117" s="2" t="s">
        <v>34</v>
      </c>
      <c r="G117" s="2" t="s">
        <v>2690</v>
      </c>
      <c r="H117" s="2">
        <v>60401809</v>
      </c>
      <c r="I117" s="2" t="s">
        <v>34</v>
      </c>
      <c r="J117" s="2" t="s">
        <v>105</v>
      </c>
      <c r="K117" s="177">
        <v>42460</v>
      </c>
      <c r="L117" s="179">
        <v>100000</v>
      </c>
      <c r="M117" s="179">
        <v>368.1</v>
      </c>
      <c r="N117" s="179">
        <v>1000</v>
      </c>
      <c r="O117" s="179">
        <v>3.681</v>
      </c>
      <c r="P117" s="180">
        <v>0.01</v>
      </c>
    </row>
    <row r="118" spans="1:16" ht="14.1" customHeight="1">
      <c r="A118" s="2">
        <v>1182</v>
      </c>
      <c r="B118" s="2">
        <v>1182</v>
      </c>
      <c r="C118" s="2" t="s">
        <v>1070</v>
      </c>
      <c r="D118" s="2" t="s">
        <v>2922</v>
      </c>
      <c r="E118" s="2" t="s">
        <v>2923</v>
      </c>
      <c r="F118" s="2" t="s">
        <v>34</v>
      </c>
      <c r="G118" s="2" t="s">
        <v>2924</v>
      </c>
      <c r="H118" s="2">
        <v>62006366</v>
      </c>
      <c r="I118" s="2" t="s">
        <v>34</v>
      </c>
      <c r="J118" s="2" t="s">
        <v>105</v>
      </c>
      <c r="K118" s="177">
        <v>43190</v>
      </c>
      <c r="L118" s="179">
        <v>100000</v>
      </c>
      <c r="M118" s="179">
        <v>368.1</v>
      </c>
      <c r="N118" s="179">
        <v>13000</v>
      </c>
      <c r="O118" s="179">
        <v>47.853000000000002</v>
      </c>
      <c r="P118" s="180">
        <v>0.13</v>
      </c>
    </row>
    <row r="119" spans="1:16" ht="14.1" customHeight="1">
      <c r="A119" s="2">
        <v>1182</v>
      </c>
      <c r="B119" s="2">
        <v>1182</v>
      </c>
      <c r="C119" s="2" t="s">
        <v>1070</v>
      </c>
      <c r="D119" s="2" t="s">
        <v>2723</v>
      </c>
      <c r="E119" s="2" t="s">
        <v>2724</v>
      </c>
      <c r="F119" s="2" t="s">
        <v>362</v>
      </c>
      <c r="G119" s="2" t="s">
        <v>2725</v>
      </c>
      <c r="H119" s="2">
        <v>62013024</v>
      </c>
      <c r="I119" s="2" t="s">
        <v>34</v>
      </c>
      <c r="J119" s="2" t="s">
        <v>105</v>
      </c>
      <c r="K119" s="177">
        <v>43555</v>
      </c>
      <c r="L119" s="179">
        <v>200000</v>
      </c>
      <c r="M119" s="179">
        <v>736.2</v>
      </c>
      <c r="N119" s="179">
        <v>90000</v>
      </c>
      <c r="O119" s="179">
        <v>331.29</v>
      </c>
      <c r="P119" s="180">
        <v>0.45</v>
      </c>
    </row>
    <row r="120" spans="1:16" ht="14.1" customHeight="1">
      <c r="A120" s="2">
        <v>1182</v>
      </c>
      <c r="B120" s="2">
        <v>1182</v>
      </c>
      <c r="C120" s="2" t="s">
        <v>1070</v>
      </c>
      <c r="D120" s="2" t="s">
        <v>2727</v>
      </c>
      <c r="E120" s="2" t="s">
        <v>2728</v>
      </c>
      <c r="F120" s="2" t="s">
        <v>204</v>
      </c>
      <c r="G120" s="2" t="s">
        <v>2729</v>
      </c>
      <c r="H120" s="2">
        <v>60406600</v>
      </c>
      <c r="I120" s="2" t="s">
        <v>34</v>
      </c>
      <c r="J120" s="2" t="s">
        <v>105</v>
      </c>
      <c r="K120" s="177">
        <v>42460</v>
      </c>
      <c r="L120" s="179">
        <v>100000</v>
      </c>
      <c r="M120" s="179">
        <v>368.1</v>
      </c>
      <c r="N120" s="179">
        <v>7998</v>
      </c>
      <c r="O120" s="179">
        <v>29.440638</v>
      </c>
      <c r="P120" s="180">
        <v>7.9979999999999996E-2</v>
      </c>
    </row>
    <row r="121" spans="1:16" ht="14.1" customHeight="1">
      <c r="A121" s="2">
        <v>1182</v>
      </c>
      <c r="B121" s="2">
        <v>1182</v>
      </c>
      <c r="C121" s="2" t="s">
        <v>1070</v>
      </c>
      <c r="D121" s="2" t="s">
        <v>2750</v>
      </c>
      <c r="E121" s="2">
        <v>0</v>
      </c>
      <c r="F121" s="2" t="s">
        <v>204</v>
      </c>
      <c r="G121" s="2" t="s">
        <v>2753</v>
      </c>
      <c r="H121" s="2">
        <v>62007349</v>
      </c>
      <c r="I121" s="2" t="s">
        <v>34</v>
      </c>
      <c r="J121" s="2" t="s">
        <v>105</v>
      </c>
      <c r="K121" s="177">
        <v>43190</v>
      </c>
      <c r="L121" s="179">
        <v>100000</v>
      </c>
      <c r="M121" s="179">
        <v>368.1</v>
      </c>
      <c r="N121" s="179">
        <v>9999</v>
      </c>
      <c r="O121" s="179">
        <v>36.806319000000002</v>
      </c>
      <c r="P121" s="180">
        <v>9.9989999999999996E-2</v>
      </c>
    </row>
    <row r="122" spans="1:16" ht="14.1" customHeight="1">
      <c r="A122" s="2">
        <v>1182</v>
      </c>
      <c r="B122" s="2">
        <v>1182</v>
      </c>
      <c r="C122" s="2" t="s">
        <v>1070</v>
      </c>
      <c r="D122" s="2" t="s">
        <v>2755</v>
      </c>
      <c r="E122" s="2" t="s">
        <v>2756</v>
      </c>
      <c r="F122" s="2" t="s">
        <v>204</v>
      </c>
      <c r="G122" s="2" t="s">
        <v>2757</v>
      </c>
      <c r="H122" s="2">
        <v>62020755</v>
      </c>
      <c r="I122" s="2" t="s">
        <v>34</v>
      </c>
      <c r="J122" s="2" t="s">
        <v>105</v>
      </c>
      <c r="K122" s="177">
        <v>44651</v>
      </c>
      <c r="L122" s="179">
        <v>400000</v>
      </c>
      <c r="M122" s="179">
        <v>1472.4</v>
      </c>
      <c r="N122" s="179">
        <v>326000</v>
      </c>
      <c r="O122" s="179">
        <v>1200.0060000000001</v>
      </c>
      <c r="P122" s="180">
        <v>0.81499999999999995</v>
      </c>
    </row>
    <row r="123" spans="1:16" ht="14.1" customHeight="1">
      <c r="A123" s="2">
        <v>1182</v>
      </c>
      <c r="B123" s="2">
        <v>1182</v>
      </c>
      <c r="C123" s="2" t="s">
        <v>1070</v>
      </c>
      <c r="D123" s="2" t="s">
        <v>2731</v>
      </c>
      <c r="E123" s="2" t="s">
        <v>2732</v>
      </c>
      <c r="F123" s="2" t="s">
        <v>204</v>
      </c>
      <c r="G123" s="2" t="s">
        <v>2733</v>
      </c>
      <c r="H123" s="2">
        <v>62009048</v>
      </c>
      <c r="I123" s="2" t="s">
        <v>34</v>
      </c>
      <c r="J123" s="2" t="s">
        <v>105</v>
      </c>
      <c r="K123" s="177">
        <v>43190</v>
      </c>
      <c r="L123" s="179">
        <v>200000</v>
      </c>
      <c r="M123" s="179">
        <v>736.2</v>
      </c>
      <c r="N123" s="179">
        <v>9000</v>
      </c>
      <c r="O123" s="179">
        <v>33.128999999999998</v>
      </c>
      <c r="P123" s="180">
        <v>4.4999999999999998E-2</v>
      </c>
    </row>
    <row r="124" spans="1:16" ht="14.1" customHeight="1">
      <c r="A124" s="2">
        <v>1182</v>
      </c>
      <c r="B124" s="2">
        <v>1182</v>
      </c>
      <c r="C124" s="2" t="s">
        <v>1070</v>
      </c>
      <c r="D124" s="2" t="s">
        <v>2750</v>
      </c>
      <c r="E124" s="2">
        <v>0</v>
      </c>
      <c r="F124" s="2" t="s">
        <v>204</v>
      </c>
      <c r="G124" s="2" t="s">
        <v>2751</v>
      </c>
      <c r="H124" s="2">
        <v>62015151</v>
      </c>
      <c r="I124" s="2" t="s">
        <v>34</v>
      </c>
      <c r="J124" s="2" t="s">
        <v>105</v>
      </c>
      <c r="K124" s="177">
        <v>43921</v>
      </c>
      <c r="L124" s="179">
        <v>300000</v>
      </c>
      <c r="M124" s="179">
        <v>1104.3</v>
      </c>
      <c r="N124" s="179">
        <v>91501</v>
      </c>
      <c r="O124" s="179">
        <v>336.815181</v>
      </c>
      <c r="P124" s="180">
        <v>0.30500333333333335</v>
      </c>
    </row>
    <row r="125" spans="1:16" ht="14.1" customHeight="1">
      <c r="A125" s="2">
        <v>1182</v>
      </c>
      <c r="B125" s="2">
        <v>1182</v>
      </c>
      <c r="C125" s="2" t="s">
        <v>1070</v>
      </c>
      <c r="D125" s="2" t="s">
        <v>2735</v>
      </c>
      <c r="E125" s="2" t="s">
        <v>2736</v>
      </c>
      <c r="F125" s="2" t="s">
        <v>204</v>
      </c>
      <c r="G125" s="2" t="s">
        <v>2737</v>
      </c>
      <c r="H125" s="2">
        <v>62015334</v>
      </c>
      <c r="I125" s="2" t="s">
        <v>34</v>
      </c>
      <c r="J125" s="2" t="s">
        <v>105</v>
      </c>
      <c r="K125" s="177">
        <v>43921</v>
      </c>
      <c r="L125" s="179">
        <v>200000</v>
      </c>
      <c r="M125" s="179">
        <v>736.2</v>
      </c>
      <c r="N125" s="179">
        <v>30000</v>
      </c>
      <c r="O125" s="179">
        <v>110.43</v>
      </c>
      <c r="P125" s="180">
        <v>0.15</v>
      </c>
    </row>
    <row r="126" spans="1:16" ht="14.1" customHeight="1">
      <c r="A126" s="2">
        <v>1182</v>
      </c>
      <c r="B126" s="2">
        <v>1182</v>
      </c>
      <c r="C126" s="2" t="s">
        <v>1070</v>
      </c>
      <c r="D126" s="2" t="s">
        <v>2739</v>
      </c>
      <c r="E126" s="2" t="s">
        <v>2740</v>
      </c>
      <c r="F126" s="2" t="s">
        <v>204</v>
      </c>
      <c r="G126" s="2" t="s">
        <v>2741</v>
      </c>
      <c r="H126" s="2">
        <v>62017835</v>
      </c>
      <c r="I126" s="2" t="s">
        <v>34</v>
      </c>
      <c r="J126" s="2" t="s">
        <v>105</v>
      </c>
      <c r="K126" s="177">
        <v>44286</v>
      </c>
      <c r="L126" s="179">
        <v>200000</v>
      </c>
      <c r="M126" s="179">
        <v>736.2</v>
      </c>
      <c r="N126" s="179">
        <v>51000</v>
      </c>
      <c r="O126" s="179">
        <v>187.73099999999999</v>
      </c>
      <c r="P126" s="180">
        <v>0.255</v>
      </c>
    </row>
    <row r="127" spans="1:16" ht="14.1" customHeight="1">
      <c r="A127" s="2">
        <v>1182</v>
      </c>
      <c r="B127" s="2">
        <v>1182</v>
      </c>
      <c r="C127" s="2" t="s">
        <v>1070</v>
      </c>
      <c r="D127" s="2" t="s">
        <v>2742</v>
      </c>
      <c r="E127" s="2" t="s">
        <v>2743</v>
      </c>
      <c r="F127" s="2" t="s">
        <v>204</v>
      </c>
      <c r="G127" s="2" t="s">
        <v>2744</v>
      </c>
      <c r="H127" s="2">
        <v>62020011</v>
      </c>
      <c r="I127" s="2" t="s">
        <v>34</v>
      </c>
      <c r="J127" s="2" t="s">
        <v>105</v>
      </c>
      <c r="K127" s="177">
        <v>44561</v>
      </c>
      <c r="L127" s="179">
        <v>200000</v>
      </c>
      <c r="M127" s="179">
        <v>736.2</v>
      </c>
      <c r="N127" s="179">
        <v>126000</v>
      </c>
      <c r="O127" s="179">
        <v>463.80599999999998</v>
      </c>
      <c r="P127" s="180">
        <v>0.63</v>
      </c>
    </row>
    <row r="128" spans="1:16" ht="14.1" customHeight="1">
      <c r="A128" s="2">
        <v>1182</v>
      </c>
      <c r="B128" s="2">
        <v>1182</v>
      </c>
      <c r="C128" s="2" t="s">
        <v>1070</v>
      </c>
      <c r="D128" s="2" t="s">
        <v>2746</v>
      </c>
      <c r="E128" s="2" t="s">
        <v>2747</v>
      </c>
      <c r="F128" s="2" t="s">
        <v>204</v>
      </c>
      <c r="G128" s="2" t="s">
        <v>2748</v>
      </c>
      <c r="H128" s="2">
        <v>62020748</v>
      </c>
      <c r="I128" s="2" t="s">
        <v>34</v>
      </c>
      <c r="J128" s="2" t="s">
        <v>105</v>
      </c>
      <c r="K128" s="177">
        <v>44834</v>
      </c>
      <c r="L128" s="179">
        <v>250000</v>
      </c>
      <c r="M128" s="179">
        <v>920.25</v>
      </c>
      <c r="N128" s="179">
        <v>217500</v>
      </c>
      <c r="O128" s="179">
        <v>800.61749999999995</v>
      </c>
      <c r="P128" s="180">
        <v>0.87</v>
      </c>
    </row>
    <row r="129" spans="1:16" ht="14.1" customHeight="1">
      <c r="A129" s="2">
        <v>1182</v>
      </c>
      <c r="B129" s="2">
        <v>1182</v>
      </c>
      <c r="C129" s="2" t="s">
        <v>1070</v>
      </c>
      <c r="D129" s="2" t="s">
        <v>2938</v>
      </c>
      <c r="E129" s="2" t="s">
        <v>2939</v>
      </c>
      <c r="F129" s="2" t="s">
        <v>204</v>
      </c>
      <c r="G129" s="2" t="s">
        <v>2940</v>
      </c>
      <c r="H129" s="2">
        <v>62020995</v>
      </c>
      <c r="I129" s="2" t="s">
        <v>34</v>
      </c>
      <c r="J129" s="2" t="s">
        <v>105</v>
      </c>
      <c r="K129" s="177">
        <v>44834</v>
      </c>
      <c r="L129" s="179">
        <v>250000</v>
      </c>
      <c r="M129" s="179">
        <v>920.25</v>
      </c>
      <c r="N129" s="179">
        <v>215000</v>
      </c>
      <c r="O129" s="179">
        <v>791.41499999999996</v>
      </c>
      <c r="P129" s="180">
        <v>0.86</v>
      </c>
    </row>
    <row r="130" spans="1:16" ht="14.1" customHeight="1">
      <c r="A130" s="2">
        <v>1182</v>
      </c>
      <c r="B130" s="2">
        <v>1182</v>
      </c>
      <c r="C130" s="2" t="s">
        <v>1070</v>
      </c>
      <c r="D130" s="2" t="s">
        <v>2881</v>
      </c>
      <c r="E130" s="2" t="s">
        <v>2882</v>
      </c>
      <c r="F130" s="2" t="s">
        <v>361</v>
      </c>
      <c r="G130" s="2" t="s">
        <v>2883</v>
      </c>
      <c r="H130" s="2">
        <v>62020953</v>
      </c>
      <c r="I130" s="2" t="s">
        <v>34</v>
      </c>
      <c r="J130" s="2" t="s">
        <v>105</v>
      </c>
      <c r="K130" s="177">
        <v>44651</v>
      </c>
      <c r="L130" s="179">
        <v>330000</v>
      </c>
      <c r="M130" s="179">
        <v>1214.73</v>
      </c>
      <c r="N130" s="179">
        <v>231000</v>
      </c>
      <c r="O130" s="179">
        <v>850.31100000000004</v>
      </c>
      <c r="P130" s="180">
        <v>0.7</v>
      </c>
    </row>
    <row r="131" spans="1:16" ht="14.1" customHeight="1">
      <c r="A131" s="2">
        <v>1182</v>
      </c>
      <c r="B131" s="2">
        <v>1182</v>
      </c>
      <c r="C131" s="2" t="s">
        <v>1070</v>
      </c>
      <c r="D131" s="2" t="s">
        <v>2662</v>
      </c>
      <c r="E131" s="2" t="s">
        <v>2663</v>
      </c>
      <c r="F131" s="2" t="s">
        <v>34</v>
      </c>
      <c r="G131" s="2" t="s">
        <v>2769</v>
      </c>
      <c r="H131" s="2">
        <v>60400892</v>
      </c>
      <c r="I131" s="2" t="s">
        <v>34</v>
      </c>
      <c r="J131" s="2" t="s">
        <v>105</v>
      </c>
      <c r="K131" s="177">
        <v>42460</v>
      </c>
      <c r="L131" s="179">
        <v>500000</v>
      </c>
      <c r="M131" s="179">
        <v>1840.5</v>
      </c>
      <c r="N131" s="179">
        <v>53638</v>
      </c>
      <c r="O131" s="179">
        <v>197.44147799999999</v>
      </c>
      <c r="P131" s="180">
        <v>0.107276</v>
      </c>
    </row>
    <row r="132" spans="1:16" ht="14.1" customHeight="1">
      <c r="A132" s="2">
        <v>1182</v>
      </c>
      <c r="B132" s="2">
        <v>1182</v>
      </c>
      <c r="C132" s="2" t="s">
        <v>1070</v>
      </c>
      <c r="D132" s="2" t="s">
        <v>2662</v>
      </c>
      <c r="E132" s="2" t="s">
        <v>2663</v>
      </c>
      <c r="F132" s="2" t="s">
        <v>34</v>
      </c>
      <c r="G132" s="2" t="s">
        <v>2664</v>
      </c>
      <c r="H132" s="2">
        <v>62018312</v>
      </c>
      <c r="I132" s="2" t="s">
        <v>34</v>
      </c>
      <c r="J132" s="2" t="s">
        <v>105</v>
      </c>
      <c r="K132" s="177">
        <v>44286</v>
      </c>
      <c r="L132" s="179">
        <v>500000</v>
      </c>
      <c r="M132" s="179">
        <v>1840.5</v>
      </c>
      <c r="N132" s="179">
        <v>342000</v>
      </c>
      <c r="O132" s="179">
        <v>1258.902</v>
      </c>
      <c r="P132" s="180">
        <v>0.68400000000000005</v>
      </c>
    </row>
    <row r="133" spans="1:16" ht="14.1" customHeight="1">
      <c r="A133" s="2">
        <v>1182</v>
      </c>
      <c r="B133" s="2">
        <v>1182</v>
      </c>
      <c r="C133" s="2" t="s">
        <v>1070</v>
      </c>
      <c r="D133" s="2" t="s">
        <v>2682</v>
      </c>
      <c r="E133" s="2" t="s">
        <v>2683</v>
      </c>
      <c r="F133" s="2" t="s">
        <v>34</v>
      </c>
      <c r="G133" s="2" t="s">
        <v>2684</v>
      </c>
      <c r="H133" s="2">
        <v>62017538</v>
      </c>
      <c r="I133" s="2" t="s">
        <v>34</v>
      </c>
      <c r="J133" s="2" t="s">
        <v>105</v>
      </c>
      <c r="K133" s="177">
        <v>43921</v>
      </c>
      <c r="L133" s="179">
        <v>600000</v>
      </c>
      <c r="M133" s="179">
        <v>2208.6</v>
      </c>
      <c r="N133" s="179">
        <v>120000</v>
      </c>
      <c r="O133" s="179">
        <v>441.72</v>
      </c>
      <c r="P133" s="180">
        <v>0.2</v>
      </c>
    </row>
    <row r="134" spans="1:16" ht="14.1" customHeight="1">
      <c r="A134" s="2">
        <v>1182</v>
      </c>
      <c r="B134" s="2">
        <v>1182</v>
      </c>
      <c r="C134" s="2" t="s">
        <v>1070</v>
      </c>
      <c r="D134" s="2" t="s">
        <v>2802</v>
      </c>
      <c r="E134" s="2" t="s">
        <v>2803</v>
      </c>
      <c r="F134" s="2" t="s">
        <v>361</v>
      </c>
      <c r="G134" s="2" t="s">
        <v>2804</v>
      </c>
      <c r="H134" s="2">
        <v>60419041</v>
      </c>
      <c r="I134" s="2" t="s">
        <v>34</v>
      </c>
      <c r="J134" s="2" t="s">
        <v>105</v>
      </c>
      <c r="K134" s="177">
        <v>42460</v>
      </c>
      <c r="L134" s="179">
        <v>100000</v>
      </c>
      <c r="M134" s="179">
        <v>368.1</v>
      </c>
      <c r="N134" s="179">
        <v>11000</v>
      </c>
      <c r="O134" s="179">
        <v>40.491</v>
      </c>
      <c r="P134" s="180">
        <v>0.11</v>
      </c>
    </row>
    <row r="135" spans="1:16" ht="14.1" customHeight="1">
      <c r="A135" s="2">
        <v>1182</v>
      </c>
      <c r="B135" s="2">
        <v>1182</v>
      </c>
      <c r="C135" s="2" t="s">
        <v>1070</v>
      </c>
      <c r="D135" s="2" t="s">
        <v>2806</v>
      </c>
      <c r="E135" s="2" t="s">
        <v>2807</v>
      </c>
      <c r="F135" s="2" t="s">
        <v>361</v>
      </c>
      <c r="G135" s="2" t="s">
        <v>2808</v>
      </c>
      <c r="H135" s="2">
        <v>62016654</v>
      </c>
      <c r="I135" s="2" t="s">
        <v>34</v>
      </c>
      <c r="J135" s="2" t="s">
        <v>105</v>
      </c>
      <c r="K135" s="177">
        <v>43921</v>
      </c>
      <c r="L135" s="179">
        <v>450000</v>
      </c>
      <c r="M135" s="179">
        <v>1656.45</v>
      </c>
      <c r="N135" s="179">
        <v>114750</v>
      </c>
      <c r="O135" s="179">
        <v>422.39474999999999</v>
      </c>
      <c r="P135" s="180">
        <v>0.255</v>
      </c>
    </row>
    <row r="136" spans="1:16" ht="14.1" customHeight="1">
      <c r="A136" s="2">
        <v>1182</v>
      </c>
      <c r="B136" s="2">
        <v>1182</v>
      </c>
      <c r="C136" s="2" t="s">
        <v>1070</v>
      </c>
      <c r="D136" s="2" t="s">
        <v>2810</v>
      </c>
      <c r="E136" s="2" t="s">
        <v>2811</v>
      </c>
      <c r="F136" s="2" t="s">
        <v>362</v>
      </c>
      <c r="G136" s="2" t="s">
        <v>2812</v>
      </c>
      <c r="H136" s="2">
        <v>62021241</v>
      </c>
      <c r="I136" s="2" t="s">
        <v>34</v>
      </c>
      <c r="J136" s="2" t="s">
        <v>105</v>
      </c>
      <c r="K136" s="177">
        <v>45016</v>
      </c>
      <c r="L136" s="179">
        <v>400000</v>
      </c>
      <c r="M136" s="179">
        <v>1472.4</v>
      </c>
      <c r="N136" s="179">
        <v>324000</v>
      </c>
      <c r="O136" s="179">
        <v>1192.644</v>
      </c>
      <c r="P136" s="180">
        <v>0.81</v>
      </c>
    </row>
    <row r="137" spans="1:16" ht="14.1" customHeight="1">
      <c r="A137" s="2">
        <v>1182</v>
      </c>
      <c r="B137" s="2">
        <v>1182</v>
      </c>
      <c r="C137" s="2" t="s">
        <v>1070</v>
      </c>
      <c r="D137" s="2" t="s">
        <v>2840</v>
      </c>
      <c r="E137" s="2" t="s">
        <v>2841</v>
      </c>
      <c r="F137" s="2" t="s">
        <v>362</v>
      </c>
      <c r="G137" s="2" t="s">
        <v>2842</v>
      </c>
      <c r="H137" s="2">
        <v>62003800</v>
      </c>
      <c r="I137" s="2" t="s">
        <v>34</v>
      </c>
      <c r="J137" s="2" t="s">
        <v>105</v>
      </c>
      <c r="K137" s="177">
        <v>43008</v>
      </c>
      <c r="L137" s="179">
        <v>600000</v>
      </c>
      <c r="M137" s="179">
        <v>2208.6</v>
      </c>
      <c r="N137" s="179">
        <v>117000</v>
      </c>
      <c r="O137" s="179">
        <v>430.67700000000002</v>
      </c>
      <c r="P137" s="180">
        <v>0.19500000000000001</v>
      </c>
    </row>
    <row r="138" spans="1:16" ht="14.1" customHeight="1">
      <c r="A138" s="2">
        <v>1182</v>
      </c>
      <c r="B138" s="2">
        <v>1182</v>
      </c>
      <c r="C138" s="2" t="s">
        <v>1070</v>
      </c>
      <c r="D138" s="2" t="s">
        <v>2840</v>
      </c>
      <c r="E138" s="2" t="s">
        <v>2841</v>
      </c>
      <c r="F138" s="2" t="s">
        <v>362</v>
      </c>
      <c r="G138" s="2" t="s">
        <v>2844</v>
      </c>
      <c r="H138" s="2">
        <v>620101031</v>
      </c>
      <c r="I138" s="2" t="s">
        <v>34</v>
      </c>
      <c r="J138" s="2" t="s">
        <v>105</v>
      </c>
      <c r="K138" s="177">
        <v>43190</v>
      </c>
      <c r="L138" s="179">
        <v>300000</v>
      </c>
      <c r="M138" s="179">
        <v>1104.3</v>
      </c>
      <c r="N138" s="179">
        <v>57000</v>
      </c>
      <c r="O138" s="179">
        <v>209.81700000000001</v>
      </c>
      <c r="P138" s="180">
        <v>0.19</v>
      </c>
    </row>
    <row r="139" spans="1:16" ht="14.1" customHeight="1">
      <c r="A139" s="2">
        <v>1182</v>
      </c>
      <c r="B139" s="2">
        <v>1182</v>
      </c>
      <c r="C139" s="2" t="s">
        <v>1070</v>
      </c>
      <c r="D139" s="2" t="s">
        <v>2840</v>
      </c>
      <c r="E139" s="2" t="s">
        <v>2841</v>
      </c>
      <c r="F139" s="2" t="s">
        <v>362</v>
      </c>
      <c r="G139" s="2" t="s">
        <v>2845</v>
      </c>
      <c r="H139" s="2">
        <v>62014857</v>
      </c>
      <c r="I139" s="2" t="s">
        <v>34</v>
      </c>
      <c r="J139" s="2" t="s">
        <v>105</v>
      </c>
      <c r="K139" s="177">
        <v>43555</v>
      </c>
      <c r="L139" s="179">
        <v>300000</v>
      </c>
      <c r="M139" s="179">
        <v>1104.3</v>
      </c>
      <c r="N139" s="179">
        <v>78000</v>
      </c>
      <c r="O139" s="179">
        <v>287.11799999999999</v>
      </c>
      <c r="P139" s="180">
        <v>0.26</v>
      </c>
    </row>
    <row r="140" spans="1:16" ht="14.1" customHeight="1">
      <c r="A140" s="2">
        <v>1182</v>
      </c>
      <c r="B140" s="2">
        <v>1182</v>
      </c>
      <c r="C140" s="2" t="s">
        <v>1070</v>
      </c>
      <c r="D140" s="2" t="s">
        <v>2840</v>
      </c>
      <c r="E140" s="2" t="s">
        <v>2841</v>
      </c>
      <c r="F140" s="2" t="s">
        <v>362</v>
      </c>
      <c r="G140" s="2" t="s">
        <v>2847</v>
      </c>
      <c r="H140" s="2">
        <v>62019476</v>
      </c>
      <c r="I140" s="2" t="s">
        <v>34</v>
      </c>
      <c r="J140" s="2" t="s">
        <v>105</v>
      </c>
      <c r="K140" s="177">
        <v>44469</v>
      </c>
      <c r="L140" s="179">
        <v>400000</v>
      </c>
      <c r="M140" s="179">
        <v>1472.4</v>
      </c>
      <c r="N140" s="179">
        <v>166757</v>
      </c>
      <c r="O140" s="179">
        <v>613.83251699999994</v>
      </c>
      <c r="P140" s="180">
        <v>0.4168925</v>
      </c>
    </row>
    <row r="141" spans="1:16" ht="14.1" customHeight="1">
      <c r="A141" s="2">
        <v>1182</v>
      </c>
      <c r="B141" s="2">
        <v>1182</v>
      </c>
      <c r="C141" s="2" t="s">
        <v>1070</v>
      </c>
      <c r="D141" s="2" t="s">
        <v>2840</v>
      </c>
      <c r="E141" s="2" t="s">
        <v>2841</v>
      </c>
      <c r="F141" s="2" t="s">
        <v>362</v>
      </c>
      <c r="G141" s="2" t="s">
        <v>2850</v>
      </c>
      <c r="H141" s="2">
        <v>62017678</v>
      </c>
      <c r="I141" s="2" t="s">
        <v>34</v>
      </c>
      <c r="J141" s="2" t="s">
        <v>105</v>
      </c>
      <c r="K141" s="177">
        <v>43921</v>
      </c>
      <c r="L141" s="179">
        <v>600000</v>
      </c>
      <c r="M141" s="179">
        <v>2208.6</v>
      </c>
      <c r="N141" s="179">
        <v>18000</v>
      </c>
      <c r="O141" s="179">
        <v>66.257999999999996</v>
      </c>
      <c r="P141" s="180">
        <v>0.03</v>
      </c>
    </row>
    <row r="142" spans="1:16" ht="14.1" customHeight="1">
      <c r="A142" s="2">
        <v>1182</v>
      </c>
      <c r="B142" s="2">
        <v>1182</v>
      </c>
      <c r="C142" s="2" t="s">
        <v>1070</v>
      </c>
      <c r="D142" s="2" t="s">
        <v>2840</v>
      </c>
      <c r="E142" s="2" t="s">
        <v>2841</v>
      </c>
      <c r="F142" s="2" t="s">
        <v>362</v>
      </c>
      <c r="G142" s="2" t="s">
        <v>2852</v>
      </c>
      <c r="H142" s="2">
        <v>62019237</v>
      </c>
      <c r="I142" s="2" t="s">
        <v>34</v>
      </c>
      <c r="J142" s="2" t="s">
        <v>105</v>
      </c>
      <c r="K142" s="177">
        <v>44286</v>
      </c>
      <c r="L142" s="179">
        <v>600000</v>
      </c>
      <c r="M142" s="179">
        <v>2208.6</v>
      </c>
      <c r="N142" s="179">
        <v>60000</v>
      </c>
      <c r="O142" s="179">
        <v>220.86</v>
      </c>
      <c r="P142" s="180">
        <v>0.1</v>
      </c>
    </row>
    <row r="143" spans="1:16" ht="14.1" customHeight="1">
      <c r="A143" s="2">
        <v>1182</v>
      </c>
      <c r="B143" s="2">
        <v>1182</v>
      </c>
      <c r="C143" s="2" t="s">
        <v>1070</v>
      </c>
      <c r="D143" s="2" t="s">
        <v>2840</v>
      </c>
      <c r="E143" s="2" t="s">
        <v>2841</v>
      </c>
      <c r="F143" s="2" t="s">
        <v>362</v>
      </c>
      <c r="G143" s="2" t="s">
        <v>2848</v>
      </c>
      <c r="H143" s="2">
        <v>62020458</v>
      </c>
      <c r="I143" s="2" t="s">
        <v>34</v>
      </c>
      <c r="J143" s="2" t="s">
        <v>105</v>
      </c>
      <c r="K143" s="177">
        <v>44742</v>
      </c>
      <c r="L143" s="179">
        <v>150000</v>
      </c>
      <c r="M143" s="179">
        <v>552.15</v>
      </c>
      <c r="N143" s="179">
        <v>30000</v>
      </c>
      <c r="O143" s="179">
        <v>110.43</v>
      </c>
      <c r="P143" s="180">
        <v>0.2</v>
      </c>
    </row>
    <row r="144" spans="1:16" ht="14.1" customHeight="1">
      <c r="A144" s="2">
        <v>1182</v>
      </c>
      <c r="B144" s="2">
        <v>1182</v>
      </c>
      <c r="C144" s="2" t="s">
        <v>1070</v>
      </c>
      <c r="D144" s="2" t="s">
        <v>2686</v>
      </c>
      <c r="E144" s="2" t="s">
        <v>2687</v>
      </c>
      <c r="F144" s="2" t="s">
        <v>34</v>
      </c>
      <c r="G144" s="2" t="s">
        <v>2688</v>
      </c>
      <c r="H144" s="2">
        <v>62001189</v>
      </c>
      <c r="I144" s="2" t="s">
        <v>34</v>
      </c>
      <c r="J144" s="2" t="s">
        <v>105</v>
      </c>
      <c r="K144" s="177">
        <v>42825</v>
      </c>
      <c r="L144" s="179">
        <v>150000</v>
      </c>
      <c r="M144" s="179">
        <v>552.15</v>
      </c>
      <c r="N144" s="179">
        <v>12000</v>
      </c>
      <c r="O144" s="179">
        <v>44.171999999999997</v>
      </c>
      <c r="P144" s="180">
        <v>0.08</v>
      </c>
    </row>
    <row r="145" spans="1:16" ht="14.1" customHeight="1">
      <c r="A145" s="2">
        <v>1182</v>
      </c>
      <c r="B145" s="2">
        <v>1182</v>
      </c>
      <c r="C145" s="2" t="s">
        <v>1070</v>
      </c>
      <c r="D145" s="2" t="s">
        <v>2762</v>
      </c>
      <c r="E145" s="2" t="s">
        <v>2763</v>
      </c>
      <c r="F145" s="2" t="s">
        <v>1380</v>
      </c>
      <c r="G145" s="2" t="s">
        <v>2762</v>
      </c>
      <c r="H145" s="2">
        <v>18952</v>
      </c>
      <c r="I145" s="2" t="s">
        <v>34</v>
      </c>
      <c r="J145" s="2" t="s">
        <v>35</v>
      </c>
      <c r="K145" s="177">
        <v>42825</v>
      </c>
      <c r="L145" s="179">
        <v>310000</v>
      </c>
      <c r="M145" s="179">
        <v>310</v>
      </c>
      <c r="N145" s="179">
        <v>53190</v>
      </c>
      <c r="O145" s="179">
        <v>53.19</v>
      </c>
      <c r="P145" s="180">
        <v>0.17158064516129032</v>
      </c>
    </row>
    <row r="146" spans="1:16" ht="14.1" customHeight="1">
      <c r="A146" s="2">
        <v>1182</v>
      </c>
      <c r="B146" s="2">
        <v>1182</v>
      </c>
      <c r="C146" s="2" t="s">
        <v>1070</v>
      </c>
      <c r="D146" s="2" t="s">
        <v>2762</v>
      </c>
      <c r="E146" s="2" t="s">
        <v>2763</v>
      </c>
      <c r="F146" s="2" t="s">
        <v>1380</v>
      </c>
      <c r="G146" s="2" t="s">
        <v>2764</v>
      </c>
      <c r="H146" s="2">
        <v>50007004</v>
      </c>
      <c r="I146" s="2" t="s">
        <v>34</v>
      </c>
      <c r="J146" s="2" t="s">
        <v>35</v>
      </c>
      <c r="K146" s="177">
        <v>44469</v>
      </c>
      <c r="L146" s="179">
        <v>1400000</v>
      </c>
      <c r="M146" s="179">
        <v>1400</v>
      </c>
      <c r="N146" s="179">
        <v>520854</v>
      </c>
      <c r="O146" s="179">
        <v>520.85400000000004</v>
      </c>
      <c r="P146" s="180">
        <v>0.37203857142857144</v>
      </c>
    </row>
    <row r="147" spans="1:16" ht="14.1" customHeight="1">
      <c r="A147" s="2">
        <v>1182</v>
      </c>
      <c r="B147" s="2">
        <v>1182</v>
      </c>
      <c r="C147" s="2" t="s">
        <v>1070</v>
      </c>
      <c r="D147" s="2" t="s">
        <v>2693</v>
      </c>
      <c r="E147" s="2" t="s">
        <v>2694</v>
      </c>
      <c r="F147" s="2" t="s">
        <v>361</v>
      </c>
      <c r="G147" s="2" t="s">
        <v>2695</v>
      </c>
      <c r="H147" s="2">
        <v>50000983</v>
      </c>
      <c r="I147" s="2" t="s">
        <v>34</v>
      </c>
      <c r="J147" s="2" t="s">
        <v>35</v>
      </c>
      <c r="K147" s="177">
        <v>43555</v>
      </c>
      <c r="L147" s="179">
        <v>1200000</v>
      </c>
      <c r="M147" s="179">
        <v>1200</v>
      </c>
      <c r="N147" s="179">
        <v>360000</v>
      </c>
      <c r="O147" s="179">
        <v>360</v>
      </c>
      <c r="P147" s="180">
        <v>0.3</v>
      </c>
    </row>
    <row r="148" spans="1:16" ht="14.1" customHeight="1">
      <c r="A148" s="2">
        <v>1182</v>
      </c>
      <c r="B148" s="2">
        <v>1182</v>
      </c>
      <c r="C148" s="2" t="s">
        <v>1070</v>
      </c>
      <c r="D148" s="2" t="s">
        <v>2693</v>
      </c>
      <c r="E148" s="2" t="s">
        <v>2694</v>
      </c>
      <c r="F148" s="2" t="s">
        <v>361</v>
      </c>
      <c r="G148" s="2" t="s">
        <v>2697</v>
      </c>
      <c r="H148" s="2">
        <v>50007897</v>
      </c>
      <c r="I148" s="2" t="s">
        <v>34</v>
      </c>
      <c r="J148" s="2" t="s">
        <v>35</v>
      </c>
      <c r="K148" s="177">
        <v>45016</v>
      </c>
      <c r="L148" s="179">
        <v>1200000</v>
      </c>
      <c r="M148" s="179">
        <v>1200</v>
      </c>
      <c r="N148" s="179">
        <v>840000</v>
      </c>
      <c r="O148" s="179">
        <v>840</v>
      </c>
      <c r="P148" s="180">
        <v>0.7</v>
      </c>
    </row>
    <row r="149" spans="1:16" ht="14.1" customHeight="1">
      <c r="A149" s="2">
        <v>1182</v>
      </c>
      <c r="B149" s="2">
        <v>1182</v>
      </c>
      <c r="C149" s="2" t="s">
        <v>1070</v>
      </c>
      <c r="D149" s="2" t="s">
        <v>2869</v>
      </c>
      <c r="E149" s="2" t="s">
        <v>2870</v>
      </c>
      <c r="F149" s="2" t="s">
        <v>361</v>
      </c>
      <c r="G149" s="2" t="s">
        <v>2871</v>
      </c>
      <c r="H149" s="2">
        <v>62006705</v>
      </c>
      <c r="I149" s="2" t="s">
        <v>34</v>
      </c>
      <c r="J149" s="2" t="s">
        <v>105</v>
      </c>
      <c r="K149" s="177">
        <v>43190</v>
      </c>
      <c r="L149" s="179">
        <v>200000</v>
      </c>
      <c r="M149" s="179">
        <v>736.2</v>
      </c>
      <c r="N149" s="179">
        <v>6878.7999999999593</v>
      </c>
      <c r="O149" s="179">
        <v>25.320862799999851</v>
      </c>
      <c r="P149" s="180">
        <v>3.43939999999998E-2</v>
      </c>
    </row>
    <row r="150" spans="1:16" ht="14.1" customHeight="1">
      <c r="A150" s="2">
        <v>1182</v>
      </c>
      <c r="B150" s="2">
        <v>1182</v>
      </c>
      <c r="C150" s="2" t="s">
        <v>1070</v>
      </c>
      <c r="D150" s="2" t="s">
        <v>2865</v>
      </c>
      <c r="E150" s="2" t="s">
        <v>2866</v>
      </c>
      <c r="F150" s="2" t="s">
        <v>361</v>
      </c>
      <c r="G150" s="2" t="s">
        <v>2867</v>
      </c>
      <c r="H150" s="2">
        <v>62019013</v>
      </c>
      <c r="I150" s="2" t="s">
        <v>34</v>
      </c>
      <c r="J150" s="2" t="s">
        <v>105</v>
      </c>
      <c r="K150" s="177">
        <v>44286</v>
      </c>
      <c r="L150" s="179">
        <v>300000</v>
      </c>
      <c r="M150" s="179">
        <v>1104.3</v>
      </c>
      <c r="N150" s="179">
        <v>22011.280000000028</v>
      </c>
      <c r="O150" s="179">
        <v>81.023521680000101</v>
      </c>
      <c r="P150" s="180">
        <v>7.337093333333343E-2</v>
      </c>
    </row>
    <row r="151" spans="1:16" ht="14.1" customHeight="1">
      <c r="A151" s="2">
        <v>1182</v>
      </c>
      <c r="B151" s="2">
        <v>1182</v>
      </c>
      <c r="C151" s="2" t="s">
        <v>1070</v>
      </c>
      <c r="D151" s="2" t="s">
        <v>2904</v>
      </c>
      <c r="E151" s="2" t="s">
        <v>2905</v>
      </c>
      <c r="F151" s="2" t="s">
        <v>361</v>
      </c>
      <c r="G151" s="2" t="s">
        <v>2906</v>
      </c>
      <c r="H151" s="2">
        <v>62009204</v>
      </c>
      <c r="I151" s="2" t="s">
        <v>34</v>
      </c>
      <c r="J151" s="2" t="s">
        <v>105</v>
      </c>
      <c r="K151" s="177">
        <v>43190</v>
      </c>
      <c r="L151" s="179">
        <v>300000</v>
      </c>
      <c r="M151" s="179">
        <v>1104.3</v>
      </c>
      <c r="N151" s="179">
        <v>27525</v>
      </c>
      <c r="O151" s="179">
        <v>101.319525</v>
      </c>
      <c r="P151" s="180">
        <v>9.1749999999999998E-2</v>
      </c>
    </row>
    <row r="152" spans="1:16" ht="14.1" customHeight="1">
      <c r="A152" s="2">
        <v>1182</v>
      </c>
      <c r="B152" s="2">
        <v>1182</v>
      </c>
      <c r="C152" s="2" t="s">
        <v>1070</v>
      </c>
      <c r="D152" s="2" t="s">
        <v>2918</v>
      </c>
      <c r="E152" s="2" t="s">
        <v>2919</v>
      </c>
      <c r="F152" s="2" t="s">
        <v>361</v>
      </c>
      <c r="G152" s="2" t="s">
        <v>2920</v>
      </c>
      <c r="H152" s="2">
        <v>62010137</v>
      </c>
      <c r="I152" s="2" t="s">
        <v>34</v>
      </c>
      <c r="J152" s="2" t="s">
        <v>105</v>
      </c>
      <c r="K152" s="177">
        <v>43190</v>
      </c>
      <c r="L152" s="179">
        <v>300000</v>
      </c>
      <c r="M152" s="179">
        <v>1104.3</v>
      </c>
      <c r="N152" s="179">
        <v>89179</v>
      </c>
      <c r="O152" s="179">
        <v>328.267899</v>
      </c>
      <c r="P152" s="180">
        <v>0.29726333333333332</v>
      </c>
    </row>
    <row r="153" spans="1:16" ht="14.1" customHeight="1">
      <c r="A153" s="2">
        <v>1182</v>
      </c>
      <c r="B153" s="2">
        <v>1182</v>
      </c>
      <c r="C153" s="2" t="s">
        <v>1070</v>
      </c>
      <c r="D153" s="2" t="s">
        <v>2914</v>
      </c>
      <c r="E153" s="2" t="s">
        <v>2915</v>
      </c>
      <c r="F153" s="2" t="s">
        <v>361</v>
      </c>
      <c r="G153" s="2" t="s">
        <v>2916</v>
      </c>
      <c r="H153" s="2">
        <v>62020813</v>
      </c>
      <c r="I153" s="2" t="s">
        <v>34</v>
      </c>
      <c r="J153" s="2" t="s">
        <v>105</v>
      </c>
      <c r="K153" s="177">
        <v>44742</v>
      </c>
      <c r="L153" s="179">
        <v>320000</v>
      </c>
      <c r="M153" s="179">
        <v>1177.92</v>
      </c>
      <c r="N153" s="179">
        <v>253406</v>
      </c>
      <c r="O153" s="179">
        <v>932.78748600000006</v>
      </c>
      <c r="P153" s="180">
        <v>0.79189374999999995</v>
      </c>
    </row>
    <row r="154" spans="1:16" ht="14.1" customHeight="1">
      <c r="A154" s="2">
        <v>1182</v>
      </c>
      <c r="B154" s="2">
        <v>1182</v>
      </c>
      <c r="C154" s="2" t="s">
        <v>1070</v>
      </c>
      <c r="D154" s="2" t="s">
        <v>2908</v>
      </c>
      <c r="E154" s="2" t="s">
        <v>2909</v>
      </c>
      <c r="F154" s="2" t="s">
        <v>361</v>
      </c>
      <c r="G154" s="2" t="s">
        <v>2910</v>
      </c>
      <c r="H154" s="2">
        <v>62019807</v>
      </c>
      <c r="I154" s="2" t="s">
        <v>34</v>
      </c>
      <c r="J154" s="2" t="s">
        <v>105</v>
      </c>
      <c r="K154" s="177">
        <v>44561</v>
      </c>
      <c r="L154" s="179">
        <v>250000</v>
      </c>
      <c r="M154" s="179">
        <v>920.25</v>
      </c>
      <c r="N154" s="179">
        <v>54955</v>
      </c>
      <c r="O154" s="179">
        <v>202.289355</v>
      </c>
      <c r="P154" s="180">
        <v>0.21981999999999999</v>
      </c>
    </row>
    <row r="155" spans="1:16" ht="14.1" customHeight="1">
      <c r="A155" s="2">
        <v>1182</v>
      </c>
      <c r="B155" s="2">
        <v>1182</v>
      </c>
      <c r="C155" s="2" t="s">
        <v>1070</v>
      </c>
      <c r="D155" s="2" t="s">
        <v>2900</v>
      </c>
      <c r="E155" s="2" t="s">
        <v>2901</v>
      </c>
      <c r="F155" s="2" t="s">
        <v>361</v>
      </c>
      <c r="G155" s="2" t="s">
        <v>2902</v>
      </c>
      <c r="H155" s="2">
        <v>62019849</v>
      </c>
      <c r="I155" s="2" t="s">
        <v>34</v>
      </c>
      <c r="J155" s="2" t="s">
        <v>105</v>
      </c>
      <c r="K155" s="177">
        <v>44561</v>
      </c>
      <c r="L155" s="179">
        <v>280000</v>
      </c>
      <c r="M155" s="179">
        <v>1030.68</v>
      </c>
      <c r="N155" s="179">
        <v>48926.23000000001</v>
      </c>
      <c r="O155" s="179">
        <v>180.09745263000005</v>
      </c>
      <c r="P155" s="180">
        <v>0.17473653571428574</v>
      </c>
    </row>
    <row r="156" spans="1:16" ht="14.1" customHeight="1">
      <c r="A156" s="2">
        <v>1182</v>
      </c>
      <c r="B156" s="2">
        <v>1182</v>
      </c>
      <c r="C156" s="2" t="s">
        <v>1070</v>
      </c>
      <c r="D156" s="2" t="s">
        <v>2911</v>
      </c>
      <c r="E156" s="2" t="s">
        <v>2905</v>
      </c>
      <c r="F156" s="2" t="s">
        <v>361</v>
      </c>
      <c r="G156" s="2" t="s">
        <v>2912</v>
      </c>
      <c r="H156" s="2">
        <v>62020615</v>
      </c>
      <c r="I156" s="2" t="s">
        <v>34</v>
      </c>
      <c r="J156" s="2" t="s">
        <v>105</v>
      </c>
      <c r="K156" s="177">
        <v>44651</v>
      </c>
      <c r="L156" s="179">
        <v>500000</v>
      </c>
      <c r="M156" s="179">
        <v>1840.5</v>
      </c>
      <c r="N156" s="179">
        <v>250256</v>
      </c>
      <c r="O156" s="179">
        <v>921.19233599999995</v>
      </c>
      <c r="P156" s="180">
        <v>0.50051199999999996</v>
      </c>
    </row>
    <row r="157" spans="1:16" ht="14.1" customHeight="1">
      <c r="A157" s="2">
        <v>1182</v>
      </c>
      <c r="B157" s="2">
        <v>1182</v>
      </c>
      <c r="C157" s="2" t="s">
        <v>1070</v>
      </c>
      <c r="D157" s="2" t="s">
        <v>2896</v>
      </c>
      <c r="E157" s="2" t="s">
        <v>2897</v>
      </c>
      <c r="F157" s="2" t="s">
        <v>362</v>
      </c>
      <c r="G157" s="2" t="s">
        <v>2898</v>
      </c>
      <c r="H157" s="2">
        <v>62021571</v>
      </c>
      <c r="I157" s="2" t="s">
        <v>34</v>
      </c>
      <c r="J157" s="2" t="s">
        <v>1224</v>
      </c>
      <c r="K157" s="177">
        <v>45382</v>
      </c>
      <c r="L157" s="179">
        <v>300000</v>
      </c>
      <c r="M157" s="179">
        <v>1193.73</v>
      </c>
      <c r="N157" s="179">
        <v>171373.66999999998</v>
      </c>
      <c r="O157" s="179">
        <v>681.9129702969999</v>
      </c>
      <c r="P157" s="180">
        <v>0.57124556666666659</v>
      </c>
    </row>
    <row r="158" spans="1:16" ht="14.1" customHeight="1">
      <c r="A158" s="2">
        <v>1182</v>
      </c>
      <c r="B158" s="2">
        <v>1182</v>
      </c>
      <c r="C158" s="2" t="s">
        <v>1070</v>
      </c>
      <c r="D158" s="2" t="s">
        <v>2832</v>
      </c>
      <c r="E158" s="2" t="s">
        <v>2833</v>
      </c>
      <c r="F158" s="2" t="s">
        <v>362</v>
      </c>
      <c r="G158" s="2" t="s">
        <v>2834</v>
      </c>
      <c r="H158" s="2">
        <v>62020946</v>
      </c>
      <c r="I158" s="2" t="s">
        <v>34</v>
      </c>
      <c r="J158" s="2" t="s">
        <v>105</v>
      </c>
      <c r="K158" s="177">
        <v>44651</v>
      </c>
      <c r="L158" s="179">
        <v>500000</v>
      </c>
      <c r="M158" s="179">
        <v>1840.5</v>
      </c>
      <c r="N158" s="179">
        <v>273588</v>
      </c>
      <c r="O158" s="179">
        <v>1007.0774279999999</v>
      </c>
      <c r="P158" s="180">
        <v>0.547176</v>
      </c>
    </row>
    <row r="159" spans="1:16" ht="14.1" customHeight="1">
      <c r="A159" s="2">
        <v>1182</v>
      </c>
      <c r="B159" s="2">
        <v>1182</v>
      </c>
      <c r="C159" s="2" t="s">
        <v>1070</v>
      </c>
      <c r="D159" s="2" t="s">
        <v>2873</v>
      </c>
      <c r="E159" s="2" t="s">
        <v>2874</v>
      </c>
      <c r="F159" s="2" t="s">
        <v>361</v>
      </c>
      <c r="G159" s="2" t="s">
        <v>2875</v>
      </c>
      <c r="H159" s="2">
        <v>62017652</v>
      </c>
      <c r="I159" s="2" t="s">
        <v>34</v>
      </c>
      <c r="J159" s="2" t="s">
        <v>105</v>
      </c>
      <c r="K159" s="177">
        <v>43921</v>
      </c>
      <c r="L159" s="179">
        <v>400000</v>
      </c>
      <c r="M159" s="179">
        <v>1472.4</v>
      </c>
      <c r="N159" s="179">
        <v>52000</v>
      </c>
      <c r="O159" s="179">
        <v>191.41200000000001</v>
      </c>
      <c r="P159" s="180">
        <v>0.13</v>
      </c>
    </row>
    <row r="160" spans="1:16" ht="14.1" customHeight="1">
      <c r="A160" s="2">
        <v>1182</v>
      </c>
      <c r="B160" s="2">
        <v>1182</v>
      </c>
      <c r="C160" s="2" t="s">
        <v>1070</v>
      </c>
      <c r="D160" s="2" t="s">
        <v>2877</v>
      </c>
      <c r="E160" s="2" t="s">
        <v>2878</v>
      </c>
      <c r="F160" s="2" t="s">
        <v>361</v>
      </c>
      <c r="G160" s="2" t="s">
        <v>2879</v>
      </c>
      <c r="H160" s="2">
        <v>62021142</v>
      </c>
      <c r="I160" s="2" t="s">
        <v>34</v>
      </c>
      <c r="J160" s="2" t="s">
        <v>105</v>
      </c>
      <c r="K160" s="177">
        <v>45016</v>
      </c>
      <c r="L160" s="179">
        <v>300000</v>
      </c>
      <c r="M160" s="179">
        <v>1104.3</v>
      </c>
      <c r="N160" s="179">
        <v>165000</v>
      </c>
      <c r="O160" s="179">
        <v>607.36500000000001</v>
      </c>
      <c r="P160" s="180">
        <v>0.55000000000000004</v>
      </c>
    </row>
    <row r="161" spans="1:16" ht="14.1" customHeight="1">
      <c r="A161" s="2">
        <v>1182</v>
      </c>
      <c r="B161" s="2">
        <v>1182</v>
      </c>
      <c r="C161" s="2" t="s">
        <v>1070</v>
      </c>
      <c r="D161" s="2" t="s">
        <v>2857</v>
      </c>
      <c r="E161" s="2" t="s">
        <v>2858</v>
      </c>
      <c r="F161" s="2" t="s">
        <v>361</v>
      </c>
      <c r="G161" s="2" t="s">
        <v>2859</v>
      </c>
      <c r="H161" s="2">
        <v>62017702</v>
      </c>
      <c r="I161" s="2" t="s">
        <v>34</v>
      </c>
      <c r="J161" s="2" t="s">
        <v>105</v>
      </c>
      <c r="K161" s="177">
        <v>43921</v>
      </c>
      <c r="L161" s="179">
        <v>500000</v>
      </c>
      <c r="M161" s="179">
        <v>1840.5</v>
      </c>
      <c r="N161" s="179">
        <v>30627</v>
      </c>
      <c r="O161" s="179">
        <v>112.737987</v>
      </c>
      <c r="P161" s="180">
        <v>6.1254000000000003E-2</v>
      </c>
    </row>
    <row r="162" spans="1:16" ht="14.1" customHeight="1">
      <c r="A162" s="2">
        <v>1182</v>
      </c>
      <c r="B162" s="2">
        <v>1182</v>
      </c>
      <c r="C162" s="2" t="s">
        <v>1070</v>
      </c>
      <c r="D162" s="2" t="s">
        <v>2814</v>
      </c>
      <c r="E162" s="2" t="s">
        <v>2815</v>
      </c>
      <c r="F162" s="2" t="s">
        <v>362</v>
      </c>
      <c r="G162" s="2" t="s">
        <v>2816</v>
      </c>
      <c r="H162" s="2">
        <v>62018064</v>
      </c>
      <c r="I162" s="2" t="s">
        <v>34</v>
      </c>
      <c r="J162" s="2" t="s">
        <v>105</v>
      </c>
      <c r="K162" s="177">
        <v>44286</v>
      </c>
      <c r="L162" s="179">
        <v>200000</v>
      </c>
      <c r="M162" s="179">
        <v>736.2</v>
      </c>
      <c r="N162" s="179">
        <v>30520</v>
      </c>
      <c r="O162" s="179">
        <v>112.34411999999999</v>
      </c>
      <c r="P162" s="180">
        <v>0.15260000000000001</v>
      </c>
    </row>
    <row r="163" spans="1:16" ht="14.1" customHeight="1">
      <c r="A163" s="2">
        <v>1182</v>
      </c>
      <c r="B163" s="2">
        <v>1182</v>
      </c>
      <c r="C163" s="2" t="s">
        <v>1070</v>
      </c>
      <c r="D163" s="2" t="s">
        <v>2814</v>
      </c>
      <c r="E163" s="2" t="s">
        <v>2815</v>
      </c>
      <c r="F163" s="2" t="s">
        <v>362</v>
      </c>
      <c r="G163" s="2" t="s">
        <v>2818</v>
      </c>
      <c r="H163" s="2">
        <v>62021340</v>
      </c>
      <c r="I163" s="2" t="s">
        <v>34</v>
      </c>
      <c r="J163" s="2" t="s">
        <v>105</v>
      </c>
      <c r="K163" s="177">
        <v>45016</v>
      </c>
      <c r="L163" s="179">
        <v>200000</v>
      </c>
      <c r="M163" s="179">
        <v>736.2</v>
      </c>
      <c r="N163" s="179">
        <v>130235</v>
      </c>
      <c r="O163" s="179">
        <v>479.39503500000001</v>
      </c>
      <c r="P163" s="180">
        <v>0.65117499999999995</v>
      </c>
    </row>
    <row r="164" spans="1:16" ht="14.1" customHeight="1">
      <c r="A164" s="2">
        <v>1182</v>
      </c>
      <c r="B164" s="2">
        <v>1182</v>
      </c>
      <c r="C164" s="2" t="s">
        <v>1070</v>
      </c>
      <c r="D164" s="2" t="s">
        <v>2926</v>
      </c>
      <c r="E164" s="2" t="s">
        <v>2927</v>
      </c>
      <c r="F164" s="2" t="s">
        <v>361</v>
      </c>
      <c r="G164" s="2" t="s">
        <v>2928</v>
      </c>
      <c r="H164" s="2">
        <v>62018387</v>
      </c>
      <c r="I164" s="2" t="s">
        <v>34</v>
      </c>
      <c r="J164" s="2" t="s">
        <v>105</v>
      </c>
      <c r="K164" s="177">
        <v>44286</v>
      </c>
      <c r="L164" s="179">
        <v>250000</v>
      </c>
      <c r="M164" s="179">
        <v>920.25</v>
      </c>
      <c r="N164" s="179">
        <v>66027.66</v>
      </c>
      <c r="O164" s="179">
        <v>243.04781646000001</v>
      </c>
      <c r="P164" s="180">
        <v>0.26411064000000001</v>
      </c>
    </row>
    <row r="165" spans="1:16" ht="14.1" customHeight="1">
      <c r="A165" s="2">
        <v>1182</v>
      </c>
      <c r="B165" s="2">
        <v>1182</v>
      </c>
      <c r="C165" s="2" t="s">
        <v>1070</v>
      </c>
      <c r="D165" s="2" t="s">
        <v>2930</v>
      </c>
      <c r="E165" s="2" t="s">
        <v>2931</v>
      </c>
      <c r="F165" s="2" t="s">
        <v>362</v>
      </c>
      <c r="G165" s="2" t="s">
        <v>2932</v>
      </c>
      <c r="H165" s="2">
        <v>62018551</v>
      </c>
      <c r="I165" s="2" t="s">
        <v>34</v>
      </c>
      <c r="J165" s="2" t="s">
        <v>105</v>
      </c>
      <c r="K165" s="177">
        <v>44377</v>
      </c>
      <c r="L165" s="179">
        <v>420000</v>
      </c>
      <c r="M165" s="179">
        <v>1546.02</v>
      </c>
      <c r="N165" s="179">
        <v>121800</v>
      </c>
      <c r="O165" s="179">
        <v>448.3458</v>
      </c>
      <c r="P165" s="180">
        <v>0.28999999999999998</v>
      </c>
    </row>
    <row r="166" spans="1:16" ht="14.1" customHeight="1">
      <c r="A166" s="2">
        <v>1182</v>
      </c>
      <c r="B166" s="2">
        <v>1182</v>
      </c>
      <c r="C166" s="2" t="s">
        <v>1070</v>
      </c>
      <c r="D166" s="2" t="s">
        <v>2934</v>
      </c>
      <c r="E166" s="2" t="s">
        <v>2935</v>
      </c>
      <c r="F166" s="2" t="s">
        <v>362</v>
      </c>
      <c r="G166" s="2" t="s">
        <v>2936</v>
      </c>
      <c r="H166" s="2">
        <v>62020169</v>
      </c>
      <c r="I166" s="2" t="s">
        <v>34</v>
      </c>
      <c r="J166" s="2" t="s">
        <v>105</v>
      </c>
      <c r="K166" s="177">
        <v>44651</v>
      </c>
      <c r="L166" s="179">
        <v>500000</v>
      </c>
      <c r="M166" s="179">
        <v>1840.5</v>
      </c>
      <c r="N166" s="179">
        <v>215000</v>
      </c>
      <c r="O166" s="179">
        <v>791.41499999999996</v>
      </c>
      <c r="P166" s="180">
        <v>0.43</v>
      </c>
    </row>
    <row r="167" spans="1:16" ht="14.1" customHeight="1">
      <c r="A167" s="2">
        <v>1182</v>
      </c>
      <c r="B167" s="2">
        <v>1182</v>
      </c>
      <c r="C167" s="2" t="s">
        <v>1070</v>
      </c>
      <c r="D167" s="2" t="s">
        <v>2820</v>
      </c>
      <c r="E167" s="2" t="s">
        <v>2821</v>
      </c>
      <c r="F167" s="2" t="s">
        <v>361</v>
      </c>
      <c r="G167" s="2" t="s">
        <v>2822</v>
      </c>
      <c r="H167" s="2">
        <v>62018908</v>
      </c>
      <c r="I167" s="2" t="s">
        <v>34</v>
      </c>
      <c r="J167" s="2" t="s">
        <v>105</v>
      </c>
      <c r="K167" s="177">
        <v>44286</v>
      </c>
      <c r="L167" s="179">
        <v>600000</v>
      </c>
      <c r="M167" s="179">
        <v>2208.6</v>
      </c>
      <c r="N167" s="179">
        <v>131512.56999999995</v>
      </c>
      <c r="O167" s="179">
        <v>484.09777016999982</v>
      </c>
      <c r="P167" s="180">
        <v>0.21918761666666658</v>
      </c>
    </row>
    <row r="168" spans="1:16" ht="14.1" customHeight="1">
      <c r="A168" s="2">
        <v>1182</v>
      </c>
      <c r="B168" s="2">
        <v>1182</v>
      </c>
      <c r="C168" s="2" t="s">
        <v>1070</v>
      </c>
      <c r="D168" s="2" t="s">
        <v>2790</v>
      </c>
      <c r="E168" s="2" t="s">
        <v>2791</v>
      </c>
      <c r="F168" s="2" t="s">
        <v>361</v>
      </c>
      <c r="G168" s="2" t="s">
        <v>2792</v>
      </c>
      <c r="H168" s="2">
        <v>62019757</v>
      </c>
      <c r="I168" s="2" t="s">
        <v>34</v>
      </c>
      <c r="J168" s="2" t="s">
        <v>105</v>
      </c>
      <c r="K168" s="177">
        <v>44286</v>
      </c>
      <c r="L168" s="179">
        <v>140000</v>
      </c>
      <c r="M168" s="179">
        <v>515.34</v>
      </c>
      <c r="N168" s="179">
        <v>74009</v>
      </c>
      <c r="O168" s="179">
        <v>272.42712900000004</v>
      </c>
      <c r="P168" s="180">
        <v>0.52863571428571432</v>
      </c>
    </row>
    <row r="169" spans="1:16" ht="14.1" customHeight="1">
      <c r="A169" s="2">
        <v>1182</v>
      </c>
      <c r="B169" s="2">
        <v>1182</v>
      </c>
      <c r="C169" s="2" t="s">
        <v>1070</v>
      </c>
      <c r="D169" s="2" t="s">
        <v>2772</v>
      </c>
      <c r="E169" s="2" t="s">
        <v>2773</v>
      </c>
      <c r="F169" s="2" t="s">
        <v>204</v>
      </c>
      <c r="G169" s="2" t="s">
        <v>2774</v>
      </c>
      <c r="H169" s="2">
        <v>50007160</v>
      </c>
      <c r="I169" s="2" t="s">
        <v>34</v>
      </c>
      <c r="J169" s="2" t="s">
        <v>35</v>
      </c>
      <c r="K169" s="177">
        <v>44561</v>
      </c>
      <c r="L169" s="179">
        <v>900000</v>
      </c>
      <c r="M169" s="179">
        <v>900</v>
      </c>
      <c r="N169" s="179">
        <v>430040</v>
      </c>
      <c r="O169" s="179">
        <v>430.04</v>
      </c>
      <c r="P169" s="180">
        <v>0.4778222222222222</v>
      </c>
    </row>
    <row r="170" spans="1:16" ht="14.1" customHeight="1">
      <c r="A170" s="2">
        <v>1182</v>
      </c>
      <c r="B170" s="2">
        <v>1182</v>
      </c>
      <c r="C170" s="2" t="s">
        <v>1070</v>
      </c>
      <c r="D170" s="2" t="s">
        <v>2787</v>
      </c>
      <c r="E170" s="2" t="s">
        <v>2788</v>
      </c>
      <c r="F170" s="2" t="s">
        <v>362</v>
      </c>
      <c r="G170" s="2" t="s">
        <v>2787</v>
      </c>
      <c r="H170" s="2">
        <v>62019815</v>
      </c>
      <c r="I170" s="2" t="s">
        <v>34</v>
      </c>
      <c r="J170" s="2" t="s">
        <v>105</v>
      </c>
      <c r="K170" s="177">
        <v>44561</v>
      </c>
      <c r="L170" s="179">
        <v>750000</v>
      </c>
      <c r="M170" s="179">
        <v>2760.75</v>
      </c>
      <c r="N170" s="179">
        <v>562978</v>
      </c>
      <c r="O170" s="179">
        <v>2072.3220179999998</v>
      </c>
      <c r="P170" s="180">
        <v>0.75063733333333338</v>
      </c>
    </row>
    <row r="171" spans="1:16" ht="14.1" customHeight="1">
      <c r="A171" s="2">
        <v>1182</v>
      </c>
      <c r="B171" s="2">
        <v>1182</v>
      </c>
      <c r="C171" s="2" t="s">
        <v>1070</v>
      </c>
      <c r="D171" s="2" t="s">
        <v>2783</v>
      </c>
      <c r="E171" s="2" t="s">
        <v>2784</v>
      </c>
      <c r="F171" s="2" t="s">
        <v>361</v>
      </c>
      <c r="G171" s="2" t="s">
        <v>2783</v>
      </c>
      <c r="H171" s="2">
        <v>62020896</v>
      </c>
      <c r="I171" s="2" t="s">
        <v>34</v>
      </c>
      <c r="J171" s="2" t="s">
        <v>105</v>
      </c>
      <c r="K171" s="177">
        <v>44651</v>
      </c>
      <c r="L171" s="179">
        <v>300000</v>
      </c>
      <c r="M171" s="179">
        <v>1104.3</v>
      </c>
      <c r="N171" s="179">
        <v>273774</v>
      </c>
      <c r="O171" s="179">
        <v>1007.762094</v>
      </c>
      <c r="P171" s="180">
        <v>0.91257999999999995</v>
      </c>
    </row>
    <row r="172" spans="1:16" ht="14.1" customHeight="1">
      <c r="A172" s="2">
        <v>1182</v>
      </c>
      <c r="B172" s="2">
        <v>1182</v>
      </c>
      <c r="C172" s="2" t="s">
        <v>1070</v>
      </c>
      <c r="D172" s="2" t="s">
        <v>2780</v>
      </c>
      <c r="E172" s="2" t="s">
        <v>2781</v>
      </c>
      <c r="F172" s="2" t="s">
        <v>362</v>
      </c>
      <c r="G172" s="2" t="s">
        <v>2780</v>
      </c>
      <c r="H172" s="2">
        <v>62021365</v>
      </c>
      <c r="I172" s="2" t="s">
        <v>34</v>
      </c>
      <c r="J172" s="2" t="s">
        <v>105</v>
      </c>
      <c r="K172" s="177">
        <v>45016</v>
      </c>
      <c r="L172" s="179">
        <v>400000</v>
      </c>
      <c r="M172" s="179">
        <v>1472.4</v>
      </c>
      <c r="N172" s="179">
        <v>355837.25</v>
      </c>
      <c r="O172" s="179">
        <v>1309.8369172499999</v>
      </c>
      <c r="P172" s="180">
        <v>0.88959312499999998</v>
      </c>
    </row>
    <row r="173" spans="1:16" ht="14.1" customHeight="1">
      <c r="A173" s="2">
        <v>1182</v>
      </c>
      <c r="B173" s="2">
        <v>1182</v>
      </c>
      <c r="C173" s="2" t="s">
        <v>1070</v>
      </c>
      <c r="D173" s="2" t="s">
        <v>2766</v>
      </c>
      <c r="E173" s="2" t="s">
        <v>2767</v>
      </c>
      <c r="F173" s="2" t="s">
        <v>1380</v>
      </c>
      <c r="G173" s="2" t="s">
        <v>2766</v>
      </c>
      <c r="H173" s="2">
        <v>50007350</v>
      </c>
      <c r="I173" s="2" t="s">
        <v>34</v>
      </c>
      <c r="J173" s="2" t="s">
        <v>35</v>
      </c>
      <c r="K173" s="177">
        <v>44651</v>
      </c>
      <c r="L173" s="179">
        <v>2000000</v>
      </c>
      <c r="M173" s="179">
        <v>2000</v>
      </c>
      <c r="N173" s="179">
        <v>464819</v>
      </c>
      <c r="O173" s="179">
        <v>464.81900000000002</v>
      </c>
      <c r="P173" s="180">
        <v>0.23240949999999999</v>
      </c>
    </row>
    <row r="174" spans="1:16" ht="14.1" customHeight="1">
      <c r="A174" s="2">
        <v>1182</v>
      </c>
      <c r="B174" s="2">
        <v>1182</v>
      </c>
      <c r="C174" s="2" t="s">
        <v>1070</v>
      </c>
      <c r="D174" s="2" t="s">
        <v>2658</v>
      </c>
      <c r="E174" s="2" t="s">
        <v>2659</v>
      </c>
      <c r="F174" s="2" t="s">
        <v>204</v>
      </c>
      <c r="G174" s="2" t="s">
        <v>2660</v>
      </c>
      <c r="H174" s="2">
        <v>50007566</v>
      </c>
      <c r="I174" s="2" t="s">
        <v>34</v>
      </c>
      <c r="J174" s="2" t="s">
        <v>35</v>
      </c>
      <c r="K174" s="177">
        <v>44651</v>
      </c>
      <c r="L174" s="179">
        <v>2200000</v>
      </c>
      <c r="M174" s="179">
        <v>2200</v>
      </c>
      <c r="N174" s="179">
        <v>996400</v>
      </c>
      <c r="O174" s="179">
        <v>996.4</v>
      </c>
      <c r="P174" s="180">
        <v>0.45290909090909093</v>
      </c>
    </row>
    <row r="175" spans="1:16" ht="14.1" customHeight="1">
      <c r="A175" s="2">
        <v>1182</v>
      </c>
      <c r="B175" s="2">
        <v>1182</v>
      </c>
      <c r="C175" s="2" t="s">
        <v>1070</v>
      </c>
      <c r="D175" s="2" t="s">
        <v>2720</v>
      </c>
      <c r="E175" s="2" t="s">
        <v>2721</v>
      </c>
      <c r="F175" s="2" t="s">
        <v>34</v>
      </c>
      <c r="G175" s="2" t="s">
        <v>2720</v>
      </c>
      <c r="H175" s="2">
        <v>62020375</v>
      </c>
      <c r="I175" s="2" t="s">
        <v>34</v>
      </c>
      <c r="J175" s="2" t="s">
        <v>105</v>
      </c>
      <c r="K175" s="177">
        <v>44651</v>
      </c>
      <c r="L175" s="179">
        <v>450000</v>
      </c>
      <c r="M175" s="179">
        <v>1656.45</v>
      </c>
      <c r="N175" s="179">
        <v>347225</v>
      </c>
      <c r="O175" s="179">
        <v>1278.135225</v>
      </c>
      <c r="P175" s="180">
        <v>0.77161111111111114</v>
      </c>
    </row>
    <row r="176" spans="1:16" ht="14.1" customHeight="1">
      <c r="A176" s="2">
        <v>1182</v>
      </c>
      <c r="B176" s="2">
        <v>1182</v>
      </c>
      <c r="C176" s="2" t="s">
        <v>1070</v>
      </c>
      <c r="D176" s="2" t="s">
        <v>2885</v>
      </c>
      <c r="E176" s="2" t="s">
        <v>2886</v>
      </c>
      <c r="F176" s="2" t="s">
        <v>361</v>
      </c>
      <c r="G176" s="2" t="s">
        <v>2887</v>
      </c>
      <c r="H176" s="2">
        <v>62020425</v>
      </c>
      <c r="I176" s="2" t="s">
        <v>34</v>
      </c>
      <c r="J176" s="2" t="s">
        <v>105</v>
      </c>
      <c r="K176" s="177">
        <v>44742</v>
      </c>
      <c r="L176" s="179">
        <v>700000</v>
      </c>
      <c r="M176" s="179">
        <v>2576.6999999999998</v>
      </c>
      <c r="N176" s="179">
        <v>62561</v>
      </c>
      <c r="O176" s="179">
        <v>230.28704099999999</v>
      </c>
      <c r="P176" s="180">
        <v>8.9372857142857143E-2</v>
      </c>
    </row>
    <row r="177" spans="1:16" ht="14.1" customHeight="1">
      <c r="A177" s="2">
        <v>1182</v>
      </c>
      <c r="B177" s="2">
        <v>1182</v>
      </c>
      <c r="C177" s="2" t="s">
        <v>1070</v>
      </c>
      <c r="D177" s="2" t="s">
        <v>2854</v>
      </c>
      <c r="E177" s="2" t="s">
        <v>2855</v>
      </c>
      <c r="F177" s="2" t="s">
        <v>362</v>
      </c>
      <c r="G177" s="2" t="s">
        <v>2856</v>
      </c>
      <c r="H177" s="2">
        <v>62020565</v>
      </c>
      <c r="I177" s="2" t="s">
        <v>34</v>
      </c>
      <c r="J177" s="2" t="s">
        <v>1224</v>
      </c>
      <c r="K177" s="177">
        <v>44651</v>
      </c>
      <c r="L177" s="179">
        <v>265000</v>
      </c>
      <c r="M177" s="179">
        <v>1054.4614999999999</v>
      </c>
      <c r="N177" s="179">
        <v>161636.87</v>
      </c>
      <c r="O177" s="179">
        <v>643.16926941700001</v>
      </c>
      <c r="P177" s="180">
        <v>0.60995045283018867</v>
      </c>
    </row>
    <row r="178" spans="1:16" ht="14.1" customHeight="1">
      <c r="A178" s="2">
        <v>1182</v>
      </c>
      <c r="B178" s="2">
        <v>1182</v>
      </c>
      <c r="C178" s="2" t="s">
        <v>1070</v>
      </c>
      <c r="D178" s="2" t="s">
        <v>2776</v>
      </c>
      <c r="E178" s="2" t="s">
        <v>2777</v>
      </c>
      <c r="F178" s="2" t="s">
        <v>34</v>
      </c>
      <c r="G178" s="2" t="s">
        <v>2778</v>
      </c>
      <c r="H178" s="2">
        <v>62020672</v>
      </c>
      <c r="I178" s="2" t="s">
        <v>34</v>
      </c>
      <c r="J178" s="2" t="s">
        <v>105</v>
      </c>
      <c r="K178" s="177">
        <v>44651</v>
      </c>
      <c r="L178" s="179">
        <v>100000</v>
      </c>
      <c r="M178" s="179">
        <v>368.1</v>
      </c>
      <c r="N178" s="179">
        <v>14130</v>
      </c>
      <c r="O178" s="179">
        <v>52.012529999999998</v>
      </c>
      <c r="P178" s="180">
        <v>0.14130000000000001</v>
      </c>
    </row>
    <row r="179" spans="1:16" ht="14.1" customHeight="1">
      <c r="A179" s="2">
        <v>1182</v>
      </c>
      <c r="B179" s="2">
        <v>1182</v>
      </c>
      <c r="C179" s="2" t="s">
        <v>1070</v>
      </c>
      <c r="D179" s="2" t="s">
        <v>2836</v>
      </c>
      <c r="E179" s="2" t="s">
        <v>2837</v>
      </c>
      <c r="F179" s="2" t="s">
        <v>360</v>
      </c>
      <c r="G179" s="2" t="s">
        <v>2838</v>
      </c>
      <c r="H179" s="2">
        <v>62021431</v>
      </c>
      <c r="I179" s="2" t="s">
        <v>34</v>
      </c>
      <c r="J179" s="2" t="s">
        <v>105</v>
      </c>
      <c r="K179" s="177">
        <v>45016</v>
      </c>
      <c r="L179" s="179">
        <v>130000</v>
      </c>
      <c r="M179" s="179">
        <v>478.53</v>
      </c>
      <c r="N179" s="179">
        <v>117000</v>
      </c>
      <c r="O179" s="179">
        <v>430.67700000000002</v>
      </c>
      <c r="P179" s="180">
        <v>0.9</v>
      </c>
    </row>
    <row r="180" spans="1:16" ht="14.1" customHeight="1">
      <c r="A180" s="2">
        <v>969</v>
      </c>
      <c r="B180" s="2">
        <v>969</v>
      </c>
      <c r="C180" s="2" t="s">
        <v>1070</v>
      </c>
      <c r="D180" s="2" t="s">
        <v>2701</v>
      </c>
      <c r="E180" s="2" t="s">
        <v>2702</v>
      </c>
      <c r="F180" s="2" t="s">
        <v>359</v>
      </c>
      <c r="G180" s="2" t="s">
        <v>2705</v>
      </c>
      <c r="H180" s="2">
        <v>62002785</v>
      </c>
      <c r="I180" s="2" t="s">
        <v>34</v>
      </c>
      <c r="J180" s="2" t="s">
        <v>105</v>
      </c>
      <c r="K180" s="177">
        <v>42825</v>
      </c>
      <c r="L180" s="179">
        <v>50000</v>
      </c>
      <c r="M180" s="179">
        <v>184.05</v>
      </c>
      <c r="N180" s="179">
        <v>3250</v>
      </c>
      <c r="O180" s="179">
        <v>11.96325</v>
      </c>
      <c r="P180" s="180">
        <v>6.5000000000000002E-2</v>
      </c>
    </row>
    <row r="181" spans="1:16" ht="14.1" customHeight="1">
      <c r="A181" s="2">
        <v>969</v>
      </c>
      <c r="B181" s="2">
        <v>969</v>
      </c>
      <c r="C181" s="2" t="s">
        <v>1070</v>
      </c>
      <c r="D181" s="2" t="s">
        <v>2690</v>
      </c>
      <c r="E181" s="2" t="s">
        <v>2691</v>
      </c>
      <c r="F181" s="2" t="s">
        <v>34</v>
      </c>
      <c r="G181" s="2" t="s">
        <v>2690</v>
      </c>
      <c r="H181" s="2">
        <v>60401809</v>
      </c>
      <c r="I181" s="2" t="s">
        <v>34</v>
      </c>
      <c r="J181" s="2" t="s">
        <v>105</v>
      </c>
      <c r="K181" s="177">
        <v>42460</v>
      </c>
      <c r="L181" s="179">
        <v>100000</v>
      </c>
      <c r="M181" s="179">
        <v>368.1</v>
      </c>
      <c r="N181" s="179">
        <v>1000</v>
      </c>
      <c r="O181" s="179">
        <v>3.681</v>
      </c>
      <c r="P181" s="180">
        <v>0.01</v>
      </c>
    </row>
    <row r="182" spans="1:16" ht="14.1" customHeight="1">
      <c r="A182" s="2">
        <v>969</v>
      </c>
      <c r="B182" s="2">
        <v>969</v>
      </c>
      <c r="C182" s="2" t="s">
        <v>1070</v>
      </c>
      <c r="D182" s="2" t="s">
        <v>2727</v>
      </c>
      <c r="E182" s="2" t="s">
        <v>2728</v>
      </c>
      <c r="F182" s="2" t="s">
        <v>204</v>
      </c>
      <c r="G182" s="2" t="s">
        <v>2729</v>
      </c>
      <c r="H182" s="2">
        <v>60406600</v>
      </c>
      <c r="I182" s="2" t="s">
        <v>34</v>
      </c>
      <c r="J182" s="2" t="s">
        <v>105</v>
      </c>
      <c r="K182" s="177">
        <v>42460</v>
      </c>
      <c r="L182" s="179">
        <v>100000</v>
      </c>
      <c r="M182" s="179">
        <v>368.1</v>
      </c>
      <c r="N182" s="179">
        <v>7998</v>
      </c>
      <c r="O182" s="179">
        <v>29.440638</v>
      </c>
      <c r="P182" s="180">
        <v>7.9979999999999996E-2</v>
      </c>
    </row>
    <row r="183" spans="1:16" ht="14.1" customHeight="1">
      <c r="A183" s="2">
        <v>969</v>
      </c>
      <c r="B183" s="2">
        <v>969</v>
      </c>
      <c r="C183" s="2" t="s">
        <v>1070</v>
      </c>
      <c r="D183" s="2" t="s">
        <v>2750</v>
      </c>
      <c r="E183" s="2">
        <v>0</v>
      </c>
      <c r="F183" s="2" t="s">
        <v>204</v>
      </c>
      <c r="G183" s="2" t="s">
        <v>2753</v>
      </c>
      <c r="H183" s="2">
        <v>62007349</v>
      </c>
      <c r="I183" s="2" t="s">
        <v>34</v>
      </c>
      <c r="J183" s="2" t="s">
        <v>105</v>
      </c>
      <c r="K183" s="177">
        <v>43190</v>
      </c>
      <c r="L183" s="179">
        <v>100000</v>
      </c>
      <c r="M183" s="179">
        <v>368.1</v>
      </c>
      <c r="N183" s="179">
        <v>9999</v>
      </c>
      <c r="O183" s="179">
        <v>36.806319000000002</v>
      </c>
      <c r="P183" s="180">
        <v>9.9989999999999996E-2</v>
      </c>
    </row>
    <row r="184" spans="1:16" ht="14.1" customHeight="1">
      <c r="A184" s="2">
        <v>969</v>
      </c>
      <c r="B184" s="2">
        <v>969</v>
      </c>
      <c r="C184" s="2" t="s">
        <v>1070</v>
      </c>
      <c r="D184" s="2" t="s">
        <v>2662</v>
      </c>
      <c r="E184" s="2" t="s">
        <v>2663</v>
      </c>
      <c r="F184" s="2" t="s">
        <v>34</v>
      </c>
      <c r="G184" s="2" t="s">
        <v>2769</v>
      </c>
      <c r="H184" s="2">
        <v>60400892</v>
      </c>
      <c r="I184" s="2" t="s">
        <v>34</v>
      </c>
      <c r="J184" s="2" t="s">
        <v>105</v>
      </c>
      <c r="K184" s="177">
        <v>42460</v>
      </c>
      <c r="L184" s="179">
        <v>375000</v>
      </c>
      <c r="M184" s="179">
        <v>1380.375</v>
      </c>
      <c r="N184" s="179">
        <v>62547</v>
      </c>
      <c r="O184" s="179">
        <v>230.23550700000001</v>
      </c>
      <c r="P184" s="180">
        <v>0.166792</v>
      </c>
    </row>
    <row r="185" spans="1:16" ht="14.1" customHeight="1">
      <c r="A185" s="2">
        <v>969</v>
      </c>
      <c r="B185" s="2">
        <v>969</v>
      </c>
      <c r="C185" s="2" t="s">
        <v>1070</v>
      </c>
      <c r="D185" s="2" t="s">
        <v>2662</v>
      </c>
      <c r="E185" s="2" t="s">
        <v>2663</v>
      </c>
      <c r="F185" s="2" t="s">
        <v>34</v>
      </c>
      <c r="G185" s="2" t="s">
        <v>2664</v>
      </c>
      <c r="H185" s="2">
        <v>62018312</v>
      </c>
      <c r="I185" s="2" t="s">
        <v>34</v>
      </c>
      <c r="J185" s="2" t="s">
        <v>105</v>
      </c>
      <c r="K185" s="177">
        <v>44286</v>
      </c>
      <c r="L185" s="179">
        <v>200000</v>
      </c>
      <c r="M185" s="179">
        <v>736.2</v>
      </c>
      <c r="N185" s="179">
        <v>136800</v>
      </c>
      <c r="O185" s="179">
        <v>503.56079999999997</v>
      </c>
      <c r="P185" s="180">
        <v>0.68400000000000005</v>
      </c>
    </row>
    <row r="186" spans="1:16" ht="14.1" customHeight="1">
      <c r="A186" s="2">
        <v>969</v>
      </c>
      <c r="B186" s="2">
        <v>969</v>
      </c>
      <c r="C186" s="2" t="s">
        <v>1070</v>
      </c>
      <c r="D186" s="2" t="s">
        <v>2802</v>
      </c>
      <c r="E186" s="2" t="s">
        <v>2803</v>
      </c>
      <c r="F186" s="2" t="s">
        <v>361</v>
      </c>
      <c r="G186" s="2" t="s">
        <v>2804</v>
      </c>
      <c r="H186" s="2">
        <v>60419041</v>
      </c>
      <c r="I186" s="2" t="s">
        <v>34</v>
      </c>
      <c r="J186" s="2" t="s">
        <v>105</v>
      </c>
      <c r="K186" s="177">
        <v>42460</v>
      </c>
      <c r="L186" s="179">
        <v>100000</v>
      </c>
      <c r="M186" s="179">
        <v>368.1</v>
      </c>
      <c r="N186" s="179">
        <v>11000</v>
      </c>
      <c r="O186" s="179">
        <v>40.491</v>
      </c>
      <c r="P186" s="180">
        <v>0.11</v>
      </c>
    </row>
    <row r="187" spans="1:16" ht="14.1" customHeight="1">
      <c r="A187" s="2">
        <v>969</v>
      </c>
      <c r="B187" s="2">
        <v>969</v>
      </c>
      <c r="C187" s="2" t="s">
        <v>1070</v>
      </c>
      <c r="D187" s="2" t="s">
        <v>2806</v>
      </c>
      <c r="E187" s="2" t="s">
        <v>2807</v>
      </c>
      <c r="F187" s="2" t="s">
        <v>361</v>
      </c>
      <c r="G187" s="2" t="s">
        <v>2808</v>
      </c>
      <c r="H187" s="2">
        <v>62016654</v>
      </c>
      <c r="I187" s="2" t="s">
        <v>34</v>
      </c>
      <c r="J187" s="2" t="s">
        <v>105</v>
      </c>
      <c r="K187" s="177">
        <v>43921</v>
      </c>
      <c r="L187" s="179">
        <v>120000</v>
      </c>
      <c r="M187" s="179">
        <v>441.72</v>
      </c>
      <c r="N187" s="179">
        <v>30600</v>
      </c>
      <c r="O187" s="179">
        <v>112.63860000000001</v>
      </c>
      <c r="P187" s="180">
        <v>0.255</v>
      </c>
    </row>
    <row r="188" spans="1:16" ht="14.1" customHeight="1">
      <c r="A188" s="2">
        <v>969</v>
      </c>
      <c r="B188" s="2">
        <v>969</v>
      </c>
      <c r="C188" s="2" t="s">
        <v>1070</v>
      </c>
      <c r="D188" s="2" t="s">
        <v>2840</v>
      </c>
      <c r="E188" s="2" t="s">
        <v>2841</v>
      </c>
      <c r="F188" s="2" t="s">
        <v>362</v>
      </c>
      <c r="G188" s="2" t="s">
        <v>2842</v>
      </c>
      <c r="H188" s="2">
        <v>62003800</v>
      </c>
      <c r="I188" s="2" t="s">
        <v>34</v>
      </c>
      <c r="J188" s="2" t="s">
        <v>105</v>
      </c>
      <c r="K188" s="177">
        <v>43008</v>
      </c>
      <c r="L188" s="179">
        <v>160000</v>
      </c>
      <c r="M188" s="179">
        <v>588.96</v>
      </c>
      <c r="N188" s="179">
        <v>31200</v>
      </c>
      <c r="O188" s="179">
        <v>114.8472</v>
      </c>
      <c r="P188" s="180">
        <v>0.19500000000000001</v>
      </c>
    </row>
    <row r="189" spans="1:16" ht="14.1" customHeight="1">
      <c r="A189" s="2">
        <v>969</v>
      </c>
      <c r="B189" s="2">
        <v>969</v>
      </c>
      <c r="C189" s="2" t="s">
        <v>1070</v>
      </c>
      <c r="D189" s="2" t="s">
        <v>2840</v>
      </c>
      <c r="E189" s="2" t="s">
        <v>2841</v>
      </c>
      <c r="F189" s="2" t="s">
        <v>362</v>
      </c>
      <c r="G189" s="2" t="s">
        <v>2844</v>
      </c>
      <c r="H189" s="2">
        <v>620101031</v>
      </c>
      <c r="I189" s="2" t="s">
        <v>34</v>
      </c>
      <c r="J189" s="2" t="s">
        <v>105</v>
      </c>
      <c r="K189" s="177">
        <v>43190</v>
      </c>
      <c r="L189" s="179">
        <v>80000</v>
      </c>
      <c r="M189" s="179">
        <v>294.48</v>
      </c>
      <c r="N189" s="179">
        <v>15200</v>
      </c>
      <c r="O189" s="179">
        <v>55.951200000000007</v>
      </c>
      <c r="P189" s="180">
        <v>0.19</v>
      </c>
    </row>
    <row r="190" spans="1:16" ht="14.1" customHeight="1">
      <c r="A190" s="2">
        <v>969</v>
      </c>
      <c r="B190" s="2">
        <v>969</v>
      </c>
      <c r="C190" s="2" t="s">
        <v>1070</v>
      </c>
      <c r="D190" s="2" t="s">
        <v>2840</v>
      </c>
      <c r="E190" s="2" t="s">
        <v>2841</v>
      </c>
      <c r="F190" s="2" t="s">
        <v>362</v>
      </c>
      <c r="G190" s="2" t="s">
        <v>2845</v>
      </c>
      <c r="H190" s="2">
        <v>62014857</v>
      </c>
      <c r="I190" s="2" t="s">
        <v>34</v>
      </c>
      <c r="J190" s="2" t="s">
        <v>105</v>
      </c>
      <c r="K190" s="177">
        <v>43555</v>
      </c>
      <c r="L190" s="179">
        <v>80000</v>
      </c>
      <c r="M190" s="179">
        <v>294.48</v>
      </c>
      <c r="N190" s="179">
        <v>20800</v>
      </c>
      <c r="O190" s="179">
        <v>76.564800000000005</v>
      </c>
      <c r="P190" s="180">
        <v>0.26</v>
      </c>
    </row>
    <row r="191" spans="1:16" ht="14.1" customHeight="1">
      <c r="A191" s="2">
        <v>969</v>
      </c>
      <c r="B191" s="2">
        <v>969</v>
      </c>
      <c r="C191" s="2" t="s">
        <v>1070</v>
      </c>
      <c r="D191" s="2" t="s">
        <v>2840</v>
      </c>
      <c r="E191" s="2" t="s">
        <v>2841</v>
      </c>
      <c r="F191" s="2" t="s">
        <v>362</v>
      </c>
      <c r="G191" s="2" t="s">
        <v>2850</v>
      </c>
      <c r="H191" s="2">
        <v>62017678</v>
      </c>
      <c r="I191" s="2" t="s">
        <v>34</v>
      </c>
      <c r="J191" s="2" t="s">
        <v>105</v>
      </c>
      <c r="K191" s="177">
        <v>43921</v>
      </c>
      <c r="L191" s="179">
        <v>160000</v>
      </c>
      <c r="M191" s="179">
        <v>588.96</v>
      </c>
      <c r="N191" s="179">
        <v>4800</v>
      </c>
      <c r="O191" s="179">
        <v>17.668800000000001</v>
      </c>
      <c r="P191" s="180">
        <v>0.03</v>
      </c>
    </row>
    <row r="192" spans="1:16" ht="14.1" customHeight="1">
      <c r="A192" s="2">
        <v>969</v>
      </c>
      <c r="B192" s="2">
        <v>969</v>
      </c>
      <c r="C192" s="2" t="s">
        <v>1070</v>
      </c>
      <c r="D192" s="2" t="s">
        <v>2686</v>
      </c>
      <c r="E192" s="2" t="s">
        <v>2687</v>
      </c>
      <c r="F192" s="2" t="s">
        <v>34</v>
      </c>
      <c r="G192" s="2" t="s">
        <v>2688</v>
      </c>
      <c r="H192" s="2">
        <v>62001189</v>
      </c>
      <c r="I192" s="2" t="s">
        <v>34</v>
      </c>
      <c r="J192" s="2" t="s">
        <v>105</v>
      </c>
      <c r="K192" s="177">
        <v>42825</v>
      </c>
      <c r="L192" s="179">
        <v>50000</v>
      </c>
      <c r="M192" s="179">
        <v>184.05</v>
      </c>
      <c r="N192" s="179">
        <v>4000</v>
      </c>
      <c r="O192" s="179">
        <v>14.724</v>
      </c>
      <c r="P192" s="180">
        <v>0.08</v>
      </c>
    </row>
    <row r="193" spans="1:16" ht="14.1" customHeight="1">
      <c r="A193" s="2">
        <v>969</v>
      </c>
      <c r="B193" s="2">
        <v>969</v>
      </c>
      <c r="C193" s="2" t="s">
        <v>1070</v>
      </c>
      <c r="D193" s="2" t="s">
        <v>2762</v>
      </c>
      <c r="E193" s="2" t="s">
        <v>2763</v>
      </c>
      <c r="F193" s="2" t="s">
        <v>1380</v>
      </c>
      <c r="G193" s="2" t="s">
        <v>2762</v>
      </c>
      <c r="H193" s="2">
        <v>18952</v>
      </c>
      <c r="I193" s="2" t="s">
        <v>34</v>
      </c>
      <c r="J193" s="2" t="s">
        <v>35</v>
      </c>
      <c r="K193" s="177">
        <v>42825</v>
      </c>
      <c r="L193" s="179">
        <v>180000</v>
      </c>
      <c r="M193" s="179">
        <v>180</v>
      </c>
      <c r="N193" s="179">
        <v>30890</v>
      </c>
      <c r="O193" s="179">
        <v>30.89</v>
      </c>
      <c r="P193" s="180">
        <v>0.1716111111111111</v>
      </c>
    </row>
    <row r="194" spans="1:16" ht="14.1" customHeight="1">
      <c r="A194" s="2">
        <v>969</v>
      </c>
      <c r="B194" s="2">
        <v>969</v>
      </c>
      <c r="C194" s="2" t="s">
        <v>1070</v>
      </c>
      <c r="D194" s="2" t="s">
        <v>2693</v>
      </c>
      <c r="E194" s="2" t="s">
        <v>2694</v>
      </c>
      <c r="F194" s="2" t="s">
        <v>361</v>
      </c>
      <c r="G194" s="2" t="s">
        <v>2695</v>
      </c>
      <c r="H194" s="2">
        <v>50000983</v>
      </c>
      <c r="I194" s="2" t="s">
        <v>34</v>
      </c>
      <c r="J194" s="2" t="s">
        <v>35</v>
      </c>
      <c r="K194" s="177">
        <v>43555</v>
      </c>
      <c r="L194" s="179">
        <v>300000</v>
      </c>
      <c r="M194" s="179">
        <v>300</v>
      </c>
      <c r="N194" s="179">
        <v>90000</v>
      </c>
      <c r="O194" s="179">
        <v>90</v>
      </c>
      <c r="P194" s="180">
        <v>0.3</v>
      </c>
    </row>
    <row r="195" spans="1:16" ht="14.1" customHeight="1">
      <c r="A195" s="2">
        <v>969</v>
      </c>
      <c r="B195" s="2">
        <v>969</v>
      </c>
      <c r="C195" s="2" t="s">
        <v>1070</v>
      </c>
      <c r="D195" s="2" t="s">
        <v>2904</v>
      </c>
      <c r="E195" s="2" t="s">
        <v>2905</v>
      </c>
      <c r="F195" s="2" t="s">
        <v>361</v>
      </c>
      <c r="G195" s="2" t="s">
        <v>2906</v>
      </c>
      <c r="H195" s="2">
        <v>62009204</v>
      </c>
      <c r="I195" s="2" t="s">
        <v>34</v>
      </c>
      <c r="J195" s="2" t="s">
        <v>105</v>
      </c>
      <c r="K195" s="177">
        <v>43190</v>
      </c>
      <c r="L195" s="179">
        <v>80000</v>
      </c>
      <c r="M195" s="179">
        <v>294.48</v>
      </c>
      <c r="N195" s="179">
        <v>7341</v>
      </c>
      <c r="O195" s="179">
        <v>27.022221000000002</v>
      </c>
      <c r="P195" s="180">
        <v>9.1762499999999997E-2</v>
      </c>
    </row>
    <row r="196" spans="1:16" ht="14.1" customHeight="1">
      <c r="A196" s="2">
        <v>969</v>
      </c>
      <c r="B196" s="2">
        <v>969</v>
      </c>
      <c r="C196" s="2" t="s">
        <v>1070</v>
      </c>
      <c r="D196" s="2" t="s">
        <v>2918</v>
      </c>
      <c r="E196" s="2" t="s">
        <v>2919</v>
      </c>
      <c r="F196" s="2" t="s">
        <v>361</v>
      </c>
      <c r="G196" s="2" t="s">
        <v>2920</v>
      </c>
      <c r="H196" s="2">
        <v>62010137</v>
      </c>
      <c r="I196" s="2" t="s">
        <v>34</v>
      </c>
      <c r="J196" s="2" t="s">
        <v>105</v>
      </c>
      <c r="K196" s="177">
        <v>43190</v>
      </c>
      <c r="L196" s="179">
        <v>80000</v>
      </c>
      <c r="M196" s="179">
        <v>294.48</v>
      </c>
      <c r="N196" s="179">
        <v>23781</v>
      </c>
      <c r="O196" s="179">
        <v>87.537861000000007</v>
      </c>
      <c r="P196" s="180">
        <v>0.29726249999999999</v>
      </c>
    </row>
    <row r="197" spans="1:16" ht="14.1" customHeight="1">
      <c r="A197" s="2">
        <v>969</v>
      </c>
      <c r="B197" s="2">
        <v>969</v>
      </c>
      <c r="C197" s="2" t="s">
        <v>1070</v>
      </c>
      <c r="D197" s="2" t="s">
        <v>2814</v>
      </c>
      <c r="E197" s="2" t="s">
        <v>2815</v>
      </c>
      <c r="F197" s="2" t="s">
        <v>362</v>
      </c>
      <c r="G197" s="2" t="s">
        <v>2816</v>
      </c>
      <c r="H197" s="2">
        <v>62018064</v>
      </c>
      <c r="I197" s="2" t="s">
        <v>34</v>
      </c>
      <c r="J197" s="2" t="s">
        <v>105</v>
      </c>
      <c r="K197" s="177">
        <v>44286</v>
      </c>
      <c r="L197" s="179">
        <v>100000</v>
      </c>
      <c r="M197" s="179">
        <v>368.1</v>
      </c>
      <c r="N197" s="179">
        <v>15261</v>
      </c>
      <c r="O197" s="179">
        <v>56.175741000000002</v>
      </c>
      <c r="P197" s="180">
        <v>0.15261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5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1" customFormat="1" ht="45">
      <c r="A1" s="50" t="s">
        <v>252</v>
      </c>
      <c r="B1" s="50" t="s">
        <v>253</v>
      </c>
      <c r="C1" s="50" t="s">
        <v>254</v>
      </c>
      <c r="D1" s="50" t="s">
        <v>255</v>
      </c>
    </row>
    <row r="2" spans="1:5">
      <c r="A2" s="85"/>
      <c r="B2" s="85" t="s">
        <v>256</v>
      </c>
      <c r="C2" s="21" t="s">
        <v>31</v>
      </c>
      <c r="D2" s="21"/>
    </row>
    <row r="3" spans="1:5">
      <c r="A3" s="86"/>
      <c r="B3" s="86"/>
      <c r="C3" s="21" t="s">
        <v>100</v>
      </c>
      <c r="D3" s="21"/>
    </row>
    <row r="4" spans="1:5" ht="42.75">
      <c r="A4" s="78"/>
      <c r="B4" s="99" t="s">
        <v>257</v>
      </c>
      <c r="C4" s="22" t="s">
        <v>31</v>
      </c>
      <c r="D4" s="22"/>
    </row>
    <row r="5" spans="1:5">
      <c r="A5" s="79"/>
      <c r="B5" s="100"/>
      <c r="C5" s="22" t="s">
        <v>258</v>
      </c>
      <c r="D5" s="22"/>
    </row>
    <row r="6" spans="1:5">
      <c r="A6" s="79"/>
      <c r="B6" s="100"/>
      <c r="C6" s="22" t="s">
        <v>259</v>
      </c>
      <c r="D6" s="22"/>
    </row>
    <row r="7" spans="1:5">
      <c r="A7" s="79"/>
      <c r="B7" s="100"/>
      <c r="C7" s="22" t="s">
        <v>260</v>
      </c>
      <c r="D7" s="22"/>
    </row>
    <row r="8" spans="1:5">
      <c r="A8" s="79"/>
      <c r="B8" s="100"/>
      <c r="C8" s="22" t="s">
        <v>261</v>
      </c>
      <c r="D8" s="22"/>
    </row>
    <row r="9" spans="1:5">
      <c r="A9" s="79"/>
      <c r="B9" s="100"/>
      <c r="C9" s="22" t="s">
        <v>262</v>
      </c>
      <c r="D9" s="22"/>
    </row>
    <row r="10" spans="1:5">
      <c r="A10" s="79"/>
      <c r="B10" s="100"/>
      <c r="C10" s="22" t="s">
        <v>263</v>
      </c>
      <c r="D10" s="22"/>
    </row>
    <row r="11" spans="1:5">
      <c r="A11" s="79"/>
      <c r="B11" s="100"/>
      <c r="C11" s="22" t="s">
        <v>264</v>
      </c>
      <c r="D11" s="22"/>
      <c r="E11" t="s">
        <v>265</v>
      </c>
    </row>
    <row r="12" spans="1:5">
      <c r="A12" s="79"/>
      <c r="B12" s="100"/>
      <c r="C12" s="22" t="s">
        <v>266</v>
      </c>
      <c r="D12" s="22"/>
      <c r="E12" t="s">
        <v>265</v>
      </c>
    </row>
    <row r="13" spans="1:5">
      <c r="A13" s="79"/>
      <c r="B13" s="100"/>
      <c r="C13" s="22" t="s">
        <v>267</v>
      </c>
      <c r="D13" s="22"/>
    </row>
    <row r="14" spans="1:5">
      <c r="A14" s="79"/>
      <c r="B14" s="100"/>
      <c r="C14" s="22" t="s">
        <v>268</v>
      </c>
      <c r="D14" s="22"/>
    </row>
    <row r="15" spans="1:5">
      <c r="A15" s="79"/>
      <c r="B15" s="100"/>
      <c r="C15" s="22" t="s">
        <v>269</v>
      </c>
      <c r="D15" s="22"/>
    </row>
    <row r="16" spans="1:5">
      <c r="A16" s="79"/>
      <c r="B16" s="100"/>
      <c r="C16" s="22" t="s">
        <v>270</v>
      </c>
      <c r="D16" s="22"/>
    </row>
    <row r="17" spans="1:4">
      <c r="A17" s="79"/>
      <c r="B17" s="100"/>
      <c r="C17" s="22" t="s">
        <v>271</v>
      </c>
      <c r="D17" s="22"/>
    </row>
    <row r="18" spans="1:4">
      <c r="A18" s="79"/>
      <c r="B18" s="100"/>
      <c r="C18" s="22" t="s">
        <v>272</v>
      </c>
      <c r="D18" s="22"/>
    </row>
    <row r="19" spans="1:4">
      <c r="A19" s="79"/>
      <c r="B19" s="100"/>
      <c r="C19" s="22" t="s">
        <v>273</v>
      </c>
      <c r="D19" s="22"/>
    </row>
    <row r="20" spans="1:4">
      <c r="A20" s="79"/>
      <c r="B20" s="100"/>
      <c r="C20" s="22" t="s">
        <v>274</v>
      </c>
      <c r="D20" s="22"/>
    </row>
    <row r="21" spans="1:4">
      <c r="A21" s="79"/>
      <c r="B21" s="100"/>
      <c r="C21" s="22" t="s">
        <v>101</v>
      </c>
      <c r="D21" s="22"/>
    </row>
    <row r="22" spans="1:4">
      <c r="A22" s="79"/>
      <c r="B22" s="100"/>
      <c r="C22" s="22" t="s">
        <v>275</v>
      </c>
      <c r="D22" s="22"/>
    </row>
    <row r="23" spans="1:4">
      <c r="A23" s="79"/>
      <c r="B23" s="100"/>
      <c r="C23" s="22" t="s">
        <v>276</v>
      </c>
      <c r="D23" s="22"/>
    </row>
    <row r="24" spans="1:4">
      <c r="A24" s="79"/>
      <c r="B24" s="100"/>
      <c r="C24" s="22" t="s">
        <v>277</v>
      </c>
      <c r="D24" s="22"/>
    </row>
    <row r="25" spans="1:4">
      <c r="A25" s="79"/>
      <c r="B25" s="100"/>
      <c r="C25" s="22" t="s">
        <v>278</v>
      </c>
      <c r="D25" s="22"/>
    </row>
    <row r="26" spans="1:4">
      <c r="A26" s="79"/>
      <c r="B26" s="100"/>
      <c r="C26" s="22" t="s">
        <v>279</v>
      </c>
      <c r="D26" s="22"/>
    </row>
    <row r="27" spans="1:4">
      <c r="A27" s="79"/>
      <c r="B27" s="100"/>
      <c r="C27" s="22" t="s">
        <v>280</v>
      </c>
      <c r="D27" s="22"/>
    </row>
    <row r="28" spans="1:4">
      <c r="A28" s="79"/>
      <c r="B28" s="100"/>
      <c r="C28" s="22" t="s">
        <v>281</v>
      </c>
      <c r="D28" s="22"/>
    </row>
    <row r="29" spans="1:4">
      <c r="A29" s="79"/>
      <c r="B29" s="100"/>
      <c r="C29" s="22" t="s">
        <v>282</v>
      </c>
      <c r="D29" s="22"/>
    </row>
    <row r="30" spans="1:4">
      <c r="A30" s="79"/>
      <c r="B30" s="100"/>
      <c r="C30" s="22" t="s">
        <v>283</v>
      </c>
      <c r="D30" s="22"/>
    </row>
    <row r="31" spans="1:4">
      <c r="A31" s="79"/>
      <c r="B31" s="100"/>
      <c r="C31" s="22" t="s">
        <v>284</v>
      </c>
      <c r="D31" s="22"/>
    </row>
    <row r="32" spans="1:4">
      <c r="A32" s="79"/>
      <c r="B32" s="100"/>
      <c r="C32" s="22" t="s">
        <v>285</v>
      </c>
      <c r="D32" s="22"/>
    </row>
    <row r="33" spans="1:5">
      <c r="A33" s="79"/>
      <c r="B33" s="100"/>
      <c r="C33" s="22" t="s">
        <v>286</v>
      </c>
      <c r="D33" s="22"/>
    </row>
    <row r="34" spans="1:5">
      <c r="A34" s="79"/>
      <c r="B34" s="100"/>
      <c r="C34" s="22" t="s">
        <v>287</v>
      </c>
      <c r="D34" s="22"/>
    </row>
    <row r="35" spans="1:5">
      <c r="A35" s="79"/>
      <c r="B35" s="100"/>
      <c r="C35" s="22" t="s">
        <v>288</v>
      </c>
      <c r="D35" s="22"/>
    </row>
    <row r="36" spans="1:5">
      <c r="A36" s="79"/>
      <c r="B36" s="100"/>
      <c r="C36" s="22" t="s">
        <v>289</v>
      </c>
      <c r="D36" s="22"/>
      <c r="E36" t="s">
        <v>265</v>
      </c>
    </row>
    <row r="37" spans="1:5">
      <c r="A37" s="79"/>
      <c r="B37" s="100"/>
      <c r="C37" s="11" t="s">
        <v>290</v>
      </c>
      <c r="D37" s="22"/>
      <c r="E37" t="s">
        <v>265</v>
      </c>
    </row>
    <row r="38" spans="1:5">
      <c r="A38" s="79"/>
      <c r="B38" s="100"/>
      <c r="C38" s="22" t="s">
        <v>291</v>
      </c>
      <c r="D38" s="22"/>
    </row>
    <row r="39" spans="1:5">
      <c r="A39" s="79"/>
      <c r="B39" s="100"/>
      <c r="C39" s="22" t="s">
        <v>292</v>
      </c>
      <c r="D39" s="22"/>
    </row>
    <row r="40" spans="1:5">
      <c r="A40" s="79"/>
      <c r="B40" s="100"/>
      <c r="C40" s="22" t="s">
        <v>293</v>
      </c>
      <c r="D40" s="22"/>
      <c r="E40" t="s">
        <v>265</v>
      </c>
    </row>
    <row r="41" spans="1:5">
      <c r="A41" s="79"/>
      <c r="B41" s="100"/>
      <c r="C41" s="22" t="s">
        <v>294</v>
      </c>
      <c r="D41" s="22"/>
    </row>
    <row r="42" spans="1:5">
      <c r="A42" s="79"/>
      <c r="B42" s="100"/>
      <c r="C42" s="22" t="s">
        <v>295</v>
      </c>
      <c r="D42" s="22"/>
    </row>
    <row r="43" spans="1:5">
      <c r="A43" s="79"/>
      <c r="B43" s="100"/>
      <c r="C43" s="22" t="s">
        <v>296</v>
      </c>
      <c r="D43" s="22"/>
    </row>
    <row r="44" spans="1:5">
      <c r="A44" s="79"/>
      <c r="B44" s="100"/>
      <c r="C44" s="22" t="s">
        <v>297</v>
      </c>
      <c r="D44" s="22"/>
    </row>
    <row r="45" spans="1:5">
      <c r="A45" s="79"/>
      <c r="B45" s="100"/>
      <c r="C45" s="22" t="s">
        <v>298</v>
      </c>
      <c r="D45" s="22"/>
    </row>
    <row r="46" spans="1:5">
      <c r="A46" s="79"/>
      <c r="B46" s="100"/>
      <c r="C46" s="22" t="s">
        <v>299</v>
      </c>
      <c r="D46" s="22"/>
      <c r="E46" t="s">
        <v>265</v>
      </c>
    </row>
    <row r="47" spans="1:5">
      <c r="A47" s="79"/>
      <c r="B47" s="100"/>
      <c r="C47" s="22" t="s">
        <v>300</v>
      </c>
      <c r="D47" s="22"/>
    </row>
    <row r="48" spans="1:5">
      <c r="A48" s="79"/>
      <c r="B48" s="100"/>
      <c r="C48" s="22" t="s">
        <v>301</v>
      </c>
      <c r="D48" s="22"/>
    </row>
    <row r="49" spans="1:5">
      <c r="A49" s="79"/>
      <c r="B49" s="100"/>
      <c r="C49" s="22" t="s">
        <v>302</v>
      </c>
      <c r="D49" s="22"/>
    </row>
    <row r="50" spans="1:5">
      <c r="A50" s="79"/>
      <c r="B50" s="100"/>
      <c r="C50" s="22" t="s">
        <v>303</v>
      </c>
      <c r="D50" s="22"/>
    </row>
    <row r="51" spans="1:5">
      <c r="A51" s="79"/>
      <c r="B51" s="100"/>
      <c r="C51" s="22" t="s">
        <v>304</v>
      </c>
      <c r="D51" s="22"/>
    </row>
    <row r="52" spans="1:5">
      <c r="A52" s="79"/>
      <c r="B52" s="100"/>
      <c r="C52" s="22" t="s">
        <v>305</v>
      </c>
      <c r="D52" s="22"/>
    </row>
    <row r="53" spans="1:5">
      <c r="A53" s="79"/>
      <c r="B53" s="100"/>
      <c r="C53" s="22" t="s">
        <v>306</v>
      </c>
      <c r="D53" s="22"/>
    </row>
    <row r="54" spans="1:5">
      <c r="A54" s="79"/>
      <c r="B54" s="100"/>
      <c r="C54" s="22" t="s">
        <v>307</v>
      </c>
      <c r="D54" s="22"/>
    </row>
    <row r="55" spans="1:5">
      <c r="A55" s="79"/>
      <c r="B55" s="100"/>
      <c r="C55" s="22" t="s">
        <v>308</v>
      </c>
      <c r="D55" s="22"/>
    </row>
    <row r="56" spans="1:5">
      <c r="A56" s="79"/>
      <c r="B56" s="100"/>
      <c r="C56" s="22" t="s">
        <v>309</v>
      </c>
      <c r="D56" s="22"/>
    </row>
    <row r="57" spans="1:5">
      <c r="A57" s="79"/>
      <c r="B57" s="100"/>
      <c r="C57" s="22" t="s">
        <v>310</v>
      </c>
      <c r="D57" s="22"/>
    </row>
    <row r="58" spans="1:5">
      <c r="A58" s="79"/>
      <c r="B58" s="100"/>
      <c r="C58" s="22" t="s">
        <v>311</v>
      </c>
      <c r="D58" s="22"/>
    </row>
    <row r="59" spans="1:5">
      <c r="A59" s="79"/>
      <c r="B59" s="100"/>
      <c r="C59" s="22" t="s">
        <v>312</v>
      </c>
      <c r="D59" s="22"/>
    </row>
    <row r="60" spans="1:5">
      <c r="A60" s="79"/>
      <c r="B60" s="100"/>
      <c r="C60" s="22" t="s">
        <v>313</v>
      </c>
      <c r="D60" s="22"/>
    </row>
    <row r="61" spans="1:5">
      <c r="A61" s="79"/>
      <c r="B61" s="100"/>
      <c r="C61" s="22" t="s">
        <v>314</v>
      </c>
      <c r="D61" s="22"/>
    </row>
    <row r="62" spans="1:5">
      <c r="A62" s="79"/>
      <c r="B62" s="100"/>
      <c r="C62" s="22" t="s">
        <v>315</v>
      </c>
      <c r="D62" s="22"/>
    </row>
    <row r="63" spans="1:5">
      <c r="A63" s="79"/>
      <c r="B63" s="100"/>
      <c r="C63" s="22" t="s">
        <v>316</v>
      </c>
      <c r="D63" s="22"/>
      <c r="E63" t="s">
        <v>265</v>
      </c>
    </row>
    <row r="64" spans="1:5">
      <c r="A64" s="79"/>
      <c r="B64" s="100"/>
      <c r="C64" s="22" t="s">
        <v>317</v>
      </c>
      <c r="D64" s="22"/>
    </row>
    <row r="65" spans="1:4">
      <c r="A65" s="79"/>
      <c r="B65" s="100"/>
      <c r="C65" s="22" t="s">
        <v>318</v>
      </c>
      <c r="D65" s="22"/>
    </row>
    <row r="66" spans="1:4">
      <c r="A66" s="79"/>
      <c r="B66" s="100"/>
      <c r="C66" s="22" t="s">
        <v>319</v>
      </c>
      <c r="D66" s="22"/>
    </row>
    <row r="67" spans="1:4">
      <c r="A67" s="79"/>
      <c r="B67" s="100"/>
      <c r="C67" s="22" t="s">
        <v>320</v>
      </c>
      <c r="D67" s="22"/>
    </row>
    <row r="68" spans="1:4">
      <c r="A68" s="79"/>
      <c r="B68" s="100"/>
      <c r="C68" s="22" t="s">
        <v>321</v>
      </c>
      <c r="D68" s="22"/>
    </row>
    <row r="69" spans="1:4">
      <c r="A69" s="79"/>
      <c r="B69" s="100"/>
      <c r="C69" s="22" t="s">
        <v>322</v>
      </c>
      <c r="D69" s="22"/>
    </row>
    <row r="70" spans="1:4">
      <c r="A70" s="79"/>
      <c r="B70" s="100"/>
      <c r="C70" s="22" t="s">
        <v>323</v>
      </c>
      <c r="D70" s="22"/>
    </row>
    <row r="71" spans="1:4">
      <c r="A71" s="79"/>
      <c r="B71" s="100"/>
      <c r="C71" s="22" t="s">
        <v>324</v>
      </c>
      <c r="D71" s="22"/>
    </row>
    <row r="72" spans="1:4">
      <c r="A72" s="79"/>
      <c r="B72" s="100"/>
      <c r="C72" s="22" t="s">
        <v>325</v>
      </c>
      <c r="D72" s="22"/>
    </row>
    <row r="73" spans="1:4">
      <c r="A73" s="79"/>
      <c r="B73" s="100"/>
      <c r="C73" s="22" t="s">
        <v>326</v>
      </c>
      <c r="D73" s="22"/>
    </row>
    <row r="74" spans="1:4">
      <c r="A74" s="79"/>
      <c r="B74" s="100"/>
      <c r="C74" s="22" t="s">
        <v>327</v>
      </c>
      <c r="D74" s="22"/>
    </row>
    <row r="75" spans="1:4">
      <c r="A75" s="79"/>
      <c r="B75" s="100"/>
      <c r="C75" s="22" t="s">
        <v>328</v>
      </c>
      <c r="D75" s="22"/>
    </row>
    <row r="76" spans="1:4">
      <c r="A76" s="79"/>
      <c r="B76" s="100"/>
      <c r="C76" s="22" t="s">
        <v>329</v>
      </c>
      <c r="D76" s="22"/>
    </row>
    <row r="77" spans="1:4">
      <c r="A77" s="79"/>
      <c r="B77" s="100"/>
      <c r="C77" s="22" t="s">
        <v>330</v>
      </c>
      <c r="D77" s="22"/>
    </row>
    <row r="78" spans="1:4">
      <c r="A78" s="79"/>
      <c r="B78" s="100"/>
      <c r="C78" s="22" t="s">
        <v>331</v>
      </c>
      <c r="D78" s="22"/>
    </row>
    <row r="79" spans="1:4">
      <c r="A79" s="79"/>
      <c r="B79" s="100"/>
      <c r="C79" s="22" t="s">
        <v>332</v>
      </c>
      <c r="D79" s="22"/>
    </row>
    <row r="80" spans="1:4">
      <c r="A80" s="79"/>
      <c r="B80" s="100"/>
      <c r="C80" s="22" t="s">
        <v>333</v>
      </c>
      <c r="D80" s="22"/>
    </row>
    <row r="81" spans="1:5">
      <c r="A81" s="79"/>
      <c r="B81" s="100"/>
      <c r="C81" s="22" t="s">
        <v>334</v>
      </c>
      <c r="D81" s="22"/>
    </row>
    <row r="82" spans="1:5">
      <c r="A82" s="79"/>
      <c r="B82" s="100"/>
      <c r="C82" s="22" t="s">
        <v>335</v>
      </c>
      <c r="D82" s="22"/>
    </row>
    <row r="83" spans="1:5">
      <c r="A83" s="79"/>
      <c r="B83" s="100"/>
      <c r="C83" s="22" t="s">
        <v>336</v>
      </c>
      <c r="D83" s="22"/>
    </row>
    <row r="84" spans="1:5">
      <c r="A84" s="79"/>
      <c r="B84" s="100"/>
      <c r="C84" s="22" t="s">
        <v>337</v>
      </c>
      <c r="D84" s="22"/>
    </row>
    <row r="85" spans="1:5">
      <c r="A85" s="79"/>
      <c r="B85" s="100"/>
      <c r="C85" s="22" t="s">
        <v>338</v>
      </c>
      <c r="D85" s="22"/>
    </row>
    <row r="86" spans="1:5">
      <c r="A86" s="79"/>
      <c r="B86" s="100"/>
      <c r="C86" s="22" t="s">
        <v>339</v>
      </c>
      <c r="D86" s="22"/>
    </row>
    <row r="87" spans="1:5">
      <c r="A87" s="79"/>
      <c r="B87" s="100"/>
      <c r="C87" s="22" t="s">
        <v>340</v>
      </c>
      <c r="D87" s="22"/>
    </row>
    <row r="88" spans="1:5">
      <c r="A88" s="79"/>
      <c r="B88" s="100"/>
      <c r="C88" s="22" t="s">
        <v>341</v>
      </c>
      <c r="D88" s="22"/>
    </row>
    <row r="89" spans="1:5">
      <c r="A89" s="79"/>
      <c r="B89" s="100"/>
      <c r="C89" s="22" t="s">
        <v>342</v>
      </c>
      <c r="D89" s="22"/>
    </row>
    <row r="90" spans="1:5">
      <c r="A90" s="79"/>
      <c r="B90" s="100"/>
      <c r="C90" s="22" t="s">
        <v>343</v>
      </c>
      <c r="D90" s="22"/>
    </row>
    <row r="91" spans="1:5">
      <c r="A91" s="79"/>
      <c r="B91" s="100"/>
      <c r="C91" s="22" t="s">
        <v>344</v>
      </c>
      <c r="D91" s="22"/>
    </row>
    <row r="92" spans="1:5">
      <c r="A92" s="79"/>
      <c r="B92" s="100"/>
      <c r="C92" s="22" t="s">
        <v>345</v>
      </c>
      <c r="D92" s="22"/>
    </row>
    <row r="93" spans="1:5">
      <c r="A93" s="79"/>
      <c r="B93" s="100"/>
      <c r="C93" s="22" t="s">
        <v>346</v>
      </c>
      <c r="D93" s="22"/>
    </row>
    <row r="94" spans="1:5">
      <c r="A94" s="79"/>
      <c r="B94" s="100"/>
      <c r="C94" s="22" t="s">
        <v>347</v>
      </c>
      <c r="D94" s="22" t="s">
        <v>348</v>
      </c>
      <c r="E94" t="s">
        <v>265</v>
      </c>
    </row>
    <row r="95" spans="1:5">
      <c r="A95" s="79"/>
      <c r="B95" s="100"/>
      <c r="C95" s="22" t="s">
        <v>349</v>
      </c>
      <c r="D95" s="22" t="s">
        <v>350</v>
      </c>
      <c r="E95" t="s">
        <v>265</v>
      </c>
    </row>
    <row r="96" spans="1:5">
      <c r="A96" s="79"/>
      <c r="B96" s="100"/>
      <c r="C96" s="22" t="s">
        <v>351</v>
      </c>
      <c r="D96" s="22" t="s">
        <v>350</v>
      </c>
      <c r="E96" t="s">
        <v>265</v>
      </c>
    </row>
    <row r="97" spans="1:5">
      <c r="A97" s="79"/>
      <c r="B97" s="100"/>
      <c r="C97" s="22" t="s">
        <v>352</v>
      </c>
      <c r="D97" s="22" t="s">
        <v>350</v>
      </c>
      <c r="E97" t="s">
        <v>265</v>
      </c>
    </row>
    <row r="98" spans="1:5">
      <c r="A98" s="79"/>
      <c r="B98" s="100"/>
      <c r="C98" s="22" t="s">
        <v>353</v>
      </c>
      <c r="D98" s="22" t="s">
        <v>350</v>
      </c>
      <c r="E98" t="s">
        <v>265</v>
      </c>
    </row>
    <row r="99" spans="1:5">
      <c r="A99" s="79"/>
      <c r="B99" s="100"/>
      <c r="C99" s="22" t="s">
        <v>354</v>
      </c>
      <c r="D99" s="22" t="s">
        <v>350</v>
      </c>
      <c r="E99" t="s">
        <v>265</v>
      </c>
    </row>
    <row r="100" spans="1:5">
      <c r="A100" s="79"/>
      <c r="B100" s="100"/>
      <c r="C100" s="22" t="s">
        <v>355</v>
      </c>
      <c r="D100" s="22" t="s">
        <v>350</v>
      </c>
      <c r="E100" t="s">
        <v>265</v>
      </c>
    </row>
    <row r="101" spans="1:5">
      <c r="A101" s="79"/>
      <c r="B101" s="100"/>
      <c r="C101" s="22" t="s">
        <v>356</v>
      </c>
      <c r="D101" s="22" t="s">
        <v>350</v>
      </c>
      <c r="E101" t="s">
        <v>265</v>
      </c>
    </row>
    <row r="102" spans="1:5">
      <c r="A102" s="79"/>
      <c r="B102" s="100"/>
      <c r="C102" s="22" t="s">
        <v>357</v>
      </c>
      <c r="D102" s="22" t="s">
        <v>350</v>
      </c>
      <c r="E102" t="s">
        <v>265</v>
      </c>
    </row>
    <row r="103" spans="1:5">
      <c r="A103" s="79"/>
      <c r="B103" s="100"/>
      <c r="C103" s="22" t="s">
        <v>358</v>
      </c>
      <c r="D103" s="22" t="s">
        <v>350</v>
      </c>
      <c r="E103" t="s">
        <v>265</v>
      </c>
    </row>
    <row r="104" spans="1:5">
      <c r="A104" s="74"/>
      <c r="B104" s="74" t="s">
        <v>184</v>
      </c>
      <c r="C104" s="21" t="s">
        <v>359</v>
      </c>
      <c r="D104" s="21"/>
    </row>
    <row r="105" spans="1:5">
      <c r="A105" s="75"/>
      <c r="B105" s="75"/>
      <c r="C105" s="21" t="s">
        <v>183</v>
      </c>
      <c r="D105" s="21"/>
    </row>
    <row r="106" spans="1:5">
      <c r="A106" s="75"/>
      <c r="B106" s="75"/>
      <c r="C106" s="21" t="s">
        <v>360</v>
      </c>
      <c r="D106" s="21"/>
    </row>
    <row r="107" spans="1:5">
      <c r="A107" s="75"/>
      <c r="B107" s="75"/>
      <c r="C107" s="21" t="s">
        <v>361</v>
      </c>
      <c r="D107" s="21"/>
    </row>
    <row r="108" spans="1:5">
      <c r="A108" s="75"/>
      <c r="B108" s="75"/>
      <c r="C108" s="21" t="s">
        <v>34</v>
      </c>
      <c r="D108" s="21"/>
    </row>
    <row r="109" spans="1:5">
      <c r="A109" s="75"/>
      <c r="B109" s="75"/>
      <c r="C109" s="21" t="s">
        <v>362</v>
      </c>
      <c r="D109" s="21"/>
    </row>
    <row r="110" spans="1:5">
      <c r="A110" s="76"/>
      <c r="B110" s="76"/>
      <c r="C110" s="21" t="s">
        <v>204</v>
      </c>
      <c r="D110" s="21"/>
    </row>
    <row r="111" spans="1:5">
      <c r="A111" s="79"/>
      <c r="B111" s="65" t="s">
        <v>207</v>
      </c>
      <c r="C111" s="22" t="s">
        <v>359</v>
      </c>
      <c r="D111" s="22"/>
    </row>
    <row r="112" spans="1:5">
      <c r="A112" s="79"/>
      <c r="B112" s="66"/>
      <c r="C112" s="22" t="s">
        <v>213</v>
      </c>
      <c r="D112" s="22"/>
    </row>
    <row r="113" spans="1:4">
      <c r="A113" s="79"/>
      <c r="B113" s="67"/>
      <c r="C113" s="22" t="s">
        <v>363</v>
      </c>
      <c r="D113" s="22"/>
    </row>
    <row r="114" spans="1:4">
      <c r="A114" s="92"/>
      <c r="B114" s="92" t="s">
        <v>364</v>
      </c>
      <c r="C114" s="21" t="s">
        <v>359</v>
      </c>
      <c r="D114" s="21"/>
    </row>
    <row r="115" spans="1:4">
      <c r="A115" s="92"/>
      <c r="B115" s="92"/>
      <c r="C115" s="21" t="s">
        <v>360</v>
      </c>
      <c r="D115" s="21"/>
    </row>
    <row r="116" spans="1:4">
      <c r="A116" s="92"/>
      <c r="B116" s="92"/>
      <c r="C116" s="21" t="s">
        <v>361</v>
      </c>
      <c r="D116" s="21"/>
    </row>
    <row r="117" spans="1:4">
      <c r="A117" s="92"/>
      <c r="B117" s="92"/>
      <c r="C117" s="21" t="s">
        <v>362</v>
      </c>
      <c r="D117" s="21"/>
    </row>
    <row r="118" spans="1:4">
      <c r="A118" s="78"/>
      <c r="B118" s="93" t="s">
        <v>146</v>
      </c>
      <c r="C118" s="22" t="s">
        <v>359</v>
      </c>
      <c r="D118" s="22"/>
    </row>
    <row r="119" spans="1:4">
      <c r="A119" s="12"/>
      <c r="B119" s="113"/>
      <c r="C119" s="22" t="s">
        <v>365</v>
      </c>
      <c r="D119" s="22"/>
    </row>
    <row r="120" spans="1:4">
      <c r="A120" s="12"/>
      <c r="B120" s="113"/>
      <c r="C120" s="22" t="s">
        <v>361</v>
      </c>
      <c r="D120" s="22"/>
    </row>
    <row r="121" spans="1:4">
      <c r="A121" s="12"/>
      <c r="B121" s="113"/>
      <c r="C121" s="22" t="s">
        <v>34</v>
      </c>
      <c r="D121" s="22"/>
    </row>
    <row r="122" spans="1:4">
      <c r="A122" s="12"/>
      <c r="B122" s="113"/>
      <c r="C122" s="22" t="s">
        <v>360</v>
      </c>
      <c r="D122" s="22"/>
    </row>
    <row r="123" spans="1:4">
      <c r="A123" s="12"/>
      <c r="B123" s="113"/>
      <c r="C123" s="22" t="s">
        <v>366</v>
      </c>
      <c r="D123" s="22"/>
    </row>
    <row r="124" spans="1:4">
      <c r="A124" s="12"/>
      <c r="B124" s="113"/>
      <c r="C124" s="22" t="s">
        <v>367</v>
      </c>
      <c r="D124" s="22"/>
    </row>
    <row r="125" spans="1:4">
      <c r="A125" s="12"/>
      <c r="B125" s="113"/>
      <c r="C125" s="22" t="s">
        <v>362</v>
      </c>
      <c r="D125" s="22"/>
    </row>
    <row r="126" spans="1:4">
      <c r="A126" s="79"/>
      <c r="B126" s="94"/>
      <c r="C126" s="22" t="s">
        <v>204</v>
      </c>
      <c r="D126" s="22"/>
    </row>
    <row r="127" spans="1:4">
      <c r="A127" s="74"/>
      <c r="B127" s="74" t="s">
        <v>185</v>
      </c>
      <c r="C127" s="21" t="s">
        <v>368</v>
      </c>
      <c r="D127" s="21"/>
    </row>
    <row r="128" spans="1:4">
      <c r="A128" s="75"/>
      <c r="B128" s="75"/>
      <c r="C128" s="21" t="s">
        <v>369</v>
      </c>
      <c r="D128" s="21"/>
    </row>
    <row r="129" spans="1:5">
      <c r="A129" s="75"/>
      <c r="B129" s="75"/>
      <c r="C129" s="21" t="s">
        <v>370</v>
      </c>
      <c r="D129" s="21"/>
    </row>
    <row r="130" spans="1:5">
      <c r="A130" s="75"/>
      <c r="B130" s="75"/>
      <c r="C130" s="21" t="s">
        <v>371</v>
      </c>
      <c r="D130" s="21"/>
    </row>
    <row r="131" spans="1:5">
      <c r="A131" s="75"/>
      <c r="B131" s="75"/>
      <c r="C131" s="21" t="s">
        <v>34</v>
      </c>
      <c r="D131" s="21"/>
    </row>
    <row r="132" spans="1:5">
      <c r="A132" s="79"/>
      <c r="B132" s="66" t="s">
        <v>372</v>
      </c>
      <c r="C132" s="22" t="s">
        <v>368</v>
      </c>
      <c r="D132" s="22"/>
    </row>
    <row r="133" spans="1:5">
      <c r="A133" s="79"/>
      <c r="B133" s="66"/>
      <c r="C133" s="22" t="s">
        <v>34</v>
      </c>
      <c r="D133" s="22"/>
    </row>
    <row r="134" spans="1:5">
      <c r="A134" s="80"/>
      <c r="B134" s="67"/>
      <c r="C134" s="22" t="s">
        <v>204</v>
      </c>
      <c r="D134" s="22"/>
    </row>
    <row r="135" spans="1:5">
      <c r="A135" s="81"/>
      <c r="B135" s="81" t="s">
        <v>373</v>
      </c>
      <c r="C135" s="21" t="s">
        <v>374</v>
      </c>
      <c r="D135" s="21"/>
    </row>
    <row r="136" spans="1:5">
      <c r="A136" s="82"/>
      <c r="B136" s="82"/>
      <c r="C136" s="21" t="s">
        <v>375</v>
      </c>
      <c r="D136" s="21"/>
      <c r="E136" t="s">
        <v>265</v>
      </c>
    </row>
    <row r="137" spans="1:5">
      <c r="A137" s="82"/>
      <c r="B137" s="82"/>
      <c r="C137" s="21" t="s">
        <v>376</v>
      </c>
      <c r="D137" s="21" t="s">
        <v>377</v>
      </c>
    </row>
    <row r="138" spans="1:5">
      <c r="A138" s="82"/>
      <c r="B138" s="82"/>
      <c r="C138" s="21" t="s">
        <v>378</v>
      </c>
      <c r="D138" s="21" t="s">
        <v>379</v>
      </c>
    </row>
    <row r="139" spans="1:5">
      <c r="A139" s="82"/>
      <c r="B139" s="82"/>
      <c r="C139" s="21" t="s">
        <v>380</v>
      </c>
      <c r="D139" s="21"/>
    </row>
    <row r="140" spans="1:5">
      <c r="A140" s="82"/>
      <c r="B140" s="82"/>
      <c r="C140" s="21" t="s">
        <v>381</v>
      </c>
      <c r="D140" s="21"/>
    </row>
    <row r="141" spans="1:5">
      <c r="A141" s="82"/>
      <c r="B141" s="82"/>
      <c r="C141" s="21" t="s">
        <v>382</v>
      </c>
      <c r="D141" s="21"/>
    </row>
    <row r="142" spans="1:5">
      <c r="A142" s="82"/>
      <c r="B142" s="82"/>
      <c r="C142" s="21" t="s">
        <v>383</v>
      </c>
      <c r="D142" s="21"/>
    </row>
    <row r="143" spans="1:5">
      <c r="A143" s="82"/>
      <c r="B143" s="82"/>
      <c r="C143" s="21" t="s">
        <v>384</v>
      </c>
      <c r="D143" s="21"/>
    </row>
    <row r="144" spans="1:5">
      <c r="A144" s="82"/>
      <c r="B144" s="82"/>
      <c r="C144" s="21" t="s">
        <v>385</v>
      </c>
      <c r="D144" s="21"/>
    </row>
    <row r="145" spans="1:4">
      <c r="A145" s="82"/>
      <c r="B145" s="82"/>
      <c r="C145" s="21" t="s">
        <v>204</v>
      </c>
      <c r="D145" s="21"/>
    </row>
    <row r="146" spans="1:4">
      <c r="A146" s="78"/>
      <c r="B146" s="71" t="s">
        <v>386</v>
      </c>
      <c r="C146" s="22" t="s">
        <v>387</v>
      </c>
      <c r="D146" s="22"/>
    </row>
    <row r="147" spans="1:4">
      <c r="A147" s="80"/>
      <c r="B147" s="73"/>
      <c r="C147" s="22" t="s">
        <v>164</v>
      </c>
      <c r="D147" s="22"/>
    </row>
    <row r="148" spans="1:4">
      <c r="A148" s="60"/>
      <c r="B148" s="112" t="s">
        <v>8</v>
      </c>
      <c r="C148" s="21" t="s">
        <v>32</v>
      </c>
      <c r="D148" s="21" t="s">
        <v>388</v>
      </c>
    </row>
    <row r="149" spans="1:4">
      <c r="A149" s="61"/>
      <c r="B149" s="61"/>
      <c r="C149" s="21" t="s">
        <v>389</v>
      </c>
      <c r="D149" s="21" t="s">
        <v>390</v>
      </c>
    </row>
    <row r="150" spans="1:4">
      <c r="A150" s="61"/>
      <c r="B150" s="61"/>
      <c r="C150" s="21" t="s">
        <v>391</v>
      </c>
      <c r="D150" s="21" t="s">
        <v>392</v>
      </c>
    </row>
    <row r="151" spans="1:4">
      <c r="A151" s="61"/>
      <c r="B151" s="61"/>
      <c r="C151" s="21" t="s">
        <v>393</v>
      </c>
      <c r="D151" s="21" t="s">
        <v>394</v>
      </c>
    </row>
    <row r="152" spans="1:4">
      <c r="A152" s="61"/>
      <c r="B152" s="61"/>
      <c r="C152" s="21" t="s">
        <v>395</v>
      </c>
      <c r="D152" s="21" t="s">
        <v>396</v>
      </c>
    </row>
    <row r="153" spans="1:4">
      <c r="A153" s="61"/>
      <c r="B153" s="61"/>
      <c r="C153" s="21" t="s">
        <v>397</v>
      </c>
      <c r="D153" s="21" t="s">
        <v>398</v>
      </c>
    </row>
    <row r="154" spans="1:4">
      <c r="A154" s="61"/>
      <c r="B154" s="61"/>
      <c r="C154" s="21" t="s">
        <v>399</v>
      </c>
      <c r="D154" s="21" t="s">
        <v>400</v>
      </c>
    </row>
    <row r="155" spans="1:4">
      <c r="A155" s="61"/>
      <c r="B155" s="61"/>
      <c r="C155" s="21" t="s">
        <v>401</v>
      </c>
      <c r="D155" s="21" t="s">
        <v>402</v>
      </c>
    </row>
    <row r="156" spans="1:4">
      <c r="A156" s="61"/>
      <c r="B156" s="61"/>
      <c r="C156" s="21" t="s">
        <v>403</v>
      </c>
      <c r="D156" s="21" t="s">
        <v>404</v>
      </c>
    </row>
    <row r="157" spans="1:4">
      <c r="A157" s="61"/>
      <c r="B157" s="61"/>
      <c r="C157" s="21" t="s">
        <v>405</v>
      </c>
      <c r="D157" s="21" t="s">
        <v>406</v>
      </c>
    </row>
    <row r="158" spans="1:4">
      <c r="A158" s="61"/>
      <c r="B158" s="61"/>
      <c r="C158" s="21" t="s">
        <v>407</v>
      </c>
      <c r="D158" s="21" t="s">
        <v>408</v>
      </c>
    </row>
    <row r="159" spans="1:4">
      <c r="A159" s="61"/>
      <c r="B159" s="61"/>
      <c r="C159" s="21" t="s">
        <v>409</v>
      </c>
      <c r="D159" s="21" t="s">
        <v>410</v>
      </c>
    </row>
    <row r="160" spans="1:4">
      <c r="A160" s="61"/>
      <c r="B160" s="61"/>
      <c r="C160" s="21" t="s">
        <v>411</v>
      </c>
      <c r="D160" s="21" t="s">
        <v>412</v>
      </c>
    </row>
    <row r="161" spans="1:4">
      <c r="A161" s="61"/>
      <c r="B161" s="61"/>
      <c r="C161" s="21" t="s">
        <v>413</v>
      </c>
      <c r="D161" s="21" t="s">
        <v>414</v>
      </c>
    </row>
    <row r="162" spans="1:4">
      <c r="A162" s="61"/>
      <c r="B162" s="61"/>
      <c r="C162" s="21" t="s">
        <v>110</v>
      </c>
      <c r="D162" s="21" t="s">
        <v>415</v>
      </c>
    </row>
    <row r="163" spans="1:4">
      <c r="A163" s="61"/>
      <c r="B163" s="61"/>
      <c r="C163" s="21" t="s">
        <v>416</v>
      </c>
      <c r="D163" s="21" t="s">
        <v>417</v>
      </c>
    </row>
    <row r="164" spans="1:4">
      <c r="A164" s="61"/>
      <c r="B164" s="61"/>
      <c r="C164" s="21" t="s">
        <v>418</v>
      </c>
      <c r="D164" s="21" t="s">
        <v>419</v>
      </c>
    </row>
    <row r="165" spans="1:4">
      <c r="A165" s="61"/>
      <c r="B165" s="61"/>
      <c r="C165" s="21" t="s">
        <v>420</v>
      </c>
      <c r="D165" s="21" t="s">
        <v>421</v>
      </c>
    </row>
    <row r="166" spans="1:4">
      <c r="A166" s="61"/>
      <c r="B166" s="61"/>
      <c r="C166" s="21" t="s">
        <v>422</v>
      </c>
      <c r="D166" s="21" t="s">
        <v>423</v>
      </c>
    </row>
    <row r="167" spans="1:4">
      <c r="A167" s="61"/>
      <c r="B167" s="61"/>
      <c r="C167" s="21" t="s">
        <v>424</v>
      </c>
      <c r="D167" s="21" t="s">
        <v>425</v>
      </c>
    </row>
    <row r="168" spans="1:4">
      <c r="A168" s="61"/>
      <c r="B168" s="61"/>
      <c r="C168" s="21" t="s">
        <v>426</v>
      </c>
      <c r="D168" s="21" t="s">
        <v>427</v>
      </c>
    </row>
    <row r="169" spans="1:4">
      <c r="A169" s="61"/>
      <c r="B169" s="61"/>
      <c r="C169" s="21" t="s">
        <v>428</v>
      </c>
      <c r="D169" s="21" t="s">
        <v>429</v>
      </c>
    </row>
    <row r="170" spans="1:4">
      <c r="A170" s="61"/>
      <c r="B170" s="61"/>
      <c r="C170" s="21" t="s">
        <v>430</v>
      </c>
      <c r="D170" s="21" t="s">
        <v>431</v>
      </c>
    </row>
    <row r="171" spans="1:4">
      <c r="A171" s="61"/>
      <c r="B171" s="61"/>
      <c r="C171" s="21" t="s">
        <v>432</v>
      </c>
      <c r="D171" s="21" t="s">
        <v>433</v>
      </c>
    </row>
    <row r="172" spans="1:4">
      <c r="A172" s="61"/>
      <c r="B172" s="61"/>
      <c r="C172" s="21" t="s">
        <v>434</v>
      </c>
      <c r="D172" s="21" t="s">
        <v>435</v>
      </c>
    </row>
    <row r="173" spans="1:4">
      <c r="A173" s="61"/>
      <c r="B173" s="61"/>
      <c r="C173" s="21" t="s">
        <v>436</v>
      </c>
      <c r="D173" s="21" t="s">
        <v>437</v>
      </c>
    </row>
    <row r="174" spans="1:4">
      <c r="A174" s="61"/>
      <c r="B174" s="61"/>
      <c r="C174" s="21" t="s">
        <v>438</v>
      </c>
      <c r="D174" s="21" t="s">
        <v>439</v>
      </c>
    </row>
    <row r="175" spans="1:4">
      <c r="A175" s="61"/>
      <c r="B175" s="61"/>
      <c r="C175" s="21" t="s">
        <v>440</v>
      </c>
      <c r="D175" s="21" t="s">
        <v>441</v>
      </c>
    </row>
    <row r="176" spans="1:4">
      <c r="A176" s="61"/>
      <c r="B176" s="61"/>
      <c r="C176" s="21" t="s">
        <v>442</v>
      </c>
      <c r="D176" s="21" t="s">
        <v>443</v>
      </c>
    </row>
    <row r="177" spans="1:5">
      <c r="A177" s="61"/>
      <c r="B177" s="61"/>
      <c r="C177" s="21" t="s">
        <v>444</v>
      </c>
      <c r="D177" s="21" t="s">
        <v>445</v>
      </c>
    </row>
    <row r="178" spans="1:5">
      <c r="A178" s="61"/>
      <c r="B178" s="61"/>
      <c r="C178" s="21" t="s">
        <v>446</v>
      </c>
      <c r="D178" s="21" t="s">
        <v>447</v>
      </c>
    </row>
    <row r="179" spans="1:5">
      <c r="A179" s="61"/>
      <c r="B179" s="61"/>
      <c r="C179" s="21" t="s">
        <v>448</v>
      </c>
      <c r="D179" s="21" t="s">
        <v>449</v>
      </c>
    </row>
    <row r="180" spans="1:5">
      <c r="A180" s="61"/>
      <c r="B180" s="61"/>
      <c r="C180" s="21" t="s">
        <v>450</v>
      </c>
      <c r="D180" s="21" t="s">
        <v>451</v>
      </c>
      <c r="E180" t="s">
        <v>265</v>
      </c>
    </row>
    <row r="181" spans="1:5">
      <c r="A181" s="61"/>
      <c r="B181" s="61"/>
      <c r="C181" s="21" t="s">
        <v>204</v>
      </c>
      <c r="D181" s="21" t="s">
        <v>204</v>
      </c>
    </row>
    <row r="182" spans="1:5">
      <c r="A182" s="78"/>
      <c r="B182" s="71" t="s">
        <v>452</v>
      </c>
      <c r="C182" s="53" t="s">
        <v>453</v>
      </c>
      <c r="D182" s="53"/>
    </row>
    <row r="183" spans="1:5">
      <c r="A183" s="79"/>
      <c r="B183" s="72"/>
      <c r="C183" s="53" t="s">
        <v>454</v>
      </c>
      <c r="D183" s="53"/>
    </row>
    <row r="184" spans="1:5">
      <c r="A184" s="79"/>
      <c r="B184" s="72"/>
      <c r="C184" s="53" t="s">
        <v>455</v>
      </c>
      <c r="D184" s="53"/>
    </row>
    <row r="185" spans="1:5">
      <c r="A185" s="80"/>
      <c r="B185" s="73"/>
      <c r="C185" s="54" t="s">
        <v>456</v>
      </c>
      <c r="D185" s="54"/>
    </row>
    <row r="186" spans="1:5">
      <c r="A186" s="74"/>
      <c r="B186" s="74" t="s">
        <v>457</v>
      </c>
      <c r="C186" s="52" t="s">
        <v>458</v>
      </c>
      <c r="D186" s="52"/>
    </row>
    <row r="187" spans="1:5">
      <c r="A187" s="75"/>
      <c r="B187" s="75"/>
      <c r="C187" s="52" t="s">
        <v>459</v>
      </c>
      <c r="D187" s="52"/>
    </row>
    <row r="188" spans="1:5">
      <c r="A188" s="78"/>
      <c r="B188" s="71" t="s">
        <v>10</v>
      </c>
      <c r="C188" s="54" t="s">
        <v>217</v>
      </c>
      <c r="D188" s="54" t="s">
        <v>460</v>
      </c>
    </row>
    <row r="189" spans="1:5">
      <c r="A189" s="79"/>
      <c r="B189" s="72"/>
      <c r="C189" s="54" t="s">
        <v>104</v>
      </c>
      <c r="D189" s="54" t="s">
        <v>461</v>
      </c>
    </row>
    <row r="190" spans="1:5">
      <c r="A190" s="79"/>
      <c r="B190" s="72"/>
      <c r="C190" s="54" t="s">
        <v>34</v>
      </c>
      <c r="D190" s="54" t="s">
        <v>34</v>
      </c>
    </row>
    <row r="191" spans="1:5">
      <c r="A191" s="79"/>
      <c r="B191" s="72"/>
      <c r="C191" s="54" t="s">
        <v>462</v>
      </c>
      <c r="D191" s="54" t="s">
        <v>463</v>
      </c>
    </row>
    <row r="192" spans="1:5">
      <c r="A192" s="79"/>
      <c r="B192" s="72"/>
      <c r="C192" s="54" t="s">
        <v>464</v>
      </c>
      <c r="D192" s="54" t="s">
        <v>465</v>
      </c>
    </row>
    <row r="193" spans="1:4">
      <c r="A193" s="79"/>
      <c r="B193" s="72"/>
      <c r="C193" s="54" t="s">
        <v>466</v>
      </c>
      <c r="D193" s="54" t="s">
        <v>467</v>
      </c>
    </row>
    <row r="194" spans="1:4">
      <c r="A194" s="79"/>
      <c r="B194" s="72"/>
      <c r="C194" s="54" t="s">
        <v>468</v>
      </c>
      <c r="D194" s="54" t="s">
        <v>469</v>
      </c>
    </row>
    <row r="195" spans="1:4">
      <c r="A195" s="79"/>
      <c r="B195" s="72"/>
      <c r="C195" s="54" t="s">
        <v>470</v>
      </c>
      <c r="D195" s="54" t="s">
        <v>471</v>
      </c>
    </row>
    <row r="196" spans="1:4">
      <c r="A196" s="79"/>
      <c r="B196" s="72"/>
      <c r="C196" s="54" t="s">
        <v>472</v>
      </c>
      <c r="D196" s="54" t="s">
        <v>473</v>
      </c>
    </row>
    <row r="197" spans="1:4">
      <c r="A197" s="79"/>
      <c r="B197" s="72"/>
      <c r="C197" s="54" t="s">
        <v>474</v>
      </c>
      <c r="D197" s="54" t="s">
        <v>475</v>
      </c>
    </row>
    <row r="198" spans="1:4">
      <c r="A198" s="79"/>
      <c r="B198" s="72"/>
      <c r="C198" s="54" t="s">
        <v>111</v>
      </c>
      <c r="D198" s="54" t="s">
        <v>476</v>
      </c>
    </row>
    <row r="199" spans="1:4">
      <c r="A199" s="79"/>
      <c r="B199" s="72"/>
      <c r="C199" s="54" t="s">
        <v>477</v>
      </c>
      <c r="D199" s="54" t="s">
        <v>478</v>
      </c>
    </row>
    <row r="200" spans="1:4">
      <c r="A200" s="79"/>
      <c r="B200" s="72"/>
      <c r="C200" s="54" t="s">
        <v>204</v>
      </c>
      <c r="D200" s="54" t="s">
        <v>204</v>
      </c>
    </row>
    <row r="201" spans="1:4">
      <c r="A201" s="80"/>
      <c r="B201" s="73"/>
      <c r="C201" s="54" t="s">
        <v>456</v>
      </c>
      <c r="D201" s="54" t="s">
        <v>479</v>
      </c>
    </row>
    <row r="202" spans="1:4">
      <c r="A202" s="112"/>
      <c r="B202" s="112" t="s">
        <v>186</v>
      </c>
      <c r="C202" s="21" t="s">
        <v>480</v>
      </c>
      <c r="D202" s="21"/>
    </row>
    <row r="203" spans="1:4">
      <c r="A203" s="61"/>
      <c r="B203" s="61"/>
      <c r="C203" s="21" t="s">
        <v>481</v>
      </c>
      <c r="D203" s="21"/>
    </row>
    <row r="204" spans="1:4">
      <c r="A204" s="61"/>
      <c r="B204" s="61"/>
      <c r="C204" s="21" t="s">
        <v>482</v>
      </c>
      <c r="D204" s="21"/>
    </row>
    <row r="205" spans="1:4">
      <c r="A205" s="61"/>
      <c r="B205" s="61"/>
      <c r="C205" s="21" t="s">
        <v>483</v>
      </c>
      <c r="D205" s="21"/>
    </row>
    <row r="206" spans="1:4">
      <c r="A206" s="61"/>
      <c r="B206" s="61"/>
      <c r="C206" s="21" t="s">
        <v>484</v>
      </c>
      <c r="D206" s="21"/>
    </row>
    <row r="207" spans="1:4">
      <c r="A207" s="61"/>
      <c r="B207" s="61"/>
      <c r="C207" s="21" t="s">
        <v>485</v>
      </c>
      <c r="D207" s="21"/>
    </row>
    <row r="208" spans="1:4">
      <c r="A208" s="61"/>
      <c r="B208" s="61"/>
      <c r="C208" s="21" t="s">
        <v>486</v>
      </c>
      <c r="D208" s="21"/>
    </row>
    <row r="209" spans="1:5">
      <c r="A209" s="61"/>
      <c r="B209" s="61"/>
      <c r="C209" s="21" t="s">
        <v>487</v>
      </c>
      <c r="D209" s="21"/>
    </row>
    <row r="210" spans="1:5">
      <c r="A210" s="61"/>
      <c r="B210" s="61"/>
      <c r="C210" s="21" t="s">
        <v>488</v>
      </c>
      <c r="D210" s="21"/>
    </row>
    <row r="211" spans="1:5">
      <c r="A211" s="61"/>
      <c r="B211" s="61"/>
      <c r="C211" s="21" t="s">
        <v>489</v>
      </c>
      <c r="D211" s="21"/>
    </row>
    <row r="212" spans="1:5">
      <c r="A212" s="61"/>
      <c r="B212" s="61"/>
      <c r="C212" s="21" t="s">
        <v>490</v>
      </c>
      <c r="D212" s="21"/>
    </row>
    <row r="213" spans="1:5">
      <c r="A213" s="61"/>
      <c r="B213" s="61"/>
      <c r="C213" s="21" t="s">
        <v>491</v>
      </c>
      <c r="D213" s="21"/>
    </row>
    <row r="214" spans="1:5">
      <c r="A214" s="61"/>
      <c r="B214" s="61"/>
      <c r="C214" s="21" t="s">
        <v>492</v>
      </c>
      <c r="D214" s="21"/>
    </row>
    <row r="215" spans="1:5">
      <c r="A215" s="61"/>
      <c r="B215" s="61"/>
      <c r="C215" s="21" t="s">
        <v>493</v>
      </c>
      <c r="D215" s="21"/>
    </row>
    <row r="216" spans="1:5">
      <c r="A216" s="61"/>
      <c r="B216" s="61"/>
      <c r="C216" s="21" t="s">
        <v>494</v>
      </c>
      <c r="D216" s="21"/>
    </row>
    <row r="217" spans="1:5">
      <c r="A217" s="61"/>
      <c r="B217" s="61"/>
      <c r="C217" s="21" t="s">
        <v>495</v>
      </c>
      <c r="D217" s="21"/>
    </row>
    <row r="218" spans="1:5">
      <c r="A218" s="61"/>
      <c r="B218" s="61"/>
      <c r="C218" s="21" t="s">
        <v>496</v>
      </c>
      <c r="D218" s="21" t="s">
        <v>497</v>
      </c>
      <c r="E218" t="s">
        <v>265</v>
      </c>
    </row>
    <row r="219" spans="1:5">
      <c r="A219" s="61"/>
      <c r="B219" s="61"/>
      <c r="C219" s="21" t="s">
        <v>498</v>
      </c>
      <c r="D219" s="21"/>
    </row>
    <row r="220" spans="1:5">
      <c r="A220" s="61"/>
      <c r="B220" s="61"/>
      <c r="C220" s="21" t="s">
        <v>499</v>
      </c>
      <c r="D220" s="21"/>
    </row>
    <row r="221" spans="1:5">
      <c r="A221" s="61"/>
      <c r="B221" s="61"/>
      <c r="C221" s="21" t="s">
        <v>500</v>
      </c>
      <c r="D221" s="21"/>
    </row>
    <row r="222" spans="1:5">
      <c r="A222" s="61"/>
      <c r="B222" s="61"/>
      <c r="C222" s="21" t="s">
        <v>501</v>
      </c>
      <c r="D222" s="21"/>
    </row>
    <row r="223" spans="1:5">
      <c r="A223" s="61"/>
      <c r="B223" s="61"/>
      <c r="C223" s="21" t="s">
        <v>502</v>
      </c>
      <c r="D223" s="21"/>
    </row>
    <row r="224" spans="1:5">
      <c r="A224" s="61"/>
      <c r="B224" s="61"/>
      <c r="C224" s="21" t="s">
        <v>503</v>
      </c>
      <c r="D224" s="21"/>
    </row>
    <row r="225" spans="1:4">
      <c r="A225" s="61"/>
      <c r="B225" s="61"/>
      <c r="C225" s="21" t="s">
        <v>504</v>
      </c>
      <c r="D225" s="21"/>
    </row>
    <row r="226" spans="1:4">
      <c r="A226" s="61"/>
      <c r="B226" s="61"/>
      <c r="C226" s="21" t="s">
        <v>505</v>
      </c>
      <c r="D226" s="21"/>
    </row>
    <row r="227" spans="1:4">
      <c r="A227" s="61"/>
      <c r="B227" s="61"/>
      <c r="C227" s="21" t="s">
        <v>506</v>
      </c>
      <c r="D227" s="21"/>
    </row>
    <row r="228" spans="1:4">
      <c r="A228" s="61"/>
      <c r="B228" s="61"/>
      <c r="C228" s="21" t="s">
        <v>507</v>
      </c>
      <c r="D228" s="21"/>
    </row>
    <row r="229" spans="1:4">
      <c r="A229" s="61"/>
      <c r="B229" s="61"/>
      <c r="C229" s="21" t="s">
        <v>508</v>
      </c>
      <c r="D229" s="21"/>
    </row>
    <row r="230" spans="1:4">
      <c r="A230" s="61"/>
      <c r="B230" s="61"/>
      <c r="C230" s="21" t="s">
        <v>509</v>
      </c>
      <c r="D230" s="21"/>
    </row>
    <row r="231" spans="1:4">
      <c r="A231" s="61"/>
      <c r="B231" s="61"/>
      <c r="C231" s="21" t="s">
        <v>510</v>
      </c>
      <c r="D231" s="21"/>
    </row>
    <row r="232" spans="1:4">
      <c r="A232" s="61"/>
      <c r="B232" s="61"/>
      <c r="C232" s="21" t="s">
        <v>511</v>
      </c>
      <c r="D232" s="21"/>
    </row>
    <row r="233" spans="1:4">
      <c r="A233" s="61"/>
      <c r="B233" s="61"/>
      <c r="C233" s="21" t="s">
        <v>512</v>
      </c>
      <c r="D233" s="21"/>
    </row>
    <row r="234" spans="1:4">
      <c r="A234" s="61"/>
      <c r="B234" s="61"/>
      <c r="C234" s="21" t="s">
        <v>513</v>
      </c>
      <c r="D234" s="21"/>
    </row>
    <row r="235" spans="1:4">
      <c r="A235" s="61"/>
      <c r="B235" s="61"/>
      <c r="C235" s="21" t="s">
        <v>514</v>
      </c>
      <c r="D235" s="21"/>
    </row>
    <row r="236" spans="1:4">
      <c r="A236" s="61"/>
      <c r="B236" s="61"/>
      <c r="C236" s="21" t="s">
        <v>515</v>
      </c>
      <c r="D236" s="21"/>
    </row>
    <row r="237" spans="1:4">
      <c r="A237" s="61"/>
      <c r="B237" s="61"/>
      <c r="C237" s="21" t="s">
        <v>516</v>
      </c>
      <c r="D237" s="21"/>
    </row>
    <row r="238" spans="1:4">
      <c r="A238" s="61"/>
      <c r="B238" s="61"/>
      <c r="C238" s="21" t="s">
        <v>517</v>
      </c>
      <c r="D238" s="21"/>
    </row>
    <row r="239" spans="1:4">
      <c r="A239" s="61"/>
      <c r="B239" s="61"/>
      <c r="C239" s="21" t="s">
        <v>518</v>
      </c>
      <c r="D239" s="21"/>
    </row>
    <row r="240" spans="1:4">
      <c r="A240" s="61"/>
      <c r="B240" s="61"/>
      <c r="C240" s="21" t="s">
        <v>519</v>
      </c>
      <c r="D240" s="21"/>
    </row>
    <row r="241" spans="1:4">
      <c r="A241" s="61"/>
      <c r="B241" s="61"/>
      <c r="C241" s="21" t="s">
        <v>520</v>
      </c>
      <c r="D241" s="21"/>
    </row>
    <row r="242" spans="1:4">
      <c r="A242" s="61"/>
      <c r="B242" s="61"/>
      <c r="C242" s="21" t="s">
        <v>521</v>
      </c>
      <c r="D242" s="21"/>
    </row>
    <row r="243" spans="1:4">
      <c r="A243" s="61"/>
      <c r="B243" s="61"/>
      <c r="C243" s="21" t="s">
        <v>522</v>
      </c>
      <c r="D243" s="21"/>
    </row>
    <row r="244" spans="1:4">
      <c r="A244" s="61"/>
      <c r="B244" s="61"/>
      <c r="C244" s="21" t="s">
        <v>523</v>
      </c>
      <c r="D244" s="21"/>
    </row>
    <row r="245" spans="1:4">
      <c r="A245" s="61"/>
      <c r="B245" s="61"/>
      <c r="C245" s="21" t="s">
        <v>524</v>
      </c>
      <c r="D245" s="21"/>
    </row>
    <row r="246" spans="1:4">
      <c r="A246" s="61"/>
      <c r="B246" s="61"/>
      <c r="C246" s="21" t="s">
        <v>525</v>
      </c>
      <c r="D246" s="21"/>
    </row>
    <row r="247" spans="1:4">
      <c r="A247" s="61"/>
      <c r="B247" s="61"/>
      <c r="C247" s="21" t="s">
        <v>526</v>
      </c>
      <c r="D247" s="21"/>
    </row>
    <row r="248" spans="1:4">
      <c r="A248" s="61"/>
      <c r="B248" s="61"/>
      <c r="C248" s="21" t="s">
        <v>527</v>
      </c>
      <c r="D248" s="21"/>
    </row>
    <row r="249" spans="1:4">
      <c r="A249" s="61"/>
      <c r="B249" s="61"/>
      <c r="C249" s="21" t="s">
        <v>528</v>
      </c>
      <c r="D249" s="21"/>
    </row>
    <row r="250" spans="1:4">
      <c r="A250" s="61"/>
      <c r="B250" s="61"/>
      <c r="C250" s="21" t="s">
        <v>529</v>
      </c>
      <c r="D250" s="21"/>
    </row>
    <row r="251" spans="1:4">
      <c r="A251" s="61"/>
      <c r="B251" s="61"/>
      <c r="C251" s="21" t="s">
        <v>530</v>
      </c>
      <c r="D251" s="21"/>
    </row>
    <row r="252" spans="1:4">
      <c r="A252" s="61"/>
      <c r="B252" s="61"/>
      <c r="C252" s="21" t="s">
        <v>204</v>
      </c>
      <c r="D252" s="21"/>
    </row>
    <row r="253" spans="1:4">
      <c r="A253" s="61"/>
      <c r="B253" s="61"/>
      <c r="C253" s="21" t="s">
        <v>531</v>
      </c>
      <c r="D253" s="21"/>
    </row>
    <row r="254" spans="1:4">
      <c r="A254" s="61"/>
      <c r="B254" s="61"/>
      <c r="C254" s="21" t="s">
        <v>532</v>
      </c>
      <c r="D254" s="21"/>
    </row>
    <row r="255" spans="1:4">
      <c r="A255" s="61"/>
      <c r="B255" s="61"/>
      <c r="C255" s="21" t="s">
        <v>533</v>
      </c>
      <c r="D255" s="21"/>
    </row>
    <row r="256" spans="1:4">
      <c r="A256" s="61"/>
      <c r="B256" s="61"/>
      <c r="C256" s="21" t="s">
        <v>534</v>
      </c>
      <c r="D256" s="21"/>
    </row>
    <row r="257" spans="1:5">
      <c r="A257" s="61"/>
      <c r="B257" s="61"/>
      <c r="C257" s="21" t="s">
        <v>535</v>
      </c>
      <c r="D257" s="21"/>
    </row>
    <row r="258" spans="1:5">
      <c r="A258" s="61"/>
      <c r="B258" s="61"/>
      <c r="C258" s="21" t="s">
        <v>536</v>
      </c>
      <c r="D258" s="21"/>
    </row>
    <row r="259" spans="1:5">
      <c r="A259" s="61"/>
      <c r="B259" s="61"/>
      <c r="C259" s="21" t="s">
        <v>537</v>
      </c>
      <c r="D259" s="21"/>
    </row>
    <row r="260" spans="1:5">
      <c r="A260" s="61"/>
      <c r="B260" s="61"/>
      <c r="C260" s="21" t="s">
        <v>538</v>
      </c>
      <c r="D260" s="21"/>
    </row>
    <row r="261" spans="1:5">
      <c r="A261" s="61"/>
      <c r="B261" s="61"/>
      <c r="C261" s="21" t="s">
        <v>539</v>
      </c>
      <c r="D261" s="21"/>
    </row>
    <row r="262" spans="1:5">
      <c r="A262" s="61"/>
      <c r="B262" s="61"/>
      <c r="C262" s="21" t="s">
        <v>540</v>
      </c>
      <c r="D262" s="21"/>
    </row>
    <row r="263" spans="1:5">
      <c r="A263" s="61"/>
      <c r="B263" s="61"/>
      <c r="C263" s="21" t="s">
        <v>541</v>
      </c>
      <c r="D263" s="21"/>
    </row>
    <row r="264" spans="1:5">
      <c r="A264" s="61"/>
      <c r="B264" s="61"/>
      <c r="C264" s="21" t="s">
        <v>542</v>
      </c>
      <c r="D264" s="21"/>
    </row>
    <row r="265" spans="1:5">
      <c r="A265" s="61"/>
      <c r="B265" s="61"/>
      <c r="C265" s="21" t="s">
        <v>543</v>
      </c>
      <c r="D265" s="21"/>
    </row>
    <row r="266" spans="1:5">
      <c r="A266" s="61"/>
      <c r="B266" s="61"/>
      <c r="C266" s="21" t="s">
        <v>544</v>
      </c>
      <c r="D266" s="21"/>
    </row>
    <row r="267" spans="1:5">
      <c r="A267" s="61"/>
      <c r="B267" s="61"/>
      <c r="C267" s="21" t="s">
        <v>545</v>
      </c>
      <c r="D267" s="21"/>
    </row>
    <row r="268" spans="1:5">
      <c r="A268" s="61"/>
      <c r="B268" s="61"/>
      <c r="C268" s="21" t="s">
        <v>546</v>
      </c>
      <c r="D268" s="21"/>
    </row>
    <row r="269" spans="1:5">
      <c r="A269" s="61"/>
      <c r="B269" s="61"/>
      <c r="C269" s="21" t="s">
        <v>547</v>
      </c>
      <c r="D269" s="21"/>
    </row>
    <row r="270" spans="1:5">
      <c r="A270" s="61"/>
      <c r="B270" s="61"/>
      <c r="C270" s="21" t="s">
        <v>548</v>
      </c>
      <c r="D270" s="21" t="s">
        <v>549</v>
      </c>
      <c r="E270" t="s">
        <v>265</v>
      </c>
    </row>
    <row r="271" spans="1:5">
      <c r="A271" s="61"/>
      <c r="B271" s="61"/>
      <c r="C271" s="21" t="s">
        <v>550</v>
      </c>
      <c r="D271" s="21" t="s">
        <v>551</v>
      </c>
      <c r="E271" t="s">
        <v>265</v>
      </c>
    </row>
    <row r="272" spans="1:5">
      <c r="A272" s="61"/>
      <c r="B272" s="61"/>
      <c r="C272" s="21" t="s">
        <v>552</v>
      </c>
      <c r="D272" s="21" t="s">
        <v>553</v>
      </c>
      <c r="E272" t="s">
        <v>265</v>
      </c>
    </row>
    <row r="273" spans="1:5">
      <c r="A273" s="61"/>
      <c r="B273" s="61"/>
      <c r="C273" s="21" t="s">
        <v>554</v>
      </c>
      <c r="D273" s="21"/>
    </row>
    <row r="274" spans="1:5">
      <c r="A274" s="61"/>
      <c r="B274" s="61"/>
      <c r="C274" s="21" t="s">
        <v>555</v>
      </c>
      <c r="D274" s="21" t="s">
        <v>556</v>
      </c>
      <c r="E274" t="s">
        <v>265</v>
      </c>
    </row>
    <row r="275" spans="1:5">
      <c r="A275" s="61"/>
      <c r="B275" s="61"/>
      <c r="C275" s="21" t="s">
        <v>557</v>
      </c>
      <c r="D275" s="21"/>
    </row>
    <row r="276" spans="1:5">
      <c r="A276" s="61"/>
      <c r="B276" s="61"/>
      <c r="C276" s="21" t="s">
        <v>558</v>
      </c>
      <c r="D276" s="21"/>
    </row>
    <row r="277" spans="1:5">
      <c r="A277" s="61"/>
      <c r="B277" s="61"/>
      <c r="C277" s="21" t="s">
        <v>559</v>
      </c>
      <c r="D277" s="21"/>
    </row>
    <row r="278" spans="1:5">
      <c r="A278" s="61"/>
      <c r="B278" s="61"/>
      <c r="C278" s="21" t="s">
        <v>560</v>
      </c>
      <c r="D278" s="21"/>
    </row>
    <row r="279" spans="1:5">
      <c r="A279" s="61"/>
      <c r="B279" s="61"/>
      <c r="C279" s="21" t="s">
        <v>561</v>
      </c>
      <c r="D279" s="21"/>
    </row>
    <row r="280" spans="1:5">
      <c r="A280" s="61"/>
      <c r="B280" s="61"/>
      <c r="C280" s="21" t="s">
        <v>562</v>
      </c>
      <c r="D280" s="21"/>
    </row>
    <row r="281" spans="1:5">
      <c r="A281" s="61"/>
      <c r="B281" s="61"/>
      <c r="C281" s="21" t="s">
        <v>563</v>
      </c>
      <c r="D281" s="21"/>
    </row>
    <row r="282" spans="1:5">
      <c r="A282" s="61"/>
      <c r="B282" s="61"/>
      <c r="C282" s="21" t="s">
        <v>564</v>
      </c>
      <c r="D282" s="21" t="s">
        <v>565</v>
      </c>
      <c r="E282" t="s">
        <v>265</v>
      </c>
    </row>
    <row r="283" spans="1:5">
      <c r="A283" s="61"/>
      <c r="B283" s="61"/>
      <c r="C283" s="21" t="s">
        <v>566</v>
      </c>
      <c r="D283" s="21"/>
    </row>
    <row r="284" spans="1:5">
      <c r="A284" s="61"/>
      <c r="B284" s="61"/>
      <c r="C284" s="21" t="s">
        <v>567</v>
      </c>
      <c r="D284" s="21" t="s">
        <v>568</v>
      </c>
      <c r="E284" t="s">
        <v>265</v>
      </c>
    </row>
    <row r="285" spans="1:5">
      <c r="A285" s="61"/>
      <c r="B285" s="61"/>
      <c r="C285" s="21" t="s">
        <v>569</v>
      </c>
      <c r="D285" s="21"/>
    </row>
    <row r="286" spans="1:5">
      <c r="A286" s="61"/>
      <c r="B286" s="61"/>
      <c r="C286" s="21" t="s">
        <v>570</v>
      </c>
      <c r="D286" s="21"/>
    </row>
    <row r="287" spans="1:5">
      <c r="A287" s="61"/>
      <c r="B287" s="61"/>
      <c r="C287" s="21" t="s">
        <v>571</v>
      </c>
      <c r="D287" s="21"/>
    </row>
    <row r="288" spans="1:5">
      <c r="A288" s="61"/>
      <c r="B288" s="61"/>
      <c r="C288" s="21" t="s">
        <v>572</v>
      </c>
      <c r="D288" s="21"/>
    </row>
    <row r="289" spans="1:5">
      <c r="A289" s="61"/>
      <c r="B289" s="61"/>
      <c r="C289" s="21" t="s">
        <v>573</v>
      </c>
      <c r="D289" s="21" t="s">
        <v>574</v>
      </c>
      <c r="E289" t="s">
        <v>265</v>
      </c>
    </row>
    <row r="290" spans="1:5">
      <c r="A290" s="61"/>
      <c r="B290" s="61"/>
      <c r="C290" s="21" t="s">
        <v>575</v>
      </c>
      <c r="D290" s="21"/>
    </row>
    <row r="291" spans="1:5">
      <c r="A291" s="61"/>
      <c r="B291" s="61"/>
      <c r="C291" s="21" t="s">
        <v>576</v>
      </c>
      <c r="D291" s="21"/>
    </row>
    <row r="292" spans="1:5">
      <c r="A292" s="61"/>
      <c r="B292" s="61"/>
      <c r="C292" s="21" t="s">
        <v>577</v>
      </c>
      <c r="D292" s="21"/>
    </row>
    <row r="293" spans="1:5">
      <c r="A293" s="61"/>
      <c r="B293" s="61"/>
      <c r="C293" s="21" t="s">
        <v>578</v>
      </c>
      <c r="D293" s="21"/>
    </row>
    <row r="294" spans="1:5">
      <c r="A294" s="61"/>
      <c r="B294" s="61"/>
      <c r="C294" s="21" t="s">
        <v>579</v>
      </c>
      <c r="D294" s="21"/>
    </row>
    <row r="295" spans="1:5">
      <c r="A295" s="61"/>
      <c r="B295" s="61"/>
      <c r="C295" s="21" t="s">
        <v>580</v>
      </c>
      <c r="D295" s="21"/>
    </row>
    <row r="296" spans="1:5">
      <c r="A296" s="61"/>
      <c r="B296" s="61"/>
      <c r="C296" s="21" t="s">
        <v>581</v>
      </c>
      <c r="D296" s="21"/>
    </row>
    <row r="297" spans="1:5">
      <c r="A297" s="61"/>
      <c r="B297" s="61"/>
      <c r="C297" s="21" t="s">
        <v>582</v>
      </c>
      <c r="D297" s="21" t="s">
        <v>583</v>
      </c>
      <c r="E297" t="s">
        <v>265</v>
      </c>
    </row>
    <row r="298" spans="1:5">
      <c r="A298" s="61"/>
      <c r="B298" s="61"/>
      <c r="C298" s="21" t="s">
        <v>584</v>
      </c>
      <c r="D298" s="21"/>
    </row>
    <row r="299" spans="1:5">
      <c r="A299" s="61"/>
      <c r="B299" s="61"/>
      <c r="C299" s="21" t="s">
        <v>585</v>
      </c>
      <c r="D299" s="21"/>
    </row>
    <row r="300" spans="1:5">
      <c r="A300" s="61"/>
      <c r="B300" s="61"/>
      <c r="C300" s="131" t="s">
        <v>586</v>
      </c>
      <c r="D300" s="21"/>
      <c r="E300" t="s">
        <v>265</v>
      </c>
    </row>
    <row r="301" spans="1:5">
      <c r="A301" s="61"/>
      <c r="B301" s="61"/>
      <c r="C301" s="21" t="s">
        <v>587</v>
      </c>
      <c r="D301" s="21"/>
    </row>
    <row r="302" spans="1:5">
      <c r="A302" s="61"/>
      <c r="B302" s="61"/>
      <c r="C302" s="21" t="s">
        <v>588</v>
      </c>
      <c r="D302" s="21"/>
    </row>
    <row r="303" spans="1:5">
      <c r="A303" s="61"/>
      <c r="B303" s="61"/>
      <c r="C303" s="21" t="s">
        <v>589</v>
      </c>
      <c r="D303" s="21"/>
    </row>
    <row r="304" spans="1:5">
      <c r="A304" s="61"/>
      <c r="B304" s="61"/>
      <c r="C304" s="21" t="s">
        <v>590</v>
      </c>
      <c r="D304" s="21"/>
    </row>
    <row r="305" spans="1:5">
      <c r="A305" s="61"/>
      <c r="B305" s="61"/>
      <c r="C305" s="21" t="s">
        <v>591</v>
      </c>
      <c r="D305" s="21"/>
    </row>
    <row r="306" spans="1:5">
      <c r="A306" s="61"/>
      <c r="B306" s="61"/>
      <c r="C306" s="21" t="s">
        <v>592</v>
      </c>
      <c r="D306" s="21"/>
    </row>
    <row r="307" spans="1:5">
      <c r="A307" s="61"/>
      <c r="B307" s="61"/>
      <c r="C307" s="21" t="s">
        <v>593</v>
      </c>
      <c r="D307" s="21"/>
    </row>
    <row r="308" spans="1:5">
      <c r="A308" s="61"/>
      <c r="B308" s="61"/>
      <c r="C308" s="21" t="s">
        <v>594</v>
      </c>
      <c r="D308" s="21"/>
    </row>
    <row r="309" spans="1:5">
      <c r="A309" s="61"/>
      <c r="B309" s="61"/>
      <c r="C309" s="21" t="s">
        <v>595</v>
      </c>
      <c r="D309" s="21"/>
    </row>
    <row r="310" spans="1:5">
      <c r="A310" s="61"/>
      <c r="B310" s="61"/>
      <c r="C310" s="131" t="s">
        <v>596</v>
      </c>
      <c r="D310" s="21"/>
      <c r="E310" t="s">
        <v>265</v>
      </c>
    </row>
    <row r="311" spans="1:5">
      <c r="A311" s="61"/>
      <c r="B311" s="61"/>
      <c r="C311" s="131" t="s">
        <v>597</v>
      </c>
      <c r="D311" s="21"/>
      <c r="E311" t="s">
        <v>265</v>
      </c>
    </row>
    <row r="312" spans="1:5">
      <c r="A312" s="61"/>
      <c r="B312" s="61"/>
      <c r="C312" s="131" t="s">
        <v>598</v>
      </c>
      <c r="D312" s="21"/>
      <c r="E312" t="s">
        <v>265</v>
      </c>
    </row>
    <row r="313" spans="1:5">
      <c r="A313" s="61"/>
      <c r="B313" s="61"/>
      <c r="C313" s="21" t="s">
        <v>599</v>
      </c>
      <c r="D313" s="21"/>
    </row>
    <row r="314" spans="1:5">
      <c r="A314" s="61"/>
      <c r="B314" s="61"/>
      <c r="C314" s="21" t="s">
        <v>600</v>
      </c>
      <c r="D314" s="21"/>
    </row>
    <row r="315" spans="1:5">
      <c r="A315" s="61"/>
      <c r="B315" s="61"/>
      <c r="C315" s="21" t="s">
        <v>601</v>
      </c>
      <c r="D315" s="21"/>
    </row>
    <row r="316" spans="1:5">
      <c r="A316" s="61"/>
      <c r="B316" s="61"/>
      <c r="C316" s="21" t="s">
        <v>602</v>
      </c>
      <c r="D316" s="21"/>
    </row>
    <row r="317" spans="1:5">
      <c r="A317" s="61"/>
      <c r="B317" s="61"/>
      <c r="C317" s="21" t="s">
        <v>603</v>
      </c>
      <c r="D317" s="21"/>
    </row>
    <row r="318" spans="1:5">
      <c r="A318" s="61"/>
      <c r="B318" s="61"/>
      <c r="C318" s="21" t="s">
        <v>604</v>
      </c>
      <c r="D318" s="126" t="s">
        <v>605</v>
      </c>
      <c r="E318" t="s">
        <v>265</v>
      </c>
    </row>
    <row r="319" spans="1:5">
      <c r="A319" s="61"/>
      <c r="B319" s="61"/>
      <c r="C319" s="21" t="s">
        <v>606</v>
      </c>
      <c r="D319" s="21"/>
    </row>
    <row r="320" spans="1:5">
      <c r="A320" s="61"/>
      <c r="B320" s="61"/>
      <c r="C320" s="21" t="s">
        <v>607</v>
      </c>
      <c r="D320" s="21"/>
    </row>
    <row r="321" spans="1:5">
      <c r="A321" s="61"/>
      <c r="B321" s="61"/>
      <c r="C321" s="21" t="s">
        <v>608</v>
      </c>
      <c r="D321" s="21"/>
    </row>
    <row r="322" spans="1:5">
      <c r="A322" s="61"/>
      <c r="B322" s="61"/>
      <c r="C322" s="21" t="s">
        <v>609</v>
      </c>
      <c r="D322" s="21"/>
    </row>
    <row r="323" spans="1:5">
      <c r="A323" s="61"/>
      <c r="B323" s="61"/>
      <c r="C323" s="21" t="s">
        <v>610</v>
      </c>
      <c r="D323" s="21"/>
    </row>
    <row r="324" spans="1:5">
      <c r="A324" s="61"/>
      <c r="B324" s="61"/>
      <c r="C324" s="21" t="s">
        <v>611</v>
      </c>
      <c r="D324" s="21"/>
    </row>
    <row r="325" spans="1:5">
      <c r="A325" s="61"/>
      <c r="B325" s="61"/>
      <c r="C325" s="21" t="s">
        <v>612</v>
      </c>
      <c r="D325" s="21"/>
    </row>
    <row r="326" spans="1:5">
      <c r="A326" s="61"/>
      <c r="B326" s="61"/>
      <c r="C326" s="21" t="s">
        <v>613</v>
      </c>
      <c r="D326" s="21"/>
    </row>
    <row r="327" spans="1:5">
      <c r="A327" s="61"/>
      <c r="B327" s="61"/>
      <c r="C327" s="21" t="s">
        <v>614</v>
      </c>
      <c r="D327" s="21"/>
    </row>
    <row r="328" spans="1:5">
      <c r="A328" s="78"/>
      <c r="B328" s="68" t="s">
        <v>615</v>
      </c>
      <c r="C328" s="54" t="s">
        <v>616</v>
      </c>
      <c r="D328" s="54"/>
      <c r="E328" t="s">
        <v>265</v>
      </c>
    </row>
    <row r="329" spans="1:5">
      <c r="A329" s="79"/>
      <c r="B329" s="69"/>
      <c r="C329" s="54" t="s">
        <v>617</v>
      </c>
      <c r="D329" s="54"/>
      <c r="E329" t="s">
        <v>265</v>
      </c>
    </row>
    <row r="330" spans="1:5">
      <c r="A330" s="79"/>
      <c r="B330" s="69"/>
      <c r="C330" s="128" t="s">
        <v>618</v>
      </c>
      <c r="D330" s="54"/>
      <c r="E330" t="s">
        <v>265</v>
      </c>
    </row>
    <row r="331" spans="1:5">
      <c r="A331" s="79"/>
      <c r="B331" s="69"/>
      <c r="C331" s="127" t="s">
        <v>619</v>
      </c>
      <c r="D331" s="54"/>
      <c r="E331" t="s">
        <v>265</v>
      </c>
    </row>
    <row r="332" spans="1:5">
      <c r="A332" s="79"/>
      <c r="B332" s="69"/>
      <c r="C332" s="127" t="s">
        <v>620</v>
      </c>
      <c r="D332" s="54"/>
      <c r="E332" t="s">
        <v>265</v>
      </c>
    </row>
    <row r="333" spans="1:5">
      <c r="A333" s="79"/>
      <c r="B333" s="69"/>
      <c r="C333" s="127" t="s">
        <v>621</v>
      </c>
      <c r="D333" s="54"/>
      <c r="E333" t="s">
        <v>265</v>
      </c>
    </row>
    <row r="334" spans="1:5">
      <c r="A334" s="79"/>
      <c r="B334" s="69"/>
      <c r="C334" s="127" t="s">
        <v>622</v>
      </c>
      <c r="D334" s="54"/>
      <c r="E334" t="s">
        <v>265</v>
      </c>
    </row>
    <row r="335" spans="1:5">
      <c r="A335" s="79"/>
      <c r="B335" s="69"/>
      <c r="C335" s="54" t="s">
        <v>623</v>
      </c>
      <c r="D335" s="54"/>
      <c r="E335" t="s">
        <v>265</v>
      </c>
    </row>
    <row r="336" spans="1:5">
      <c r="A336" s="79"/>
      <c r="B336" s="69"/>
      <c r="C336" s="54" t="s">
        <v>624</v>
      </c>
      <c r="D336" s="54"/>
      <c r="E336" t="s">
        <v>265</v>
      </c>
    </row>
    <row r="337" spans="1:5">
      <c r="A337" s="79"/>
      <c r="B337" s="69"/>
      <c r="C337" s="54" t="s">
        <v>625</v>
      </c>
      <c r="D337" s="54"/>
      <c r="E337" t="s">
        <v>265</v>
      </c>
    </row>
    <row r="338" spans="1:5">
      <c r="A338" s="79"/>
      <c r="B338" s="69"/>
      <c r="C338" s="54" t="s">
        <v>626</v>
      </c>
      <c r="D338" s="54"/>
      <c r="E338" t="s">
        <v>265</v>
      </c>
    </row>
    <row r="339" spans="1:5">
      <c r="A339" s="79"/>
      <c r="B339" s="69"/>
      <c r="C339" s="54" t="s">
        <v>627</v>
      </c>
      <c r="D339" s="54"/>
      <c r="E339" t="s">
        <v>265</v>
      </c>
    </row>
    <row r="340" spans="1:5">
      <c r="A340" s="79"/>
      <c r="B340" s="69"/>
      <c r="C340" s="54" t="s">
        <v>628</v>
      </c>
      <c r="D340" s="54"/>
      <c r="E340" t="s">
        <v>265</v>
      </c>
    </row>
    <row r="341" spans="1:5">
      <c r="A341" s="79"/>
      <c r="B341" s="69"/>
      <c r="C341" s="54" t="s">
        <v>629</v>
      </c>
      <c r="D341" s="54"/>
      <c r="E341" t="s">
        <v>265</v>
      </c>
    </row>
    <row r="342" spans="1:5">
      <c r="A342" s="79"/>
      <c r="B342" s="69"/>
      <c r="C342" s="54" t="s">
        <v>630</v>
      </c>
      <c r="D342" s="54"/>
      <c r="E342" t="s">
        <v>265</v>
      </c>
    </row>
    <row r="343" spans="1:5">
      <c r="A343" s="79"/>
      <c r="B343" s="69"/>
      <c r="C343" s="54" t="s">
        <v>631</v>
      </c>
      <c r="D343" s="54"/>
      <c r="E343" t="s">
        <v>265</v>
      </c>
    </row>
    <row r="344" spans="1:5">
      <c r="A344" s="79"/>
      <c r="B344" s="69"/>
      <c r="C344" s="54" t="s">
        <v>632</v>
      </c>
      <c r="D344" s="54"/>
      <c r="E344" t="s">
        <v>265</v>
      </c>
    </row>
    <row r="345" spans="1:5">
      <c r="A345" s="79"/>
      <c r="B345" s="69"/>
      <c r="C345" s="54" t="s">
        <v>633</v>
      </c>
      <c r="D345" s="54"/>
      <c r="E345" t="s">
        <v>265</v>
      </c>
    </row>
    <row r="346" spans="1:5">
      <c r="A346" s="79"/>
      <c r="B346" s="69"/>
      <c r="C346" s="54" t="s">
        <v>634</v>
      </c>
      <c r="D346" s="54"/>
      <c r="E346" t="s">
        <v>265</v>
      </c>
    </row>
    <row r="347" spans="1:5">
      <c r="A347" s="79"/>
      <c r="B347" s="69"/>
      <c r="C347" s="54" t="s">
        <v>635</v>
      </c>
      <c r="D347" s="54"/>
      <c r="E347" t="s">
        <v>265</v>
      </c>
    </row>
    <row r="348" spans="1:5">
      <c r="A348" s="79"/>
      <c r="B348" s="69"/>
      <c r="C348" s="54" t="s">
        <v>636</v>
      </c>
      <c r="D348" s="54"/>
      <c r="E348" t="s">
        <v>265</v>
      </c>
    </row>
    <row r="349" spans="1:5">
      <c r="A349" s="79"/>
      <c r="B349" s="69"/>
      <c r="C349" s="54" t="s">
        <v>637</v>
      </c>
      <c r="D349" s="54"/>
      <c r="E349" t="s">
        <v>265</v>
      </c>
    </row>
    <row r="350" spans="1:5">
      <c r="A350" s="79"/>
      <c r="B350" s="69"/>
      <c r="C350" s="54" t="s">
        <v>638</v>
      </c>
      <c r="D350" s="54"/>
      <c r="E350" t="s">
        <v>265</v>
      </c>
    </row>
    <row r="351" spans="1:5">
      <c r="A351" s="79"/>
      <c r="B351" s="69"/>
      <c r="C351" s="54" t="s">
        <v>639</v>
      </c>
      <c r="D351" s="54"/>
      <c r="E351" t="s">
        <v>265</v>
      </c>
    </row>
    <row r="352" spans="1:5">
      <c r="A352" s="79"/>
      <c r="B352" s="69"/>
      <c r="C352" s="54" t="s">
        <v>640</v>
      </c>
      <c r="D352" s="54"/>
      <c r="E352" t="s">
        <v>265</v>
      </c>
    </row>
    <row r="353" spans="1:5">
      <c r="A353" s="79"/>
      <c r="B353" s="69"/>
      <c r="C353" s="54" t="s">
        <v>641</v>
      </c>
      <c r="D353" s="54"/>
      <c r="E353" t="s">
        <v>265</v>
      </c>
    </row>
    <row r="354" spans="1:5">
      <c r="A354" s="79"/>
      <c r="B354" s="69"/>
      <c r="C354" s="54" t="s">
        <v>642</v>
      </c>
      <c r="D354" s="54"/>
      <c r="E354" t="s">
        <v>265</v>
      </c>
    </row>
    <row r="355" spans="1:5">
      <c r="A355" s="79"/>
      <c r="B355" s="69"/>
      <c r="C355" s="54" t="s">
        <v>643</v>
      </c>
      <c r="D355" s="54"/>
      <c r="E355" t="s">
        <v>265</v>
      </c>
    </row>
    <row r="356" spans="1:5">
      <c r="A356" s="79"/>
      <c r="B356" s="69"/>
      <c r="C356" s="54" t="s">
        <v>644</v>
      </c>
      <c r="D356" s="54"/>
      <c r="E356" t="s">
        <v>265</v>
      </c>
    </row>
    <row r="357" spans="1:5">
      <c r="A357" s="79"/>
      <c r="B357" s="69"/>
      <c r="C357" s="54" t="s">
        <v>645</v>
      </c>
      <c r="D357" s="54"/>
      <c r="E357" t="s">
        <v>265</v>
      </c>
    </row>
    <row r="358" spans="1:5">
      <c r="A358" s="79"/>
      <c r="B358" s="69"/>
      <c r="C358" s="54" t="s">
        <v>646</v>
      </c>
      <c r="D358" s="54"/>
      <c r="E358" t="s">
        <v>265</v>
      </c>
    </row>
    <row r="359" spans="1:5">
      <c r="A359" s="79"/>
      <c r="B359" s="69"/>
      <c r="C359" s="54" t="s">
        <v>647</v>
      </c>
      <c r="D359" s="54"/>
      <c r="E359" t="s">
        <v>265</v>
      </c>
    </row>
    <row r="360" spans="1:5">
      <c r="A360" s="79"/>
      <c r="B360" s="69"/>
      <c r="C360" s="54" t="s">
        <v>648</v>
      </c>
      <c r="D360" s="54"/>
      <c r="E360" t="s">
        <v>265</v>
      </c>
    </row>
    <row r="361" spans="1:5">
      <c r="A361" s="79"/>
      <c r="B361" s="69"/>
      <c r="C361" s="54" t="s">
        <v>649</v>
      </c>
      <c r="D361" s="54"/>
      <c r="E361" t="s">
        <v>265</v>
      </c>
    </row>
    <row r="362" spans="1:5">
      <c r="A362" s="79"/>
      <c r="B362" s="69"/>
      <c r="C362" s="54" t="s">
        <v>650</v>
      </c>
      <c r="D362" s="54"/>
      <c r="E362" t="s">
        <v>265</v>
      </c>
    </row>
    <row r="363" spans="1:5">
      <c r="A363" s="79"/>
      <c r="B363" s="69"/>
      <c r="C363" s="54" t="s">
        <v>651</v>
      </c>
      <c r="D363" s="54"/>
      <c r="E363" t="s">
        <v>265</v>
      </c>
    </row>
    <row r="364" spans="1:5">
      <c r="A364" s="79"/>
      <c r="B364" s="69"/>
      <c r="C364" s="54" t="s">
        <v>652</v>
      </c>
      <c r="D364" s="54"/>
      <c r="E364" t="s">
        <v>265</v>
      </c>
    </row>
    <row r="365" spans="1:5">
      <c r="A365" s="79"/>
      <c r="B365" s="69"/>
      <c r="C365" s="54" t="s">
        <v>653</v>
      </c>
      <c r="D365" s="54"/>
      <c r="E365" t="s">
        <v>265</v>
      </c>
    </row>
    <row r="366" spans="1:5">
      <c r="A366" s="79"/>
      <c r="B366" s="69"/>
      <c r="C366" s="54" t="s">
        <v>654</v>
      </c>
      <c r="D366" s="54"/>
      <c r="E366" t="s">
        <v>265</v>
      </c>
    </row>
    <row r="367" spans="1:5">
      <c r="A367" s="79"/>
      <c r="B367" s="69"/>
      <c r="C367" s="54" t="s">
        <v>655</v>
      </c>
      <c r="D367" s="54"/>
      <c r="E367" t="s">
        <v>265</v>
      </c>
    </row>
    <row r="368" spans="1:5">
      <c r="A368" s="79"/>
      <c r="B368" s="69"/>
      <c r="C368" s="54" t="s">
        <v>656</v>
      </c>
      <c r="D368" s="54"/>
      <c r="E368" t="s">
        <v>265</v>
      </c>
    </row>
    <row r="369" spans="1:5">
      <c r="A369" s="79"/>
      <c r="B369" s="69"/>
      <c r="C369" s="54" t="s">
        <v>657</v>
      </c>
      <c r="D369" s="54"/>
      <c r="E369" t="s">
        <v>265</v>
      </c>
    </row>
    <row r="370" spans="1:5">
      <c r="A370" s="79"/>
      <c r="B370" s="69"/>
      <c r="C370" s="54" t="s">
        <v>658</v>
      </c>
      <c r="D370" s="54"/>
      <c r="E370" t="s">
        <v>265</v>
      </c>
    </row>
    <row r="371" spans="1:5">
      <c r="A371" s="79"/>
      <c r="B371" s="69"/>
      <c r="C371" s="54" t="s">
        <v>659</v>
      </c>
      <c r="D371" s="54"/>
      <c r="E371" t="s">
        <v>265</v>
      </c>
    </row>
    <row r="372" spans="1:5">
      <c r="A372" s="79"/>
      <c r="B372" s="69"/>
      <c r="C372" s="54" t="s">
        <v>660</v>
      </c>
      <c r="D372" s="54"/>
      <c r="E372" t="s">
        <v>265</v>
      </c>
    </row>
    <row r="373" spans="1:5">
      <c r="A373" s="79"/>
      <c r="B373" s="69"/>
      <c r="C373" s="54" t="s">
        <v>661</v>
      </c>
      <c r="D373" s="54"/>
      <c r="E373" t="s">
        <v>265</v>
      </c>
    </row>
    <row r="374" spans="1:5">
      <c r="A374" s="79"/>
      <c r="B374" s="69"/>
      <c r="C374" s="54" t="s">
        <v>662</v>
      </c>
      <c r="D374" s="54"/>
      <c r="E374" t="s">
        <v>265</v>
      </c>
    </row>
    <row r="375" spans="1:5">
      <c r="A375" s="79"/>
      <c r="B375" s="69"/>
      <c r="C375" s="54" t="s">
        <v>663</v>
      </c>
      <c r="D375" s="54"/>
      <c r="E375" t="s">
        <v>265</v>
      </c>
    </row>
    <row r="376" spans="1:5">
      <c r="A376" s="79"/>
      <c r="B376" s="69"/>
      <c r="C376" s="54" t="s">
        <v>664</v>
      </c>
      <c r="D376" s="54"/>
      <c r="E376" t="s">
        <v>265</v>
      </c>
    </row>
    <row r="377" spans="1:5">
      <c r="A377" s="79"/>
      <c r="B377" s="69"/>
      <c r="C377" s="54" t="s">
        <v>665</v>
      </c>
      <c r="D377" s="54"/>
      <c r="E377" t="s">
        <v>265</v>
      </c>
    </row>
    <row r="378" spans="1:5">
      <c r="A378" s="79"/>
      <c r="B378" s="69"/>
      <c r="C378" s="54" t="s">
        <v>666</v>
      </c>
      <c r="D378" s="54"/>
      <c r="E378" t="s">
        <v>265</v>
      </c>
    </row>
    <row r="379" spans="1:5">
      <c r="A379" s="79"/>
      <c r="B379" s="69"/>
      <c r="C379" s="54" t="s">
        <v>667</v>
      </c>
      <c r="D379" s="54"/>
      <c r="E379" t="s">
        <v>265</v>
      </c>
    </row>
    <row r="380" spans="1:5">
      <c r="A380" s="79"/>
      <c r="B380" s="69"/>
      <c r="C380" s="54" t="s">
        <v>668</v>
      </c>
      <c r="D380" s="54"/>
      <c r="E380" t="s">
        <v>265</v>
      </c>
    </row>
    <row r="381" spans="1:5">
      <c r="A381" s="79"/>
      <c r="B381" s="69"/>
      <c r="C381" s="54" t="s">
        <v>669</v>
      </c>
      <c r="D381" s="54"/>
      <c r="E381" t="s">
        <v>265</v>
      </c>
    </row>
    <row r="382" spans="1:5">
      <c r="A382" s="79"/>
      <c r="B382" s="69"/>
      <c r="C382" s="54" t="s">
        <v>670</v>
      </c>
      <c r="D382" s="54"/>
      <c r="E382" t="s">
        <v>265</v>
      </c>
    </row>
    <row r="383" spans="1:5">
      <c r="A383" s="79"/>
      <c r="B383" s="69"/>
      <c r="C383" s="54" t="s">
        <v>671</v>
      </c>
      <c r="D383" s="54"/>
      <c r="E383" t="s">
        <v>265</v>
      </c>
    </row>
    <row r="384" spans="1:5">
      <c r="A384" s="79"/>
      <c r="B384" s="69"/>
      <c r="C384" s="54" t="s">
        <v>672</v>
      </c>
      <c r="D384" s="54"/>
      <c r="E384" t="s">
        <v>265</v>
      </c>
    </row>
    <row r="385" spans="1:5">
      <c r="A385" s="79"/>
      <c r="B385" s="69"/>
      <c r="C385" s="54" t="s">
        <v>673</v>
      </c>
      <c r="D385" s="54"/>
      <c r="E385" t="s">
        <v>265</v>
      </c>
    </row>
    <row r="386" spans="1:5">
      <c r="A386" s="79"/>
      <c r="B386" s="69"/>
      <c r="C386" s="54" t="s">
        <v>674</v>
      </c>
      <c r="D386" s="54"/>
      <c r="E386" t="s">
        <v>265</v>
      </c>
    </row>
    <row r="387" spans="1:5">
      <c r="A387" s="79"/>
      <c r="B387" s="69"/>
      <c r="C387" s="54" t="s">
        <v>675</v>
      </c>
      <c r="D387" s="54"/>
      <c r="E387" t="s">
        <v>265</v>
      </c>
    </row>
    <row r="388" spans="1:5">
      <c r="A388" s="79"/>
      <c r="B388" s="69"/>
      <c r="C388" s="54" t="s">
        <v>676</v>
      </c>
      <c r="D388" s="54"/>
      <c r="E388" t="s">
        <v>265</v>
      </c>
    </row>
    <row r="389" spans="1:5">
      <c r="A389" s="79"/>
      <c r="B389" s="69"/>
      <c r="C389" s="54" t="s">
        <v>677</v>
      </c>
      <c r="D389" s="54"/>
      <c r="E389" t="s">
        <v>265</v>
      </c>
    </row>
    <row r="390" spans="1:5">
      <c r="A390" s="79"/>
      <c r="B390" s="69"/>
      <c r="C390" s="54" t="s">
        <v>678</v>
      </c>
      <c r="D390" s="54"/>
      <c r="E390" t="s">
        <v>265</v>
      </c>
    </row>
    <row r="391" spans="1:5">
      <c r="A391" s="79"/>
      <c r="B391" s="69"/>
      <c r="C391" s="54" t="s">
        <v>679</v>
      </c>
      <c r="D391" s="54"/>
      <c r="E391" t="s">
        <v>265</v>
      </c>
    </row>
    <row r="392" spans="1:5">
      <c r="A392" s="79"/>
      <c r="B392" s="69"/>
      <c r="C392" s="54" t="s">
        <v>680</v>
      </c>
      <c r="D392" s="54"/>
      <c r="E392" t="s">
        <v>265</v>
      </c>
    </row>
    <row r="393" spans="1:5">
      <c r="A393" s="79"/>
      <c r="B393" s="69"/>
      <c r="C393" s="54" t="s">
        <v>681</v>
      </c>
      <c r="D393" s="54"/>
      <c r="E393" t="s">
        <v>265</v>
      </c>
    </row>
    <row r="394" spans="1:5">
      <c r="A394" s="79"/>
      <c r="B394" s="69"/>
      <c r="C394" s="54" t="s">
        <v>682</v>
      </c>
      <c r="D394" s="54"/>
      <c r="E394" t="s">
        <v>265</v>
      </c>
    </row>
    <row r="395" spans="1:5">
      <c r="A395" s="79"/>
      <c r="B395" s="69"/>
      <c r="C395" s="54" t="s">
        <v>683</v>
      </c>
      <c r="D395" s="54"/>
      <c r="E395" t="s">
        <v>265</v>
      </c>
    </row>
    <row r="396" spans="1:5">
      <c r="A396" s="79"/>
      <c r="B396" s="69"/>
      <c r="C396" s="54" t="s">
        <v>684</v>
      </c>
      <c r="D396" s="54"/>
      <c r="E396" t="s">
        <v>265</v>
      </c>
    </row>
    <row r="397" spans="1:5">
      <c r="A397" s="79"/>
      <c r="B397" s="69"/>
      <c r="C397" s="54" t="s">
        <v>685</v>
      </c>
      <c r="D397" s="54"/>
      <c r="E397" t="s">
        <v>265</v>
      </c>
    </row>
    <row r="398" spans="1:5">
      <c r="A398" s="79"/>
      <c r="B398" s="69"/>
      <c r="C398" s="54" t="s">
        <v>686</v>
      </c>
      <c r="D398" s="54"/>
      <c r="E398" t="s">
        <v>265</v>
      </c>
    </row>
    <row r="399" spans="1:5">
      <c r="A399" s="79"/>
      <c r="B399" s="69"/>
      <c r="C399" s="54" t="s">
        <v>687</v>
      </c>
      <c r="D399" s="54"/>
      <c r="E399" t="s">
        <v>265</v>
      </c>
    </row>
    <row r="400" spans="1:5">
      <c r="A400" s="79"/>
      <c r="B400" s="69"/>
      <c r="C400" s="54" t="s">
        <v>688</v>
      </c>
      <c r="D400" s="54"/>
      <c r="E400" t="s">
        <v>265</v>
      </c>
    </row>
    <row r="401" spans="1:5">
      <c r="A401" s="79"/>
      <c r="B401" s="69"/>
      <c r="C401" s="54" t="s">
        <v>689</v>
      </c>
      <c r="D401" s="54"/>
      <c r="E401" t="s">
        <v>265</v>
      </c>
    </row>
    <row r="402" spans="1:5">
      <c r="A402" s="79"/>
      <c r="B402" s="69"/>
      <c r="C402" s="54" t="s">
        <v>690</v>
      </c>
      <c r="D402" s="54"/>
      <c r="E402" t="s">
        <v>265</v>
      </c>
    </row>
    <row r="403" spans="1:5">
      <c r="A403" s="79"/>
      <c r="B403" s="69"/>
      <c r="C403" s="54" t="s">
        <v>691</v>
      </c>
      <c r="D403" s="54"/>
      <c r="E403" t="s">
        <v>265</v>
      </c>
    </row>
    <row r="404" spans="1:5">
      <c r="A404" s="79"/>
      <c r="B404" s="69"/>
      <c r="C404" s="54" t="s">
        <v>692</v>
      </c>
      <c r="D404" s="54"/>
      <c r="E404" t="s">
        <v>265</v>
      </c>
    </row>
    <row r="405" spans="1:5">
      <c r="A405" s="79"/>
      <c r="B405" s="69"/>
      <c r="C405" s="54" t="s">
        <v>693</v>
      </c>
      <c r="D405" s="54"/>
      <c r="E405" t="s">
        <v>265</v>
      </c>
    </row>
    <row r="406" spans="1:5">
      <c r="A406" s="79"/>
      <c r="B406" s="69"/>
      <c r="C406" s="54" t="s">
        <v>694</v>
      </c>
      <c r="D406" s="54"/>
      <c r="E406" t="s">
        <v>265</v>
      </c>
    </row>
    <row r="407" spans="1:5">
      <c r="A407" s="79"/>
      <c r="B407" s="69"/>
      <c r="C407" s="54" t="s">
        <v>695</v>
      </c>
      <c r="D407" s="54"/>
      <c r="E407" t="s">
        <v>265</v>
      </c>
    </row>
    <row r="408" spans="1:5">
      <c r="A408" s="79"/>
      <c r="B408" s="69"/>
      <c r="C408" s="54" t="s">
        <v>696</v>
      </c>
      <c r="D408" s="54"/>
      <c r="E408" t="s">
        <v>265</v>
      </c>
    </row>
    <row r="409" spans="1:5">
      <c r="A409" s="79"/>
      <c r="B409" s="69"/>
      <c r="C409" s="54" t="s">
        <v>697</v>
      </c>
      <c r="D409" s="54"/>
      <c r="E409" t="s">
        <v>265</v>
      </c>
    </row>
    <row r="410" spans="1:5">
      <c r="A410" s="79"/>
      <c r="B410" s="69"/>
      <c r="C410" s="54" t="s">
        <v>698</v>
      </c>
      <c r="D410" s="54"/>
      <c r="E410" t="s">
        <v>265</v>
      </c>
    </row>
    <row r="411" spans="1:5">
      <c r="A411" s="79"/>
      <c r="B411" s="69"/>
      <c r="C411" s="54" t="s">
        <v>699</v>
      </c>
      <c r="D411" s="54"/>
      <c r="E411" t="s">
        <v>265</v>
      </c>
    </row>
    <row r="412" spans="1:5">
      <c r="A412" s="79"/>
      <c r="B412" s="69"/>
      <c r="C412" s="54" t="s">
        <v>700</v>
      </c>
      <c r="D412" s="54"/>
      <c r="E412" t="s">
        <v>265</v>
      </c>
    </row>
    <row r="413" spans="1:5">
      <c r="A413" s="79"/>
      <c r="B413" s="69"/>
      <c r="C413" s="54" t="s">
        <v>701</v>
      </c>
      <c r="D413" s="54"/>
      <c r="E413" t="s">
        <v>265</v>
      </c>
    </row>
    <row r="414" spans="1:5">
      <c r="A414" s="79"/>
      <c r="B414" s="69"/>
      <c r="C414" s="54" t="s">
        <v>702</v>
      </c>
      <c r="D414" s="54"/>
      <c r="E414" t="s">
        <v>265</v>
      </c>
    </row>
    <row r="415" spans="1:5">
      <c r="A415" s="79"/>
      <c r="B415" s="69"/>
      <c r="C415" s="54" t="s">
        <v>703</v>
      </c>
      <c r="D415" s="54"/>
      <c r="E415" t="s">
        <v>265</v>
      </c>
    </row>
    <row r="416" spans="1:5">
      <c r="A416" s="79"/>
      <c r="B416" s="69"/>
      <c r="C416" s="54" t="s">
        <v>704</v>
      </c>
      <c r="D416" s="54"/>
      <c r="E416" t="s">
        <v>265</v>
      </c>
    </row>
    <row r="417" spans="1:5">
      <c r="A417" s="79"/>
      <c r="B417" s="69"/>
      <c r="C417" s="54" t="s">
        <v>705</v>
      </c>
      <c r="D417" s="54"/>
      <c r="E417" t="s">
        <v>265</v>
      </c>
    </row>
    <row r="418" spans="1:5">
      <c r="A418" s="79"/>
      <c r="B418" s="69"/>
      <c r="C418" s="54" t="s">
        <v>706</v>
      </c>
      <c r="D418" s="54"/>
      <c r="E418" t="s">
        <v>265</v>
      </c>
    </row>
    <row r="419" spans="1:5">
      <c r="A419" s="79"/>
      <c r="B419" s="69"/>
      <c r="C419" s="54" t="s">
        <v>707</v>
      </c>
      <c r="D419" s="54"/>
      <c r="E419" t="s">
        <v>265</v>
      </c>
    </row>
    <row r="420" spans="1:5">
      <c r="A420" s="79"/>
      <c r="B420" s="69"/>
      <c r="C420" s="54" t="s">
        <v>708</v>
      </c>
      <c r="D420" s="54"/>
      <c r="E420" t="s">
        <v>265</v>
      </c>
    </row>
    <row r="421" spans="1:5">
      <c r="A421" s="79"/>
      <c r="B421" s="69"/>
      <c r="C421" s="54" t="s">
        <v>709</v>
      </c>
      <c r="D421" s="54"/>
      <c r="E421" t="s">
        <v>265</v>
      </c>
    </row>
    <row r="422" spans="1:5">
      <c r="A422" s="79"/>
      <c r="B422" s="69"/>
      <c r="C422" s="54" t="s">
        <v>710</v>
      </c>
      <c r="D422" s="54"/>
      <c r="E422" t="s">
        <v>265</v>
      </c>
    </row>
    <row r="423" spans="1:5">
      <c r="A423" s="79"/>
      <c r="B423" s="69"/>
      <c r="C423" s="54" t="s">
        <v>711</v>
      </c>
      <c r="D423" s="54"/>
      <c r="E423" t="s">
        <v>265</v>
      </c>
    </row>
    <row r="424" spans="1:5">
      <c r="A424" s="79"/>
      <c r="B424" s="69"/>
      <c r="C424" s="54" t="s">
        <v>712</v>
      </c>
      <c r="D424" s="54"/>
      <c r="E424" t="s">
        <v>265</v>
      </c>
    </row>
    <row r="425" spans="1:5">
      <c r="A425" s="79"/>
      <c r="B425" s="69"/>
      <c r="C425" s="54" t="s">
        <v>713</v>
      </c>
      <c r="D425" s="54"/>
      <c r="E425" t="s">
        <v>265</v>
      </c>
    </row>
    <row r="426" spans="1:5">
      <c r="A426" s="79"/>
      <c r="B426" s="69"/>
      <c r="C426" s="54" t="s">
        <v>714</v>
      </c>
      <c r="D426" s="54"/>
      <c r="E426" t="s">
        <v>265</v>
      </c>
    </row>
    <row r="427" spans="1:5">
      <c r="A427" s="79"/>
      <c r="B427" s="69"/>
      <c r="C427" s="54" t="s">
        <v>715</v>
      </c>
      <c r="D427" s="54"/>
      <c r="E427" t="s">
        <v>265</v>
      </c>
    </row>
    <row r="428" spans="1:5">
      <c r="A428" s="79"/>
      <c r="B428" s="69"/>
      <c r="C428" s="54" t="s">
        <v>716</v>
      </c>
      <c r="D428" s="54"/>
      <c r="E428" t="s">
        <v>265</v>
      </c>
    </row>
    <row r="429" spans="1:5">
      <c r="A429" s="79"/>
      <c r="B429" s="69"/>
      <c r="C429" s="54" t="s">
        <v>717</v>
      </c>
      <c r="D429" s="54"/>
      <c r="E429" t="s">
        <v>265</v>
      </c>
    </row>
    <row r="430" spans="1:5">
      <c r="A430" s="79"/>
      <c r="B430" s="69"/>
      <c r="C430" s="54" t="s">
        <v>718</v>
      </c>
      <c r="D430" s="54"/>
      <c r="E430" t="s">
        <v>265</v>
      </c>
    </row>
    <row r="431" spans="1:5">
      <c r="A431" s="79"/>
      <c r="B431" s="69"/>
      <c r="C431" s="54" t="s">
        <v>719</v>
      </c>
      <c r="D431" s="54"/>
      <c r="E431" t="s">
        <v>265</v>
      </c>
    </row>
    <row r="432" spans="1:5">
      <c r="A432" s="79"/>
      <c r="B432" s="69"/>
      <c r="C432" s="54" t="s">
        <v>720</v>
      </c>
      <c r="D432" s="54"/>
      <c r="E432" t="s">
        <v>265</v>
      </c>
    </row>
    <row r="433" spans="1:5">
      <c r="A433" s="79"/>
      <c r="B433" s="69"/>
      <c r="C433" s="54" t="s">
        <v>721</v>
      </c>
      <c r="D433" s="54"/>
      <c r="E433" t="s">
        <v>265</v>
      </c>
    </row>
    <row r="434" spans="1:5">
      <c r="A434" s="79"/>
      <c r="B434" s="69"/>
      <c r="C434" s="54" t="s">
        <v>722</v>
      </c>
      <c r="D434" s="54"/>
      <c r="E434" t="s">
        <v>265</v>
      </c>
    </row>
    <row r="435" spans="1:5">
      <c r="A435" s="79"/>
      <c r="B435" s="69"/>
      <c r="C435" s="54" t="s">
        <v>723</v>
      </c>
      <c r="D435" s="54"/>
      <c r="E435" t="s">
        <v>265</v>
      </c>
    </row>
    <row r="436" spans="1:5">
      <c r="A436" s="79"/>
      <c r="B436" s="69"/>
      <c r="C436" s="54" t="s">
        <v>724</v>
      </c>
      <c r="D436" s="54"/>
      <c r="E436" t="s">
        <v>265</v>
      </c>
    </row>
    <row r="437" spans="1:5">
      <c r="A437" s="79"/>
      <c r="B437" s="69"/>
      <c r="C437" s="54" t="s">
        <v>725</v>
      </c>
      <c r="D437" s="54"/>
      <c r="E437" t="s">
        <v>265</v>
      </c>
    </row>
    <row r="438" spans="1:5">
      <c r="A438" s="79"/>
      <c r="B438" s="69"/>
      <c r="C438" s="54" t="s">
        <v>726</v>
      </c>
      <c r="D438" s="54"/>
      <c r="E438" t="s">
        <v>265</v>
      </c>
    </row>
    <row r="439" spans="1:5">
      <c r="A439" s="79"/>
      <c r="B439" s="69"/>
      <c r="C439" s="54" t="s">
        <v>727</v>
      </c>
      <c r="D439" s="54"/>
      <c r="E439" t="s">
        <v>265</v>
      </c>
    </row>
    <row r="440" spans="1:5">
      <c r="A440" s="79"/>
      <c r="B440" s="69"/>
      <c r="C440" s="54" t="s">
        <v>728</v>
      </c>
      <c r="D440" s="54"/>
      <c r="E440" t="s">
        <v>265</v>
      </c>
    </row>
    <row r="441" spans="1:5">
      <c r="A441" s="79"/>
      <c r="B441" s="69"/>
      <c r="C441" s="54" t="s">
        <v>729</v>
      </c>
      <c r="D441" s="54"/>
      <c r="E441" t="s">
        <v>265</v>
      </c>
    </row>
    <row r="442" spans="1:5">
      <c r="A442" s="79"/>
      <c r="B442" s="69"/>
      <c r="C442" s="54" t="s">
        <v>730</v>
      </c>
      <c r="D442" s="54"/>
      <c r="E442" t="s">
        <v>265</v>
      </c>
    </row>
    <row r="443" spans="1:5">
      <c r="A443" s="79"/>
      <c r="B443" s="69"/>
      <c r="C443" s="54" t="s">
        <v>731</v>
      </c>
      <c r="D443" s="54"/>
      <c r="E443" t="s">
        <v>265</v>
      </c>
    </row>
    <row r="444" spans="1:5">
      <c r="A444" s="79"/>
      <c r="B444" s="69"/>
      <c r="C444" s="54" t="s">
        <v>732</v>
      </c>
      <c r="D444" s="54"/>
      <c r="E444" t="s">
        <v>265</v>
      </c>
    </row>
    <row r="445" spans="1:5">
      <c r="A445" s="79"/>
      <c r="B445" s="69"/>
      <c r="C445" s="54" t="s">
        <v>733</v>
      </c>
      <c r="D445" s="54"/>
      <c r="E445" t="s">
        <v>265</v>
      </c>
    </row>
    <row r="446" spans="1:5">
      <c r="A446" s="79"/>
      <c r="B446" s="69"/>
      <c r="C446" s="54" t="s">
        <v>734</v>
      </c>
      <c r="D446" s="54"/>
      <c r="E446" t="s">
        <v>265</v>
      </c>
    </row>
    <row r="447" spans="1:5">
      <c r="A447" s="79"/>
      <c r="B447" s="69"/>
      <c r="C447" s="54" t="s">
        <v>735</v>
      </c>
      <c r="D447" s="54"/>
      <c r="E447" t="s">
        <v>265</v>
      </c>
    </row>
    <row r="448" spans="1:5">
      <c r="A448" s="79"/>
      <c r="B448" s="69"/>
      <c r="C448" s="54" t="s">
        <v>736</v>
      </c>
      <c r="D448" s="54"/>
      <c r="E448" t="s">
        <v>265</v>
      </c>
    </row>
    <row r="449" spans="1:5">
      <c r="A449" s="79"/>
      <c r="B449" s="69"/>
      <c r="C449" s="54" t="s">
        <v>737</v>
      </c>
      <c r="D449" s="54"/>
      <c r="E449" t="s">
        <v>265</v>
      </c>
    </row>
    <row r="450" spans="1:5">
      <c r="A450" s="79"/>
      <c r="B450" s="69"/>
      <c r="C450" s="54" t="s">
        <v>738</v>
      </c>
      <c r="D450" s="54"/>
      <c r="E450" t="s">
        <v>265</v>
      </c>
    </row>
    <row r="451" spans="1:5">
      <c r="A451" s="79"/>
      <c r="B451" s="69"/>
      <c r="C451" s="54" t="s">
        <v>739</v>
      </c>
      <c r="D451" s="54"/>
      <c r="E451" t="s">
        <v>265</v>
      </c>
    </row>
    <row r="452" spans="1:5">
      <c r="A452" s="79"/>
      <c r="B452" s="69"/>
      <c r="C452" s="54" t="s">
        <v>740</v>
      </c>
      <c r="D452" s="54"/>
      <c r="E452" t="s">
        <v>265</v>
      </c>
    </row>
    <row r="453" spans="1:5">
      <c r="A453" s="79"/>
      <c r="B453" s="69"/>
      <c r="C453" s="54" t="s">
        <v>741</v>
      </c>
      <c r="D453" s="54"/>
      <c r="E453" t="s">
        <v>265</v>
      </c>
    </row>
    <row r="454" spans="1:5">
      <c r="A454" s="79"/>
      <c r="B454" s="69"/>
      <c r="C454" s="54" t="s">
        <v>742</v>
      </c>
      <c r="D454" s="54"/>
      <c r="E454" t="s">
        <v>265</v>
      </c>
    </row>
    <row r="455" spans="1:5">
      <c r="A455" s="79"/>
      <c r="B455" s="69"/>
      <c r="C455" s="54" t="s">
        <v>743</v>
      </c>
      <c r="D455" s="54"/>
      <c r="E455" t="s">
        <v>265</v>
      </c>
    </row>
    <row r="456" spans="1:5">
      <c r="A456" s="79"/>
      <c r="B456" s="69"/>
      <c r="C456" s="54" t="s">
        <v>744</v>
      </c>
      <c r="D456" s="54"/>
      <c r="E456" t="s">
        <v>265</v>
      </c>
    </row>
    <row r="457" spans="1:5">
      <c r="A457" s="79"/>
      <c r="B457" s="69"/>
      <c r="C457" s="54" t="s">
        <v>745</v>
      </c>
      <c r="D457" s="54"/>
      <c r="E457" t="s">
        <v>265</v>
      </c>
    </row>
    <row r="458" spans="1:5">
      <c r="A458" s="79"/>
      <c r="B458" s="69"/>
      <c r="C458" s="54" t="s">
        <v>746</v>
      </c>
      <c r="D458" s="54"/>
      <c r="E458" t="s">
        <v>265</v>
      </c>
    </row>
    <row r="459" spans="1:5">
      <c r="A459" s="79"/>
      <c r="B459" s="69"/>
      <c r="C459" s="54" t="s">
        <v>747</v>
      </c>
      <c r="D459" s="54"/>
      <c r="E459" t="s">
        <v>265</v>
      </c>
    </row>
    <row r="460" spans="1:5">
      <c r="A460" s="79"/>
      <c r="B460" s="69"/>
      <c r="C460" s="54" t="s">
        <v>748</v>
      </c>
      <c r="D460" s="54"/>
      <c r="E460" t="s">
        <v>265</v>
      </c>
    </row>
    <row r="461" spans="1:5">
      <c r="A461" s="79"/>
      <c r="B461" s="69"/>
      <c r="C461" s="54" t="s">
        <v>749</v>
      </c>
      <c r="D461" s="54"/>
      <c r="E461" t="s">
        <v>265</v>
      </c>
    </row>
    <row r="462" spans="1:5">
      <c r="A462" s="79"/>
      <c r="B462" s="69"/>
      <c r="C462" s="54" t="s">
        <v>750</v>
      </c>
      <c r="D462" s="54"/>
      <c r="E462" t="s">
        <v>265</v>
      </c>
    </row>
    <row r="463" spans="1:5">
      <c r="A463" s="79"/>
      <c r="B463" s="69"/>
      <c r="C463" s="54" t="s">
        <v>751</v>
      </c>
      <c r="D463" s="54"/>
      <c r="E463" t="s">
        <v>265</v>
      </c>
    </row>
    <row r="464" spans="1:5">
      <c r="A464" s="79"/>
      <c r="B464" s="69"/>
      <c r="C464" s="54" t="s">
        <v>752</v>
      </c>
      <c r="D464" s="54"/>
      <c r="E464" t="s">
        <v>265</v>
      </c>
    </row>
    <row r="465" spans="1:5">
      <c r="A465" s="79"/>
      <c r="B465" s="69"/>
      <c r="C465" s="54" t="s">
        <v>753</v>
      </c>
      <c r="D465" s="54"/>
      <c r="E465" t="s">
        <v>265</v>
      </c>
    </row>
    <row r="466" spans="1:5">
      <c r="A466" s="79"/>
      <c r="B466" s="69"/>
      <c r="C466" s="54" t="s">
        <v>754</v>
      </c>
      <c r="D466" s="54"/>
      <c r="E466" t="s">
        <v>265</v>
      </c>
    </row>
    <row r="467" spans="1:5">
      <c r="A467" s="79"/>
      <c r="B467" s="69"/>
      <c r="C467" s="54" t="s">
        <v>755</v>
      </c>
      <c r="D467" s="54"/>
      <c r="E467" t="s">
        <v>265</v>
      </c>
    </row>
    <row r="468" spans="1:5">
      <c r="A468" s="79"/>
      <c r="B468" s="69"/>
      <c r="C468" s="54" t="s">
        <v>756</v>
      </c>
      <c r="D468" s="54"/>
      <c r="E468" t="s">
        <v>265</v>
      </c>
    </row>
    <row r="469" spans="1:5">
      <c r="A469" s="79"/>
      <c r="B469" s="69"/>
      <c r="C469" s="54" t="s">
        <v>757</v>
      </c>
      <c r="D469" s="54"/>
      <c r="E469" t="s">
        <v>265</v>
      </c>
    </row>
    <row r="470" spans="1:5">
      <c r="A470" s="79"/>
      <c r="B470" s="69"/>
      <c r="C470" s="54" t="s">
        <v>758</v>
      </c>
      <c r="D470" s="54"/>
      <c r="E470" t="s">
        <v>265</v>
      </c>
    </row>
    <row r="471" spans="1:5">
      <c r="A471" s="79"/>
      <c r="B471" s="69"/>
      <c r="C471" s="54" t="s">
        <v>759</v>
      </c>
      <c r="D471" s="54"/>
      <c r="E471" t="s">
        <v>265</v>
      </c>
    </row>
    <row r="472" spans="1:5">
      <c r="A472" s="79"/>
      <c r="B472" s="69"/>
      <c r="C472" s="54" t="s">
        <v>760</v>
      </c>
      <c r="D472" s="54"/>
      <c r="E472" t="s">
        <v>265</v>
      </c>
    </row>
    <row r="473" spans="1:5">
      <c r="A473" s="79"/>
      <c r="B473" s="69"/>
      <c r="C473" s="54" t="s">
        <v>761</v>
      </c>
      <c r="D473" s="54"/>
      <c r="E473" t="s">
        <v>265</v>
      </c>
    </row>
    <row r="474" spans="1:5">
      <c r="A474" s="79"/>
      <c r="B474" s="69"/>
      <c r="C474" s="54" t="s">
        <v>762</v>
      </c>
      <c r="D474" s="54"/>
      <c r="E474" t="s">
        <v>265</v>
      </c>
    </row>
    <row r="475" spans="1:5">
      <c r="A475" s="79"/>
      <c r="B475" s="69"/>
      <c r="C475" s="54" t="s">
        <v>763</v>
      </c>
      <c r="D475" s="54"/>
      <c r="E475" t="s">
        <v>265</v>
      </c>
    </row>
    <row r="476" spans="1:5">
      <c r="A476" s="79"/>
      <c r="B476" s="69"/>
      <c r="C476" s="54" t="s">
        <v>764</v>
      </c>
      <c r="D476" s="54"/>
      <c r="E476" t="s">
        <v>265</v>
      </c>
    </row>
    <row r="477" spans="1:5">
      <c r="A477" s="79"/>
      <c r="B477" s="69"/>
      <c r="C477" s="54" t="s">
        <v>765</v>
      </c>
      <c r="D477" s="54"/>
      <c r="E477" t="s">
        <v>265</v>
      </c>
    </row>
    <row r="478" spans="1:5">
      <c r="A478" s="79"/>
      <c r="B478" s="69"/>
      <c r="C478" s="54" t="s">
        <v>766</v>
      </c>
      <c r="D478" s="54"/>
      <c r="E478" t="s">
        <v>265</v>
      </c>
    </row>
    <row r="479" spans="1:5">
      <c r="A479" s="79"/>
      <c r="B479" s="69"/>
      <c r="C479" s="54" t="s">
        <v>767</v>
      </c>
      <c r="D479" s="54"/>
      <c r="E479" t="s">
        <v>265</v>
      </c>
    </row>
    <row r="480" spans="1:5">
      <c r="A480" s="79"/>
      <c r="B480" s="69"/>
      <c r="C480" s="54" t="s">
        <v>768</v>
      </c>
      <c r="D480" s="54"/>
      <c r="E480" t="s">
        <v>265</v>
      </c>
    </row>
    <row r="481" spans="1:5">
      <c r="A481" s="79"/>
      <c r="B481" s="69"/>
      <c r="C481" s="54" t="s">
        <v>769</v>
      </c>
      <c r="D481" s="54"/>
      <c r="E481" t="s">
        <v>265</v>
      </c>
    </row>
    <row r="482" spans="1:5">
      <c r="A482" s="79"/>
      <c r="B482" s="69"/>
      <c r="C482" s="54" t="s">
        <v>770</v>
      </c>
      <c r="D482" s="54"/>
      <c r="E482" t="s">
        <v>265</v>
      </c>
    </row>
    <row r="483" spans="1:5">
      <c r="A483" s="79"/>
      <c r="B483" s="69"/>
      <c r="C483" s="54" t="s">
        <v>771</v>
      </c>
      <c r="D483" s="54"/>
      <c r="E483" t="s">
        <v>265</v>
      </c>
    </row>
    <row r="484" spans="1:5">
      <c r="A484" s="79"/>
      <c r="B484" s="69"/>
      <c r="C484" s="54" t="s">
        <v>772</v>
      </c>
      <c r="D484" s="54"/>
      <c r="E484" t="s">
        <v>265</v>
      </c>
    </row>
    <row r="485" spans="1:5">
      <c r="A485" s="79"/>
      <c r="B485" s="69"/>
      <c r="C485" s="54" t="s">
        <v>773</v>
      </c>
      <c r="D485" s="54"/>
      <c r="E485" t="s">
        <v>265</v>
      </c>
    </row>
    <row r="486" spans="1:5">
      <c r="A486" s="79"/>
      <c r="B486" s="69"/>
      <c r="C486" s="54" t="s">
        <v>774</v>
      </c>
      <c r="D486" s="54"/>
      <c r="E486" t="s">
        <v>265</v>
      </c>
    </row>
    <row r="487" spans="1:5">
      <c r="A487" s="79"/>
      <c r="B487" s="69"/>
      <c r="C487" s="54" t="s">
        <v>775</v>
      </c>
      <c r="D487" s="54"/>
      <c r="E487" t="s">
        <v>265</v>
      </c>
    </row>
    <row r="488" spans="1:5">
      <c r="A488" s="79"/>
      <c r="B488" s="69"/>
      <c r="C488" s="54" t="s">
        <v>776</v>
      </c>
      <c r="D488" s="54"/>
      <c r="E488" t="s">
        <v>265</v>
      </c>
    </row>
    <row r="489" spans="1:5">
      <c r="A489" s="79"/>
      <c r="B489" s="69"/>
      <c r="C489" s="54" t="s">
        <v>204</v>
      </c>
      <c r="D489" s="54"/>
    </row>
    <row r="490" spans="1:5">
      <c r="A490" s="79"/>
      <c r="B490" s="69"/>
      <c r="C490" s="54" t="s">
        <v>777</v>
      </c>
      <c r="D490" s="54"/>
    </row>
    <row r="491" spans="1:5">
      <c r="A491" s="79"/>
      <c r="B491" s="69"/>
      <c r="C491" s="54" t="s">
        <v>778</v>
      </c>
      <c r="D491" s="54"/>
    </row>
    <row r="492" spans="1:5">
      <c r="A492" s="79"/>
      <c r="B492" s="69"/>
      <c r="C492" s="54" t="s">
        <v>779</v>
      </c>
      <c r="D492" s="54"/>
    </row>
    <row r="493" spans="1:5">
      <c r="A493" s="79"/>
      <c r="B493" s="69"/>
      <c r="C493" s="54" t="s">
        <v>780</v>
      </c>
      <c r="D493" s="54"/>
    </row>
    <row r="494" spans="1:5">
      <c r="A494" s="79"/>
      <c r="B494" s="69"/>
      <c r="C494" s="54" t="s">
        <v>781</v>
      </c>
      <c r="D494" s="54"/>
    </row>
    <row r="495" spans="1:5">
      <c r="A495" s="79"/>
      <c r="B495" s="69"/>
      <c r="C495" s="54" t="s">
        <v>782</v>
      </c>
      <c r="D495" s="54"/>
    </row>
    <row r="496" spans="1:5">
      <c r="A496" s="79"/>
      <c r="B496" s="69"/>
      <c r="C496" s="54" t="s">
        <v>783</v>
      </c>
      <c r="D496" s="54"/>
    </row>
    <row r="497" spans="1:4">
      <c r="A497" s="79"/>
      <c r="B497" s="69"/>
      <c r="C497" s="54" t="s">
        <v>784</v>
      </c>
      <c r="D497" s="54"/>
    </row>
    <row r="498" spans="1:4">
      <c r="A498" s="80"/>
      <c r="B498" s="70"/>
      <c r="C498" s="54" t="s">
        <v>614</v>
      </c>
      <c r="D498" s="54"/>
    </row>
    <row r="499" spans="1:4">
      <c r="A499" s="112"/>
      <c r="B499" s="116" t="s">
        <v>785</v>
      </c>
      <c r="C499" s="52" t="s">
        <v>484</v>
      </c>
      <c r="D499" s="52"/>
    </row>
    <row r="500" spans="1:4">
      <c r="A500" s="61"/>
      <c r="B500" s="116"/>
      <c r="C500" s="52" t="s">
        <v>786</v>
      </c>
      <c r="D500" s="52"/>
    </row>
    <row r="501" spans="1:4">
      <c r="A501" s="61"/>
      <c r="B501" s="116"/>
      <c r="C501" s="52" t="s">
        <v>787</v>
      </c>
      <c r="D501" s="52"/>
    </row>
    <row r="502" spans="1:4">
      <c r="A502" s="61"/>
      <c r="B502" s="116"/>
      <c r="C502" s="52" t="s">
        <v>788</v>
      </c>
      <c r="D502" s="52"/>
    </row>
    <row r="503" spans="1:4">
      <c r="A503" s="61"/>
      <c r="B503" s="116"/>
      <c r="C503" s="52" t="s">
        <v>789</v>
      </c>
      <c r="D503" s="52"/>
    </row>
    <row r="504" spans="1:4">
      <c r="A504" s="61"/>
      <c r="B504" s="116"/>
      <c r="C504" s="52" t="s">
        <v>790</v>
      </c>
      <c r="D504" s="52"/>
    </row>
    <row r="505" spans="1:4">
      <c r="A505" s="61"/>
      <c r="B505" s="116"/>
      <c r="C505" s="52" t="s">
        <v>791</v>
      </c>
      <c r="D505" s="52"/>
    </row>
    <row r="506" spans="1:4">
      <c r="A506" s="61"/>
      <c r="B506" s="116"/>
      <c r="C506" s="52" t="s">
        <v>792</v>
      </c>
      <c r="D506" s="52"/>
    </row>
    <row r="507" spans="1:4">
      <c r="A507" s="61"/>
      <c r="B507" s="116"/>
      <c r="C507" s="52" t="s">
        <v>793</v>
      </c>
      <c r="D507" s="52"/>
    </row>
    <row r="508" spans="1:4">
      <c r="A508" s="61"/>
      <c r="B508" s="116"/>
      <c r="C508" s="52" t="s">
        <v>794</v>
      </c>
      <c r="D508" s="52"/>
    </row>
    <row r="509" spans="1:4">
      <c r="A509" s="61"/>
      <c r="B509" s="116"/>
      <c r="C509" s="52" t="s">
        <v>795</v>
      </c>
      <c r="D509" s="52"/>
    </row>
    <row r="510" spans="1:4">
      <c r="A510" s="61"/>
      <c r="B510" s="116"/>
      <c r="C510" s="52" t="s">
        <v>796</v>
      </c>
      <c r="D510" s="52"/>
    </row>
    <row r="511" spans="1:4">
      <c r="A511" s="61"/>
      <c r="B511" s="116"/>
      <c r="C511" s="52" t="s">
        <v>797</v>
      </c>
      <c r="D511" s="52"/>
    </row>
    <row r="512" spans="1:4">
      <c r="A512" s="61"/>
      <c r="B512" s="116"/>
      <c r="C512" s="52" t="s">
        <v>530</v>
      </c>
      <c r="D512" s="52"/>
    </row>
    <row r="513" spans="1:4">
      <c r="A513" s="61"/>
      <c r="B513" s="116"/>
      <c r="C513" s="52" t="s">
        <v>204</v>
      </c>
      <c r="D513" s="52"/>
    </row>
    <row r="514" spans="1:4">
      <c r="A514" s="79"/>
      <c r="B514" s="65" t="s">
        <v>798</v>
      </c>
      <c r="C514" s="54" t="s">
        <v>387</v>
      </c>
      <c r="D514" s="54"/>
    </row>
    <row r="515" spans="1:4">
      <c r="A515" s="80"/>
      <c r="B515" s="67"/>
      <c r="C515" s="54" t="s">
        <v>164</v>
      </c>
      <c r="D515" s="54"/>
    </row>
    <row r="516" spans="1:4">
      <c r="A516" s="61"/>
      <c r="B516" s="116" t="s">
        <v>799</v>
      </c>
      <c r="C516" s="52" t="s">
        <v>800</v>
      </c>
      <c r="D516" s="52"/>
    </row>
    <row r="517" spans="1:4">
      <c r="A517" s="61"/>
      <c r="B517" s="116"/>
      <c r="C517" s="52" t="s">
        <v>219</v>
      </c>
      <c r="D517" s="52"/>
    </row>
    <row r="518" spans="1:4">
      <c r="A518" s="61"/>
      <c r="B518" s="116"/>
      <c r="C518" s="52" t="s">
        <v>214</v>
      </c>
      <c r="D518" s="52"/>
    </row>
    <row r="519" spans="1:4">
      <c r="A519" s="61"/>
      <c r="B519" s="116"/>
      <c r="C519" s="52" t="s">
        <v>801</v>
      </c>
      <c r="D519" s="52"/>
    </row>
    <row r="520" spans="1:4">
      <c r="A520" s="114"/>
      <c r="B520" s="65" t="s">
        <v>802</v>
      </c>
      <c r="C520" s="54" t="s">
        <v>803</v>
      </c>
      <c r="D520" s="54"/>
    </row>
    <row r="521" spans="1:4">
      <c r="A521" s="77"/>
      <c r="B521" s="66"/>
      <c r="C521" s="54" t="s">
        <v>804</v>
      </c>
      <c r="D521" s="54"/>
    </row>
    <row r="522" spans="1:4">
      <c r="A522" s="77"/>
      <c r="B522" s="66"/>
      <c r="C522" s="54" t="s">
        <v>805</v>
      </c>
      <c r="D522" s="54"/>
    </row>
    <row r="523" spans="1:4">
      <c r="A523" s="77"/>
      <c r="B523" s="66"/>
      <c r="C523" s="54" t="s">
        <v>806</v>
      </c>
      <c r="D523" s="54"/>
    </row>
    <row r="524" spans="1:4">
      <c r="A524" s="77"/>
      <c r="B524" s="66"/>
      <c r="C524" s="54" t="s">
        <v>807</v>
      </c>
      <c r="D524" s="54"/>
    </row>
    <row r="525" spans="1:4">
      <c r="A525" s="77"/>
      <c r="B525" s="66"/>
      <c r="C525" s="54" t="s">
        <v>808</v>
      </c>
      <c r="D525" s="54"/>
    </row>
    <row r="526" spans="1:4">
      <c r="A526" s="77"/>
      <c r="B526" s="66"/>
      <c r="C526" s="54" t="s">
        <v>809</v>
      </c>
      <c r="D526" s="54"/>
    </row>
    <row r="527" spans="1:4">
      <c r="A527" s="77"/>
      <c r="B527" s="66"/>
      <c r="C527" s="54" t="s">
        <v>810</v>
      </c>
      <c r="D527" s="54"/>
    </row>
    <row r="528" spans="1:4">
      <c r="A528" s="77"/>
      <c r="B528" s="66"/>
      <c r="C528" s="54" t="s">
        <v>811</v>
      </c>
      <c r="D528" s="54"/>
    </row>
    <row r="529" spans="1:4">
      <c r="A529" s="77"/>
      <c r="B529" s="66"/>
      <c r="C529" s="54" t="s">
        <v>794</v>
      </c>
      <c r="D529" s="54"/>
    </row>
    <row r="530" spans="1:4">
      <c r="B530" s="66"/>
      <c r="C530" s="54" t="s">
        <v>812</v>
      </c>
      <c r="D530" s="54"/>
    </row>
    <row r="531" spans="1:4" ht="15">
      <c r="A531" s="77"/>
      <c r="B531" s="66"/>
      <c r="C531" s="54" t="s">
        <v>813</v>
      </c>
      <c r="D531" s="54" t="s">
        <v>814</v>
      </c>
    </row>
    <row r="532" spans="1:4" ht="15">
      <c r="A532" s="77"/>
      <c r="B532" s="66"/>
      <c r="C532" s="54" t="s">
        <v>815</v>
      </c>
      <c r="D532" s="54" t="s">
        <v>814</v>
      </c>
    </row>
    <row r="533" spans="1:4" ht="15">
      <c r="A533" s="77"/>
      <c r="B533" s="66"/>
      <c r="C533" s="54" t="s">
        <v>816</v>
      </c>
      <c r="D533" s="54" t="s">
        <v>814</v>
      </c>
    </row>
    <row r="534" spans="1:4">
      <c r="A534" s="77"/>
      <c r="B534" s="66"/>
      <c r="C534" s="54" t="s">
        <v>817</v>
      </c>
      <c r="D534" s="54"/>
    </row>
    <row r="535" spans="1:4">
      <c r="A535" s="77"/>
      <c r="B535" s="66"/>
      <c r="C535" s="54" t="s">
        <v>818</v>
      </c>
      <c r="D535" s="54"/>
    </row>
    <row r="536" spans="1:4">
      <c r="A536" s="77"/>
      <c r="B536" s="66"/>
      <c r="C536" s="54" t="s">
        <v>819</v>
      </c>
      <c r="D536" s="54"/>
    </row>
    <row r="537" spans="1:4">
      <c r="A537" s="77"/>
      <c r="B537" s="66"/>
      <c r="C537" s="54" t="s">
        <v>820</v>
      </c>
      <c r="D537" s="54"/>
    </row>
    <row r="538" spans="1:4">
      <c r="A538" s="77"/>
      <c r="B538" s="66"/>
      <c r="C538" s="54" t="s">
        <v>821</v>
      </c>
      <c r="D538" s="54"/>
    </row>
    <row r="539" spans="1:4">
      <c r="A539" s="77"/>
      <c r="B539" s="66"/>
      <c r="C539" s="54" t="s">
        <v>822</v>
      </c>
      <c r="D539" s="54"/>
    </row>
    <row r="540" spans="1:4">
      <c r="A540" s="77"/>
      <c r="B540" s="66"/>
      <c r="C540" s="54" t="s">
        <v>823</v>
      </c>
      <c r="D540" s="54"/>
    </row>
    <row r="541" spans="1:4">
      <c r="A541" s="77"/>
      <c r="B541" s="66"/>
      <c r="C541" s="54" t="s">
        <v>824</v>
      </c>
      <c r="D541" s="54"/>
    </row>
    <row r="542" spans="1:4">
      <c r="A542" s="77"/>
      <c r="B542" s="66"/>
      <c r="C542" s="54" t="s">
        <v>530</v>
      </c>
      <c r="D542" s="54"/>
    </row>
    <row r="543" spans="1:4">
      <c r="A543" s="77"/>
      <c r="B543" s="66"/>
      <c r="C543" s="54" t="s">
        <v>204</v>
      </c>
      <c r="D543" s="55"/>
    </row>
    <row r="544" spans="1:4">
      <c r="A544" s="83"/>
      <c r="B544" s="56" t="s">
        <v>825</v>
      </c>
      <c r="C544" s="52" t="s">
        <v>387</v>
      </c>
      <c r="D544" s="52"/>
    </row>
    <row r="545" spans="1:4">
      <c r="A545" s="84"/>
      <c r="B545" s="115"/>
      <c r="C545" s="52" t="s">
        <v>164</v>
      </c>
      <c r="D545" s="52"/>
    </row>
    <row r="546" spans="1:4">
      <c r="A546" s="77"/>
      <c r="B546" s="65" t="s">
        <v>826</v>
      </c>
      <c r="C546" s="54" t="s">
        <v>827</v>
      </c>
      <c r="D546" s="54"/>
    </row>
    <row r="547" spans="1:4">
      <c r="A547" s="77"/>
      <c r="B547" s="66"/>
      <c r="C547" s="54" t="s">
        <v>828</v>
      </c>
      <c r="D547" s="54"/>
    </row>
    <row r="548" spans="1:4">
      <c r="A548" s="77"/>
      <c r="B548" s="66"/>
      <c r="C548" s="54" t="s">
        <v>829</v>
      </c>
      <c r="D548" s="54"/>
    </row>
    <row r="549" spans="1:4">
      <c r="A549" s="77"/>
      <c r="B549" s="66"/>
      <c r="C549" s="54" t="s">
        <v>830</v>
      </c>
      <c r="D549" s="54"/>
    </row>
    <row r="550" spans="1:4">
      <c r="A550" s="77"/>
      <c r="B550" s="66"/>
      <c r="C550" s="54" t="s">
        <v>831</v>
      </c>
      <c r="D550" s="54"/>
    </row>
    <row r="551" spans="1:4">
      <c r="A551" s="83"/>
      <c r="B551" s="56" t="s">
        <v>832</v>
      </c>
      <c r="C551" s="52" t="s">
        <v>387</v>
      </c>
      <c r="D551" s="52"/>
    </row>
    <row r="552" spans="1:4">
      <c r="A552" s="84"/>
      <c r="B552" s="115"/>
      <c r="C552" s="52" t="s">
        <v>164</v>
      </c>
      <c r="D552" s="52"/>
    </row>
    <row r="553" spans="1:4">
      <c r="A553" s="62"/>
      <c r="B553" s="65" t="s">
        <v>833</v>
      </c>
      <c r="C553" s="54" t="s">
        <v>834</v>
      </c>
      <c r="D553" s="54"/>
    </row>
    <row r="554" spans="1:4">
      <c r="A554" s="63"/>
      <c r="B554" s="63"/>
      <c r="C554" s="54" t="s">
        <v>835</v>
      </c>
      <c r="D554" s="54"/>
    </row>
    <row r="555" spans="1:4">
      <c r="A555" s="63"/>
      <c r="B555" s="63"/>
      <c r="C555" s="54" t="s">
        <v>836</v>
      </c>
      <c r="D555" s="54"/>
    </row>
    <row r="556" spans="1:4">
      <c r="A556" s="63"/>
      <c r="B556" s="63"/>
      <c r="C556" s="54" t="s">
        <v>837</v>
      </c>
      <c r="D556" s="54"/>
    </row>
    <row r="557" spans="1:4">
      <c r="A557" s="63"/>
      <c r="B557" s="63"/>
      <c r="C557" s="54" t="s">
        <v>838</v>
      </c>
      <c r="D557" s="54"/>
    </row>
    <row r="558" spans="1:4">
      <c r="A558" s="63"/>
      <c r="B558" s="63"/>
      <c r="C558" s="54" t="s">
        <v>839</v>
      </c>
      <c r="D558" s="54"/>
    </row>
    <row r="559" spans="1:4">
      <c r="A559" s="63"/>
      <c r="B559" s="63"/>
      <c r="C559" s="54" t="s">
        <v>840</v>
      </c>
      <c r="D559" s="54"/>
    </row>
    <row r="560" spans="1:4">
      <c r="A560" s="63"/>
      <c r="B560" s="63"/>
      <c r="C560" s="54" t="s">
        <v>841</v>
      </c>
      <c r="D560" s="54"/>
    </row>
    <row r="561" spans="1:4">
      <c r="A561" s="63"/>
      <c r="B561" s="63"/>
      <c r="C561" s="54" t="s">
        <v>842</v>
      </c>
      <c r="D561" s="54"/>
    </row>
    <row r="562" spans="1:4">
      <c r="A562" s="63"/>
      <c r="B562" s="63"/>
      <c r="C562" s="54" t="s">
        <v>843</v>
      </c>
      <c r="D562" s="54"/>
    </row>
    <row r="563" spans="1:4">
      <c r="A563" s="63"/>
      <c r="B563" s="63"/>
      <c r="C563" s="54" t="s">
        <v>844</v>
      </c>
      <c r="D563" s="54"/>
    </row>
    <row r="564" spans="1:4">
      <c r="A564" s="63"/>
      <c r="B564" s="63"/>
      <c r="C564" s="54" t="s">
        <v>845</v>
      </c>
      <c r="D564" s="54"/>
    </row>
    <row r="565" spans="1:4">
      <c r="A565" s="63"/>
      <c r="B565" s="63"/>
      <c r="C565" s="54" t="s">
        <v>846</v>
      </c>
      <c r="D565" s="54"/>
    </row>
    <row r="566" spans="1:4">
      <c r="A566" s="63"/>
      <c r="B566" s="63"/>
      <c r="C566" s="54" t="s">
        <v>847</v>
      </c>
      <c r="D566" s="54"/>
    </row>
    <row r="567" spans="1:4">
      <c r="A567" s="63"/>
      <c r="B567" s="63"/>
      <c r="C567" s="54" t="s">
        <v>848</v>
      </c>
      <c r="D567" s="54"/>
    </row>
    <row r="568" spans="1:4">
      <c r="A568" s="63"/>
      <c r="B568" s="63"/>
      <c r="C568" s="54" t="s">
        <v>849</v>
      </c>
      <c r="D568" s="54"/>
    </row>
    <row r="569" spans="1:4">
      <c r="A569" s="63"/>
      <c r="B569" s="63"/>
      <c r="C569" s="54" t="s">
        <v>850</v>
      </c>
      <c r="D569" s="54"/>
    </row>
    <row r="570" spans="1:4">
      <c r="A570" s="63"/>
      <c r="B570" s="63"/>
      <c r="C570" s="54" t="s">
        <v>851</v>
      </c>
      <c r="D570" s="54"/>
    </row>
    <row r="571" spans="1:4">
      <c r="A571" s="63"/>
      <c r="B571" s="63"/>
      <c r="C571" s="54" t="s">
        <v>852</v>
      </c>
      <c r="D571" s="54"/>
    </row>
    <row r="572" spans="1:4">
      <c r="A572" s="63"/>
      <c r="B572" s="63"/>
      <c r="C572" s="54" t="s">
        <v>853</v>
      </c>
      <c r="D572" s="54"/>
    </row>
    <row r="573" spans="1:4">
      <c r="A573" s="63"/>
      <c r="B573" s="63"/>
      <c r="C573" s="54" t="s">
        <v>854</v>
      </c>
      <c r="D573" s="54"/>
    </row>
    <row r="574" spans="1:4">
      <c r="A574" s="63"/>
      <c r="B574" s="63"/>
      <c r="C574" s="54" t="s">
        <v>855</v>
      </c>
      <c r="D574" s="54"/>
    </row>
    <row r="575" spans="1:4">
      <c r="A575" s="63"/>
      <c r="B575" s="63"/>
      <c r="C575" s="54" t="s">
        <v>856</v>
      </c>
      <c r="D575" s="54"/>
    </row>
    <row r="576" spans="1:4">
      <c r="A576" s="63"/>
      <c r="B576" s="63"/>
      <c r="C576" s="54" t="s">
        <v>857</v>
      </c>
      <c r="D576" s="54"/>
    </row>
    <row r="577" spans="1:5">
      <c r="A577" s="63"/>
      <c r="B577" s="63"/>
      <c r="C577" s="54" t="s">
        <v>858</v>
      </c>
      <c r="D577" s="54"/>
    </row>
    <row r="578" spans="1:5">
      <c r="A578" s="63"/>
      <c r="B578" s="63"/>
      <c r="C578" s="54" t="s">
        <v>859</v>
      </c>
      <c r="D578" s="54"/>
    </row>
    <row r="579" spans="1:5">
      <c r="A579" s="63"/>
      <c r="B579" s="63"/>
      <c r="C579" s="54" t="s">
        <v>860</v>
      </c>
      <c r="D579" s="54"/>
    </row>
    <row r="580" spans="1:5">
      <c r="A580" s="63"/>
      <c r="B580" s="63"/>
      <c r="C580" s="54" t="s">
        <v>861</v>
      </c>
      <c r="D580" s="54"/>
      <c r="E580" t="s">
        <v>265</v>
      </c>
    </row>
    <row r="581" spans="1:5">
      <c r="A581" s="63"/>
      <c r="B581" s="63"/>
      <c r="C581" s="54" t="s">
        <v>862</v>
      </c>
      <c r="D581" s="54"/>
      <c r="E581" t="s">
        <v>265</v>
      </c>
    </row>
    <row r="582" spans="1:5">
      <c r="A582" s="63"/>
      <c r="B582" s="63"/>
      <c r="C582" s="54" t="s">
        <v>863</v>
      </c>
      <c r="D582" s="54"/>
    </row>
    <row r="583" spans="1:5">
      <c r="A583" s="63"/>
      <c r="B583" s="63"/>
      <c r="C583" s="54" t="s">
        <v>864</v>
      </c>
      <c r="D583" s="54"/>
    </row>
    <row r="584" spans="1:5">
      <c r="A584" s="63"/>
      <c r="B584" s="63"/>
      <c r="C584" s="54" t="s">
        <v>865</v>
      </c>
      <c r="D584" s="54"/>
    </row>
    <row r="585" spans="1:5">
      <c r="A585" s="63"/>
      <c r="B585" s="63"/>
      <c r="C585" s="54" t="s">
        <v>866</v>
      </c>
      <c r="D585" s="54"/>
    </row>
    <row r="586" spans="1:5">
      <c r="A586" s="63"/>
      <c r="B586" s="63"/>
      <c r="C586" s="54" t="s">
        <v>867</v>
      </c>
      <c r="D586" s="54"/>
    </row>
    <row r="587" spans="1:5">
      <c r="A587" s="63"/>
      <c r="B587" s="63"/>
      <c r="C587" s="54" t="s">
        <v>868</v>
      </c>
      <c r="D587" s="54"/>
    </row>
    <row r="588" spans="1:5">
      <c r="A588" s="63"/>
      <c r="B588" s="63"/>
      <c r="C588" s="54" t="s">
        <v>869</v>
      </c>
      <c r="D588" s="54"/>
    </row>
    <row r="589" spans="1:5">
      <c r="A589" s="63"/>
      <c r="B589" s="63"/>
      <c r="C589" s="54" t="s">
        <v>870</v>
      </c>
      <c r="D589" s="54"/>
    </row>
    <row r="590" spans="1:5">
      <c r="A590" s="63"/>
      <c r="B590" s="63"/>
      <c r="C590" s="54" t="s">
        <v>871</v>
      </c>
      <c r="D590" s="54"/>
    </row>
    <row r="591" spans="1:5">
      <c r="A591" s="64"/>
      <c r="B591" s="64"/>
      <c r="C591" s="54" t="s">
        <v>872</v>
      </c>
      <c r="D591" s="54"/>
    </row>
    <row r="592" spans="1:5">
      <c r="A592" s="61"/>
      <c r="B592" s="116" t="s">
        <v>152</v>
      </c>
      <c r="C592" s="52" t="s">
        <v>873</v>
      </c>
      <c r="D592" s="52"/>
    </row>
    <row r="593" spans="1:4">
      <c r="A593" s="61"/>
      <c r="B593" s="116"/>
      <c r="C593" s="52" t="s">
        <v>874</v>
      </c>
      <c r="D593" s="52"/>
    </row>
    <row r="594" spans="1:4">
      <c r="A594" s="61"/>
      <c r="B594" s="116"/>
      <c r="C594" s="52" t="s">
        <v>204</v>
      </c>
      <c r="D594" s="52"/>
    </row>
    <row r="595" spans="1:4">
      <c r="A595" s="65"/>
      <c r="B595" s="71" t="s">
        <v>875</v>
      </c>
      <c r="C595" s="54" t="s">
        <v>387</v>
      </c>
      <c r="D595" s="54"/>
    </row>
    <row r="596" spans="1:4">
      <c r="A596" s="117"/>
      <c r="B596" s="119"/>
      <c r="C596" s="118" t="s">
        <v>164</v>
      </c>
      <c r="D596" s="54"/>
    </row>
    <row r="597" spans="1:4">
      <c r="A597" s="112"/>
      <c r="B597" s="112" t="s">
        <v>876</v>
      </c>
      <c r="C597" s="52" t="s">
        <v>877</v>
      </c>
      <c r="D597" s="52"/>
    </row>
    <row r="598" spans="1:4">
      <c r="A598" s="61"/>
      <c r="B598" s="61"/>
      <c r="C598" s="52" t="s">
        <v>878</v>
      </c>
      <c r="D598" s="52"/>
    </row>
    <row r="599" spans="1:4">
      <c r="A599" s="61"/>
      <c r="B599" s="61"/>
      <c r="C599" s="52" t="s">
        <v>879</v>
      </c>
      <c r="D599" s="52"/>
    </row>
    <row r="600" spans="1:4">
      <c r="A600" s="61"/>
      <c r="B600" s="61"/>
      <c r="C600" s="52" t="s">
        <v>880</v>
      </c>
      <c r="D600" s="52"/>
    </row>
    <row r="601" spans="1:4">
      <c r="A601" s="61"/>
      <c r="B601" s="61"/>
      <c r="C601" s="52" t="s">
        <v>881</v>
      </c>
      <c r="D601" s="52"/>
    </row>
    <row r="602" spans="1:4">
      <c r="A602" s="61"/>
      <c r="B602" s="61"/>
      <c r="C602" s="52" t="s">
        <v>882</v>
      </c>
      <c r="D602" s="52"/>
    </row>
    <row r="603" spans="1:4">
      <c r="A603" s="61"/>
      <c r="B603" s="61"/>
      <c r="C603" s="52" t="s">
        <v>883</v>
      </c>
      <c r="D603" s="52"/>
    </row>
    <row r="604" spans="1:4">
      <c r="A604" s="61"/>
      <c r="B604" s="61"/>
      <c r="C604" s="52" t="s">
        <v>884</v>
      </c>
      <c r="D604" s="52"/>
    </row>
    <row r="605" spans="1:4">
      <c r="A605" s="61"/>
      <c r="B605" s="61"/>
      <c r="C605" s="52" t="s">
        <v>885</v>
      </c>
      <c r="D605" s="52"/>
    </row>
    <row r="606" spans="1:4">
      <c r="A606" s="61"/>
      <c r="B606" s="61"/>
      <c r="C606" s="52" t="s">
        <v>886</v>
      </c>
      <c r="D606" s="52"/>
    </row>
    <row r="607" spans="1:4">
      <c r="A607" s="61"/>
      <c r="B607" s="61"/>
      <c r="C607" s="52" t="s">
        <v>887</v>
      </c>
      <c r="D607" s="52"/>
    </row>
    <row r="608" spans="1:4">
      <c r="A608" s="61"/>
      <c r="B608" s="61"/>
      <c r="C608" s="52" t="s">
        <v>888</v>
      </c>
      <c r="D608" s="52"/>
    </row>
    <row r="609" spans="1:5">
      <c r="A609" s="61"/>
      <c r="B609" s="61"/>
      <c r="C609" s="52" t="s">
        <v>889</v>
      </c>
      <c r="D609" s="52"/>
    </row>
    <row r="610" spans="1:5">
      <c r="A610" s="61"/>
      <c r="B610" s="61"/>
      <c r="C610" s="52" t="s">
        <v>890</v>
      </c>
      <c r="D610" s="52"/>
    </row>
    <row r="611" spans="1:5">
      <c r="A611" s="61"/>
      <c r="B611" s="61"/>
      <c r="C611" s="52" t="s">
        <v>891</v>
      </c>
      <c r="D611" s="52"/>
    </row>
    <row r="612" spans="1:5">
      <c r="A612" s="61"/>
      <c r="B612" s="61"/>
      <c r="C612" s="52" t="s">
        <v>892</v>
      </c>
      <c r="D612" s="52"/>
    </row>
    <row r="613" spans="1:5">
      <c r="A613" s="61"/>
      <c r="B613" s="61"/>
      <c r="C613" s="52" t="s">
        <v>893</v>
      </c>
      <c r="D613" s="52"/>
    </row>
    <row r="614" spans="1:5">
      <c r="A614" s="61"/>
      <c r="B614" s="61"/>
      <c r="C614" s="52" t="s">
        <v>894</v>
      </c>
      <c r="D614" s="52"/>
    </row>
    <row r="615" spans="1:5">
      <c r="A615" s="61"/>
      <c r="B615" s="61"/>
      <c r="C615" s="52" t="s">
        <v>895</v>
      </c>
      <c r="D615" s="52"/>
    </row>
    <row r="616" spans="1:5">
      <c r="A616" s="61"/>
      <c r="B616" s="61"/>
      <c r="C616" s="52" t="s">
        <v>896</v>
      </c>
      <c r="D616" s="52"/>
    </row>
    <row r="617" spans="1:5">
      <c r="A617" s="61"/>
      <c r="B617" s="61"/>
      <c r="C617" s="52" t="s">
        <v>897</v>
      </c>
      <c r="D617" s="52"/>
    </row>
    <row r="618" spans="1:5">
      <c r="A618" s="61"/>
      <c r="B618" s="61"/>
      <c r="C618" s="52" t="s">
        <v>898</v>
      </c>
      <c r="D618" s="52"/>
    </row>
    <row r="619" spans="1:5">
      <c r="A619" s="61"/>
      <c r="B619" s="61"/>
      <c r="C619" s="52" t="s">
        <v>899</v>
      </c>
      <c r="D619" s="52"/>
    </row>
    <row r="620" spans="1:5">
      <c r="A620" s="61"/>
      <c r="B620" s="61"/>
      <c r="C620" s="52" t="s">
        <v>614</v>
      </c>
      <c r="D620" s="52"/>
    </row>
    <row r="621" spans="1:5">
      <c r="A621" s="61"/>
      <c r="B621" s="61"/>
      <c r="C621" s="52" t="s">
        <v>900</v>
      </c>
      <c r="D621" s="52"/>
      <c r="E621" t="s">
        <v>265</v>
      </c>
    </row>
    <row r="622" spans="1:5">
      <c r="A622" s="65"/>
      <c r="B622" s="65" t="s">
        <v>195</v>
      </c>
      <c r="C622" s="54" t="s">
        <v>901</v>
      </c>
      <c r="D622" s="54"/>
    </row>
    <row r="623" spans="1:5">
      <c r="A623" s="66"/>
      <c r="B623" s="66"/>
      <c r="C623" s="54" t="s">
        <v>902</v>
      </c>
      <c r="D623" s="54"/>
    </row>
    <row r="624" spans="1:5">
      <c r="A624" s="66"/>
      <c r="B624" s="66"/>
      <c r="C624" s="54" t="s">
        <v>903</v>
      </c>
      <c r="D624" s="54"/>
    </row>
    <row r="625" spans="1:5">
      <c r="A625" s="66"/>
      <c r="B625" s="66"/>
      <c r="C625" s="54" t="s">
        <v>904</v>
      </c>
      <c r="D625" s="54"/>
    </row>
    <row r="626" spans="1:5">
      <c r="A626" s="66"/>
      <c r="B626" s="66"/>
      <c r="C626" s="54" t="s">
        <v>905</v>
      </c>
      <c r="D626" s="54"/>
      <c r="E626" t="s">
        <v>265</v>
      </c>
    </row>
    <row r="627" spans="1:5">
      <c r="A627" s="66"/>
      <c r="B627" s="66"/>
      <c r="C627" s="54" t="s">
        <v>906</v>
      </c>
      <c r="D627" s="54"/>
    </row>
    <row r="628" spans="1:5">
      <c r="A628" s="66"/>
      <c r="B628" s="66"/>
      <c r="C628" s="54" t="s">
        <v>907</v>
      </c>
      <c r="D628" s="54"/>
    </row>
    <row r="629" spans="1:5">
      <c r="A629" s="66"/>
      <c r="B629" s="66"/>
      <c r="C629" s="54" t="s">
        <v>506</v>
      </c>
      <c r="D629" s="54"/>
    </row>
    <row r="630" spans="1:5">
      <c r="A630" s="66"/>
      <c r="B630" s="66"/>
      <c r="C630" s="54" t="s">
        <v>908</v>
      </c>
      <c r="D630" s="54"/>
    </row>
    <row r="631" spans="1:5">
      <c r="A631" s="66"/>
      <c r="B631" s="66"/>
      <c r="C631" s="54" t="s">
        <v>909</v>
      </c>
      <c r="D631" s="54"/>
    </row>
    <row r="632" spans="1:5">
      <c r="A632" s="66"/>
      <c r="B632" s="66"/>
      <c r="C632" s="54" t="s">
        <v>910</v>
      </c>
      <c r="D632" s="54"/>
    </row>
    <row r="633" spans="1:5">
      <c r="A633" s="67"/>
      <c r="B633" s="67"/>
      <c r="C633" s="54" t="s">
        <v>204</v>
      </c>
      <c r="D633" s="54"/>
    </row>
    <row r="634" spans="1:5">
      <c r="A634" s="61"/>
      <c r="B634" s="116" t="s">
        <v>196</v>
      </c>
      <c r="C634" s="52" t="s">
        <v>911</v>
      </c>
      <c r="D634" s="52" t="s">
        <v>912</v>
      </c>
    </row>
    <row r="635" spans="1:5">
      <c r="A635" s="61"/>
      <c r="B635" s="116"/>
      <c r="C635" s="52" t="s">
        <v>913</v>
      </c>
      <c r="D635" s="52" t="s">
        <v>914</v>
      </c>
    </row>
    <row r="636" spans="1:5">
      <c r="A636" s="61"/>
      <c r="B636" s="116"/>
      <c r="C636" s="52" t="s">
        <v>915</v>
      </c>
      <c r="D636" s="52" t="s">
        <v>916</v>
      </c>
    </row>
    <row r="637" spans="1:5">
      <c r="A637" s="61"/>
      <c r="B637" s="116"/>
      <c r="C637" s="52" t="s">
        <v>917</v>
      </c>
      <c r="D637" s="52" t="s">
        <v>918</v>
      </c>
    </row>
    <row r="638" spans="1:5">
      <c r="A638" s="61"/>
      <c r="B638" s="116"/>
      <c r="C638" s="52" t="s">
        <v>919</v>
      </c>
      <c r="D638" s="52" t="s">
        <v>920</v>
      </c>
    </row>
    <row r="639" spans="1:5">
      <c r="A639" s="61"/>
      <c r="B639" s="116"/>
      <c r="C639" s="52" t="s">
        <v>921</v>
      </c>
      <c r="D639" s="52" t="s">
        <v>922</v>
      </c>
    </row>
    <row r="640" spans="1:5">
      <c r="A640" s="61"/>
      <c r="B640" s="116"/>
      <c r="C640" s="52" t="s">
        <v>923</v>
      </c>
      <c r="D640" s="52" t="s">
        <v>924</v>
      </c>
    </row>
    <row r="641" spans="1:4">
      <c r="A641" s="61"/>
      <c r="B641" s="116"/>
      <c r="C641" s="52" t="s">
        <v>925</v>
      </c>
      <c r="D641" s="52" t="s">
        <v>925</v>
      </c>
    </row>
    <row r="642" spans="1:4">
      <c r="A642" s="61"/>
      <c r="B642" s="116"/>
      <c r="C642" s="52" t="s">
        <v>204</v>
      </c>
      <c r="D642" s="52"/>
    </row>
    <row r="643" spans="1:4">
      <c r="A643" s="68"/>
      <c r="B643" s="68" t="s">
        <v>926</v>
      </c>
      <c r="C643" s="54" t="s">
        <v>927</v>
      </c>
      <c r="D643" s="54" t="s">
        <v>928</v>
      </c>
    </row>
    <row r="644" spans="1:4">
      <c r="A644" s="69"/>
      <c r="B644" s="69"/>
      <c r="C644" s="54" t="s">
        <v>929</v>
      </c>
      <c r="D644" s="54" t="s">
        <v>930</v>
      </c>
    </row>
    <row r="645" spans="1:4">
      <c r="A645" s="69"/>
      <c r="B645" s="69"/>
      <c r="C645" s="54" t="s">
        <v>931</v>
      </c>
      <c r="D645" s="54" t="s">
        <v>932</v>
      </c>
    </row>
    <row r="646" spans="1:4">
      <c r="A646" s="69"/>
      <c r="B646" s="69"/>
      <c r="C646" s="54" t="s">
        <v>933</v>
      </c>
      <c r="D646" s="54" t="s">
        <v>934</v>
      </c>
    </row>
    <row r="647" spans="1:4">
      <c r="A647" s="69"/>
      <c r="B647" s="69"/>
      <c r="C647" s="54" t="s">
        <v>935</v>
      </c>
      <c r="D647" s="54"/>
    </row>
    <row r="648" spans="1:4">
      <c r="A648" s="70"/>
      <c r="B648" s="70"/>
      <c r="C648" s="54" t="s">
        <v>204</v>
      </c>
      <c r="D648" s="54"/>
    </row>
    <row r="649" spans="1:4">
      <c r="A649" s="61"/>
      <c r="B649" s="116" t="s">
        <v>187</v>
      </c>
      <c r="C649" s="52" t="s">
        <v>936</v>
      </c>
      <c r="D649" s="52"/>
    </row>
    <row r="650" spans="1:4">
      <c r="A650" s="61"/>
      <c r="B650" s="116"/>
      <c r="C650" s="52" t="s">
        <v>937</v>
      </c>
      <c r="D650" s="52"/>
    </row>
    <row r="651" spans="1:4">
      <c r="A651" s="61"/>
      <c r="B651" s="116"/>
      <c r="C651" s="52" t="s">
        <v>938</v>
      </c>
      <c r="D651" s="52"/>
    </row>
    <row r="652" spans="1:4">
      <c r="A652" s="61"/>
      <c r="B652" s="116"/>
      <c r="C652" s="52" t="s">
        <v>939</v>
      </c>
      <c r="D652" s="52"/>
    </row>
    <row r="653" spans="1:4">
      <c r="A653" s="61"/>
      <c r="B653" s="116"/>
      <c r="C653" s="52" t="s">
        <v>204</v>
      </c>
      <c r="D653" s="52"/>
    </row>
    <row r="654" spans="1:4">
      <c r="A654" s="68"/>
      <c r="B654" s="68" t="s">
        <v>188</v>
      </c>
      <c r="C654" s="54" t="s">
        <v>940</v>
      </c>
      <c r="D654" s="54"/>
    </row>
    <row r="655" spans="1:4">
      <c r="A655" s="69"/>
      <c r="B655" s="69"/>
      <c r="C655" s="54" t="s">
        <v>941</v>
      </c>
      <c r="D655" s="54"/>
    </row>
    <row r="656" spans="1:4">
      <c r="A656" s="61"/>
      <c r="B656" s="116" t="s">
        <v>22</v>
      </c>
      <c r="C656" s="52" t="s">
        <v>37</v>
      </c>
      <c r="D656" s="52"/>
    </row>
    <row r="657" spans="1:6">
      <c r="A657" s="61"/>
      <c r="B657" s="116"/>
      <c r="C657" s="52" t="s">
        <v>942</v>
      </c>
      <c r="D657" s="52"/>
    </row>
    <row r="658" spans="1:6">
      <c r="A658" s="68"/>
      <c r="B658" s="68" t="s">
        <v>943</v>
      </c>
      <c r="C658" s="54" t="s">
        <v>944</v>
      </c>
      <c r="D658" s="54"/>
    </row>
    <row r="659" spans="1:6">
      <c r="A659" s="69"/>
      <c r="B659" s="69"/>
      <c r="C659" s="54" t="s">
        <v>945</v>
      </c>
      <c r="D659" s="54"/>
    </row>
    <row r="660" spans="1:6">
      <c r="A660" s="69"/>
      <c r="B660" s="69"/>
      <c r="C660" s="54" t="s">
        <v>946</v>
      </c>
      <c r="D660" s="54"/>
    </row>
    <row r="661" spans="1:6">
      <c r="A661" s="69"/>
      <c r="B661" s="69"/>
      <c r="C661" s="54" t="s">
        <v>947</v>
      </c>
      <c r="D661" s="54"/>
    </row>
    <row r="662" spans="1:6">
      <c r="A662" s="69"/>
      <c r="B662" s="69"/>
      <c r="C662" s="54" t="s">
        <v>948</v>
      </c>
      <c r="D662" s="54"/>
    </row>
    <row r="663" spans="1:6">
      <c r="A663" s="69"/>
      <c r="B663" s="69"/>
      <c r="C663" s="54" t="s">
        <v>949</v>
      </c>
      <c r="D663" s="54"/>
    </row>
    <row r="664" spans="1:6">
      <c r="A664" s="69"/>
      <c r="B664" s="69"/>
      <c r="C664" s="54" t="s">
        <v>204</v>
      </c>
      <c r="D664" s="54"/>
    </row>
    <row r="665" spans="1:6">
      <c r="A665" s="70"/>
      <c r="B665" s="70"/>
      <c r="C665" s="54" t="s">
        <v>950</v>
      </c>
      <c r="D665" s="54"/>
    </row>
    <row r="666" spans="1:6">
      <c r="A666" s="61"/>
      <c r="B666" s="116" t="s">
        <v>951</v>
      </c>
      <c r="C666" s="52" t="s">
        <v>952</v>
      </c>
      <c r="D666" s="52"/>
    </row>
    <row r="667" spans="1:6">
      <c r="A667" s="61"/>
      <c r="B667" s="116"/>
      <c r="C667" s="52" t="s">
        <v>953</v>
      </c>
      <c r="D667" s="52"/>
      <c r="F667" s="8"/>
    </row>
    <row r="668" spans="1:6">
      <c r="A668" s="68"/>
      <c r="B668" s="68" t="s">
        <v>954</v>
      </c>
      <c r="C668" s="54" t="s">
        <v>955</v>
      </c>
      <c r="D668" s="54"/>
    </row>
    <row r="669" spans="1:6">
      <c r="A669" s="69"/>
      <c r="B669" s="69"/>
      <c r="C669" s="54" t="s">
        <v>956</v>
      </c>
      <c r="D669" s="54"/>
    </row>
    <row r="670" spans="1:6">
      <c r="A670" s="69"/>
      <c r="B670" s="69"/>
      <c r="C670" s="54" t="s">
        <v>957</v>
      </c>
      <c r="D670" s="54"/>
    </row>
    <row r="671" spans="1:6">
      <c r="A671" s="69"/>
      <c r="B671" s="69"/>
      <c r="C671" s="54" t="s">
        <v>958</v>
      </c>
      <c r="D671" s="54"/>
    </row>
    <row r="672" spans="1:6">
      <c r="A672" s="69"/>
      <c r="B672" s="69"/>
      <c r="C672" s="54" t="s">
        <v>959</v>
      </c>
      <c r="D672" s="54"/>
    </row>
    <row r="673" spans="1:4">
      <c r="A673" s="69"/>
      <c r="B673" s="69"/>
      <c r="C673" s="54" t="s">
        <v>960</v>
      </c>
      <c r="D673" s="54"/>
    </row>
    <row r="674" spans="1:4">
      <c r="A674" s="69"/>
      <c r="B674" s="69"/>
      <c r="C674" s="54" t="s">
        <v>961</v>
      </c>
      <c r="D674" s="54"/>
    </row>
    <row r="675" spans="1:4">
      <c r="A675" s="69"/>
      <c r="B675" s="69"/>
      <c r="C675" s="54" t="s">
        <v>962</v>
      </c>
      <c r="D675" s="54"/>
    </row>
    <row r="676" spans="1:4">
      <c r="A676" s="69"/>
      <c r="B676" s="69"/>
      <c r="C676" s="54" t="s">
        <v>963</v>
      </c>
      <c r="D676" s="54"/>
    </row>
    <row r="677" spans="1:4">
      <c r="A677" s="69"/>
      <c r="B677" s="69"/>
      <c r="C677" s="54" t="s">
        <v>964</v>
      </c>
      <c r="D677" s="54"/>
    </row>
    <row r="678" spans="1:4">
      <c r="A678" s="69"/>
      <c r="B678" s="69"/>
      <c r="C678" s="54" t="s">
        <v>614</v>
      </c>
      <c r="D678" s="54"/>
    </row>
    <row r="679" spans="1:4">
      <c r="A679" s="70"/>
      <c r="B679" s="70"/>
      <c r="C679" s="54" t="s">
        <v>950</v>
      </c>
      <c r="D679" s="54"/>
    </row>
    <row r="680" spans="1:4">
      <c r="A680" s="90"/>
      <c r="B680" s="90" t="s">
        <v>965</v>
      </c>
      <c r="C680" s="52" t="s">
        <v>944</v>
      </c>
      <c r="D680" s="52"/>
    </row>
    <row r="681" spans="1:4">
      <c r="A681" s="92"/>
      <c r="B681" s="92"/>
      <c r="C681" s="52" t="s">
        <v>945</v>
      </c>
      <c r="D681" s="52"/>
    </row>
    <row r="682" spans="1:4">
      <c r="A682" s="92"/>
      <c r="B682" s="92"/>
      <c r="C682" s="52" t="s">
        <v>946</v>
      </c>
      <c r="D682" s="52"/>
    </row>
    <row r="683" spans="1:4">
      <c r="A683" s="92"/>
      <c r="B683" s="92"/>
      <c r="C683" s="52" t="s">
        <v>947</v>
      </c>
      <c r="D683" s="52"/>
    </row>
    <row r="684" spans="1:4">
      <c r="A684" s="92"/>
      <c r="B684" s="92"/>
      <c r="C684" s="52" t="s">
        <v>948</v>
      </c>
      <c r="D684" s="52"/>
    </row>
    <row r="685" spans="1:4">
      <c r="A685" s="92"/>
      <c r="B685" s="92"/>
      <c r="C685" s="52" t="s">
        <v>949</v>
      </c>
      <c r="D685" s="52"/>
    </row>
    <row r="686" spans="1:4">
      <c r="A686" s="92"/>
      <c r="B686" s="92"/>
      <c r="C686" s="52" t="s">
        <v>204</v>
      </c>
      <c r="D686" s="52"/>
    </row>
    <row r="687" spans="1:4">
      <c r="A687" s="92"/>
      <c r="B687" s="92"/>
      <c r="C687" s="52" t="s">
        <v>950</v>
      </c>
      <c r="D687" s="52"/>
    </row>
    <row r="688" spans="1:4">
      <c r="A688" s="68"/>
      <c r="B688" s="65" t="s">
        <v>966</v>
      </c>
      <c r="C688" s="54" t="s">
        <v>967</v>
      </c>
      <c r="D688" s="54"/>
    </row>
    <row r="689" spans="1:4">
      <c r="A689" s="69"/>
      <c r="B689" s="67"/>
      <c r="C689" s="54" t="s">
        <v>968</v>
      </c>
      <c r="D689" s="54"/>
    </row>
    <row r="690" spans="1:4">
      <c r="A690" s="90"/>
      <c r="B690" s="90" t="s">
        <v>969</v>
      </c>
      <c r="C690" s="52" t="s">
        <v>970</v>
      </c>
      <c r="D690" s="52"/>
    </row>
    <row r="691" spans="1:4">
      <c r="A691" s="92"/>
      <c r="B691" s="92"/>
      <c r="C691" s="52" t="s">
        <v>971</v>
      </c>
      <c r="D691" s="52"/>
    </row>
    <row r="692" spans="1:4">
      <c r="A692" s="68"/>
      <c r="B692" s="68" t="s">
        <v>972</v>
      </c>
      <c r="C692" s="54" t="s">
        <v>973</v>
      </c>
      <c r="D692" s="54"/>
    </row>
    <row r="693" spans="1:4">
      <c r="A693" s="69"/>
      <c r="B693" s="69"/>
      <c r="C693" s="54" t="s">
        <v>791</v>
      </c>
      <c r="D693" s="54"/>
    </row>
    <row r="694" spans="1:4">
      <c r="A694" s="69"/>
      <c r="B694" s="69"/>
      <c r="C694" s="54" t="s">
        <v>974</v>
      </c>
      <c r="D694" s="54"/>
    </row>
    <row r="695" spans="1:4">
      <c r="A695" s="69"/>
      <c r="B695" s="69"/>
      <c r="C695" s="54" t="s">
        <v>975</v>
      </c>
      <c r="D695" s="54"/>
    </row>
    <row r="696" spans="1:4">
      <c r="A696" s="69"/>
      <c r="B696" s="69"/>
      <c r="C696" s="54" t="s">
        <v>976</v>
      </c>
      <c r="D696" s="54"/>
    </row>
    <row r="697" spans="1:4">
      <c r="A697" s="69"/>
      <c r="B697" s="69"/>
      <c r="C697" s="54" t="s">
        <v>186</v>
      </c>
      <c r="D697" s="54"/>
    </row>
    <row r="698" spans="1:4">
      <c r="A698" s="69"/>
      <c r="B698" s="69"/>
      <c r="C698" s="54" t="s">
        <v>977</v>
      </c>
      <c r="D698" s="54"/>
    </row>
    <row r="699" spans="1:4">
      <c r="A699" s="69"/>
      <c r="B699" s="69"/>
      <c r="C699" s="54" t="s">
        <v>978</v>
      </c>
      <c r="D699" s="54"/>
    </row>
    <row r="700" spans="1:4">
      <c r="A700" s="69"/>
      <c r="B700" s="69"/>
      <c r="C700" s="54" t="s">
        <v>204</v>
      </c>
      <c r="D700" s="54"/>
    </row>
    <row r="701" spans="1:4">
      <c r="A701" s="90"/>
      <c r="B701" s="90" t="s">
        <v>979</v>
      </c>
      <c r="C701" s="52" t="s">
        <v>480</v>
      </c>
      <c r="D701" s="52"/>
    </row>
    <row r="702" spans="1:4">
      <c r="A702" s="92"/>
      <c r="B702" s="92"/>
      <c r="C702" s="52" t="s">
        <v>481</v>
      </c>
      <c r="D702" s="52"/>
    </row>
    <row r="703" spans="1:4">
      <c r="A703" s="92"/>
      <c r="B703" s="92"/>
      <c r="C703" s="52" t="s">
        <v>482</v>
      </c>
      <c r="D703" s="52"/>
    </row>
    <row r="704" spans="1:4">
      <c r="A704" s="92"/>
      <c r="B704" s="92"/>
      <c r="C704" s="52" t="s">
        <v>483</v>
      </c>
      <c r="D704" s="52"/>
    </row>
    <row r="705" spans="1:5">
      <c r="A705" s="92"/>
      <c r="B705" s="92"/>
      <c r="C705" s="52" t="s">
        <v>484</v>
      </c>
      <c r="D705" s="52"/>
    </row>
    <row r="706" spans="1:5">
      <c r="A706" s="92"/>
      <c r="B706" s="92"/>
      <c r="C706" s="52" t="s">
        <v>485</v>
      </c>
      <c r="D706" s="52"/>
    </row>
    <row r="707" spans="1:5">
      <c r="A707" s="92"/>
      <c r="B707" s="92"/>
      <c r="C707" s="52" t="s">
        <v>487</v>
      </c>
      <c r="D707" s="52"/>
    </row>
    <row r="708" spans="1:5">
      <c r="A708" s="92"/>
      <c r="B708" s="92"/>
      <c r="C708" s="52" t="s">
        <v>488</v>
      </c>
      <c r="D708" s="52"/>
    </row>
    <row r="709" spans="1:5">
      <c r="A709" s="92"/>
      <c r="B709" s="92"/>
      <c r="C709" s="52" t="s">
        <v>489</v>
      </c>
      <c r="D709" s="52"/>
    </row>
    <row r="710" spans="1:5">
      <c r="A710" s="92"/>
      <c r="B710" s="92"/>
      <c r="C710" s="52" t="s">
        <v>490</v>
      </c>
      <c r="D710" s="52"/>
    </row>
    <row r="711" spans="1:5">
      <c r="A711" s="92"/>
      <c r="B711" s="92"/>
      <c r="C711" s="52" t="s">
        <v>491</v>
      </c>
      <c r="D711" s="52"/>
    </row>
    <row r="712" spans="1:5">
      <c r="A712" s="92"/>
      <c r="B712" s="92"/>
      <c r="C712" s="52" t="s">
        <v>492</v>
      </c>
      <c r="D712" s="52"/>
    </row>
    <row r="713" spans="1:5">
      <c r="A713" s="92"/>
      <c r="B713" s="92"/>
      <c r="C713" s="52" t="s">
        <v>493</v>
      </c>
      <c r="D713" s="52"/>
    </row>
    <row r="714" spans="1:5">
      <c r="A714" s="92"/>
      <c r="B714" s="92"/>
      <c r="C714" s="52" t="s">
        <v>494</v>
      </c>
      <c r="D714" s="52"/>
    </row>
    <row r="715" spans="1:5">
      <c r="A715" s="92"/>
      <c r="B715" s="92"/>
      <c r="C715" s="52" t="s">
        <v>495</v>
      </c>
      <c r="D715" s="52"/>
    </row>
    <row r="716" spans="1:5">
      <c r="A716" s="92"/>
      <c r="B716" s="92"/>
      <c r="C716" s="52" t="s">
        <v>496</v>
      </c>
      <c r="D716" s="52" t="s">
        <v>497</v>
      </c>
      <c r="E716" t="s">
        <v>265</v>
      </c>
    </row>
    <row r="717" spans="1:5">
      <c r="A717" s="92"/>
      <c r="B717" s="92"/>
      <c r="C717" s="52" t="s">
        <v>498</v>
      </c>
      <c r="D717" s="52"/>
    </row>
    <row r="718" spans="1:5">
      <c r="A718" s="92"/>
      <c r="B718" s="92"/>
      <c r="C718" s="52" t="s">
        <v>499</v>
      </c>
      <c r="D718" s="52"/>
    </row>
    <row r="719" spans="1:5">
      <c r="A719" s="92"/>
      <c r="B719" s="92"/>
      <c r="C719" s="52" t="s">
        <v>500</v>
      </c>
      <c r="D719" s="52"/>
    </row>
    <row r="720" spans="1:5">
      <c r="A720" s="92"/>
      <c r="B720" s="92"/>
      <c r="C720" s="52" t="s">
        <v>501</v>
      </c>
      <c r="D720" s="52"/>
    </row>
    <row r="721" spans="1:4">
      <c r="A721" s="92"/>
      <c r="B721" s="92"/>
      <c r="C721" s="52" t="s">
        <v>502</v>
      </c>
      <c r="D721" s="52"/>
    </row>
    <row r="722" spans="1:4">
      <c r="A722" s="92"/>
      <c r="B722" s="92"/>
      <c r="C722" s="52" t="s">
        <v>503</v>
      </c>
      <c r="D722" s="52"/>
    </row>
    <row r="723" spans="1:4">
      <c r="A723" s="92"/>
      <c r="B723" s="92"/>
      <c r="C723" s="52" t="s">
        <v>504</v>
      </c>
      <c r="D723" s="52"/>
    </row>
    <row r="724" spans="1:4">
      <c r="A724" s="92"/>
      <c r="B724" s="92"/>
      <c r="C724" s="52" t="s">
        <v>505</v>
      </c>
      <c r="D724" s="52"/>
    </row>
    <row r="725" spans="1:4">
      <c r="A725" s="92"/>
      <c r="B725" s="92"/>
      <c r="C725" s="52" t="s">
        <v>506</v>
      </c>
      <c r="D725" s="52"/>
    </row>
    <row r="726" spans="1:4">
      <c r="A726" s="92"/>
      <c r="B726" s="92"/>
      <c r="C726" s="52" t="s">
        <v>507</v>
      </c>
      <c r="D726" s="52"/>
    </row>
    <row r="727" spans="1:4">
      <c r="A727" s="92"/>
      <c r="B727" s="92"/>
      <c r="C727" s="52" t="s">
        <v>508</v>
      </c>
      <c r="D727" s="52"/>
    </row>
    <row r="728" spans="1:4">
      <c r="A728" s="92"/>
      <c r="B728" s="92"/>
      <c r="C728" s="52" t="s">
        <v>509</v>
      </c>
      <c r="D728" s="52"/>
    </row>
    <row r="729" spans="1:4">
      <c r="A729" s="92"/>
      <c r="B729" s="92"/>
      <c r="C729" s="52" t="s">
        <v>510</v>
      </c>
      <c r="D729" s="52"/>
    </row>
    <row r="730" spans="1:4">
      <c r="A730" s="92"/>
      <c r="B730" s="92"/>
      <c r="C730" s="52" t="s">
        <v>511</v>
      </c>
      <c r="D730" s="52"/>
    </row>
    <row r="731" spans="1:4">
      <c r="A731" s="92"/>
      <c r="B731" s="92"/>
      <c r="C731" s="52" t="s">
        <v>512</v>
      </c>
      <c r="D731" s="52"/>
    </row>
    <row r="732" spans="1:4">
      <c r="A732" s="92"/>
      <c r="B732" s="92"/>
      <c r="C732" s="52" t="s">
        <v>513</v>
      </c>
      <c r="D732" s="52"/>
    </row>
    <row r="733" spans="1:4">
      <c r="A733" s="92"/>
      <c r="B733" s="92"/>
      <c r="C733" s="52" t="s">
        <v>514</v>
      </c>
      <c r="D733" s="52"/>
    </row>
    <row r="734" spans="1:4">
      <c r="A734" s="92"/>
      <c r="B734" s="92"/>
      <c r="C734" s="52" t="s">
        <v>515</v>
      </c>
      <c r="D734" s="52"/>
    </row>
    <row r="735" spans="1:4">
      <c r="A735" s="92"/>
      <c r="B735" s="92"/>
      <c r="C735" s="52" t="s">
        <v>516</v>
      </c>
      <c r="D735" s="52"/>
    </row>
    <row r="736" spans="1:4">
      <c r="A736" s="92"/>
      <c r="B736" s="92"/>
      <c r="C736" s="52" t="s">
        <v>517</v>
      </c>
      <c r="D736" s="52"/>
    </row>
    <row r="737" spans="1:4">
      <c r="A737" s="92"/>
      <c r="B737" s="92"/>
      <c r="C737" s="52" t="s">
        <v>518</v>
      </c>
      <c r="D737" s="52"/>
    </row>
    <row r="738" spans="1:4">
      <c r="A738" s="92"/>
      <c r="B738" s="92"/>
      <c r="C738" s="52" t="s">
        <v>519</v>
      </c>
      <c r="D738" s="52"/>
    </row>
    <row r="739" spans="1:4">
      <c r="A739" s="92"/>
      <c r="B739" s="92"/>
      <c r="C739" s="52" t="s">
        <v>520</v>
      </c>
      <c r="D739" s="52"/>
    </row>
    <row r="740" spans="1:4">
      <c r="A740" s="92"/>
      <c r="B740" s="92"/>
      <c r="C740" s="52" t="s">
        <v>521</v>
      </c>
      <c r="D740" s="52"/>
    </row>
    <row r="741" spans="1:4">
      <c r="A741" s="92"/>
      <c r="B741" s="92"/>
      <c r="C741" s="52" t="s">
        <v>522</v>
      </c>
      <c r="D741" s="52"/>
    </row>
    <row r="742" spans="1:4">
      <c r="A742" s="92"/>
      <c r="B742" s="92"/>
      <c r="C742" s="52" t="s">
        <v>523</v>
      </c>
      <c r="D742" s="52"/>
    </row>
    <row r="743" spans="1:4">
      <c r="A743" s="92"/>
      <c r="B743" s="92"/>
      <c r="C743" s="52" t="s">
        <v>524</v>
      </c>
      <c r="D743" s="52"/>
    </row>
    <row r="744" spans="1:4">
      <c r="A744" s="92"/>
      <c r="B744" s="92"/>
      <c r="C744" s="52" t="s">
        <v>525</v>
      </c>
      <c r="D744" s="52"/>
    </row>
    <row r="745" spans="1:4">
      <c r="A745" s="92"/>
      <c r="B745" s="92"/>
      <c r="C745" s="52" t="s">
        <v>526</v>
      </c>
      <c r="D745" s="52"/>
    </row>
    <row r="746" spans="1:4">
      <c r="A746" s="92"/>
      <c r="B746" s="92"/>
      <c r="C746" s="52" t="s">
        <v>527</v>
      </c>
      <c r="D746" s="52"/>
    </row>
    <row r="747" spans="1:4">
      <c r="A747" s="92"/>
      <c r="B747" s="92"/>
      <c r="C747" s="52" t="s">
        <v>528</v>
      </c>
      <c r="D747" s="52"/>
    </row>
    <row r="748" spans="1:4">
      <c r="A748" s="92"/>
      <c r="B748" s="92"/>
      <c r="C748" s="52" t="s">
        <v>529</v>
      </c>
      <c r="D748" s="52"/>
    </row>
    <row r="749" spans="1:4">
      <c r="A749" s="92"/>
      <c r="B749" s="92"/>
      <c r="C749" s="52" t="s">
        <v>530</v>
      </c>
      <c r="D749" s="52"/>
    </row>
    <row r="750" spans="1:4">
      <c r="A750" s="92"/>
      <c r="B750" s="92"/>
      <c r="C750" s="52" t="s">
        <v>31</v>
      </c>
      <c r="D750" s="52"/>
    </row>
    <row r="751" spans="1:4">
      <c r="A751" s="92"/>
      <c r="B751" s="92"/>
      <c r="C751" s="52" t="s">
        <v>258</v>
      </c>
      <c r="D751" s="52"/>
    </row>
    <row r="752" spans="1:4">
      <c r="A752" s="92"/>
      <c r="B752" s="92"/>
      <c r="C752" s="52" t="s">
        <v>259</v>
      </c>
      <c r="D752" s="52"/>
    </row>
    <row r="753" spans="1:4">
      <c r="A753" s="92"/>
      <c r="B753" s="92"/>
      <c r="C753" s="52" t="s">
        <v>260</v>
      </c>
      <c r="D753" s="52"/>
    </row>
    <row r="754" spans="1:4">
      <c r="A754" s="92"/>
      <c r="B754" s="92"/>
      <c r="C754" s="52" t="s">
        <v>261</v>
      </c>
      <c r="D754" s="52"/>
    </row>
    <row r="755" spans="1:4">
      <c r="A755" s="92"/>
      <c r="B755" s="92"/>
      <c r="C755" s="52" t="s">
        <v>262</v>
      </c>
      <c r="D755" s="52"/>
    </row>
    <row r="756" spans="1:4">
      <c r="A756" s="92"/>
      <c r="B756" s="92"/>
      <c r="C756" s="52" t="s">
        <v>263</v>
      </c>
      <c r="D756" s="52"/>
    </row>
    <row r="757" spans="1:4">
      <c r="A757" s="92"/>
      <c r="B757" s="92"/>
      <c r="C757" s="52" t="s">
        <v>264</v>
      </c>
      <c r="D757" s="52"/>
    </row>
    <row r="758" spans="1:4">
      <c r="A758" s="92"/>
      <c r="B758" s="92"/>
      <c r="C758" s="52" t="s">
        <v>266</v>
      </c>
      <c r="D758" s="52"/>
    </row>
    <row r="759" spans="1:4">
      <c r="A759" s="92"/>
      <c r="B759" s="92"/>
      <c r="C759" s="52" t="s">
        <v>267</v>
      </c>
      <c r="D759" s="52"/>
    </row>
    <row r="760" spans="1:4">
      <c r="A760" s="92"/>
      <c r="B760" s="92"/>
      <c r="C760" s="52" t="s">
        <v>268</v>
      </c>
      <c r="D760" s="52"/>
    </row>
    <row r="761" spans="1:4">
      <c r="A761" s="92"/>
      <c r="B761" s="92"/>
      <c r="C761" s="52" t="s">
        <v>269</v>
      </c>
      <c r="D761" s="52"/>
    </row>
    <row r="762" spans="1:4">
      <c r="A762" s="92"/>
      <c r="B762" s="92"/>
      <c r="C762" s="52" t="s">
        <v>270</v>
      </c>
      <c r="D762" s="52"/>
    </row>
    <row r="763" spans="1:4">
      <c r="A763" s="92"/>
      <c r="B763" s="92"/>
      <c r="C763" s="52" t="s">
        <v>271</v>
      </c>
      <c r="D763" s="52"/>
    </row>
    <row r="764" spans="1:4">
      <c r="A764" s="92"/>
      <c r="B764" s="92"/>
      <c r="C764" s="52" t="s">
        <v>272</v>
      </c>
      <c r="D764" s="52"/>
    </row>
    <row r="765" spans="1:4">
      <c r="A765" s="92"/>
      <c r="B765" s="92"/>
      <c r="C765" s="52" t="s">
        <v>273</v>
      </c>
      <c r="D765" s="52"/>
    </row>
    <row r="766" spans="1:4">
      <c r="A766" s="92"/>
      <c r="B766" s="92"/>
      <c r="C766" s="52" t="s">
        <v>274</v>
      </c>
      <c r="D766" s="52"/>
    </row>
    <row r="767" spans="1:4">
      <c r="A767" s="92"/>
      <c r="B767" s="92"/>
      <c r="C767" s="52" t="s">
        <v>101</v>
      </c>
      <c r="D767" s="52"/>
    </row>
    <row r="768" spans="1:4">
      <c r="A768" s="92"/>
      <c r="B768" s="92"/>
      <c r="C768" s="52" t="s">
        <v>275</v>
      </c>
      <c r="D768" s="52"/>
    </row>
    <row r="769" spans="1:5">
      <c r="A769" s="92"/>
      <c r="B769" s="92"/>
      <c r="C769" s="52" t="s">
        <v>276</v>
      </c>
      <c r="D769" s="52"/>
    </row>
    <row r="770" spans="1:5">
      <c r="A770" s="92"/>
      <c r="B770" s="92"/>
      <c r="C770" s="52" t="s">
        <v>277</v>
      </c>
      <c r="D770" s="52"/>
    </row>
    <row r="771" spans="1:5">
      <c r="A771" s="92"/>
      <c r="B771" s="92"/>
      <c r="C771" s="52" t="s">
        <v>278</v>
      </c>
      <c r="D771" s="52"/>
    </row>
    <row r="772" spans="1:5">
      <c r="A772" s="92"/>
      <c r="B772" s="92"/>
      <c r="C772" s="52" t="s">
        <v>279</v>
      </c>
      <c r="D772" s="52"/>
    </row>
    <row r="773" spans="1:5">
      <c r="A773" s="92"/>
      <c r="B773" s="92"/>
      <c r="C773" s="52" t="s">
        <v>280</v>
      </c>
      <c r="D773" s="52"/>
    </row>
    <row r="774" spans="1:5">
      <c r="A774" s="92"/>
      <c r="B774" s="92"/>
      <c r="C774" s="52" t="s">
        <v>281</v>
      </c>
      <c r="D774" s="52"/>
    </row>
    <row r="775" spans="1:5">
      <c r="A775" s="92"/>
      <c r="B775" s="92"/>
      <c r="C775" s="52" t="s">
        <v>282</v>
      </c>
      <c r="D775" s="52"/>
    </row>
    <row r="776" spans="1:5">
      <c r="A776" s="92"/>
      <c r="B776" s="92"/>
      <c r="C776" s="52" t="s">
        <v>283</v>
      </c>
      <c r="D776" s="52"/>
    </row>
    <row r="777" spans="1:5">
      <c r="A777" s="92"/>
      <c r="B777" s="92"/>
      <c r="C777" s="52" t="s">
        <v>284</v>
      </c>
      <c r="D777" s="52"/>
    </row>
    <row r="778" spans="1:5">
      <c r="A778" s="92"/>
      <c r="B778" s="92"/>
      <c r="C778" s="52" t="s">
        <v>285</v>
      </c>
      <c r="D778" s="52"/>
    </row>
    <row r="779" spans="1:5">
      <c r="A779" s="92"/>
      <c r="B779" s="92"/>
      <c r="C779" s="52" t="s">
        <v>286</v>
      </c>
      <c r="D779" s="52"/>
    </row>
    <row r="780" spans="1:5">
      <c r="A780" s="92"/>
      <c r="B780" s="92"/>
      <c r="C780" s="52" t="s">
        <v>287</v>
      </c>
      <c r="D780" s="52"/>
    </row>
    <row r="781" spans="1:5">
      <c r="A781" s="92"/>
      <c r="B781" s="92"/>
      <c r="C781" s="52" t="s">
        <v>288</v>
      </c>
      <c r="D781" s="52"/>
    </row>
    <row r="782" spans="1:5">
      <c r="A782" s="92"/>
      <c r="B782" s="92"/>
      <c r="C782" s="52" t="s">
        <v>289</v>
      </c>
      <c r="D782" s="52"/>
      <c r="E782" t="s">
        <v>265</v>
      </c>
    </row>
    <row r="783" spans="1:5">
      <c r="A783" s="92"/>
      <c r="B783" s="92"/>
      <c r="C783" s="52" t="s">
        <v>290</v>
      </c>
      <c r="D783" s="52"/>
      <c r="E783" t="s">
        <v>265</v>
      </c>
    </row>
    <row r="784" spans="1:5">
      <c r="A784" s="92"/>
      <c r="B784" s="92"/>
      <c r="C784" s="52" t="s">
        <v>293</v>
      </c>
      <c r="D784" s="52"/>
      <c r="E784" t="s">
        <v>265</v>
      </c>
    </row>
    <row r="785" spans="1:5">
      <c r="A785" s="92"/>
      <c r="B785" s="92"/>
      <c r="C785" s="52" t="s">
        <v>294</v>
      </c>
      <c r="D785" s="52"/>
    </row>
    <row r="786" spans="1:5">
      <c r="A786" s="92"/>
      <c r="B786" s="92"/>
      <c r="C786" s="52" t="s">
        <v>295</v>
      </c>
      <c r="D786" s="52"/>
    </row>
    <row r="787" spans="1:5">
      <c r="A787" s="92"/>
      <c r="B787" s="92"/>
      <c r="C787" s="52" t="s">
        <v>296</v>
      </c>
      <c r="D787" s="52"/>
    </row>
    <row r="788" spans="1:5">
      <c r="A788" s="92"/>
      <c r="B788" s="92"/>
      <c r="C788" s="52" t="s">
        <v>297</v>
      </c>
      <c r="D788" s="52"/>
    </row>
    <row r="789" spans="1:5">
      <c r="A789" s="92"/>
      <c r="B789" s="92"/>
      <c r="C789" s="52" t="s">
        <v>298</v>
      </c>
      <c r="D789" s="52"/>
    </row>
    <row r="790" spans="1:5">
      <c r="A790" s="92"/>
      <c r="B790" s="92"/>
      <c r="C790" s="52" t="s">
        <v>299</v>
      </c>
      <c r="D790" s="52"/>
      <c r="E790" t="s">
        <v>265</v>
      </c>
    </row>
    <row r="791" spans="1:5">
      <c r="A791" s="92"/>
      <c r="B791" s="92"/>
      <c r="C791" s="52" t="s">
        <v>300</v>
      </c>
      <c r="D791" s="52"/>
    </row>
    <row r="792" spans="1:5">
      <c r="A792" s="92"/>
      <c r="B792" s="92"/>
      <c r="C792" s="52" t="s">
        <v>301</v>
      </c>
      <c r="D792" s="52"/>
    </row>
    <row r="793" spans="1:5">
      <c r="A793" s="92"/>
      <c r="B793" s="92"/>
      <c r="C793" s="52" t="s">
        <v>302</v>
      </c>
      <c r="D793" s="52"/>
    </row>
    <row r="794" spans="1:5">
      <c r="A794" s="92"/>
      <c r="B794" s="92"/>
      <c r="C794" s="52" t="s">
        <v>980</v>
      </c>
      <c r="D794" s="52"/>
    </row>
    <row r="795" spans="1:5">
      <c r="A795" s="92"/>
      <c r="B795" s="92"/>
      <c r="C795" s="52" t="s">
        <v>303</v>
      </c>
      <c r="D795" s="52"/>
    </row>
    <row r="796" spans="1:5">
      <c r="A796" s="92"/>
      <c r="B796" s="92"/>
      <c r="C796" s="52" t="s">
        <v>304</v>
      </c>
      <c r="D796" s="52"/>
    </row>
    <row r="797" spans="1:5">
      <c r="A797" s="92"/>
      <c r="B797" s="92"/>
      <c r="C797" s="52" t="s">
        <v>305</v>
      </c>
      <c r="D797" s="52"/>
    </row>
    <row r="798" spans="1:5">
      <c r="A798" s="92"/>
      <c r="B798" s="92"/>
      <c r="C798" s="52" t="s">
        <v>306</v>
      </c>
      <c r="D798" s="52"/>
    </row>
    <row r="799" spans="1:5">
      <c r="A799" s="92"/>
      <c r="B799" s="92"/>
      <c r="C799" s="52" t="s">
        <v>307</v>
      </c>
      <c r="D799" s="52"/>
    </row>
    <row r="800" spans="1:5">
      <c r="A800" s="92"/>
      <c r="B800" s="92"/>
      <c r="C800" s="52" t="s">
        <v>308</v>
      </c>
      <c r="D800" s="52"/>
    </row>
    <row r="801" spans="1:5">
      <c r="A801" s="92"/>
      <c r="B801" s="92"/>
      <c r="C801" s="52" t="s">
        <v>309</v>
      </c>
      <c r="D801" s="52"/>
    </row>
    <row r="802" spans="1:5">
      <c r="A802" s="92"/>
      <c r="B802" s="92"/>
      <c r="C802" s="52" t="s">
        <v>310</v>
      </c>
      <c r="D802" s="52"/>
    </row>
    <row r="803" spans="1:5">
      <c r="A803" s="92"/>
      <c r="B803" s="92"/>
      <c r="C803" s="52" t="s">
        <v>311</v>
      </c>
      <c r="D803" s="52"/>
    </row>
    <row r="804" spans="1:5">
      <c r="A804" s="92"/>
      <c r="B804" s="92"/>
      <c r="C804" s="52" t="s">
        <v>312</v>
      </c>
      <c r="D804" s="52"/>
    </row>
    <row r="805" spans="1:5">
      <c r="A805" s="92"/>
      <c r="B805" s="92"/>
      <c r="C805" s="52" t="s">
        <v>313</v>
      </c>
      <c r="D805" s="52"/>
    </row>
    <row r="806" spans="1:5">
      <c r="A806" s="92"/>
      <c r="B806" s="92"/>
      <c r="C806" s="52" t="s">
        <v>314</v>
      </c>
      <c r="D806" s="52"/>
    </row>
    <row r="807" spans="1:5">
      <c r="A807" s="92"/>
      <c r="B807" s="92"/>
      <c r="C807" s="52" t="s">
        <v>315</v>
      </c>
      <c r="D807" s="52"/>
    </row>
    <row r="808" spans="1:5">
      <c r="A808" s="92"/>
      <c r="B808" s="92"/>
      <c r="C808" s="52" t="s">
        <v>317</v>
      </c>
      <c r="D808" s="52"/>
    </row>
    <row r="809" spans="1:5">
      <c r="A809" s="92"/>
      <c r="B809" s="92"/>
      <c r="C809" s="52" t="s">
        <v>316</v>
      </c>
      <c r="D809" s="52"/>
      <c r="E809" t="s">
        <v>265</v>
      </c>
    </row>
    <row r="810" spans="1:5">
      <c r="A810" s="92"/>
      <c r="B810" s="92"/>
      <c r="C810" s="52" t="s">
        <v>318</v>
      </c>
      <c r="D810" s="52"/>
    </row>
    <row r="811" spans="1:5">
      <c r="A811" s="92"/>
      <c r="B811" s="92"/>
      <c r="C811" s="52" t="s">
        <v>319</v>
      </c>
      <c r="D811" s="52"/>
    </row>
    <row r="812" spans="1:5">
      <c r="A812" s="92"/>
      <c r="B812" s="92"/>
      <c r="C812" s="52" t="s">
        <v>320</v>
      </c>
      <c r="D812" s="52"/>
    </row>
    <row r="813" spans="1:5">
      <c r="A813" s="92"/>
      <c r="B813" s="92"/>
      <c r="C813" s="52" t="s">
        <v>321</v>
      </c>
      <c r="D813" s="52"/>
    </row>
    <row r="814" spans="1:5">
      <c r="A814" s="92"/>
      <c r="B814" s="92"/>
      <c r="C814" s="52" t="s">
        <v>322</v>
      </c>
      <c r="D814" s="52"/>
    </row>
    <row r="815" spans="1:5">
      <c r="A815" s="92"/>
      <c r="B815" s="92"/>
      <c r="C815" s="52" t="s">
        <v>323</v>
      </c>
      <c r="D815" s="52"/>
    </row>
    <row r="816" spans="1:5">
      <c r="A816" s="92"/>
      <c r="B816" s="92"/>
      <c r="C816" s="52" t="s">
        <v>324</v>
      </c>
      <c r="D816" s="52"/>
    </row>
    <row r="817" spans="1:4">
      <c r="A817" s="92"/>
      <c r="B817" s="92"/>
      <c r="C817" s="52" t="s">
        <v>325</v>
      </c>
      <c r="D817" s="52"/>
    </row>
    <row r="818" spans="1:4">
      <c r="A818" s="92"/>
      <c r="B818" s="92"/>
      <c r="C818" s="52" t="s">
        <v>326</v>
      </c>
      <c r="D818" s="52"/>
    </row>
    <row r="819" spans="1:4">
      <c r="A819" s="92"/>
      <c r="B819" s="92"/>
      <c r="C819" s="52" t="s">
        <v>327</v>
      </c>
      <c r="D819" s="52"/>
    </row>
    <row r="820" spans="1:4">
      <c r="A820" s="92"/>
      <c r="B820" s="92"/>
      <c r="C820" s="52" t="s">
        <v>328</v>
      </c>
      <c r="D820" s="52"/>
    </row>
    <row r="821" spans="1:4">
      <c r="A821" s="92"/>
      <c r="B821" s="92"/>
      <c r="C821" s="52" t="s">
        <v>329</v>
      </c>
      <c r="D821" s="52"/>
    </row>
    <row r="822" spans="1:4">
      <c r="A822" s="92"/>
      <c r="B822" s="92"/>
      <c r="C822" s="52" t="s">
        <v>330</v>
      </c>
      <c r="D822" s="52"/>
    </row>
    <row r="823" spans="1:4">
      <c r="A823" s="92"/>
      <c r="B823" s="92"/>
      <c r="C823" s="52" t="s">
        <v>331</v>
      </c>
      <c r="D823" s="52"/>
    </row>
    <row r="824" spans="1:4">
      <c r="A824" s="92"/>
      <c r="B824" s="92"/>
      <c r="C824" s="52" t="s">
        <v>332</v>
      </c>
      <c r="D824" s="52"/>
    </row>
    <row r="825" spans="1:4">
      <c r="A825" s="92"/>
      <c r="B825" s="92"/>
      <c r="C825" s="52" t="s">
        <v>333</v>
      </c>
      <c r="D825" s="52"/>
    </row>
    <row r="826" spans="1:4">
      <c r="A826" s="92"/>
      <c r="B826" s="92"/>
      <c r="C826" s="52" t="s">
        <v>334</v>
      </c>
      <c r="D826" s="52"/>
    </row>
    <row r="827" spans="1:4">
      <c r="A827" s="92"/>
      <c r="B827" s="92"/>
      <c r="C827" s="52" t="s">
        <v>335</v>
      </c>
      <c r="D827" s="52"/>
    </row>
    <row r="828" spans="1:4">
      <c r="A828" s="92"/>
      <c r="B828" s="92"/>
      <c r="C828" s="52" t="s">
        <v>336</v>
      </c>
      <c r="D828" s="52"/>
    </row>
    <row r="829" spans="1:4">
      <c r="A829" s="92"/>
      <c r="B829" s="92"/>
      <c r="C829" s="52" t="s">
        <v>337</v>
      </c>
      <c r="D829" s="52"/>
    </row>
    <row r="830" spans="1:4">
      <c r="A830" s="92"/>
      <c r="B830" s="92"/>
      <c r="C830" s="52" t="s">
        <v>338</v>
      </c>
      <c r="D830" s="52"/>
    </row>
    <row r="831" spans="1:4">
      <c r="A831" s="92"/>
      <c r="B831" s="92"/>
      <c r="C831" s="52" t="s">
        <v>981</v>
      </c>
      <c r="D831" s="124" t="s">
        <v>982</v>
      </c>
    </row>
    <row r="832" spans="1:4">
      <c r="A832" s="92"/>
      <c r="B832" s="92"/>
      <c r="C832" s="52" t="s">
        <v>983</v>
      </c>
      <c r="D832" s="124" t="s">
        <v>350</v>
      </c>
    </row>
    <row r="833" spans="1:4">
      <c r="A833" s="92"/>
      <c r="B833" s="92"/>
      <c r="C833" s="52" t="s">
        <v>984</v>
      </c>
      <c r="D833" s="124" t="s">
        <v>350</v>
      </c>
    </row>
    <row r="834" spans="1:4" ht="15">
      <c r="A834" s="92"/>
      <c r="B834" s="92"/>
      <c r="C834" s="52" t="s">
        <v>985</v>
      </c>
      <c r="D834" s="122"/>
    </row>
    <row r="835" spans="1:4">
      <c r="A835" s="92"/>
      <c r="B835" s="92"/>
      <c r="C835" s="52" t="s">
        <v>346</v>
      </c>
      <c r="D835" s="52"/>
    </row>
    <row r="836" spans="1:4">
      <c r="A836" s="92"/>
      <c r="B836" s="92"/>
      <c r="C836" s="52" t="s">
        <v>341</v>
      </c>
      <c r="D836" s="52"/>
    </row>
    <row r="837" spans="1:4">
      <c r="A837" s="92"/>
      <c r="B837" s="92"/>
      <c r="C837" s="52" t="s">
        <v>342</v>
      </c>
      <c r="D837" s="52"/>
    </row>
    <row r="838" spans="1:4">
      <c r="A838" s="92"/>
      <c r="B838" s="92"/>
      <c r="C838" s="52" t="s">
        <v>339</v>
      </c>
      <c r="D838" s="52"/>
    </row>
    <row r="839" spans="1:4">
      <c r="A839" s="92"/>
      <c r="B839" s="92"/>
      <c r="C839" s="52" t="s">
        <v>343</v>
      </c>
      <c r="D839" s="52"/>
    </row>
    <row r="840" spans="1:4">
      <c r="A840" s="92"/>
      <c r="B840" s="92"/>
      <c r="C840" s="52" t="s">
        <v>340</v>
      </c>
      <c r="D840" s="52"/>
    </row>
    <row r="841" spans="1:4">
      <c r="A841" s="92"/>
      <c r="B841" s="92"/>
      <c r="C841" s="52" t="s">
        <v>344</v>
      </c>
      <c r="D841" s="52"/>
    </row>
    <row r="842" spans="1:4">
      <c r="A842" s="92"/>
      <c r="B842" s="92"/>
      <c r="C842" s="52" t="s">
        <v>986</v>
      </c>
      <c r="D842" s="52"/>
    </row>
    <row r="843" spans="1:4">
      <c r="A843" s="92"/>
      <c r="B843" s="92"/>
      <c r="C843" s="52" t="s">
        <v>987</v>
      </c>
      <c r="D843" s="52"/>
    </row>
    <row r="844" spans="1:4">
      <c r="A844" s="92"/>
      <c r="B844" s="92"/>
      <c r="C844" s="52" t="s">
        <v>988</v>
      </c>
      <c r="D844" s="52"/>
    </row>
    <row r="845" spans="1:4">
      <c r="A845" s="92"/>
      <c r="B845" s="92"/>
      <c r="C845" s="52" t="s">
        <v>989</v>
      </c>
      <c r="D845" s="52"/>
    </row>
    <row r="846" spans="1:4">
      <c r="A846" s="92"/>
      <c r="B846" s="92"/>
      <c r="C846" s="52" t="s">
        <v>990</v>
      </c>
      <c r="D846" s="52"/>
    </row>
    <row r="847" spans="1:4">
      <c r="A847" s="92"/>
      <c r="B847" s="92"/>
      <c r="C847" s="52" t="s">
        <v>991</v>
      </c>
      <c r="D847" s="52"/>
    </row>
    <row r="848" spans="1:4">
      <c r="A848" s="92"/>
      <c r="B848" s="92"/>
      <c r="C848" s="52" t="s">
        <v>992</v>
      </c>
      <c r="D848" s="52"/>
    </row>
    <row r="849" spans="1:4">
      <c r="A849" s="92"/>
      <c r="B849" s="92"/>
      <c r="C849" s="52" t="s">
        <v>993</v>
      </c>
      <c r="D849" s="52"/>
    </row>
    <row r="850" spans="1:4">
      <c r="A850" s="92"/>
      <c r="B850" s="92"/>
      <c r="C850" s="52" t="s">
        <v>204</v>
      </c>
      <c r="D850" s="52"/>
    </row>
    <row r="851" spans="1:4">
      <c r="A851" s="65" t="s">
        <v>994</v>
      </c>
      <c r="B851" s="65"/>
      <c r="C851" s="54" t="s">
        <v>387</v>
      </c>
      <c r="D851" s="54"/>
    </row>
    <row r="852" spans="1:4">
      <c r="A852" s="66"/>
      <c r="B852" s="66"/>
      <c r="C852" s="54" t="s">
        <v>164</v>
      </c>
      <c r="D852" s="54"/>
    </row>
    <row r="853" spans="1:4">
      <c r="A853" s="92" t="s">
        <v>995</v>
      </c>
      <c r="B853" s="92" t="s">
        <v>5</v>
      </c>
      <c r="C853" s="52" t="s">
        <v>996</v>
      </c>
      <c r="D853" s="52"/>
    </row>
    <row r="854" spans="1:4">
      <c r="A854" s="92"/>
      <c r="B854" s="92"/>
      <c r="C854" s="52" t="s">
        <v>997</v>
      </c>
      <c r="D854" s="52"/>
    </row>
    <row r="855" spans="1:4">
      <c r="A855" s="92"/>
      <c r="B855" s="92"/>
      <c r="C855" s="52" t="s">
        <v>998</v>
      </c>
      <c r="D855" s="52"/>
    </row>
    <row r="856" spans="1:4">
      <c r="A856" s="92"/>
      <c r="B856" s="92"/>
      <c r="C856" s="52" t="s">
        <v>999</v>
      </c>
      <c r="D856" s="52"/>
    </row>
    <row r="857" spans="1:4">
      <c r="A857" s="92"/>
      <c r="B857" s="92"/>
      <c r="C857" s="52" t="s">
        <v>1000</v>
      </c>
      <c r="D857" s="52"/>
    </row>
    <row r="858" spans="1:4">
      <c r="A858" s="92"/>
      <c r="B858" s="92"/>
      <c r="C858" s="52" t="s">
        <v>1001</v>
      </c>
      <c r="D858" s="52"/>
    </row>
    <row r="859" spans="1:4">
      <c r="A859" s="92"/>
      <c r="B859" s="92"/>
      <c r="C859" s="52" t="s">
        <v>1002</v>
      </c>
      <c r="D859" s="52"/>
    </row>
    <row r="860" spans="1:4">
      <c r="A860" s="92"/>
      <c r="B860" s="92"/>
      <c r="C860" s="52" t="s">
        <v>1003</v>
      </c>
      <c r="D860" s="52"/>
    </row>
    <row r="861" spans="1:4">
      <c r="A861" s="92"/>
      <c r="B861" s="92"/>
      <c r="C861" s="52" t="s">
        <v>1004</v>
      </c>
      <c r="D861" s="52"/>
    </row>
    <row r="862" spans="1:4">
      <c r="A862" s="65" t="s">
        <v>1005</v>
      </c>
      <c r="B862" s="65" t="s">
        <v>5</v>
      </c>
      <c r="C862" s="54" t="s">
        <v>47</v>
      </c>
      <c r="D862" s="54"/>
    </row>
    <row r="863" spans="1:4">
      <c r="A863" s="66"/>
      <c r="B863" s="66"/>
      <c r="C863" s="54" t="s">
        <v>1006</v>
      </c>
      <c r="D863" s="54"/>
    </row>
    <row r="864" spans="1:4">
      <c r="A864" s="66"/>
      <c r="B864" s="66"/>
      <c r="C864" s="54" t="s">
        <v>61</v>
      </c>
      <c r="D864" s="54"/>
    </row>
    <row r="865" spans="1:4">
      <c r="A865" s="66"/>
      <c r="B865" s="66"/>
      <c r="C865" s="54" t="s">
        <v>126</v>
      </c>
      <c r="D865" s="54"/>
    </row>
    <row r="866" spans="1:4">
      <c r="A866" s="66"/>
      <c r="B866" s="66"/>
      <c r="C866" s="54" t="s">
        <v>99</v>
      </c>
      <c r="D866" s="54"/>
    </row>
    <row r="867" spans="1:4">
      <c r="A867" s="66"/>
      <c r="B867" s="66"/>
      <c r="C867" s="54" t="s">
        <v>1007</v>
      </c>
      <c r="D867" s="54"/>
    </row>
    <row r="868" spans="1:4">
      <c r="A868" s="66"/>
      <c r="B868" s="66"/>
      <c r="C868" s="54" t="s">
        <v>30</v>
      </c>
      <c r="D868" s="54"/>
    </row>
    <row r="869" spans="1:4">
      <c r="A869" s="66"/>
      <c r="B869" s="66"/>
      <c r="C869" s="54" t="s">
        <v>1008</v>
      </c>
      <c r="D869" s="54"/>
    </row>
    <row r="870" spans="1:4">
      <c r="A870" s="92" t="s">
        <v>1009</v>
      </c>
      <c r="B870" s="92" t="s">
        <v>5</v>
      </c>
      <c r="C870" s="52" t="s">
        <v>47</v>
      </c>
      <c r="D870" s="52"/>
    </row>
    <row r="871" spans="1:4">
      <c r="A871" s="92"/>
      <c r="B871" s="92"/>
      <c r="C871" s="52" t="s">
        <v>61</v>
      </c>
      <c r="D871" s="52"/>
    </row>
    <row r="872" spans="1:4">
      <c r="A872" s="92"/>
      <c r="B872" s="92"/>
      <c r="C872" s="52" t="s">
        <v>99</v>
      </c>
      <c r="D872" s="52"/>
    </row>
    <row r="873" spans="1:4">
      <c r="A873" s="92"/>
      <c r="B873" s="92"/>
      <c r="C873" s="52" t="s">
        <v>204</v>
      </c>
      <c r="D873" s="52"/>
    </row>
    <row r="874" spans="1:4">
      <c r="A874" s="65" t="s">
        <v>1010</v>
      </c>
      <c r="B874" s="65" t="s">
        <v>5</v>
      </c>
      <c r="C874" s="54" t="s">
        <v>1011</v>
      </c>
      <c r="D874" s="54"/>
    </row>
    <row r="875" spans="1:4">
      <c r="A875" s="66"/>
      <c r="B875" s="66"/>
      <c r="C875" s="54" t="s">
        <v>219</v>
      </c>
      <c r="D875" s="54"/>
    </row>
    <row r="876" spans="1:4">
      <c r="A876" s="66"/>
      <c r="B876" s="66"/>
      <c r="C876" s="54" t="s">
        <v>214</v>
      </c>
      <c r="D876" s="54"/>
    </row>
    <row r="877" spans="1:4">
      <c r="A877" s="66"/>
      <c r="B877" s="66"/>
      <c r="C877" s="54" t="s">
        <v>801</v>
      </c>
      <c r="D877" s="54"/>
    </row>
    <row r="878" spans="1:4">
      <c r="A878" s="66"/>
      <c r="B878" s="66"/>
      <c r="C878" s="54" t="s">
        <v>1012</v>
      </c>
      <c r="D878" s="54"/>
    </row>
    <row r="879" spans="1:4">
      <c r="A879" s="66"/>
      <c r="B879" s="66"/>
      <c r="C879" s="54" t="s">
        <v>1013</v>
      </c>
      <c r="D879" s="54"/>
    </row>
    <row r="880" spans="1:4">
      <c r="A880" s="66"/>
      <c r="B880" s="66"/>
      <c r="C880" s="54" t="s">
        <v>1014</v>
      </c>
      <c r="D880" s="54"/>
    </row>
    <row r="881" spans="1:5">
      <c r="A881" s="66"/>
      <c r="B881" s="66"/>
      <c r="C881" s="54" t="s">
        <v>1015</v>
      </c>
      <c r="D881" s="54"/>
    </row>
    <row r="882" spans="1:5">
      <c r="A882" s="66"/>
      <c r="B882" s="66"/>
      <c r="C882" s="54" t="s">
        <v>1016</v>
      </c>
      <c r="D882" s="54" t="s">
        <v>1016</v>
      </c>
      <c r="E882" t="s">
        <v>265</v>
      </c>
    </row>
    <row r="883" spans="1:5">
      <c r="A883" s="67"/>
      <c r="B883" s="67"/>
      <c r="C883" s="54" t="s">
        <v>204</v>
      </c>
      <c r="D883" s="54"/>
    </row>
    <row r="884" spans="1:5">
      <c r="A884" s="81" t="s">
        <v>1017</v>
      </c>
      <c r="B884" s="81" t="s">
        <v>5</v>
      </c>
      <c r="C884" s="52" t="s">
        <v>976</v>
      </c>
      <c r="D884" s="52"/>
    </row>
    <row r="885" spans="1:5">
      <c r="A885" s="82"/>
      <c r="B885" s="82"/>
      <c r="C885" s="52" t="s">
        <v>1018</v>
      </c>
      <c r="D885" s="52"/>
    </row>
    <row r="886" spans="1:5">
      <c r="A886" s="82"/>
      <c r="B886" s="82"/>
      <c r="C886" s="52" t="s">
        <v>1019</v>
      </c>
      <c r="D886" s="52"/>
    </row>
    <row r="887" spans="1:5">
      <c r="A887" s="82"/>
      <c r="B887" s="82"/>
      <c r="C887" s="52" t="s">
        <v>1020</v>
      </c>
      <c r="D887" s="52"/>
    </row>
    <row r="888" spans="1:5">
      <c r="A888" s="82"/>
      <c r="B888" s="82"/>
      <c r="C888" s="52" t="s">
        <v>1021</v>
      </c>
      <c r="D888" s="52"/>
    </row>
    <row r="889" spans="1:5">
      <c r="A889" s="82"/>
      <c r="B889" s="82"/>
      <c r="C889" s="52" t="s">
        <v>1022</v>
      </c>
      <c r="D889" s="52" t="s">
        <v>1023</v>
      </c>
    </row>
    <row r="890" spans="1:5">
      <c r="A890" s="82"/>
      <c r="B890" s="82"/>
      <c r="C890" s="52" t="s">
        <v>1024</v>
      </c>
      <c r="D890" s="52"/>
    </row>
    <row r="891" spans="1:5">
      <c r="A891" s="65" t="s">
        <v>517</v>
      </c>
      <c r="B891" s="65" t="s">
        <v>5</v>
      </c>
      <c r="C891" s="54" t="s">
        <v>1025</v>
      </c>
      <c r="D891" s="54"/>
    </row>
    <row r="892" spans="1:5">
      <c r="A892" s="66"/>
      <c r="B892" s="66"/>
      <c r="C892" s="54" t="s">
        <v>1026</v>
      </c>
      <c r="D892" s="54"/>
    </row>
    <row r="893" spans="1:5">
      <c r="A893" s="66"/>
      <c r="B893" s="66"/>
      <c r="C893" s="54" t="s">
        <v>1027</v>
      </c>
      <c r="D893" s="54"/>
    </row>
    <row r="894" spans="1:5">
      <c r="A894" s="66"/>
      <c r="B894" s="66"/>
      <c r="C894" s="54" t="s">
        <v>1028</v>
      </c>
      <c r="D894" s="54"/>
    </row>
    <row r="895" spans="1:5">
      <c r="A895" s="66"/>
      <c r="B895" s="66"/>
      <c r="C895" s="54" t="s">
        <v>1029</v>
      </c>
      <c r="D895" s="54"/>
    </row>
    <row r="896" spans="1:5">
      <c r="A896" s="66"/>
      <c r="B896" s="66"/>
      <c r="C896" s="54" t="s">
        <v>204</v>
      </c>
      <c r="D896" s="54"/>
    </row>
    <row r="897" spans="1:4">
      <c r="A897" s="81" t="s">
        <v>1030</v>
      </c>
      <c r="B897" s="81" t="s">
        <v>5</v>
      </c>
      <c r="C897" s="52" t="s">
        <v>1031</v>
      </c>
      <c r="D897" s="52"/>
    </row>
    <row r="898" spans="1:4">
      <c r="A898" s="82"/>
      <c r="B898" s="82"/>
      <c r="C898" s="52" t="s">
        <v>1032</v>
      </c>
      <c r="D898" s="52"/>
    </row>
    <row r="899" spans="1:4">
      <c r="A899" s="82"/>
      <c r="B899" s="82"/>
      <c r="C899" s="52" t="s">
        <v>976</v>
      </c>
      <c r="D899" s="52"/>
    </row>
    <row r="900" spans="1:4">
      <c r="A900" s="82"/>
      <c r="B900" s="82"/>
      <c r="C900" s="52" t="s">
        <v>204</v>
      </c>
      <c r="D900" s="52"/>
    </row>
    <row r="901" spans="1:4">
      <c r="A901" s="65" t="s">
        <v>1033</v>
      </c>
      <c r="B901" s="65" t="s">
        <v>5</v>
      </c>
      <c r="C901" s="54" t="s">
        <v>1034</v>
      </c>
      <c r="D901" s="54"/>
    </row>
    <row r="902" spans="1:4">
      <c r="A902" s="66"/>
      <c r="B902" s="66"/>
      <c r="C902" s="54" t="s">
        <v>1035</v>
      </c>
      <c r="D902" s="54"/>
    </row>
    <row r="903" spans="1:4">
      <c r="A903" s="66"/>
      <c r="B903" s="66"/>
      <c r="C903" s="54" t="s">
        <v>792</v>
      </c>
      <c r="D903" s="54"/>
    </row>
    <row r="904" spans="1:4">
      <c r="A904" s="66"/>
      <c r="B904" s="66"/>
      <c r="C904" s="54" t="s">
        <v>1036</v>
      </c>
      <c r="D904" s="54"/>
    </row>
    <row r="905" spans="1:4">
      <c r="A905" s="66"/>
      <c r="B905" s="66"/>
      <c r="C905" s="54" t="s">
        <v>1037</v>
      </c>
      <c r="D905" s="54"/>
    </row>
    <row r="906" spans="1:4">
      <c r="A906" s="91" t="s">
        <v>1038</v>
      </c>
      <c r="B906" s="91" t="s">
        <v>5</v>
      </c>
      <c r="C906" s="57" t="s">
        <v>1039</v>
      </c>
      <c r="D906" s="57"/>
    </row>
    <row r="907" spans="1:4">
      <c r="A907" s="92"/>
      <c r="B907" s="92"/>
      <c r="C907" s="57" t="s">
        <v>1040</v>
      </c>
      <c r="D907" s="57"/>
    </row>
    <row r="908" spans="1:4">
      <c r="A908" s="92"/>
      <c r="B908" s="92"/>
      <c r="C908" s="52" t="s">
        <v>1041</v>
      </c>
      <c r="D908" s="52"/>
    </row>
    <row r="909" spans="1:4">
      <c r="A909" s="92"/>
      <c r="B909" s="92"/>
      <c r="C909" s="52" t="s">
        <v>1042</v>
      </c>
      <c r="D909" s="52"/>
    </row>
    <row r="910" spans="1:4">
      <c r="A910" s="92"/>
      <c r="B910" s="92"/>
      <c r="C910" s="52" t="s">
        <v>1043</v>
      </c>
      <c r="D910" s="52"/>
    </row>
    <row r="911" spans="1:4">
      <c r="A911" s="92"/>
      <c r="B911" s="92"/>
      <c r="C911" s="52" t="s">
        <v>1044</v>
      </c>
      <c r="D911" s="52"/>
    </row>
    <row r="912" spans="1:4">
      <c r="A912" s="87" t="s">
        <v>1045</v>
      </c>
      <c r="B912" s="87" t="s">
        <v>5</v>
      </c>
      <c r="C912" s="59" t="s">
        <v>47</v>
      </c>
      <c r="D912" s="59"/>
    </row>
    <row r="913" spans="1:5">
      <c r="A913" s="69"/>
      <c r="B913" s="69"/>
      <c r="C913" s="59" t="s">
        <v>1006</v>
      </c>
      <c r="D913" s="59"/>
    </row>
    <row r="914" spans="1:5">
      <c r="A914" s="69"/>
      <c r="B914" s="69"/>
      <c r="C914" s="54" t="s">
        <v>61</v>
      </c>
      <c r="D914" s="54"/>
    </row>
    <row r="915" spans="1:5">
      <c r="A915" s="69"/>
      <c r="B915" s="69"/>
      <c r="C915" s="54" t="s">
        <v>126</v>
      </c>
      <c r="D915" s="54"/>
    </row>
    <row r="916" spans="1:5">
      <c r="A916" s="69"/>
      <c r="B916" s="69"/>
      <c r="C916" s="54" t="s">
        <v>99</v>
      </c>
      <c r="D916" s="54"/>
    </row>
    <row r="917" spans="1:5">
      <c r="A917" s="69"/>
      <c r="B917" s="69"/>
      <c r="C917" s="54" t="s">
        <v>1007</v>
      </c>
      <c r="D917" s="54"/>
    </row>
    <row r="918" spans="1:5">
      <c r="A918" s="69"/>
      <c r="B918" s="69"/>
      <c r="C918" s="59" t="s">
        <v>30</v>
      </c>
      <c r="D918" s="59"/>
    </row>
    <row r="919" spans="1:5">
      <c r="A919" s="69"/>
      <c r="B919" s="69"/>
      <c r="C919" s="59" t="s">
        <v>1008</v>
      </c>
      <c r="D919" s="59"/>
    </row>
    <row r="920" spans="1:5" ht="15">
      <c r="A920" s="91" t="s">
        <v>1046</v>
      </c>
      <c r="B920" s="91" t="s">
        <v>5</v>
      </c>
      <c r="C920" s="57" t="s">
        <v>1047</v>
      </c>
      <c r="D920" s="57"/>
      <c r="E920" s="58"/>
    </row>
    <row r="921" spans="1:5" ht="15">
      <c r="A921" s="92"/>
      <c r="B921" s="92"/>
      <c r="C921" s="57" t="s">
        <v>1048</v>
      </c>
      <c r="D921" s="57"/>
      <c r="E921" s="58"/>
    </row>
    <row r="922" spans="1:5" ht="15">
      <c r="A922" s="92"/>
      <c r="B922" s="92"/>
      <c r="C922" s="52" t="s">
        <v>1049</v>
      </c>
      <c r="D922" s="52"/>
      <c r="E922" s="58"/>
    </row>
    <row r="923" spans="1:5" ht="15">
      <c r="A923" s="92"/>
      <c r="B923" s="92"/>
      <c r="C923" s="52" t="s">
        <v>1050</v>
      </c>
      <c r="D923" s="52"/>
      <c r="E923" s="58"/>
    </row>
    <row r="924" spans="1:5" ht="15">
      <c r="A924" s="92"/>
      <c r="B924" s="92"/>
      <c r="C924" s="52" t="s">
        <v>1051</v>
      </c>
      <c r="D924" s="52"/>
      <c r="E924" s="58"/>
    </row>
    <row r="925" spans="1:5">
      <c r="A925" s="92"/>
      <c r="B925" s="92"/>
      <c r="C925" s="52" t="s">
        <v>204</v>
      </c>
      <c r="D925" s="52"/>
    </row>
    <row r="926" spans="1:5">
      <c r="A926" s="87" t="s">
        <v>1052</v>
      </c>
      <c r="B926" s="87" t="s">
        <v>5</v>
      </c>
      <c r="C926" s="54" t="s">
        <v>1053</v>
      </c>
      <c r="D926" s="54"/>
    </row>
    <row r="927" spans="1:5">
      <c r="A927" s="69"/>
      <c r="B927" s="69"/>
      <c r="C927" s="54" t="s">
        <v>1054</v>
      </c>
      <c r="D927" s="54"/>
    </row>
    <row r="928" spans="1:5">
      <c r="A928" s="69"/>
      <c r="B928" s="69"/>
      <c r="C928" s="54" t="s">
        <v>1055</v>
      </c>
      <c r="D928" s="54"/>
    </row>
    <row r="929" spans="1:5">
      <c r="A929" s="88" t="s">
        <v>1056</v>
      </c>
      <c r="B929" s="88" t="s">
        <v>5</v>
      </c>
      <c r="C929" s="57" t="s">
        <v>1057</v>
      </c>
      <c r="D929" s="57"/>
    </row>
    <row r="930" spans="1:5">
      <c r="A930" s="89"/>
      <c r="B930" s="89"/>
      <c r="C930" s="57" t="s">
        <v>219</v>
      </c>
      <c r="D930" s="57"/>
    </row>
    <row r="931" spans="1:5">
      <c r="A931" s="89"/>
      <c r="B931" s="89"/>
      <c r="C931" s="52" t="s">
        <v>1011</v>
      </c>
      <c r="D931" s="52"/>
    </row>
    <row r="932" spans="1:5">
      <c r="A932" s="89"/>
      <c r="B932" s="89"/>
      <c r="C932" s="52" t="s">
        <v>214</v>
      </c>
      <c r="D932" s="52"/>
    </row>
    <row r="933" spans="1:5">
      <c r="A933" s="89"/>
      <c r="B933" s="89"/>
      <c r="C933" s="52" t="s">
        <v>204</v>
      </c>
      <c r="D933" s="52"/>
    </row>
    <row r="934" spans="1:5">
      <c r="A934" s="95" t="s">
        <v>1058</v>
      </c>
      <c r="B934" s="95" t="s">
        <v>5</v>
      </c>
      <c r="C934" s="59" t="s">
        <v>1011</v>
      </c>
      <c r="D934" s="59"/>
    </row>
    <row r="935" spans="1:5">
      <c r="A935" s="96"/>
      <c r="B935" s="96"/>
      <c r="C935" s="59" t="s">
        <v>219</v>
      </c>
      <c r="D935" s="59"/>
    </row>
    <row r="936" spans="1:5">
      <c r="A936" s="96"/>
      <c r="B936" s="96"/>
      <c r="C936" s="54" t="s">
        <v>214</v>
      </c>
      <c r="D936" s="54"/>
    </row>
    <row r="937" spans="1:5">
      <c r="A937" s="96"/>
      <c r="B937" s="96"/>
      <c r="C937" s="54" t="s">
        <v>801</v>
      </c>
      <c r="D937" s="54"/>
    </row>
    <row r="938" spans="1:5">
      <c r="A938" s="96"/>
      <c r="B938" s="96"/>
      <c r="C938" s="54" t="s">
        <v>1059</v>
      </c>
      <c r="D938" s="54"/>
    </row>
    <row r="939" spans="1:5">
      <c r="A939" s="96"/>
      <c r="B939" s="96"/>
      <c r="C939" s="59" t="s">
        <v>1059</v>
      </c>
      <c r="D939" s="59"/>
    </row>
    <row r="940" spans="1:5">
      <c r="A940" s="96"/>
      <c r="B940" s="96"/>
      <c r="C940" s="59" t="s">
        <v>1013</v>
      </c>
      <c r="D940" s="59"/>
    </row>
    <row r="941" spans="1:5">
      <c r="A941" s="96"/>
      <c r="B941" s="96"/>
      <c r="C941" s="54" t="s">
        <v>1014</v>
      </c>
      <c r="D941" s="54"/>
    </row>
    <row r="942" spans="1:5">
      <c r="A942" s="96"/>
      <c r="B942" s="96"/>
      <c r="C942" s="59" t="s">
        <v>1015</v>
      </c>
      <c r="D942" s="59"/>
    </row>
    <row r="943" spans="1:5">
      <c r="A943" s="96"/>
      <c r="B943" s="96"/>
      <c r="C943" s="59" t="s">
        <v>1057</v>
      </c>
      <c r="D943" s="59"/>
    </row>
    <row r="944" spans="1:5">
      <c r="A944" s="96"/>
      <c r="B944" s="96"/>
      <c r="C944" s="54" t="s">
        <v>1060</v>
      </c>
      <c r="D944" s="54" t="s">
        <v>1060</v>
      </c>
      <c r="E944" t="s">
        <v>265</v>
      </c>
    </row>
    <row r="945" spans="1:4">
      <c r="A945" s="120"/>
      <c r="B945" s="120"/>
      <c r="C945" s="54" t="s">
        <v>204</v>
      </c>
      <c r="D945" s="54"/>
    </row>
    <row r="946" spans="1:4" ht="14.25" customHeight="1">
      <c r="A946" s="88" t="s">
        <v>1061</v>
      </c>
      <c r="B946" s="88" t="s">
        <v>5</v>
      </c>
      <c r="C946" s="57" t="s">
        <v>1062</v>
      </c>
      <c r="D946" s="57"/>
    </row>
    <row r="947" spans="1:4">
      <c r="A947" s="89"/>
      <c r="B947" s="89"/>
      <c r="C947" s="57" t="s">
        <v>1063</v>
      </c>
      <c r="D947" s="57"/>
    </row>
    <row r="948" spans="1:4">
      <c r="A948" s="89"/>
      <c r="B948" s="89"/>
      <c r="C948" s="52" t="s">
        <v>1064</v>
      </c>
      <c r="D948" s="52"/>
    </row>
    <row r="949" spans="1:4">
      <c r="A949" s="89"/>
      <c r="B949" s="89"/>
      <c r="C949" s="52" t="s">
        <v>1065</v>
      </c>
      <c r="D949" s="52"/>
    </row>
    <row r="950" spans="1:4">
      <c r="A950" s="89"/>
      <c r="B950" s="89"/>
      <c r="C950" s="52" t="s">
        <v>1066</v>
      </c>
      <c r="D950" s="52"/>
    </row>
    <row r="951" spans="1:4">
      <c r="A951" s="89"/>
      <c r="B951" s="89"/>
      <c r="C951" s="57" t="s">
        <v>811</v>
      </c>
      <c r="D951" s="57"/>
    </row>
    <row r="952" spans="1:4">
      <c r="A952" s="89"/>
      <c r="B952" s="89"/>
      <c r="C952" s="57" t="s">
        <v>1057</v>
      </c>
      <c r="D952" s="57"/>
    </row>
    <row r="953" spans="1:4">
      <c r="A953" s="89"/>
      <c r="B953" s="89"/>
      <c r="C953" s="52" t="s">
        <v>1067</v>
      </c>
      <c r="D953" s="52" t="s">
        <v>1068</v>
      </c>
    </row>
    <row r="954" spans="1:4">
      <c r="A954" s="89"/>
      <c r="B954" s="89"/>
      <c r="C954" s="52" t="s">
        <v>1022</v>
      </c>
      <c r="D954" s="52" t="s">
        <v>1023</v>
      </c>
    </row>
    <row r="955" spans="1:4">
      <c r="A955" s="89"/>
      <c r="B955" s="89"/>
      <c r="C955" s="52" t="s">
        <v>204</v>
      </c>
      <c r="D955" s="52"/>
    </row>
    <row r="956" spans="1:4">
      <c r="A956" s="95" t="s">
        <v>819</v>
      </c>
      <c r="B956" s="95" t="s">
        <v>5</v>
      </c>
      <c r="C956" s="54" t="s">
        <v>1069</v>
      </c>
      <c r="D956" s="54"/>
    </row>
    <row r="957" spans="1:4">
      <c r="A957" s="96"/>
      <c r="B957" s="96"/>
      <c r="C957" s="54" t="s">
        <v>1070</v>
      </c>
      <c r="D957" s="54"/>
    </row>
    <row r="958" spans="1:4">
      <c r="A958" s="96"/>
      <c r="B958" s="96"/>
      <c r="C958" s="54" t="s">
        <v>1071</v>
      </c>
      <c r="D958" s="54"/>
    </row>
    <row r="959" spans="1:4">
      <c r="A959" s="96"/>
      <c r="B959" s="96"/>
      <c r="C959" s="54" t="s">
        <v>1072</v>
      </c>
      <c r="D959" s="54"/>
    </row>
    <row r="960" spans="1:4">
      <c r="A960" s="96"/>
      <c r="B960" s="96"/>
      <c r="C960" s="54" t="s">
        <v>1073</v>
      </c>
      <c r="D960" s="54"/>
    </row>
    <row r="961" spans="1:5">
      <c r="A961" s="96"/>
      <c r="B961" s="96"/>
      <c r="C961" s="54" t="s">
        <v>1074</v>
      </c>
      <c r="D961" s="54"/>
    </row>
    <row r="962" spans="1:5">
      <c r="A962" s="96"/>
      <c r="B962" s="96"/>
      <c r="C962" s="54" t="s">
        <v>1075</v>
      </c>
      <c r="D962" s="54"/>
    </row>
    <row r="963" spans="1:5">
      <c r="A963" s="96"/>
      <c r="B963" s="96"/>
      <c r="C963" s="54" t="s">
        <v>900</v>
      </c>
      <c r="D963" s="54"/>
      <c r="E963" t="s">
        <v>265</v>
      </c>
    </row>
    <row r="964" spans="1:5">
      <c r="A964" s="97" t="s">
        <v>1076</v>
      </c>
      <c r="B964" s="88" t="s">
        <v>5</v>
      </c>
      <c r="C964" s="52" t="s">
        <v>1034</v>
      </c>
      <c r="D964" s="52"/>
    </row>
    <row r="965" spans="1:5">
      <c r="A965" s="98"/>
      <c r="B965" s="89"/>
      <c r="C965" s="52" t="s">
        <v>1035</v>
      </c>
      <c r="D965" s="52"/>
    </row>
    <row r="966" spans="1:5">
      <c r="A966" s="98"/>
      <c r="B966" s="89"/>
      <c r="C966" s="52" t="s">
        <v>792</v>
      </c>
      <c r="D966" s="52"/>
    </row>
    <row r="967" spans="1:5">
      <c r="A967" s="98"/>
      <c r="B967" s="89"/>
      <c r="C967" s="52" t="s">
        <v>1036</v>
      </c>
      <c r="D967" s="52"/>
    </row>
    <row r="968" spans="1:5">
      <c r="A968" s="98"/>
      <c r="B968" s="89"/>
      <c r="C968" s="52" t="s">
        <v>1037</v>
      </c>
      <c r="D968" s="52"/>
    </row>
    <row r="969" spans="1:5">
      <c r="A969" s="98"/>
      <c r="B969" s="89"/>
      <c r="C969" s="52" t="s">
        <v>1077</v>
      </c>
      <c r="D969" s="52"/>
      <c r="E969" t="s">
        <v>265</v>
      </c>
    </row>
    <row r="970" spans="1:5">
      <c r="A970" s="99" t="s">
        <v>1078</v>
      </c>
      <c r="B970" s="95" t="s">
        <v>5</v>
      </c>
      <c r="C970" s="54" t="s">
        <v>1079</v>
      </c>
      <c r="D970" s="54"/>
    </row>
    <row r="971" spans="1:5">
      <c r="A971" s="100"/>
      <c r="B971" s="96"/>
      <c r="C971" s="54" t="s">
        <v>1080</v>
      </c>
      <c r="D971" s="54"/>
    </row>
    <row r="972" spans="1:5">
      <c r="A972" s="100"/>
      <c r="B972" s="96"/>
      <c r="C972" s="54" t="s">
        <v>1081</v>
      </c>
      <c r="D972" s="54"/>
    </row>
    <row r="973" spans="1:5">
      <c r="A973" s="100"/>
      <c r="B973" s="96"/>
      <c r="C973" s="54" t="s">
        <v>1082</v>
      </c>
      <c r="D973" s="54"/>
    </row>
    <row r="974" spans="1:5">
      <c r="A974" s="100"/>
      <c r="B974" s="96"/>
      <c r="C974" s="54" t="s">
        <v>1083</v>
      </c>
      <c r="D974" s="54"/>
    </row>
    <row r="975" spans="1:5">
      <c r="A975" s="100"/>
      <c r="B975" s="96"/>
      <c r="C975" s="54" t="s">
        <v>1084</v>
      </c>
      <c r="D975" s="54"/>
    </row>
    <row r="976" spans="1:5">
      <c r="A976" s="121"/>
      <c r="B976" s="120"/>
      <c r="C976" s="54" t="s">
        <v>204</v>
      </c>
      <c r="D976" s="54"/>
    </row>
    <row r="977" spans="1:5">
      <c r="A977" s="88" t="s">
        <v>1085</v>
      </c>
      <c r="B977" s="88" t="s">
        <v>5</v>
      </c>
      <c r="C977" s="52" t="s">
        <v>1086</v>
      </c>
      <c r="D977" s="52"/>
      <c r="E977" t="s">
        <v>1087</v>
      </c>
    </row>
    <row r="978" spans="1:5">
      <c r="A978" s="89"/>
      <c r="B978" s="89"/>
      <c r="C978" s="52" t="s">
        <v>1088</v>
      </c>
      <c r="D978" s="52"/>
    </row>
    <row r="979" spans="1:5">
      <c r="A979" s="89"/>
      <c r="B979" s="89"/>
      <c r="C979" s="52" t="s">
        <v>1089</v>
      </c>
      <c r="D979" s="52"/>
    </row>
    <row r="980" spans="1:5">
      <c r="A980" s="89"/>
      <c r="B980" s="89"/>
      <c r="C980" s="52" t="s">
        <v>1090</v>
      </c>
      <c r="D980" s="52"/>
    </row>
    <row r="981" spans="1:5">
      <c r="A981" s="89"/>
      <c r="B981" s="89"/>
      <c r="C981" s="52" t="s">
        <v>1091</v>
      </c>
      <c r="D981" s="52"/>
    </row>
    <row r="982" spans="1:5">
      <c r="A982" s="89"/>
      <c r="B982" s="89"/>
      <c r="C982" s="52" t="s">
        <v>1092</v>
      </c>
      <c r="D982" s="52"/>
    </row>
    <row r="983" spans="1:5">
      <c r="A983" s="89"/>
      <c r="B983" s="89"/>
      <c r="C983" s="52" t="s">
        <v>1093</v>
      </c>
      <c r="D983" s="52"/>
    </row>
    <row r="984" spans="1:5">
      <c r="A984" s="89"/>
      <c r="B984" s="89"/>
      <c r="C984" s="52" t="s">
        <v>1094</v>
      </c>
      <c r="D984" s="52"/>
    </row>
    <row r="985" spans="1:5">
      <c r="A985" s="89"/>
      <c r="B985" s="89"/>
      <c r="C985" s="52" t="s">
        <v>1095</v>
      </c>
      <c r="D985" s="52" t="s">
        <v>1096</v>
      </c>
      <c r="E985" t="s">
        <v>265</v>
      </c>
    </row>
    <row r="986" spans="1:5">
      <c r="A986" s="99" t="s">
        <v>1097</v>
      </c>
      <c r="B986" s="95" t="s">
        <v>5</v>
      </c>
      <c r="C986" s="54" t="s">
        <v>1039</v>
      </c>
      <c r="D986" s="54"/>
    </row>
    <row r="987" spans="1:5">
      <c r="A987" s="100"/>
      <c r="B987" s="96"/>
      <c r="C987" s="54" t="s">
        <v>1040</v>
      </c>
      <c r="D987" s="54"/>
    </row>
    <row r="988" spans="1:5">
      <c r="A988" s="100"/>
      <c r="B988" s="96"/>
      <c r="C988" s="54" t="s">
        <v>1098</v>
      </c>
      <c r="D988" s="54"/>
    </row>
    <row r="989" spans="1:5">
      <c r="A989" s="100"/>
      <c r="B989" s="96"/>
      <c r="C989" s="54" t="s">
        <v>1099</v>
      </c>
      <c r="D989" s="54"/>
    </row>
    <row r="990" spans="1:5">
      <c r="A990" s="100"/>
      <c r="B990" s="96"/>
      <c r="C990" s="54" t="s">
        <v>1100</v>
      </c>
      <c r="D990" s="54"/>
    </row>
    <row r="991" spans="1:5">
      <c r="A991" s="100"/>
      <c r="B991" s="96"/>
      <c r="C991" s="54" t="s">
        <v>1101</v>
      </c>
      <c r="D991" s="54"/>
    </row>
    <row r="992" spans="1:5">
      <c r="A992" s="88" t="s">
        <v>1102</v>
      </c>
      <c r="B992" s="88" t="s">
        <v>5</v>
      </c>
      <c r="C992" s="52" t="s">
        <v>219</v>
      </c>
      <c r="D992" s="52"/>
    </row>
    <row r="993" spans="1:5">
      <c r="A993" s="89"/>
      <c r="B993" s="89"/>
      <c r="C993" s="52" t="s">
        <v>1011</v>
      </c>
      <c r="D993" s="52"/>
    </row>
    <row r="994" spans="1:5">
      <c r="A994" s="89"/>
      <c r="B994" s="89"/>
      <c r="C994" s="52" t="s">
        <v>1008</v>
      </c>
      <c r="D994" s="52"/>
    </row>
    <row r="995" spans="1:5">
      <c r="A995" s="89"/>
      <c r="B995" s="89"/>
      <c r="C995" s="52" t="s">
        <v>214</v>
      </c>
      <c r="D995" s="52"/>
    </row>
    <row r="996" spans="1:5">
      <c r="A996" s="89"/>
      <c r="B996" s="89"/>
      <c r="C996" s="52" t="s">
        <v>1103</v>
      </c>
      <c r="D996" s="52" t="s">
        <v>1104</v>
      </c>
    </row>
    <row r="997" spans="1:5">
      <c r="A997" s="89"/>
      <c r="B997" s="89"/>
      <c r="C997" s="52" t="s">
        <v>204</v>
      </c>
      <c r="D997" s="52"/>
    </row>
    <row r="998" spans="1:5">
      <c r="A998" s="95" t="s">
        <v>1105</v>
      </c>
      <c r="B998" s="95" t="s">
        <v>5</v>
      </c>
      <c r="C998" s="54" t="s">
        <v>203</v>
      </c>
      <c r="D998" s="54"/>
      <c r="E998" t="s">
        <v>1087</v>
      </c>
    </row>
    <row r="999" spans="1:5">
      <c r="A999" s="96"/>
      <c r="B999" s="96"/>
      <c r="C999" s="54" t="s">
        <v>1106</v>
      </c>
      <c r="D999" s="54"/>
    </row>
    <row r="1000" spans="1:5">
      <c r="A1000" s="88" t="s">
        <v>1107</v>
      </c>
      <c r="B1000" s="88" t="s">
        <v>5</v>
      </c>
      <c r="C1000" s="52" t="s">
        <v>1108</v>
      </c>
      <c r="D1000" s="52"/>
    </row>
    <row r="1001" spans="1:5">
      <c r="A1001" s="89"/>
      <c r="B1001" s="89"/>
      <c r="C1001" s="52" t="s">
        <v>1109</v>
      </c>
      <c r="D1001" s="52"/>
    </row>
    <row r="1002" spans="1:5">
      <c r="A1002" s="89"/>
      <c r="B1002" s="89"/>
      <c r="C1002" s="52" t="s">
        <v>1110</v>
      </c>
      <c r="D1002" s="52"/>
    </row>
    <row r="1003" spans="1:5">
      <c r="A1003" s="89"/>
      <c r="B1003" s="89"/>
      <c r="C1003" s="52" t="s">
        <v>1111</v>
      </c>
      <c r="D1003" s="52"/>
      <c r="E1003" t="s">
        <v>265</v>
      </c>
    </row>
    <row r="1004" spans="1:5">
      <c r="A1004" s="89"/>
      <c r="B1004" s="89"/>
      <c r="C1004" s="52" t="s">
        <v>1112</v>
      </c>
      <c r="D1004" s="52"/>
    </row>
    <row r="1005" spans="1:5">
      <c r="A1005" s="89"/>
      <c r="B1005" s="89"/>
      <c r="C1005" s="52" t="s">
        <v>1113</v>
      </c>
      <c r="D1005" s="52"/>
    </row>
    <row r="1006" spans="1:5">
      <c r="A1006" s="89"/>
      <c r="B1006" s="89"/>
      <c r="C1006" s="52" t="s">
        <v>1114</v>
      </c>
      <c r="D1006" s="52"/>
      <c r="E1006" t="s">
        <v>265</v>
      </c>
    </row>
    <row r="1007" spans="1:5">
      <c r="A1007" s="89"/>
      <c r="B1007" s="89"/>
      <c r="C1007" s="52" t="s">
        <v>1115</v>
      </c>
      <c r="D1007" s="52"/>
    </row>
    <row r="1008" spans="1:5">
      <c r="A1008" s="89"/>
      <c r="B1008" s="89"/>
      <c r="C1008" s="52" t="s">
        <v>1116</v>
      </c>
      <c r="D1008" s="52"/>
    </row>
    <row r="1009" spans="1:4">
      <c r="A1009" s="89"/>
      <c r="B1009" s="89"/>
      <c r="C1009" s="52" t="s">
        <v>1117</v>
      </c>
      <c r="D1009" s="52"/>
    </row>
    <row r="1010" spans="1:4">
      <c r="A1010" s="89"/>
      <c r="B1010" s="89"/>
      <c r="C1010" s="52" t="s">
        <v>174</v>
      </c>
      <c r="D1010" s="52"/>
    </row>
    <row r="1011" spans="1:4">
      <c r="A1011" s="89"/>
      <c r="B1011" s="89"/>
      <c r="C1011" s="52" t="s">
        <v>1118</v>
      </c>
      <c r="D1011" s="52"/>
    </row>
    <row r="1012" spans="1:4">
      <c r="A1012" s="89"/>
      <c r="B1012" s="89"/>
      <c r="C1012" s="52" t="s">
        <v>1119</v>
      </c>
      <c r="D1012" s="52"/>
    </row>
    <row r="1013" spans="1:4">
      <c r="A1013" s="89"/>
      <c r="B1013" s="89"/>
      <c r="C1013" s="52" t="s">
        <v>1120</v>
      </c>
      <c r="D1013" s="52"/>
    </row>
    <row r="1014" spans="1:4">
      <c r="A1014" s="89"/>
      <c r="B1014" s="89"/>
      <c r="C1014" s="52" t="s">
        <v>1121</v>
      </c>
      <c r="D1014" s="52"/>
    </row>
    <row r="1015" spans="1:4">
      <c r="A1015" s="89"/>
      <c r="B1015" s="89"/>
      <c r="C1015" s="52" t="s">
        <v>163</v>
      </c>
      <c r="D1015" s="52"/>
    </row>
    <row r="1016" spans="1:4">
      <c r="A1016" s="89"/>
      <c r="B1016" s="89"/>
      <c r="C1016" s="52" t="s">
        <v>1122</v>
      </c>
      <c r="D1016" s="52"/>
    </row>
    <row r="1017" spans="1:4">
      <c r="A1017" s="89"/>
      <c r="B1017" s="89"/>
      <c r="C1017" s="52" t="s">
        <v>169</v>
      </c>
      <c r="D1017" s="52"/>
    </row>
    <row r="1018" spans="1:4">
      <c r="A1018" s="89"/>
      <c r="B1018" s="89"/>
      <c r="C1018" s="52" t="s">
        <v>1123</v>
      </c>
      <c r="D1018" s="52"/>
    </row>
    <row r="1019" spans="1:4">
      <c r="A1019" s="89"/>
      <c r="B1019" s="89"/>
      <c r="C1019" s="52" t="s">
        <v>1124</v>
      </c>
      <c r="D1019" s="52"/>
    </row>
    <row r="1020" spans="1:4">
      <c r="A1020" s="89"/>
      <c r="B1020" s="89"/>
      <c r="C1020" s="52" t="s">
        <v>1125</v>
      </c>
      <c r="D1020" s="52"/>
    </row>
    <row r="1021" spans="1:4">
      <c r="A1021" s="89"/>
      <c r="B1021" s="89"/>
      <c r="C1021" s="52" t="s">
        <v>1126</v>
      </c>
      <c r="D1021" s="52"/>
    </row>
    <row r="1022" spans="1:4">
      <c r="A1022" s="89"/>
      <c r="B1022" s="89"/>
      <c r="C1022" s="52" t="s">
        <v>1127</v>
      </c>
      <c r="D1022" s="52"/>
    </row>
    <row r="1023" spans="1:4">
      <c r="A1023" s="89"/>
      <c r="B1023" s="89"/>
      <c r="C1023" s="52" t="s">
        <v>1128</v>
      </c>
      <c r="D1023" s="52"/>
    </row>
    <row r="1024" spans="1:4">
      <c r="A1024" s="89"/>
      <c r="B1024" s="89"/>
      <c r="C1024" s="52" t="s">
        <v>1129</v>
      </c>
      <c r="D1024" s="52"/>
    </row>
    <row r="1025" spans="1:5">
      <c r="A1025" s="89"/>
      <c r="B1025" s="89"/>
      <c r="C1025" s="52" t="s">
        <v>1130</v>
      </c>
      <c r="D1025" s="52"/>
    </row>
    <row r="1026" spans="1:5">
      <c r="A1026" s="89"/>
      <c r="B1026" s="89"/>
      <c r="C1026" s="52" t="s">
        <v>1131</v>
      </c>
      <c r="D1026" s="52"/>
    </row>
    <row r="1027" spans="1:5">
      <c r="A1027" s="89"/>
      <c r="B1027" s="89"/>
      <c r="C1027" s="52" t="s">
        <v>1132</v>
      </c>
      <c r="D1027" s="52"/>
    </row>
    <row r="1028" spans="1:5">
      <c r="A1028" s="89"/>
      <c r="B1028" s="89"/>
      <c r="C1028" s="52" t="s">
        <v>1133</v>
      </c>
      <c r="D1028" s="52"/>
    </row>
    <row r="1029" spans="1:5">
      <c r="A1029" s="89"/>
      <c r="B1029" s="89"/>
      <c r="C1029" s="52" t="s">
        <v>1134</v>
      </c>
      <c r="D1029" s="52"/>
    </row>
    <row r="1030" spans="1:5">
      <c r="A1030" s="89"/>
      <c r="B1030" s="89"/>
      <c r="C1030" s="52" t="s">
        <v>1135</v>
      </c>
      <c r="D1030" s="52"/>
    </row>
    <row r="1031" spans="1:5">
      <c r="A1031" s="89"/>
      <c r="B1031" s="89"/>
      <c r="C1031" s="130" t="s">
        <v>1136</v>
      </c>
      <c r="D1031" s="52"/>
      <c r="E1031" t="s">
        <v>265</v>
      </c>
    </row>
    <row r="1032" spans="1:5">
      <c r="A1032" s="89"/>
      <c r="B1032" s="89"/>
      <c r="C1032" s="52" t="s">
        <v>1137</v>
      </c>
      <c r="D1032" s="52"/>
    </row>
    <row r="1033" spans="1:5">
      <c r="A1033" s="89"/>
      <c r="B1033" s="89"/>
      <c r="C1033" s="52" t="s">
        <v>204</v>
      </c>
      <c r="D1033" s="52"/>
    </row>
    <row r="1034" spans="1:5">
      <c r="A1034" s="65" t="s">
        <v>1138</v>
      </c>
      <c r="B1034" s="65" t="s">
        <v>5</v>
      </c>
      <c r="C1034" s="54" t="s">
        <v>1139</v>
      </c>
      <c r="D1034" s="54"/>
      <c r="E1034" t="s">
        <v>1087</v>
      </c>
    </row>
    <row r="1035" spans="1:5">
      <c r="A1035" s="66"/>
      <c r="B1035" s="66"/>
      <c r="C1035" s="54" t="s">
        <v>1140</v>
      </c>
      <c r="D1035" s="54"/>
    </row>
    <row r="1036" spans="1:5">
      <c r="A1036" s="66"/>
      <c r="B1036" s="66"/>
      <c r="C1036" s="54" t="s">
        <v>204</v>
      </c>
      <c r="D1036" s="54"/>
    </row>
    <row r="1037" spans="1:5">
      <c r="A1037" s="88" t="s">
        <v>1141</v>
      </c>
      <c r="B1037" s="88" t="s">
        <v>5</v>
      </c>
      <c r="C1037" s="52" t="s">
        <v>1142</v>
      </c>
      <c r="D1037" s="52"/>
    </row>
    <row r="1038" spans="1:5">
      <c r="A1038" s="89"/>
      <c r="B1038" s="89"/>
      <c r="C1038" s="52" t="s">
        <v>1143</v>
      </c>
      <c r="D1038" s="52" t="s">
        <v>1144</v>
      </c>
    </row>
    <row r="1039" spans="1:5">
      <c r="A1039" s="89"/>
      <c r="B1039" s="89"/>
      <c r="C1039" s="52" t="s">
        <v>1145</v>
      </c>
      <c r="D1039" s="52" t="s">
        <v>1146</v>
      </c>
    </row>
    <row r="1040" spans="1:5">
      <c r="A1040" s="89"/>
      <c r="B1040" s="89"/>
      <c r="C1040" s="52" t="s">
        <v>1147</v>
      </c>
      <c r="D1040" s="52" t="s">
        <v>1148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3" spans="1:3" s="11" customFormat="1"/>
    <row r="1074" spans="1:3" s="11" customFormat="1">
      <c r="A1074" s="41"/>
    </row>
    <row r="1075" spans="1:3" s="11" customFormat="1">
      <c r="C1075" s="15"/>
    </row>
    <row r="1076" spans="1:3" s="11" customFormat="1">
      <c r="C1076" s="15" t="s">
        <v>359</v>
      </c>
    </row>
    <row r="1077" spans="1:3" s="11" customFormat="1">
      <c r="C1077" s="15" t="s">
        <v>183</v>
      </c>
    </row>
    <row r="1078" spans="1:3" s="11" customFormat="1">
      <c r="C1078" s="15" t="s">
        <v>360</v>
      </c>
    </row>
    <row r="1079" spans="1:3" s="11" customFormat="1">
      <c r="C1079" s="15" t="s">
        <v>362</v>
      </c>
    </row>
    <row r="1080" spans="1:3" s="11" customFormat="1">
      <c r="C1080" s="15"/>
    </row>
    <row r="1081" spans="1:3" s="11" customFormat="1">
      <c r="C1081" s="15" t="s">
        <v>359</v>
      </c>
    </row>
    <row r="1082" spans="1:3" s="11" customFormat="1">
      <c r="C1082" s="15" t="s">
        <v>183</v>
      </c>
    </row>
    <row r="1083" spans="1:3" s="11" customFormat="1">
      <c r="C1083" s="15" t="s">
        <v>360</v>
      </c>
    </row>
    <row r="1084" spans="1:3" s="11" customFormat="1">
      <c r="C1084" s="15" t="s">
        <v>362</v>
      </c>
    </row>
    <row r="1085" spans="1:3" s="11" customFormat="1">
      <c r="C1085" s="15" t="s">
        <v>361</v>
      </c>
    </row>
    <row r="1086" spans="1:3" s="11" customFormat="1">
      <c r="C1086" s="15"/>
    </row>
    <row r="1087" spans="1:3" s="11" customFormat="1">
      <c r="C1087" s="15" t="s">
        <v>359</v>
      </c>
    </row>
    <row r="1088" spans="1:3" s="11" customFormat="1">
      <c r="C1088" s="15" t="s">
        <v>183</v>
      </c>
    </row>
    <row r="1089" spans="3:3" s="11" customFormat="1">
      <c r="C1089" s="15" t="s">
        <v>362</v>
      </c>
    </row>
    <row r="1090" spans="3:3" s="11" customFormat="1">
      <c r="C1090" s="15"/>
    </row>
    <row r="1091" spans="3:3" s="11" customFormat="1">
      <c r="C1091" s="15" t="s">
        <v>938</v>
      </c>
    </row>
    <row r="1092" spans="3:3" s="11" customFormat="1">
      <c r="C1092" s="15" t="s">
        <v>204</v>
      </c>
    </row>
    <row r="1093" spans="3:3" s="11" customFormat="1">
      <c r="C1093" s="15"/>
    </row>
    <row r="1094" spans="3:3" s="11" customFormat="1">
      <c r="C1094" s="15" t="s">
        <v>484</v>
      </c>
    </row>
    <row r="1095" spans="3:3" s="11" customFormat="1">
      <c r="C1095" s="15" t="s">
        <v>786</v>
      </c>
    </row>
    <row r="1096" spans="3:3" s="11" customFormat="1">
      <c r="C1096" s="15" t="s">
        <v>787</v>
      </c>
    </row>
    <row r="1097" spans="3:3" s="11" customFormat="1">
      <c r="C1097" s="15" t="s">
        <v>790</v>
      </c>
    </row>
    <row r="1098" spans="3:3" s="11" customFormat="1">
      <c r="C1098" s="15" t="s">
        <v>791</v>
      </c>
    </row>
    <row r="1099" spans="3:3" s="11" customFormat="1">
      <c r="C1099" s="15" t="s">
        <v>792</v>
      </c>
    </row>
    <row r="1100" spans="3:3" s="11" customFormat="1">
      <c r="C1100" s="15" t="s">
        <v>793</v>
      </c>
    </row>
    <row r="1101" spans="3:3" s="11" customFormat="1">
      <c r="C1101" s="15" t="s">
        <v>794</v>
      </c>
    </row>
    <row r="1102" spans="3:3" s="11" customFormat="1">
      <c r="C1102" s="15" t="s">
        <v>795</v>
      </c>
    </row>
    <row r="1103" spans="3:3" s="11" customFormat="1">
      <c r="C1103" s="15" t="s">
        <v>797</v>
      </c>
    </row>
    <row r="1104" spans="3:3" s="11" customFormat="1">
      <c r="C1104" s="15" t="s">
        <v>530</v>
      </c>
    </row>
    <row r="1105" spans="3:3" s="11" customFormat="1">
      <c r="C1105" s="15" t="s">
        <v>204</v>
      </c>
    </row>
    <row r="1106" spans="3:3" s="11" customFormat="1">
      <c r="C1106" s="15"/>
    </row>
    <row r="1107" spans="3:3" s="11" customFormat="1">
      <c r="C1107" s="15"/>
    </row>
    <row r="1108" spans="3:3">
      <c r="C1108" s="15" t="s">
        <v>936</v>
      </c>
    </row>
    <row r="1109" spans="3:3" s="11" customFormat="1">
      <c r="C1109" s="15" t="s">
        <v>937</v>
      </c>
    </row>
    <row r="1110" spans="3:3" s="11" customFormat="1">
      <c r="C1110" s="15" t="s">
        <v>939</v>
      </c>
    </row>
    <row r="1111" spans="3:3" s="11" customFormat="1">
      <c r="C1111" s="15" t="s">
        <v>204</v>
      </c>
    </row>
    <row r="1112" spans="3:3" s="11" customFormat="1">
      <c r="C1112" s="15"/>
    </row>
    <row r="1113" spans="3:3" s="11" customFormat="1">
      <c r="C1113" s="15" t="s">
        <v>368</v>
      </c>
    </row>
    <row r="1114" spans="3:3" s="11" customFormat="1">
      <c r="C1114" s="15" t="s">
        <v>369</v>
      </c>
    </row>
    <row r="1115" spans="3:3" s="11" customFormat="1">
      <c r="C1115" s="15" t="s">
        <v>34</v>
      </c>
    </row>
    <row r="1116" spans="3:3" s="11" customFormat="1">
      <c r="C1116" s="15" t="s">
        <v>204</v>
      </c>
    </row>
    <row r="1117" spans="3:3" s="11" customFormat="1">
      <c r="C1117" s="15"/>
    </row>
    <row r="1118" spans="3:3" s="11" customFormat="1">
      <c r="C1118" s="15" t="s">
        <v>374</v>
      </c>
    </row>
    <row r="1119" spans="3:3" s="11" customFormat="1">
      <c r="C1119" s="15" t="s">
        <v>1149</v>
      </c>
    </row>
    <row r="1120" spans="3:3" s="11" customFormat="1">
      <c r="C1120" s="15"/>
    </row>
    <row r="1121" spans="3:3">
      <c r="C1121" s="15" t="s">
        <v>374</v>
      </c>
    </row>
    <row r="1122" spans="3:3" s="11" customFormat="1">
      <c r="C1122" s="15" t="s">
        <v>376</v>
      </c>
    </row>
    <row r="1123" spans="3:3" s="11" customFormat="1">
      <c r="C1123" s="15" t="s">
        <v>378</v>
      </c>
    </row>
    <row r="1124" spans="3:3" s="11" customFormat="1">
      <c r="C1124" s="15" t="s">
        <v>380</v>
      </c>
    </row>
    <row r="1125" spans="3:3">
      <c r="C1125" s="15" t="s">
        <v>385</v>
      </c>
    </row>
    <row r="1126" spans="3:3">
      <c r="C1126" s="15" t="s">
        <v>204</v>
      </c>
    </row>
    <row r="1129" spans="3:3">
      <c r="C1129" s="15" t="s">
        <v>480</v>
      </c>
    </row>
    <row r="1130" spans="3:3">
      <c r="C1130" s="15" t="s">
        <v>481</v>
      </c>
    </row>
    <row r="1131" spans="3:3">
      <c r="C1131" s="15" t="s">
        <v>483</v>
      </c>
    </row>
    <row r="1132" spans="3:3">
      <c r="C1132" s="15" t="s">
        <v>484</v>
      </c>
    </row>
    <row r="1133" spans="3:3">
      <c r="C1133" s="15" t="s">
        <v>485</v>
      </c>
    </row>
    <row r="1134" spans="3:3">
      <c r="C1134" s="15" t="s">
        <v>487</v>
      </c>
    </row>
    <row r="1135" spans="3:3">
      <c r="C1135" s="15" t="s">
        <v>488</v>
      </c>
    </row>
    <row r="1136" spans="3:3">
      <c r="C1136" s="15" t="s">
        <v>489</v>
      </c>
    </row>
    <row r="1137" spans="3:3">
      <c r="C1137" s="15" t="s">
        <v>490</v>
      </c>
    </row>
    <row r="1138" spans="3:3">
      <c r="C1138" s="15" t="s">
        <v>491</v>
      </c>
    </row>
    <row r="1139" spans="3:3">
      <c r="C1139" s="15" t="s">
        <v>492</v>
      </c>
    </row>
    <row r="1140" spans="3:3">
      <c r="C1140" s="15" t="s">
        <v>493</v>
      </c>
    </row>
    <row r="1141" spans="3:3">
      <c r="C1141" s="15" t="s">
        <v>494</v>
      </c>
    </row>
    <row r="1142" spans="3:3">
      <c r="C1142" s="15" t="s">
        <v>495</v>
      </c>
    </row>
    <row r="1143" spans="3:3">
      <c r="C1143" s="15" t="s">
        <v>496</v>
      </c>
    </row>
    <row r="1144" spans="3:3">
      <c r="C1144" s="15" t="s">
        <v>498</v>
      </c>
    </row>
    <row r="1145" spans="3:3">
      <c r="C1145" s="15" t="s">
        <v>499</v>
      </c>
    </row>
    <row r="1146" spans="3:3">
      <c r="C1146" s="15" t="s">
        <v>500</v>
      </c>
    </row>
    <row r="1147" spans="3:3">
      <c r="C1147" s="15" t="s">
        <v>502</v>
      </c>
    </row>
    <row r="1148" spans="3:3">
      <c r="C1148" s="15" t="s">
        <v>503</v>
      </c>
    </row>
    <row r="1149" spans="3:3">
      <c r="C1149" s="15" t="s">
        <v>504</v>
      </c>
    </row>
    <row r="1150" spans="3:3">
      <c r="C1150" s="15" t="s">
        <v>505</v>
      </c>
    </row>
    <row r="1151" spans="3:3">
      <c r="C1151" s="15" t="s">
        <v>506</v>
      </c>
    </row>
    <row r="1152" spans="3:3">
      <c r="C1152" s="15" t="s">
        <v>507</v>
      </c>
    </row>
    <row r="1153" spans="3:3">
      <c r="C1153" s="15" t="s">
        <v>508</v>
      </c>
    </row>
    <row r="1154" spans="3:3">
      <c r="C1154" s="15" t="s">
        <v>509</v>
      </c>
    </row>
    <row r="1155" spans="3:3">
      <c r="C1155" s="15" t="s">
        <v>510</v>
      </c>
    </row>
    <row r="1156" spans="3:3">
      <c r="C1156" s="15" t="s">
        <v>511</v>
      </c>
    </row>
    <row r="1157" spans="3:3">
      <c r="C1157" s="15" t="s">
        <v>512</v>
      </c>
    </row>
    <row r="1158" spans="3:3">
      <c r="C1158" s="15" t="s">
        <v>513</v>
      </c>
    </row>
    <row r="1159" spans="3:3">
      <c r="C1159" s="15" t="s">
        <v>514</v>
      </c>
    </row>
    <row r="1160" spans="3:3">
      <c r="C1160" s="15" t="s">
        <v>515</v>
      </c>
    </row>
    <row r="1161" spans="3:3">
      <c r="C1161" s="15" t="s">
        <v>516</v>
      </c>
    </row>
    <row r="1162" spans="3:3">
      <c r="C1162" s="15" t="s">
        <v>517</v>
      </c>
    </row>
    <row r="1163" spans="3:3" ht="14.45" customHeight="1">
      <c r="C1163" s="15" t="s">
        <v>518</v>
      </c>
    </row>
    <row r="1164" spans="3:3">
      <c r="C1164" s="15" t="s">
        <v>520</v>
      </c>
    </row>
    <row r="1165" spans="3:3">
      <c r="C1165" s="15" t="s">
        <v>521</v>
      </c>
    </row>
    <row r="1166" spans="3:3">
      <c r="C1166" s="15" t="s">
        <v>522</v>
      </c>
    </row>
    <row r="1167" spans="3:3">
      <c r="C1167" s="15" t="s">
        <v>523</v>
      </c>
    </row>
    <row r="1168" spans="3:3">
      <c r="C1168" s="15" t="s">
        <v>525</v>
      </c>
    </row>
    <row r="1169" spans="3:3">
      <c r="C1169" s="15" t="s">
        <v>529</v>
      </c>
    </row>
    <row r="1170" spans="3:3">
      <c r="C1170" s="15" t="s">
        <v>204</v>
      </c>
    </row>
    <row r="1171" spans="3:3">
      <c r="C1171" s="15" t="s">
        <v>531</v>
      </c>
    </row>
    <row r="1172" spans="3:3">
      <c r="C1172" s="15" t="s">
        <v>532</v>
      </c>
    </row>
    <row r="1173" spans="3:3">
      <c r="C1173" s="15" t="s">
        <v>533</v>
      </c>
    </row>
    <row r="1174" spans="3:3">
      <c r="C1174" s="15" t="s">
        <v>534</v>
      </c>
    </row>
    <row r="1175" spans="3:3">
      <c r="C1175" s="15" t="s">
        <v>535</v>
      </c>
    </row>
    <row r="1176" spans="3:3">
      <c r="C1176" s="15" t="s">
        <v>536</v>
      </c>
    </row>
    <row r="1177" spans="3:3">
      <c r="C1177" s="15" t="s">
        <v>537</v>
      </c>
    </row>
    <row r="1178" spans="3:3">
      <c r="C1178" s="15" t="s">
        <v>538</v>
      </c>
    </row>
    <row r="1179" spans="3:3">
      <c r="C1179" s="15" t="s">
        <v>539</v>
      </c>
    </row>
    <row r="1180" spans="3:3">
      <c r="C1180" s="15" t="s">
        <v>540</v>
      </c>
    </row>
    <row r="1181" spans="3:3">
      <c r="C1181" s="15" t="s">
        <v>541</v>
      </c>
    </row>
    <row r="1182" spans="3:3">
      <c r="C1182" s="15" t="s">
        <v>542</v>
      </c>
    </row>
    <row r="1183" spans="3:3">
      <c r="C1183" s="15" t="s">
        <v>543</v>
      </c>
    </row>
    <row r="1184" spans="3:3">
      <c r="C1184" s="15" t="s">
        <v>544</v>
      </c>
    </row>
    <row r="1185" spans="3:3">
      <c r="C1185" s="15" t="s">
        <v>545</v>
      </c>
    </row>
    <row r="1186" spans="3:3">
      <c r="C1186" s="15" t="s">
        <v>546</v>
      </c>
    </row>
    <row r="1187" spans="3:3">
      <c r="C1187" s="15" t="s">
        <v>547</v>
      </c>
    </row>
    <row r="1188" spans="3:3">
      <c r="C1188" s="15" t="s">
        <v>548</v>
      </c>
    </row>
    <row r="1189" spans="3:3">
      <c r="C1189" s="15" t="s">
        <v>550</v>
      </c>
    </row>
    <row r="1190" spans="3:3">
      <c r="C1190" s="15" t="s">
        <v>552</v>
      </c>
    </row>
    <row r="1191" spans="3:3">
      <c r="C1191" s="15" t="s">
        <v>554</v>
      </c>
    </row>
    <row r="1192" spans="3:3">
      <c r="C1192" s="129" t="s">
        <v>555</v>
      </c>
    </row>
    <row r="1193" spans="3:3">
      <c r="C1193" s="15" t="s">
        <v>557</v>
      </c>
    </row>
    <row r="1194" spans="3:3">
      <c r="C1194" s="15" t="s">
        <v>558</v>
      </c>
    </row>
    <row r="1195" spans="3:3">
      <c r="C1195" s="15" t="s">
        <v>559</v>
      </c>
    </row>
    <row r="1196" spans="3:3">
      <c r="C1196" s="15" t="s">
        <v>560</v>
      </c>
    </row>
    <row r="1197" spans="3:3">
      <c r="C1197" s="15" t="s">
        <v>561</v>
      </c>
    </row>
    <row r="1198" spans="3:3">
      <c r="C1198" s="15" t="s">
        <v>562</v>
      </c>
    </row>
    <row r="1199" spans="3:3">
      <c r="C1199" s="15" t="s">
        <v>563</v>
      </c>
    </row>
    <row r="1200" spans="3:3">
      <c r="C1200" s="15" t="s">
        <v>564</v>
      </c>
    </row>
    <row r="1201" spans="3:3">
      <c r="C1201" s="15" t="s">
        <v>566</v>
      </c>
    </row>
    <row r="1202" spans="3:3">
      <c r="C1202" s="15" t="s">
        <v>567</v>
      </c>
    </row>
    <row r="1203" spans="3:3">
      <c r="C1203" s="15" t="s">
        <v>569</v>
      </c>
    </row>
    <row r="1204" spans="3:3">
      <c r="C1204" s="15" t="s">
        <v>570</v>
      </c>
    </row>
    <row r="1205" spans="3:3">
      <c r="C1205" s="15" t="s">
        <v>571</v>
      </c>
    </row>
    <row r="1206" spans="3:3">
      <c r="C1206" s="15" t="s">
        <v>572</v>
      </c>
    </row>
    <row r="1207" spans="3:3">
      <c r="C1207" s="15" t="s">
        <v>573</v>
      </c>
    </row>
    <row r="1208" spans="3:3">
      <c r="C1208" s="15" t="s">
        <v>575</v>
      </c>
    </row>
    <row r="1209" spans="3:3">
      <c r="C1209" s="15" t="s">
        <v>576</v>
      </c>
    </row>
    <row r="1210" spans="3:3">
      <c r="C1210" s="15" t="s">
        <v>577</v>
      </c>
    </row>
    <row r="1211" spans="3:3">
      <c r="C1211" s="15" t="s">
        <v>578</v>
      </c>
    </row>
    <row r="1212" spans="3:3">
      <c r="C1212" s="15" t="s">
        <v>579</v>
      </c>
    </row>
    <row r="1213" spans="3:3">
      <c r="C1213" s="15" t="s">
        <v>580</v>
      </c>
    </row>
    <row r="1214" spans="3:3">
      <c r="C1214" s="15" t="s">
        <v>581</v>
      </c>
    </row>
    <row r="1215" spans="3:3">
      <c r="C1215" s="15" t="s">
        <v>582</v>
      </c>
    </row>
    <row r="1216" spans="3:3">
      <c r="C1216" s="15" t="s">
        <v>584</v>
      </c>
    </row>
    <row r="1217" spans="3:3">
      <c r="C1217" s="15" t="s">
        <v>585</v>
      </c>
    </row>
    <row r="1218" spans="3:3">
      <c r="C1218" s="15" t="s">
        <v>586</v>
      </c>
    </row>
    <row r="1219" spans="3:3">
      <c r="C1219" s="15" t="s">
        <v>587</v>
      </c>
    </row>
    <row r="1220" spans="3:3">
      <c r="C1220" s="15" t="s">
        <v>588</v>
      </c>
    </row>
    <row r="1221" spans="3:3">
      <c r="C1221" s="15" t="s">
        <v>589</v>
      </c>
    </row>
    <row r="1222" spans="3:3">
      <c r="C1222" s="15" t="s">
        <v>590</v>
      </c>
    </row>
    <row r="1223" spans="3:3">
      <c r="C1223" s="15" t="s">
        <v>591</v>
      </c>
    </row>
    <row r="1224" spans="3:3">
      <c r="C1224" s="15" t="s">
        <v>592</v>
      </c>
    </row>
    <row r="1225" spans="3:3">
      <c r="C1225" s="15" t="s">
        <v>593</v>
      </c>
    </row>
    <row r="1226" spans="3:3">
      <c r="C1226" s="15" t="s">
        <v>594</v>
      </c>
    </row>
    <row r="1227" spans="3:3">
      <c r="C1227" s="15" t="s">
        <v>595</v>
      </c>
    </row>
    <row r="1228" spans="3:3">
      <c r="C1228" s="15" t="s">
        <v>596</v>
      </c>
    </row>
    <row r="1229" spans="3:3">
      <c r="C1229" s="15" t="s">
        <v>597</v>
      </c>
    </row>
    <row r="1230" spans="3:3">
      <c r="C1230" s="15" t="s">
        <v>598</v>
      </c>
    </row>
    <row r="1231" spans="3:3">
      <c r="C1231" s="15" t="s">
        <v>599</v>
      </c>
    </row>
    <row r="1232" spans="3:3">
      <c r="C1232" s="15" t="s">
        <v>600</v>
      </c>
    </row>
    <row r="1233" spans="3:3">
      <c r="C1233" s="15" t="s">
        <v>601</v>
      </c>
    </row>
    <row r="1234" spans="3:3">
      <c r="C1234" s="15" t="s">
        <v>602</v>
      </c>
    </row>
    <row r="1235" spans="3:3">
      <c r="C1235" s="15" t="s">
        <v>603</v>
      </c>
    </row>
    <row r="1236" spans="3:3">
      <c r="C1236" s="15" t="s">
        <v>604</v>
      </c>
    </row>
    <row r="1237" spans="3:3">
      <c r="C1237" s="15" t="s">
        <v>606</v>
      </c>
    </row>
    <row r="1238" spans="3:3">
      <c r="C1238" s="15" t="s">
        <v>607</v>
      </c>
    </row>
    <row r="1239" spans="3:3">
      <c r="C1239" s="15" t="s">
        <v>608</v>
      </c>
    </row>
    <row r="1240" spans="3:3">
      <c r="C1240" s="15" t="s">
        <v>609</v>
      </c>
    </row>
    <row r="1241" spans="3:3">
      <c r="C1241" s="15" t="s">
        <v>610</v>
      </c>
    </row>
    <row r="1242" spans="3:3">
      <c r="C1242" s="15" t="s">
        <v>611</v>
      </c>
    </row>
    <row r="1243" spans="3:3">
      <c r="C1243" s="15" t="s">
        <v>612</v>
      </c>
    </row>
    <row r="1244" spans="3:3">
      <c r="C1244" s="15" t="s">
        <v>613</v>
      </c>
    </row>
    <row r="1245" spans="3:3">
      <c r="C1245" s="15" t="s">
        <v>614</v>
      </c>
    </row>
    <row r="1248" spans="3:3">
      <c r="C1248" s="15" t="s">
        <v>375</v>
      </c>
    </row>
    <row r="1249" spans="3:3">
      <c r="C1249" s="15" t="s">
        <v>376</v>
      </c>
    </row>
    <row r="1250" spans="3:3">
      <c r="C1250" s="15" t="s">
        <v>378</v>
      </c>
    </row>
    <row r="1251" spans="3:3">
      <c r="C1251" s="15" t="s">
        <v>381</v>
      </c>
    </row>
    <row r="1252" spans="3:3">
      <c r="C1252" s="15" t="s">
        <v>383</v>
      </c>
    </row>
    <row r="1253" spans="3:3">
      <c r="C1253" s="15" t="s">
        <v>204</v>
      </c>
    </row>
    <row r="1255" spans="3:3">
      <c r="C1255" s="15" t="s">
        <v>375</v>
      </c>
    </row>
    <row r="1256" spans="3:3">
      <c r="C1256" s="15" t="s">
        <v>380</v>
      </c>
    </row>
    <row r="1257" spans="3:3">
      <c r="C1257" s="15" t="s">
        <v>385</v>
      </c>
    </row>
    <row r="1258" spans="3:3">
      <c r="C1258" s="15" t="s">
        <v>376</v>
      </c>
    </row>
    <row r="1259" spans="3:3">
      <c r="C1259" s="15" t="s">
        <v>204</v>
      </c>
    </row>
    <row r="1261" spans="3:3">
      <c r="C1261" s="15" t="s">
        <v>374</v>
      </c>
    </row>
    <row r="1262" spans="3:3">
      <c r="C1262" s="15" t="s">
        <v>376</v>
      </c>
    </row>
    <row r="1263" spans="3:3">
      <c r="C1263" s="15" t="s">
        <v>383</v>
      </c>
    </row>
    <row r="1264" spans="3:3">
      <c r="C1264" s="15" t="s">
        <v>381</v>
      </c>
    </row>
    <row r="1265" spans="3:3">
      <c r="C1265" s="15" t="s">
        <v>204</v>
      </c>
    </row>
    <row r="1267" spans="3:3">
      <c r="C1267" s="15" t="s">
        <v>375</v>
      </c>
    </row>
    <row r="1268" spans="3:3">
      <c r="C1268" s="15" t="s">
        <v>376</v>
      </c>
    </row>
    <row r="1269" spans="3:3">
      <c r="C1269" s="15" t="s">
        <v>204</v>
      </c>
    </row>
    <row r="1272" spans="3:3">
      <c r="C1272" s="15" t="s">
        <v>374</v>
      </c>
    </row>
    <row r="1273" spans="3:3">
      <c r="C1273" s="15" t="s">
        <v>376</v>
      </c>
    </row>
    <row r="1274" spans="3:3">
      <c r="C1274" s="15" t="s">
        <v>378</v>
      </c>
    </row>
    <row r="1275" spans="3:3">
      <c r="C1275" s="15" t="s">
        <v>380</v>
      </c>
    </row>
    <row r="1276" spans="3:3">
      <c r="C1276" s="15" t="s">
        <v>381</v>
      </c>
    </row>
    <row r="1277" spans="3:3">
      <c r="C1277" s="15" t="s">
        <v>382</v>
      </c>
    </row>
    <row r="1278" spans="3:3">
      <c r="C1278" s="15" t="s">
        <v>383</v>
      </c>
    </row>
    <row r="1279" spans="3:3">
      <c r="C1279" s="15" t="s">
        <v>384</v>
      </c>
    </row>
    <row r="1280" spans="3:3">
      <c r="C1280" s="15" t="s">
        <v>385</v>
      </c>
    </row>
    <row r="1281" spans="3:3">
      <c r="C1281" s="15" t="s">
        <v>204</v>
      </c>
    </row>
    <row r="1283" spans="3:3">
      <c r="C1283" s="15" t="s">
        <v>32</v>
      </c>
    </row>
    <row r="1284" spans="3:3">
      <c r="C1284" s="15" t="s">
        <v>389</v>
      </c>
    </row>
    <row r="1285" spans="3:3">
      <c r="C1285" s="15" t="s">
        <v>391</v>
      </c>
    </row>
    <row r="1286" spans="3:3">
      <c r="C1286" s="15" t="s">
        <v>393</v>
      </c>
    </row>
    <row r="1287" spans="3:3">
      <c r="C1287" s="15" t="s">
        <v>395</v>
      </c>
    </row>
    <row r="1288" spans="3:3">
      <c r="C1288" s="15" t="s">
        <v>397</v>
      </c>
    </row>
    <row r="1289" spans="3:3">
      <c r="C1289" s="15" t="s">
        <v>399</v>
      </c>
    </row>
    <row r="1290" spans="3:3">
      <c r="C1290" s="15" t="s">
        <v>401</v>
      </c>
    </row>
    <row r="1291" spans="3:3">
      <c r="C1291" s="15" t="s">
        <v>403</v>
      </c>
    </row>
    <row r="1292" spans="3:3">
      <c r="C1292" s="15" t="s">
        <v>405</v>
      </c>
    </row>
    <row r="1293" spans="3:3">
      <c r="C1293" s="15" t="s">
        <v>407</v>
      </c>
    </row>
    <row r="1294" spans="3:3">
      <c r="C1294" s="15" t="s">
        <v>409</v>
      </c>
    </row>
    <row r="1295" spans="3:3">
      <c r="C1295" s="15" t="s">
        <v>411</v>
      </c>
    </row>
    <row r="1296" spans="3:3">
      <c r="C1296" s="15" t="s">
        <v>413</v>
      </c>
    </row>
    <row r="1297" spans="3:3">
      <c r="C1297" s="15" t="s">
        <v>110</v>
      </c>
    </row>
    <row r="1298" spans="3:3">
      <c r="C1298" s="15" t="s">
        <v>416</v>
      </c>
    </row>
    <row r="1299" spans="3:3">
      <c r="C1299" s="15" t="s">
        <v>418</v>
      </c>
    </row>
    <row r="1300" spans="3:3">
      <c r="C1300" s="15" t="s">
        <v>420</v>
      </c>
    </row>
    <row r="1301" spans="3:3">
      <c r="C1301" s="15" t="s">
        <v>422</v>
      </c>
    </row>
    <row r="1302" spans="3:3">
      <c r="C1302" s="15" t="s">
        <v>424</v>
      </c>
    </row>
    <row r="1303" spans="3:3">
      <c r="C1303" s="15" t="s">
        <v>426</v>
      </c>
    </row>
    <row r="1304" spans="3:3">
      <c r="C1304" s="15" t="s">
        <v>428</v>
      </c>
    </row>
    <row r="1305" spans="3:3">
      <c r="C1305" s="15" t="s">
        <v>430</v>
      </c>
    </row>
    <row r="1306" spans="3:3">
      <c r="C1306" s="15" t="s">
        <v>432</v>
      </c>
    </row>
    <row r="1307" spans="3:3">
      <c r="C1307" s="15" t="s">
        <v>434</v>
      </c>
    </row>
    <row r="1308" spans="3:3">
      <c r="C1308" s="15" t="s">
        <v>436</v>
      </c>
    </row>
    <row r="1309" spans="3:3">
      <c r="C1309" s="15" t="s">
        <v>438</v>
      </c>
    </row>
    <row r="1310" spans="3:3">
      <c r="C1310" s="15" t="s">
        <v>440</v>
      </c>
    </row>
    <row r="1311" spans="3:3">
      <c r="C1311" s="15" t="s">
        <v>442</v>
      </c>
    </row>
    <row r="1312" spans="3:3">
      <c r="C1312" s="15" t="s">
        <v>444</v>
      </c>
    </row>
    <row r="1313" spans="3:3">
      <c r="C1313" s="15" t="s">
        <v>446</v>
      </c>
    </row>
    <row r="1314" spans="3:3">
      <c r="C1314" s="15" t="s">
        <v>448</v>
      </c>
    </row>
    <row r="1315" spans="3:3">
      <c r="C1315" s="15" t="s">
        <v>204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8" customWidth="1"/>
    <col min="2" max="2" width="48.75" style="58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7" t="s">
        <v>1150</v>
      </c>
      <c r="B1" s="108" t="s">
        <v>1151</v>
      </c>
      <c r="C1" s="108" t="s">
        <v>1152</v>
      </c>
      <c r="D1" s="109" t="s">
        <v>1153</v>
      </c>
      <c r="E1" s="123"/>
    </row>
    <row r="2" spans="1:5" ht="15.75" outlineLevel="1">
      <c r="A2" s="37" t="s">
        <v>995</v>
      </c>
      <c r="B2" s="38" t="s">
        <v>0</v>
      </c>
      <c r="C2" s="37">
        <v>5.0999999999999996</v>
      </c>
      <c r="D2" s="111"/>
    </row>
    <row r="3" spans="1:5" ht="15.75" outlineLevel="1">
      <c r="A3" s="37" t="s">
        <v>995</v>
      </c>
      <c r="B3" s="38" t="s">
        <v>1</v>
      </c>
      <c r="C3" s="37">
        <v>5.2</v>
      </c>
      <c r="D3" s="111"/>
    </row>
    <row r="4" spans="1:5" ht="15.75" outlineLevel="1">
      <c r="A4" s="37" t="s">
        <v>995</v>
      </c>
      <c r="B4" s="38" t="s">
        <v>205</v>
      </c>
      <c r="C4" s="37">
        <v>5.4</v>
      </c>
      <c r="D4" s="111"/>
    </row>
    <row r="5" spans="1:5" ht="15.75" outlineLevel="1">
      <c r="A5" s="37" t="s">
        <v>995</v>
      </c>
      <c r="B5" s="38" t="s">
        <v>206</v>
      </c>
      <c r="C5" s="37">
        <v>5.7</v>
      </c>
      <c r="D5" s="111"/>
    </row>
    <row r="6" spans="1:5" ht="15.75" outlineLevel="1">
      <c r="A6" s="37" t="s">
        <v>995</v>
      </c>
      <c r="B6" s="38" t="s">
        <v>207</v>
      </c>
      <c r="C6" s="37">
        <v>5.1100000000000003</v>
      </c>
      <c r="D6" s="111"/>
    </row>
    <row r="7" spans="1:5" ht="15.75" outlineLevel="1">
      <c r="A7" s="37" t="s">
        <v>995</v>
      </c>
      <c r="B7" s="38" t="s">
        <v>5</v>
      </c>
      <c r="C7" s="37">
        <v>5.26</v>
      </c>
      <c r="D7" s="111"/>
    </row>
    <row r="8" spans="1:5" ht="15.75" outlineLevel="1">
      <c r="A8" s="37" t="s">
        <v>995</v>
      </c>
      <c r="B8" s="38" t="s">
        <v>6</v>
      </c>
      <c r="C8" s="37">
        <v>5.27</v>
      </c>
      <c r="D8" s="111"/>
    </row>
    <row r="9" spans="1:5" ht="15.75" outlineLevel="1">
      <c r="A9" s="37" t="s">
        <v>995</v>
      </c>
      <c r="B9" s="38" t="s">
        <v>150</v>
      </c>
      <c r="C9" s="37">
        <v>5.36</v>
      </c>
      <c r="D9" s="111"/>
    </row>
    <row r="10" spans="1:5" ht="15.75" outlineLevel="1">
      <c r="A10" s="37" t="s">
        <v>995</v>
      </c>
      <c r="B10" s="38" t="s">
        <v>209</v>
      </c>
      <c r="C10" s="39">
        <v>5.5</v>
      </c>
      <c r="D10" s="111"/>
    </row>
    <row r="11" spans="1:5" ht="15.75" outlineLevel="1">
      <c r="A11" s="37" t="s">
        <v>995</v>
      </c>
      <c r="B11" s="38" t="s">
        <v>10</v>
      </c>
      <c r="C11" s="37">
        <v>5.51</v>
      </c>
      <c r="D11" s="111"/>
    </row>
    <row r="12" spans="1:5" ht="15.75" outlineLevel="1">
      <c r="A12" s="37" t="s">
        <v>995</v>
      </c>
      <c r="B12" s="38" t="s">
        <v>11</v>
      </c>
      <c r="C12" s="37">
        <v>5.53</v>
      </c>
      <c r="D12" s="111"/>
    </row>
    <row r="13" spans="1:5" ht="15.75" outlineLevel="1">
      <c r="A13" s="37" t="s">
        <v>995</v>
      </c>
      <c r="B13" s="38" t="s">
        <v>160</v>
      </c>
      <c r="C13" s="37">
        <v>5.59</v>
      </c>
      <c r="D13" s="111"/>
    </row>
    <row r="14" spans="1:5" ht="15.75" outlineLevel="1">
      <c r="A14" s="37" t="s">
        <v>995</v>
      </c>
      <c r="B14" s="38" t="s">
        <v>18</v>
      </c>
      <c r="C14" s="37">
        <v>5.54</v>
      </c>
      <c r="D14" s="111"/>
    </row>
    <row r="15" spans="1:5" ht="15.75" outlineLevel="1">
      <c r="A15" s="37" t="s">
        <v>995</v>
      </c>
      <c r="B15" s="38" t="s">
        <v>14</v>
      </c>
      <c r="C15" s="39">
        <v>5.7</v>
      </c>
      <c r="D15" s="110" t="s">
        <v>1154</v>
      </c>
    </row>
    <row r="16" spans="1:5" ht="15.75" outlineLevel="1">
      <c r="A16" s="37" t="s">
        <v>995</v>
      </c>
      <c r="B16" s="38" t="s">
        <v>20</v>
      </c>
      <c r="C16" s="37">
        <v>5.63</v>
      </c>
      <c r="D16" s="111"/>
    </row>
    <row r="17" spans="1:4" ht="15.75" outlineLevel="1">
      <c r="A17" s="37" t="s">
        <v>995</v>
      </c>
      <c r="B17" s="38" t="s">
        <v>24</v>
      </c>
      <c r="C17" s="37">
        <v>5.47</v>
      </c>
      <c r="D17" s="111"/>
    </row>
    <row r="18" spans="1:4" ht="15.75" outlineLevel="1">
      <c r="A18" s="37" t="s">
        <v>995</v>
      </c>
      <c r="B18" s="38" t="s">
        <v>25</v>
      </c>
      <c r="C18" s="37">
        <v>5.48</v>
      </c>
      <c r="D18" s="111"/>
    </row>
    <row r="19" spans="1:4" ht="15.75">
      <c r="A19" s="43" t="s">
        <v>995</v>
      </c>
      <c r="B19" s="38"/>
      <c r="C19" s="37"/>
      <c r="D19" s="111"/>
    </row>
    <row r="20" spans="1:4" ht="15.75" outlineLevel="1">
      <c r="A20" s="37" t="s">
        <v>1005</v>
      </c>
      <c r="B20" s="38" t="s">
        <v>0</v>
      </c>
      <c r="C20" s="37">
        <v>5.0999999999999996</v>
      </c>
      <c r="D20" s="111"/>
    </row>
    <row r="21" spans="1:4" ht="15.75" outlineLevel="1">
      <c r="A21" s="37" t="s">
        <v>1005</v>
      </c>
      <c r="B21" s="38" t="s">
        <v>1</v>
      </c>
      <c r="C21" s="37">
        <v>5.2</v>
      </c>
      <c r="D21" s="111"/>
    </row>
    <row r="22" spans="1:4" ht="15.75" outlineLevel="1">
      <c r="A22" s="37" t="s">
        <v>1005</v>
      </c>
      <c r="B22" s="38" t="s">
        <v>2</v>
      </c>
      <c r="C22" s="37">
        <v>5.3</v>
      </c>
      <c r="D22" s="111"/>
    </row>
    <row r="23" spans="1:4" ht="15.75" outlineLevel="1">
      <c r="A23" s="37" t="s">
        <v>1005</v>
      </c>
      <c r="B23" s="38" t="s">
        <v>1155</v>
      </c>
      <c r="C23" s="37">
        <v>5.14</v>
      </c>
      <c r="D23" s="111"/>
    </row>
    <row r="24" spans="1:4" ht="15.75" outlineLevel="1">
      <c r="A24" s="37" t="s">
        <v>1005</v>
      </c>
      <c r="B24" s="38" t="s">
        <v>4</v>
      </c>
      <c r="C24" s="37">
        <v>5.19</v>
      </c>
      <c r="D24" s="111"/>
    </row>
    <row r="25" spans="1:4" ht="15.75" outlineLevel="1">
      <c r="A25" s="37" t="s">
        <v>1005</v>
      </c>
      <c r="B25" s="38" t="s">
        <v>5</v>
      </c>
      <c r="C25" s="37">
        <v>5.26</v>
      </c>
      <c r="D25" s="111"/>
    </row>
    <row r="26" spans="1:4" ht="15.75" outlineLevel="1">
      <c r="A26" s="37" t="s">
        <v>1005</v>
      </c>
      <c r="B26" s="38" t="s">
        <v>6</v>
      </c>
      <c r="C26" s="37">
        <v>5.27</v>
      </c>
      <c r="D26" s="111"/>
    </row>
    <row r="27" spans="1:4" ht="15.75" outlineLevel="1">
      <c r="A27" s="37" t="s">
        <v>1005</v>
      </c>
      <c r="B27" s="38" t="s">
        <v>7</v>
      </c>
      <c r="C27" s="37">
        <v>5.28</v>
      </c>
      <c r="D27" s="111"/>
    </row>
    <row r="28" spans="1:4" ht="15.75" outlineLevel="1">
      <c r="A28" s="37" t="s">
        <v>1005</v>
      </c>
      <c r="B28" s="38" t="s">
        <v>8</v>
      </c>
      <c r="C28" s="39">
        <v>5.3</v>
      </c>
      <c r="D28" s="111"/>
    </row>
    <row r="29" spans="1:4" ht="15.75" outlineLevel="1">
      <c r="A29" s="37" t="s">
        <v>1005</v>
      </c>
      <c r="B29" s="38" t="s">
        <v>9</v>
      </c>
      <c r="C29" s="37">
        <v>5.49</v>
      </c>
      <c r="D29" s="111"/>
    </row>
    <row r="30" spans="1:4" ht="15.75" outlineLevel="1">
      <c r="A30" s="37" t="s">
        <v>1005</v>
      </c>
      <c r="B30" s="38" t="s">
        <v>10</v>
      </c>
      <c r="C30" s="37">
        <v>5.51</v>
      </c>
      <c r="D30" s="111"/>
    </row>
    <row r="31" spans="1:4" ht="15.75" outlineLevel="1">
      <c r="A31" s="37" t="s">
        <v>1005</v>
      </c>
      <c r="B31" s="38" t="s">
        <v>11</v>
      </c>
      <c r="C31" s="37">
        <v>5.53</v>
      </c>
      <c r="D31" s="111"/>
    </row>
    <row r="32" spans="1:4" ht="15.75" outlineLevel="1">
      <c r="A32" s="37" t="s">
        <v>1005</v>
      </c>
      <c r="B32" s="38" t="s">
        <v>12</v>
      </c>
      <c r="C32" s="37">
        <v>5.69</v>
      </c>
      <c r="D32" s="111"/>
    </row>
    <row r="33" spans="1:4" ht="15.75" outlineLevel="1">
      <c r="A33" s="37" t="s">
        <v>1005</v>
      </c>
      <c r="B33" s="38" t="s">
        <v>13</v>
      </c>
      <c r="C33" s="37">
        <v>5.75</v>
      </c>
      <c r="D33" s="111"/>
    </row>
    <row r="34" spans="1:4" ht="15.75" outlineLevel="1">
      <c r="A34" s="37" t="s">
        <v>1005</v>
      </c>
      <c r="B34" s="38" t="s">
        <v>14</v>
      </c>
      <c r="C34" s="39">
        <v>5.7</v>
      </c>
      <c r="D34" s="111"/>
    </row>
    <row r="35" spans="1:4" ht="15.75" outlineLevel="1">
      <c r="A35" s="37" t="s">
        <v>1005</v>
      </c>
      <c r="B35" s="38" t="s">
        <v>15</v>
      </c>
      <c r="C35" s="37">
        <v>5.74</v>
      </c>
      <c r="D35" s="111"/>
    </row>
    <row r="36" spans="1:4" ht="15.75" outlineLevel="1">
      <c r="A36" s="37" t="s">
        <v>1005</v>
      </c>
      <c r="B36" s="38" t="s">
        <v>16</v>
      </c>
      <c r="C36" s="37">
        <v>5.62</v>
      </c>
      <c r="D36" s="111"/>
    </row>
    <row r="37" spans="1:4" ht="15.75" outlineLevel="1">
      <c r="A37" s="37" t="s">
        <v>1005</v>
      </c>
      <c r="B37" s="38" t="s">
        <v>17</v>
      </c>
      <c r="C37" s="37">
        <v>5.58</v>
      </c>
      <c r="D37" s="111"/>
    </row>
    <row r="38" spans="1:4" ht="15.75" outlineLevel="1">
      <c r="A38" s="37" t="s">
        <v>1005</v>
      </c>
      <c r="B38" s="38" t="s">
        <v>18</v>
      </c>
      <c r="C38" s="37">
        <v>5.54</v>
      </c>
      <c r="D38" s="111"/>
    </row>
    <row r="39" spans="1:4" ht="15.75" outlineLevel="1">
      <c r="A39" s="37" t="s">
        <v>1005</v>
      </c>
      <c r="B39" s="38" t="s">
        <v>19</v>
      </c>
      <c r="C39" s="37">
        <v>5.55</v>
      </c>
      <c r="D39" s="111"/>
    </row>
    <row r="40" spans="1:4" ht="15.75" outlineLevel="1">
      <c r="A40" s="37" t="s">
        <v>1005</v>
      </c>
      <c r="B40" s="38" t="s">
        <v>20</v>
      </c>
      <c r="C40" s="37">
        <v>5.63</v>
      </c>
      <c r="D40" s="111"/>
    </row>
    <row r="41" spans="1:4" ht="15.75" outlineLevel="1">
      <c r="A41" s="37" t="s">
        <v>1005</v>
      </c>
      <c r="B41" s="38" t="s">
        <v>21</v>
      </c>
      <c r="C41" s="37">
        <v>5.65</v>
      </c>
      <c r="D41" s="111"/>
    </row>
    <row r="42" spans="1:4" ht="15.75" outlineLevel="1">
      <c r="A42" s="37" t="s">
        <v>1005</v>
      </c>
      <c r="B42" s="38" t="s">
        <v>22</v>
      </c>
      <c r="C42" s="37">
        <v>5.68</v>
      </c>
      <c r="D42" s="111"/>
    </row>
    <row r="43" spans="1:4" ht="15.75" outlineLevel="1">
      <c r="A43" s="37" t="s">
        <v>1005</v>
      </c>
      <c r="B43" s="38" t="s">
        <v>23</v>
      </c>
      <c r="C43" s="37">
        <v>5.45</v>
      </c>
      <c r="D43" s="111"/>
    </row>
    <row r="44" spans="1:4" ht="15.75" outlineLevel="1">
      <c r="A44" s="37" t="s">
        <v>1005</v>
      </c>
      <c r="B44" s="38" t="s">
        <v>24</v>
      </c>
      <c r="C44" s="37">
        <v>5.47</v>
      </c>
      <c r="D44" s="111"/>
    </row>
    <row r="45" spans="1:4" ht="15.75" outlineLevel="1">
      <c r="A45" s="37" t="s">
        <v>1005</v>
      </c>
      <c r="B45" s="38" t="s">
        <v>25</v>
      </c>
      <c r="C45" s="37">
        <v>5.48</v>
      </c>
      <c r="D45" s="111"/>
    </row>
    <row r="46" spans="1:4" ht="15.75">
      <c r="A46" s="43" t="s">
        <v>1005</v>
      </c>
      <c r="B46" s="38"/>
      <c r="C46" s="37"/>
      <c r="D46" s="111"/>
    </row>
    <row r="47" spans="1:4" ht="15.75" outlineLevel="1">
      <c r="A47" s="37" t="s">
        <v>1009</v>
      </c>
      <c r="B47" s="38" t="s">
        <v>0</v>
      </c>
      <c r="C47" s="37">
        <v>5.0999999999999996</v>
      </c>
      <c r="D47" s="111"/>
    </row>
    <row r="48" spans="1:4" ht="15.75" outlineLevel="1">
      <c r="A48" s="37" t="s">
        <v>1009</v>
      </c>
      <c r="B48" s="38" t="s">
        <v>1</v>
      </c>
      <c r="C48" s="37">
        <v>5.2</v>
      </c>
      <c r="D48" s="111"/>
    </row>
    <row r="49" spans="1:4" ht="15.75" outlineLevel="1">
      <c r="A49" s="37" t="s">
        <v>1009</v>
      </c>
      <c r="B49" s="38" t="s">
        <v>2</v>
      </c>
      <c r="C49" s="37">
        <v>5.3</v>
      </c>
      <c r="D49" s="111"/>
    </row>
    <row r="50" spans="1:4" ht="15.75" outlineLevel="1">
      <c r="A50" s="37" t="s">
        <v>1009</v>
      </c>
      <c r="B50" s="38" t="s">
        <v>183</v>
      </c>
      <c r="C50" s="37">
        <v>5.6</v>
      </c>
      <c r="D50" s="111"/>
    </row>
    <row r="51" spans="1:4" ht="15.75" outlineLevel="1">
      <c r="A51" s="37" t="s">
        <v>1009</v>
      </c>
      <c r="B51" s="38" t="s">
        <v>1156</v>
      </c>
      <c r="C51" s="39">
        <v>5.0999999999999996</v>
      </c>
      <c r="D51" s="111"/>
    </row>
    <row r="52" spans="1:4" ht="15.75" outlineLevel="1">
      <c r="A52" s="37" t="s">
        <v>1009</v>
      </c>
      <c r="B52" s="38" t="s">
        <v>1155</v>
      </c>
      <c r="C52" s="37">
        <v>5.14</v>
      </c>
      <c r="D52" s="111"/>
    </row>
    <row r="53" spans="1:4" ht="15.75" outlineLevel="1">
      <c r="A53" s="37" t="s">
        <v>1009</v>
      </c>
      <c r="B53" s="38" t="s">
        <v>4</v>
      </c>
      <c r="C53" s="37">
        <v>5.19</v>
      </c>
      <c r="D53" s="111"/>
    </row>
    <row r="54" spans="1:4" ht="15.75" outlineLevel="1">
      <c r="A54" s="37" t="s">
        <v>1009</v>
      </c>
      <c r="B54" s="38" t="s">
        <v>185</v>
      </c>
      <c r="C54" s="37">
        <v>5.24</v>
      </c>
      <c r="D54" s="111"/>
    </row>
    <row r="55" spans="1:4" ht="15.75" outlineLevel="1">
      <c r="A55" s="37" t="s">
        <v>1009</v>
      </c>
      <c r="B55" s="38" t="s">
        <v>5</v>
      </c>
      <c r="C55" s="37">
        <v>5.26</v>
      </c>
      <c r="D55" s="111"/>
    </row>
    <row r="56" spans="1:4" ht="15.75" outlineLevel="1">
      <c r="A56" s="37" t="s">
        <v>1009</v>
      </c>
      <c r="B56" s="38" t="s">
        <v>6</v>
      </c>
      <c r="C56" s="37">
        <v>5.27</v>
      </c>
      <c r="D56" s="111"/>
    </row>
    <row r="57" spans="1:4" ht="15.75" outlineLevel="1">
      <c r="A57" s="37" t="s">
        <v>1009</v>
      </c>
      <c r="B57" s="38" t="s">
        <v>7</v>
      </c>
      <c r="C57" s="37">
        <v>5.28</v>
      </c>
      <c r="D57" s="111"/>
    </row>
    <row r="58" spans="1:4" ht="15.75" outlineLevel="1">
      <c r="A58" s="37" t="s">
        <v>1009</v>
      </c>
      <c r="B58" s="38" t="s">
        <v>8</v>
      </c>
      <c r="C58" s="39">
        <v>5.3</v>
      </c>
      <c r="D58" s="111"/>
    </row>
    <row r="59" spans="1:4" ht="15.75" outlineLevel="1">
      <c r="A59" s="37" t="s">
        <v>1009</v>
      </c>
      <c r="B59" s="38" t="s">
        <v>186</v>
      </c>
      <c r="C59" s="37">
        <v>5.31</v>
      </c>
      <c r="D59" s="111"/>
    </row>
    <row r="60" spans="1:4" ht="15.75" outlineLevel="1">
      <c r="A60" s="37" t="s">
        <v>1009</v>
      </c>
      <c r="B60" s="38" t="s">
        <v>150</v>
      </c>
      <c r="C60" s="37">
        <v>5.36</v>
      </c>
      <c r="D60" s="111"/>
    </row>
    <row r="61" spans="1:4" ht="15.75" outlineLevel="1">
      <c r="A61" s="37" t="s">
        <v>1009</v>
      </c>
      <c r="B61" s="38" t="s">
        <v>9</v>
      </c>
      <c r="C61" s="37">
        <v>5.49</v>
      </c>
      <c r="D61" s="111"/>
    </row>
    <row r="62" spans="1:4" ht="15.75" outlineLevel="1">
      <c r="A62" s="37" t="s">
        <v>1009</v>
      </c>
      <c r="B62" s="38" t="s">
        <v>10</v>
      </c>
      <c r="C62" s="37">
        <v>5.51</v>
      </c>
      <c r="D62" s="111"/>
    </row>
    <row r="63" spans="1:4" ht="15.75" outlineLevel="1">
      <c r="A63" s="37" t="s">
        <v>1009</v>
      </c>
      <c r="B63" s="38" t="s">
        <v>1157</v>
      </c>
      <c r="C63" s="37">
        <v>5.52</v>
      </c>
      <c r="D63" s="111"/>
    </row>
    <row r="64" spans="1:4" ht="15.75" outlineLevel="1">
      <c r="A64" s="37" t="s">
        <v>1009</v>
      </c>
      <c r="B64" s="38" t="s">
        <v>11</v>
      </c>
      <c r="C64" s="37">
        <v>5.53</v>
      </c>
      <c r="D64" s="111"/>
    </row>
    <row r="65" spans="1:4" ht="15.75" outlineLevel="1">
      <c r="A65" s="37" t="s">
        <v>1009</v>
      </c>
      <c r="B65" s="38" t="s">
        <v>12</v>
      </c>
      <c r="C65" s="37">
        <v>5.69</v>
      </c>
      <c r="D65" s="111"/>
    </row>
    <row r="66" spans="1:4" ht="15.75" outlineLevel="1">
      <c r="A66" s="37" t="s">
        <v>1009</v>
      </c>
      <c r="B66" s="38" t="s">
        <v>954</v>
      </c>
      <c r="C66" s="39">
        <v>5.72</v>
      </c>
      <c r="D66" s="111"/>
    </row>
    <row r="67" spans="1:4" ht="15.75" outlineLevel="1">
      <c r="A67" s="37" t="s">
        <v>1009</v>
      </c>
      <c r="B67" s="38" t="s">
        <v>13</v>
      </c>
      <c r="C67" s="37">
        <v>5.75</v>
      </c>
      <c r="D67" s="111"/>
    </row>
    <row r="68" spans="1:4" ht="15.75" outlineLevel="1">
      <c r="A68" s="37" t="s">
        <v>1009</v>
      </c>
      <c r="B68" s="38" t="s">
        <v>14</v>
      </c>
      <c r="C68" s="39">
        <v>5.7</v>
      </c>
      <c r="D68" s="111"/>
    </row>
    <row r="69" spans="1:4" ht="15.75" outlineLevel="1">
      <c r="A69" s="37" t="s">
        <v>1009</v>
      </c>
      <c r="B69" s="38" t="s">
        <v>15</v>
      </c>
      <c r="C69" s="37">
        <v>5.74</v>
      </c>
      <c r="D69" s="111"/>
    </row>
    <row r="70" spans="1:4" ht="15.75" outlineLevel="1">
      <c r="A70" s="37" t="s">
        <v>1009</v>
      </c>
      <c r="B70" s="38" t="s">
        <v>457</v>
      </c>
      <c r="C70" s="37">
        <v>5.76</v>
      </c>
      <c r="D70" s="111"/>
    </row>
    <row r="71" spans="1:4" ht="15.75" outlineLevel="1">
      <c r="A71" s="37" t="s">
        <v>1009</v>
      </c>
      <c r="B71" s="38" t="s">
        <v>875</v>
      </c>
      <c r="C71" s="37">
        <v>5.89</v>
      </c>
      <c r="D71" s="110" t="s">
        <v>1154</v>
      </c>
    </row>
    <row r="72" spans="1:4" ht="15.75" outlineLevel="1">
      <c r="A72" s="37" t="s">
        <v>1009</v>
      </c>
      <c r="B72" s="38" t="s">
        <v>17</v>
      </c>
      <c r="C72" s="37">
        <v>5.58</v>
      </c>
      <c r="D72" s="111"/>
    </row>
    <row r="73" spans="1:4" ht="15.75" outlineLevel="1">
      <c r="A73" s="37" t="s">
        <v>1009</v>
      </c>
      <c r="B73" s="38" t="s">
        <v>16</v>
      </c>
      <c r="C73" s="37">
        <v>5.62</v>
      </c>
      <c r="D73" s="111"/>
    </row>
    <row r="74" spans="1:4" ht="15.75" outlineLevel="1">
      <c r="A74" s="37" t="s">
        <v>1009</v>
      </c>
      <c r="B74" s="38" t="s">
        <v>18</v>
      </c>
      <c r="C74" s="37">
        <v>5.54</v>
      </c>
      <c r="D74" s="111"/>
    </row>
    <row r="75" spans="1:4" ht="15.75" outlineLevel="1">
      <c r="A75" s="37" t="s">
        <v>1009</v>
      </c>
      <c r="B75" s="38" t="s">
        <v>19</v>
      </c>
      <c r="C75" s="37">
        <v>5.55</v>
      </c>
      <c r="D75" s="111"/>
    </row>
    <row r="76" spans="1:4" ht="15.75" outlineLevel="1">
      <c r="A76" s="37" t="s">
        <v>1009</v>
      </c>
      <c r="B76" s="38" t="s">
        <v>20</v>
      </c>
      <c r="C76" s="37">
        <v>5.63</v>
      </c>
      <c r="D76" s="111"/>
    </row>
    <row r="77" spans="1:4" ht="15.75" outlineLevel="1">
      <c r="A77" s="37" t="s">
        <v>1009</v>
      </c>
      <c r="B77" s="38" t="s">
        <v>21</v>
      </c>
      <c r="C77" s="37">
        <v>5.65</v>
      </c>
      <c r="D77" s="111"/>
    </row>
    <row r="78" spans="1:4" ht="15.75" outlineLevel="1">
      <c r="A78" s="37" t="s">
        <v>1009</v>
      </c>
      <c r="B78" s="38" t="s">
        <v>202</v>
      </c>
      <c r="C78" s="37">
        <v>5.66</v>
      </c>
      <c r="D78" s="111"/>
    </row>
    <row r="79" spans="1:4" ht="15.75" outlineLevel="1">
      <c r="A79" s="37" t="s">
        <v>1009</v>
      </c>
      <c r="B79" s="38" t="s">
        <v>22</v>
      </c>
      <c r="C79" s="37">
        <v>5.68</v>
      </c>
      <c r="D79" s="111"/>
    </row>
    <row r="80" spans="1:4" ht="15.75" outlineLevel="1">
      <c r="A80" s="37" t="s">
        <v>1009</v>
      </c>
      <c r="B80" s="38" t="s">
        <v>23</v>
      </c>
      <c r="C80" s="37">
        <v>5.45</v>
      </c>
      <c r="D80" s="111"/>
    </row>
    <row r="81" spans="1:4" ht="15.75" outlineLevel="1">
      <c r="A81" s="37" t="s">
        <v>1009</v>
      </c>
      <c r="B81" s="38" t="s">
        <v>24</v>
      </c>
      <c r="C81" s="37">
        <v>5.47</v>
      </c>
      <c r="D81" s="111"/>
    </row>
    <row r="82" spans="1:4" ht="15.75" outlineLevel="1">
      <c r="A82" s="37" t="s">
        <v>1009</v>
      </c>
      <c r="B82" s="38" t="s">
        <v>25</v>
      </c>
      <c r="C82" s="37">
        <v>5.48</v>
      </c>
      <c r="D82" s="111"/>
    </row>
    <row r="83" spans="1:4" ht="15.75">
      <c r="A83" s="43" t="s">
        <v>1009</v>
      </c>
      <c r="B83" s="38"/>
      <c r="C83" s="37"/>
      <c r="D83" s="111"/>
    </row>
    <row r="84" spans="1:4" ht="15.75" outlineLevel="1">
      <c r="A84" s="37" t="s">
        <v>1010</v>
      </c>
      <c r="B84" s="38" t="s">
        <v>0</v>
      </c>
      <c r="C84" s="37">
        <v>5.0999999999999996</v>
      </c>
      <c r="D84" s="111"/>
    </row>
    <row r="85" spans="1:4" ht="15.75" outlineLevel="1">
      <c r="A85" s="37" t="s">
        <v>1010</v>
      </c>
      <c r="B85" s="38" t="s">
        <v>1</v>
      </c>
      <c r="C85" s="37">
        <v>5.2</v>
      </c>
      <c r="D85" s="111"/>
    </row>
    <row r="86" spans="1:4" ht="15.75" outlineLevel="1">
      <c r="A86" s="37" t="s">
        <v>1010</v>
      </c>
      <c r="B86" s="38" t="s">
        <v>2</v>
      </c>
      <c r="C86" s="37">
        <v>5.3</v>
      </c>
      <c r="D86" s="111"/>
    </row>
    <row r="87" spans="1:4" ht="15.75" outlineLevel="1">
      <c r="A87" s="37" t="s">
        <v>1010</v>
      </c>
      <c r="B87" s="38" t="s">
        <v>183</v>
      </c>
      <c r="C87" s="37">
        <v>5.6</v>
      </c>
      <c r="D87" s="111"/>
    </row>
    <row r="88" spans="1:4" ht="15.75" outlineLevel="1">
      <c r="A88" s="37" t="s">
        <v>1010</v>
      </c>
      <c r="B88" s="38" t="s">
        <v>1156</v>
      </c>
      <c r="C88" s="39">
        <v>5.0999999999999996</v>
      </c>
      <c r="D88" s="111"/>
    </row>
    <row r="89" spans="1:4" ht="15.75" outlineLevel="1">
      <c r="A89" s="37" t="s">
        <v>1010</v>
      </c>
      <c r="B89" s="38" t="s">
        <v>1155</v>
      </c>
      <c r="C89" s="37">
        <v>5.14</v>
      </c>
      <c r="D89" s="111"/>
    </row>
    <row r="90" spans="1:4" ht="15.75" outlineLevel="1">
      <c r="A90" s="37" t="s">
        <v>1010</v>
      </c>
      <c r="B90" s="38" t="s">
        <v>4</v>
      </c>
      <c r="C90" s="37">
        <v>5.19</v>
      </c>
      <c r="D90" s="111"/>
    </row>
    <row r="91" spans="1:4" ht="15.75" outlineLevel="1">
      <c r="A91" s="37" t="s">
        <v>1010</v>
      </c>
      <c r="B91" s="38" t="s">
        <v>185</v>
      </c>
      <c r="C91" s="37">
        <v>5.24</v>
      </c>
      <c r="D91" s="111"/>
    </row>
    <row r="92" spans="1:4" ht="15.75" outlineLevel="1">
      <c r="A92" s="37" t="s">
        <v>1010</v>
      </c>
      <c r="B92" s="38" t="s">
        <v>5</v>
      </c>
      <c r="C92" s="37">
        <v>5.26</v>
      </c>
      <c r="D92" s="111"/>
    </row>
    <row r="93" spans="1:4" ht="15.75" outlineLevel="1">
      <c r="A93" s="37" t="s">
        <v>1010</v>
      </c>
      <c r="B93" s="38" t="s">
        <v>6</v>
      </c>
      <c r="C93" s="37">
        <v>5.27</v>
      </c>
      <c r="D93" s="111"/>
    </row>
    <row r="94" spans="1:4" ht="15.75" outlineLevel="1">
      <c r="A94" s="37" t="s">
        <v>1010</v>
      </c>
      <c r="B94" s="38" t="s">
        <v>7</v>
      </c>
      <c r="C94" s="37">
        <v>5.28</v>
      </c>
      <c r="D94" s="111"/>
    </row>
    <row r="95" spans="1:4" ht="15.75" outlineLevel="1">
      <c r="A95" s="37" t="s">
        <v>1010</v>
      </c>
      <c r="B95" s="38" t="s">
        <v>373</v>
      </c>
      <c r="C95" s="37">
        <v>5.29</v>
      </c>
      <c r="D95" s="111"/>
    </row>
    <row r="96" spans="1:4" ht="15.75" outlineLevel="1">
      <c r="A96" s="37" t="s">
        <v>1010</v>
      </c>
      <c r="B96" s="38" t="s">
        <v>8</v>
      </c>
      <c r="C96" s="39">
        <v>5.3</v>
      </c>
      <c r="D96" s="111"/>
    </row>
    <row r="97" spans="1:4" ht="15.75" outlineLevel="1">
      <c r="A97" s="37" t="s">
        <v>1010</v>
      </c>
      <c r="B97" s="38" t="s">
        <v>186</v>
      </c>
      <c r="C97" s="37">
        <v>5.31</v>
      </c>
      <c r="D97" s="111"/>
    </row>
    <row r="98" spans="1:4" ht="15.75" outlineLevel="1">
      <c r="A98" s="37" t="s">
        <v>1010</v>
      </c>
      <c r="B98" s="38" t="s">
        <v>150</v>
      </c>
      <c r="C98" s="37">
        <v>5.36</v>
      </c>
      <c r="D98" s="111"/>
    </row>
    <row r="99" spans="1:4" ht="15.75" outlineLevel="1">
      <c r="A99" s="37" t="s">
        <v>1010</v>
      </c>
      <c r="B99" s="38" t="s">
        <v>9</v>
      </c>
      <c r="C99" s="37">
        <v>5.49</v>
      </c>
      <c r="D99" s="111"/>
    </row>
    <row r="100" spans="1:4" ht="15.75" outlineLevel="1">
      <c r="A100" s="37" t="s">
        <v>1010</v>
      </c>
      <c r="B100" s="38" t="s">
        <v>10</v>
      </c>
      <c r="C100" s="37">
        <v>5.51</v>
      </c>
      <c r="D100" s="111"/>
    </row>
    <row r="101" spans="1:4" ht="15.75" outlineLevel="1">
      <c r="A101" s="37" t="s">
        <v>1010</v>
      </c>
      <c r="B101" s="38" t="s">
        <v>1157</v>
      </c>
      <c r="C101" s="37">
        <v>5.52</v>
      </c>
      <c r="D101" s="111"/>
    </row>
    <row r="102" spans="1:4" ht="15.75" outlineLevel="1">
      <c r="A102" s="37" t="s">
        <v>1010</v>
      </c>
      <c r="B102" s="38" t="s">
        <v>11</v>
      </c>
      <c r="C102" s="37">
        <v>5.53</v>
      </c>
      <c r="D102" s="111"/>
    </row>
    <row r="103" spans="1:4" ht="15.75" outlineLevel="1">
      <c r="A103" s="37" t="s">
        <v>1010</v>
      </c>
      <c r="B103" s="38" t="s">
        <v>12</v>
      </c>
      <c r="C103" s="37">
        <v>5.69</v>
      </c>
      <c r="D103" s="111"/>
    </row>
    <row r="104" spans="1:4" ht="15.75" outlineLevel="1">
      <c r="A104" s="37" t="s">
        <v>1010</v>
      </c>
      <c r="B104" s="38" t="s">
        <v>13</v>
      </c>
      <c r="C104" s="37">
        <v>5.75</v>
      </c>
      <c r="D104" s="111"/>
    </row>
    <row r="105" spans="1:4" ht="15.75" outlineLevel="1">
      <c r="A105" s="37" t="s">
        <v>1010</v>
      </c>
      <c r="B105" s="38" t="s">
        <v>14</v>
      </c>
      <c r="C105" s="39">
        <v>5.7</v>
      </c>
      <c r="D105" s="111"/>
    </row>
    <row r="106" spans="1:4" ht="15.75" outlineLevel="1">
      <c r="A106" s="37" t="s">
        <v>1010</v>
      </c>
      <c r="B106" s="38" t="s">
        <v>15</v>
      </c>
      <c r="C106" s="37">
        <v>5.74</v>
      </c>
      <c r="D106" s="111"/>
    </row>
    <row r="107" spans="1:4" ht="15.75" outlineLevel="1">
      <c r="A107" s="37" t="s">
        <v>1010</v>
      </c>
      <c r="B107" s="38" t="s">
        <v>457</v>
      </c>
      <c r="C107" s="37">
        <v>5.76</v>
      </c>
      <c r="D107" s="111"/>
    </row>
    <row r="108" spans="1:4" ht="15.75" outlineLevel="1">
      <c r="A108" s="37" t="s">
        <v>1010</v>
      </c>
      <c r="B108" s="38" t="s">
        <v>875</v>
      </c>
      <c r="C108" s="37">
        <v>5.89</v>
      </c>
      <c r="D108" s="110" t="s">
        <v>1154</v>
      </c>
    </row>
    <row r="109" spans="1:4" ht="15.75" outlineLevel="1">
      <c r="A109" s="37" t="s">
        <v>1010</v>
      </c>
      <c r="B109" s="38" t="s">
        <v>17</v>
      </c>
      <c r="C109" s="37">
        <v>5.58</v>
      </c>
      <c r="D109" s="111"/>
    </row>
    <row r="110" spans="1:4" ht="15.75" outlineLevel="1">
      <c r="A110" s="37" t="s">
        <v>1010</v>
      </c>
      <c r="B110" s="38" t="s">
        <v>16</v>
      </c>
      <c r="C110" s="37">
        <v>5.62</v>
      </c>
      <c r="D110" s="111"/>
    </row>
    <row r="111" spans="1:4" ht="15.75" outlineLevel="1">
      <c r="A111" s="37" t="s">
        <v>1010</v>
      </c>
      <c r="B111" s="38" t="s">
        <v>18</v>
      </c>
      <c r="C111" s="37">
        <v>5.54</v>
      </c>
      <c r="D111" s="111"/>
    </row>
    <row r="112" spans="1:4" ht="15.75" outlineLevel="1">
      <c r="A112" s="37" t="s">
        <v>1010</v>
      </c>
      <c r="B112" s="38" t="s">
        <v>19</v>
      </c>
      <c r="C112" s="37">
        <v>5.55</v>
      </c>
      <c r="D112" s="111"/>
    </row>
    <row r="113" spans="1:4" ht="15.75" outlineLevel="1">
      <c r="A113" s="37" t="s">
        <v>1010</v>
      </c>
      <c r="B113" s="38" t="s">
        <v>21</v>
      </c>
      <c r="C113" s="37">
        <v>5.65</v>
      </c>
      <c r="D113" s="111"/>
    </row>
    <row r="114" spans="1:4" ht="15.75" outlineLevel="1">
      <c r="A114" s="37" t="s">
        <v>1010</v>
      </c>
      <c r="B114" s="38" t="s">
        <v>202</v>
      </c>
      <c r="C114" s="37">
        <v>5.66</v>
      </c>
      <c r="D114" s="111"/>
    </row>
    <row r="115" spans="1:4" ht="15.75" outlineLevel="1">
      <c r="A115" s="37" t="s">
        <v>1010</v>
      </c>
      <c r="B115" s="38" t="s">
        <v>22</v>
      </c>
      <c r="C115" s="37">
        <v>5.68</v>
      </c>
      <c r="D115" s="111"/>
    </row>
    <row r="116" spans="1:4" ht="15.75" outlineLevel="1">
      <c r="A116" s="37" t="s">
        <v>1010</v>
      </c>
      <c r="B116" s="38" t="s">
        <v>23</v>
      </c>
      <c r="C116" s="37">
        <v>5.45</v>
      </c>
      <c r="D116" s="111"/>
    </row>
    <row r="117" spans="1:4" ht="15.75" outlineLevel="1">
      <c r="A117" s="37" t="s">
        <v>1010</v>
      </c>
      <c r="B117" s="38" t="s">
        <v>24</v>
      </c>
      <c r="C117" s="37">
        <v>5.47</v>
      </c>
      <c r="D117" s="111"/>
    </row>
    <row r="118" spans="1:4" ht="15.75" outlineLevel="1">
      <c r="A118" s="37" t="s">
        <v>1010</v>
      </c>
      <c r="B118" s="38" t="s">
        <v>25</v>
      </c>
      <c r="C118" s="37">
        <v>5.48</v>
      </c>
      <c r="D118" s="111"/>
    </row>
    <row r="119" spans="1:4" ht="15.75">
      <c r="A119" s="43" t="s">
        <v>1010</v>
      </c>
      <c r="B119" s="38"/>
      <c r="C119" s="37"/>
      <c r="D119" s="111"/>
    </row>
    <row r="120" spans="1:4" ht="15.75" outlineLevel="1">
      <c r="A120" s="37" t="s">
        <v>1158</v>
      </c>
      <c r="B120" s="38" t="s">
        <v>0</v>
      </c>
      <c r="C120" s="37">
        <v>5.0999999999999996</v>
      </c>
      <c r="D120" s="111"/>
    </row>
    <row r="121" spans="1:4" ht="15.75" outlineLevel="1">
      <c r="A121" s="37" t="s">
        <v>1158</v>
      </c>
      <c r="B121" s="38" t="s">
        <v>1</v>
      </c>
      <c r="C121" s="37">
        <v>5.2</v>
      </c>
      <c r="D121" s="111"/>
    </row>
    <row r="122" spans="1:4" ht="15.75" outlineLevel="1">
      <c r="A122" s="37" t="s">
        <v>1158</v>
      </c>
      <c r="B122" s="38" t="s">
        <v>2</v>
      </c>
      <c r="C122" s="37">
        <v>5.3</v>
      </c>
      <c r="D122" s="111"/>
    </row>
    <row r="123" spans="1:4" ht="15.75" outlineLevel="1">
      <c r="A123" s="37" t="s">
        <v>1158</v>
      </c>
      <c r="B123" s="38" t="s">
        <v>183</v>
      </c>
      <c r="C123" s="37">
        <v>5.6</v>
      </c>
      <c r="D123" s="111"/>
    </row>
    <row r="124" spans="1:4" ht="15.75" outlineLevel="1">
      <c r="A124" s="37" t="s">
        <v>1158</v>
      </c>
      <c r="B124" s="38" t="s">
        <v>1156</v>
      </c>
      <c r="C124" s="39">
        <v>5.0999999999999996</v>
      </c>
      <c r="D124" s="111"/>
    </row>
    <row r="125" spans="1:4" ht="15.75" outlineLevel="1">
      <c r="A125" s="37" t="s">
        <v>1158</v>
      </c>
      <c r="B125" s="38" t="s">
        <v>1155</v>
      </c>
      <c r="C125" s="37">
        <v>5.14</v>
      </c>
      <c r="D125" s="111"/>
    </row>
    <row r="126" spans="1:4" ht="15.75" outlineLevel="1">
      <c r="A126" s="37" t="s">
        <v>1158</v>
      </c>
      <c r="B126" s="38" t="s">
        <v>4</v>
      </c>
      <c r="C126" s="37">
        <v>5.19</v>
      </c>
      <c r="D126" s="111"/>
    </row>
    <row r="127" spans="1:4" ht="15.75" outlineLevel="1">
      <c r="A127" s="37" t="s">
        <v>1158</v>
      </c>
      <c r="B127" s="38" t="s">
        <v>185</v>
      </c>
      <c r="C127" s="37">
        <v>5.24</v>
      </c>
      <c r="D127" s="111"/>
    </row>
    <row r="128" spans="1:4" ht="15.75" outlineLevel="1">
      <c r="A128" s="37" t="s">
        <v>1158</v>
      </c>
      <c r="B128" s="38" t="s">
        <v>5</v>
      </c>
      <c r="C128" s="37">
        <v>5.26</v>
      </c>
      <c r="D128" s="111"/>
    </row>
    <row r="129" spans="1:4" ht="15.75" outlineLevel="1">
      <c r="A129" s="37" t="s">
        <v>1158</v>
      </c>
      <c r="B129" s="38" t="s">
        <v>6</v>
      </c>
      <c r="C129" s="37">
        <v>5.27</v>
      </c>
      <c r="D129" s="111"/>
    </row>
    <row r="130" spans="1:4" ht="15.75" outlineLevel="1">
      <c r="A130" s="37" t="s">
        <v>1158</v>
      </c>
      <c r="B130" s="38" t="s">
        <v>7</v>
      </c>
      <c r="C130" s="37">
        <v>5.28</v>
      </c>
      <c r="D130" s="111"/>
    </row>
    <row r="131" spans="1:4" ht="15.75" outlineLevel="1">
      <c r="A131" s="37" t="s">
        <v>1158</v>
      </c>
      <c r="B131" s="38" t="s">
        <v>373</v>
      </c>
      <c r="C131" s="37">
        <v>5.29</v>
      </c>
      <c r="D131" s="111"/>
    </row>
    <row r="132" spans="1:4" ht="15.75" outlineLevel="1">
      <c r="A132" s="37" t="s">
        <v>1158</v>
      </c>
      <c r="B132" s="38" t="s">
        <v>8</v>
      </c>
      <c r="C132" s="39">
        <v>5.3</v>
      </c>
      <c r="D132" s="111"/>
    </row>
    <row r="133" spans="1:4" ht="15.75" outlineLevel="1">
      <c r="A133" s="37" t="s">
        <v>1158</v>
      </c>
      <c r="B133" s="38" t="s">
        <v>186</v>
      </c>
      <c r="C133" s="37">
        <v>5.31</v>
      </c>
      <c r="D133" s="111"/>
    </row>
    <row r="134" spans="1:4" ht="15.75" outlineLevel="1">
      <c r="A134" s="37" t="s">
        <v>1158</v>
      </c>
      <c r="B134" s="38" t="s">
        <v>150</v>
      </c>
      <c r="C134" s="37">
        <v>5.36</v>
      </c>
      <c r="D134" s="111"/>
    </row>
    <row r="135" spans="1:4" ht="15.75" outlineLevel="1">
      <c r="A135" s="37" t="s">
        <v>1158</v>
      </c>
      <c r="B135" s="38" t="s">
        <v>11</v>
      </c>
      <c r="C135" s="37">
        <v>5.53</v>
      </c>
      <c r="D135" s="111"/>
    </row>
    <row r="136" spans="1:4" ht="15.75" outlineLevel="1">
      <c r="A136" s="37" t="s">
        <v>1158</v>
      </c>
      <c r="B136" s="38" t="s">
        <v>17</v>
      </c>
      <c r="C136" s="37">
        <v>5.58</v>
      </c>
      <c r="D136" s="111"/>
    </row>
    <row r="137" spans="1:4" ht="15.75" outlineLevel="1">
      <c r="A137" s="37" t="s">
        <v>1158</v>
      </c>
      <c r="B137" s="38" t="s">
        <v>16</v>
      </c>
      <c r="C137" s="37">
        <v>5.62</v>
      </c>
      <c r="D137" s="111"/>
    </row>
    <row r="138" spans="1:4" ht="15.75" outlineLevel="1">
      <c r="A138" s="37" t="s">
        <v>1158</v>
      </c>
      <c r="B138" s="38" t="s">
        <v>18</v>
      </c>
      <c r="C138" s="37">
        <v>5.54</v>
      </c>
      <c r="D138" s="111"/>
    </row>
    <row r="139" spans="1:4" ht="15.75" outlineLevel="1">
      <c r="A139" s="37" t="s">
        <v>1158</v>
      </c>
      <c r="B139" s="38" t="s">
        <v>19</v>
      </c>
      <c r="C139" s="37">
        <v>5.55</v>
      </c>
      <c r="D139" s="111"/>
    </row>
    <row r="140" spans="1:4" ht="15.75" outlineLevel="1">
      <c r="A140" s="37" t="s">
        <v>1158</v>
      </c>
      <c r="B140" s="38" t="s">
        <v>20</v>
      </c>
      <c r="C140" s="37">
        <v>5.63</v>
      </c>
      <c r="D140" s="111"/>
    </row>
    <row r="141" spans="1:4" ht="15.75" outlineLevel="1">
      <c r="A141" s="37" t="s">
        <v>1158</v>
      </c>
      <c r="B141" s="38" t="s">
        <v>23</v>
      </c>
      <c r="C141" s="37">
        <v>5.45</v>
      </c>
      <c r="D141" s="111"/>
    </row>
    <row r="142" spans="1:4" ht="15.75" outlineLevel="1">
      <c r="A142" s="37" t="s">
        <v>1158</v>
      </c>
      <c r="B142" s="38" t="s">
        <v>24</v>
      </c>
      <c r="C142" s="37">
        <v>5.47</v>
      </c>
      <c r="D142" s="111"/>
    </row>
    <row r="143" spans="1:4" ht="15.75" outlineLevel="1">
      <c r="A143" s="37" t="s">
        <v>1158</v>
      </c>
      <c r="B143" s="38" t="s">
        <v>25</v>
      </c>
      <c r="C143" s="37">
        <v>5.48</v>
      </c>
      <c r="D143" s="111"/>
    </row>
    <row r="144" spans="1:4" ht="15.75">
      <c r="A144" s="43" t="s">
        <v>1158</v>
      </c>
      <c r="B144" s="38"/>
      <c r="C144" s="37"/>
      <c r="D144" s="111"/>
    </row>
    <row r="145" spans="1:4" ht="15.75" outlineLevel="1">
      <c r="A145" s="37" t="s">
        <v>517</v>
      </c>
      <c r="B145" s="38" t="s">
        <v>0</v>
      </c>
      <c r="C145" s="37">
        <v>5.0999999999999996</v>
      </c>
      <c r="D145" s="111"/>
    </row>
    <row r="146" spans="1:4" ht="15.75" outlineLevel="1">
      <c r="A146" s="37" t="s">
        <v>517</v>
      </c>
      <c r="B146" s="38" t="s">
        <v>1</v>
      </c>
      <c r="C146" s="37">
        <v>5.2</v>
      </c>
      <c r="D146" s="111"/>
    </row>
    <row r="147" spans="1:4" ht="15.75" outlineLevel="1">
      <c r="A147" s="37" t="s">
        <v>517</v>
      </c>
      <c r="B147" s="38" t="s">
        <v>2</v>
      </c>
      <c r="C147" s="37">
        <v>5.3</v>
      </c>
      <c r="D147" s="111"/>
    </row>
    <row r="148" spans="1:4" ht="15.75" outlineLevel="1">
      <c r="A148" s="37" t="s">
        <v>517</v>
      </c>
      <c r="B148" s="38" t="s">
        <v>183</v>
      </c>
      <c r="C148" s="37">
        <v>5.6</v>
      </c>
      <c r="D148" s="111"/>
    </row>
    <row r="149" spans="1:4" ht="15.75" outlineLevel="1">
      <c r="A149" s="37" t="s">
        <v>517</v>
      </c>
      <c r="B149" s="38" t="s">
        <v>1156</v>
      </c>
      <c r="C149" s="39">
        <v>5.0999999999999996</v>
      </c>
      <c r="D149" s="111"/>
    </row>
    <row r="150" spans="1:4" ht="15.75" outlineLevel="1">
      <c r="A150" s="37" t="s">
        <v>517</v>
      </c>
      <c r="B150" s="38" t="s">
        <v>1155</v>
      </c>
      <c r="C150" s="37">
        <v>5.14</v>
      </c>
      <c r="D150" s="111"/>
    </row>
    <row r="151" spans="1:4" ht="15.75" outlineLevel="1">
      <c r="A151" s="37" t="s">
        <v>517</v>
      </c>
      <c r="B151" s="38" t="s">
        <v>4</v>
      </c>
      <c r="C151" s="37">
        <v>5.19</v>
      </c>
      <c r="D151" s="111"/>
    </row>
    <row r="152" spans="1:4" ht="15.75" outlineLevel="1">
      <c r="A152" s="37" t="s">
        <v>517</v>
      </c>
      <c r="B152" s="38" t="s">
        <v>185</v>
      </c>
      <c r="C152" s="37">
        <v>5.24</v>
      </c>
      <c r="D152" s="111"/>
    </row>
    <row r="153" spans="1:4" ht="15.75" outlineLevel="1">
      <c r="A153" s="37" t="s">
        <v>517</v>
      </c>
      <c r="B153" s="38" t="s">
        <v>5</v>
      </c>
      <c r="C153" s="37">
        <v>5.26</v>
      </c>
      <c r="D153" s="111"/>
    </row>
    <row r="154" spans="1:4" ht="15.75" outlineLevel="1">
      <c r="A154" s="37" t="s">
        <v>517</v>
      </c>
      <c r="B154" s="38" t="s">
        <v>6</v>
      </c>
      <c r="C154" s="37">
        <v>5.27</v>
      </c>
      <c r="D154" s="111"/>
    </row>
    <row r="155" spans="1:4" ht="15.75" outlineLevel="1">
      <c r="A155" s="37" t="s">
        <v>517</v>
      </c>
      <c r="B155" s="38" t="s">
        <v>7</v>
      </c>
      <c r="C155" s="37">
        <v>5.28</v>
      </c>
      <c r="D155" s="111"/>
    </row>
    <row r="156" spans="1:4" ht="15.75" outlineLevel="1">
      <c r="A156" s="37" t="s">
        <v>517</v>
      </c>
      <c r="B156" s="38" t="s">
        <v>8</v>
      </c>
      <c r="C156" s="39">
        <v>5.3</v>
      </c>
      <c r="D156" s="111"/>
    </row>
    <row r="157" spans="1:4" ht="15.75" outlineLevel="1">
      <c r="A157" s="37" t="s">
        <v>517</v>
      </c>
      <c r="B157" s="38" t="s">
        <v>615</v>
      </c>
      <c r="C157" s="37">
        <v>5.32</v>
      </c>
      <c r="D157" s="111"/>
    </row>
    <row r="158" spans="1:4" ht="15.75" outlineLevel="1">
      <c r="A158" s="37" t="s">
        <v>517</v>
      </c>
      <c r="B158" s="38" t="s">
        <v>150</v>
      </c>
      <c r="C158" s="37">
        <v>5.36</v>
      </c>
      <c r="D158" s="111"/>
    </row>
    <row r="159" spans="1:4" ht="15.75" outlineLevel="1">
      <c r="A159" s="37" t="s">
        <v>517</v>
      </c>
      <c r="B159" s="38" t="s">
        <v>11</v>
      </c>
      <c r="C159" s="37">
        <v>5.53</v>
      </c>
      <c r="D159" s="111"/>
    </row>
    <row r="160" spans="1:4" ht="15.75" outlineLevel="1">
      <c r="A160" s="37" t="s">
        <v>517</v>
      </c>
      <c r="B160" s="38" t="s">
        <v>17</v>
      </c>
      <c r="C160" s="37">
        <v>5.58</v>
      </c>
      <c r="D160" s="111"/>
    </row>
    <row r="161" spans="1:5" ht="15.75" outlineLevel="1">
      <c r="A161" s="37" t="s">
        <v>517</v>
      </c>
      <c r="B161" s="38" t="s">
        <v>18</v>
      </c>
      <c r="C161" s="37">
        <v>5.54</v>
      </c>
      <c r="D161" s="111"/>
    </row>
    <row r="162" spans="1:5" ht="15.75" outlineLevel="1">
      <c r="A162" s="37" t="s">
        <v>517</v>
      </c>
      <c r="B162" s="38" t="s">
        <v>19</v>
      </c>
      <c r="C162" s="37">
        <v>5.55</v>
      </c>
      <c r="D162" s="111"/>
    </row>
    <row r="163" spans="1:5" ht="15.75" outlineLevel="1">
      <c r="A163" s="37" t="s">
        <v>517</v>
      </c>
      <c r="B163" s="38" t="s">
        <v>16</v>
      </c>
      <c r="C163" s="37">
        <v>5.62</v>
      </c>
      <c r="D163" s="111"/>
      <c r="E163" t="s">
        <v>1159</v>
      </c>
    </row>
    <row r="164" spans="1:5" ht="15.75" outlineLevel="1">
      <c r="A164" s="37" t="s">
        <v>517</v>
      </c>
      <c r="B164" s="38" t="s">
        <v>20</v>
      </c>
      <c r="C164" s="37">
        <v>5.63</v>
      </c>
      <c r="D164" s="111"/>
    </row>
    <row r="165" spans="1:5" ht="15.75" outlineLevel="1">
      <c r="A165" s="37" t="s">
        <v>517</v>
      </c>
      <c r="B165" s="38" t="s">
        <v>23</v>
      </c>
      <c r="C165" s="37">
        <v>5.45</v>
      </c>
      <c r="D165" s="111"/>
    </row>
    <row r="166" spans="1:5" ht="15.75" outlineLevel="1">
      <c r="A166" s="37" t="s">
        <v>517</v>
      </c>
      <c r="B166" s="38" t="s">
        <v>24</v>
      </c>
      <c r="C166" s="37">
        <v>5.47</v>
      </c>
      <c r="D166" s="111"/>
    </row>
    <row r="167" spans="1:5" ht="15.75" outlineLevel="1">
      <c r="A167" s="37" t="s">
        <v>517</v>
      </c>
      <c r="B167" s="38" t="s">
        <v>25</v>
      </c>
      <c r="C167" s="37">
        <v>5.48</v>
      </c>
      <c r="D167" s="111"/>
    </row>
    <row r="168" spans="1:5" ht="15.75">
      <c r="A168" s="43" t="s">
        <v>517</v>
      </c>
      <c r="B168" s="38"/>
      <c r="C168" s="37"/>
      <c r="D168" s="111"/>
    </row>
    <row r="169" spans="1:5" ht="15.75" outlineLevel="1">
      <c r="A169" s="37" t="s">
        <v>1030</v>
      </c>
      <c r="B169" s="38" t="s">
        <v>0</v>
      </c>
      <c r="C169" s="37">
        <v>5.0999999999999996</v>
      </c>
      <c r="D169" s="111"/>
    </row>
    <row r="170" spans="1:5" ht="15.75" outlineLevel="1">
      <c r="A170" s="37" t="s">
        <v>1030</v>
      </c>
      <c r="B170" s="38" t="s">
        <v>1</v>
      </c>
      <c r="C170" s="37">
        <v>5.2</v>
      </c>
      <c r="D170" s="111"/>
    </row>
    <row r="171" spans="1:5" ht="15.75" outlineLevel="1">
      <c r="A171" s="37" t="s">
        <v>1030</v>
      </c>
      <c r="B171" s="38" t="s">
        <v>2</v>
      </c>
      <c r="C171" s="37">
        <v>5.3</v>
      </c>
      <c r="D171" s="111"/>
    </row>
    <row r="172" spans="1:5" ht="15.75" outlineLevel="1">
      <c r="A172" s="37" t="s">
        <v>1030</v>
      </c>
      <c r="B172" s="38" t="s">
        <v>183</v>
      </c>
      <c r="C172" s="37">
        <v>5.6</v>
      </c>
      <c r="D172" s="111"/>
    </row>
    <row r="173" spans="1:5" ht="15.75" outlineLevel="1">
      <c r="A173" s="37" t="s">
        <v>1030</v>
      </c>
      <c r="B173" s="38" t="s">
        <v>1156</v>
      </c>
      <c r="C173" s="39">
        <v>5.0999999999999996</v>
      </c>
      <c r="D173" s="111"/>
    </row>
    <row r="174" spans="1:5" ht="15.75" outlineLevel="1">
      <c r="A174" s="37" t="s">
        <v>1030</v>
      </c>
      <c r="B174" s="38" t="s">
        <v>1155</v>
      </c>
      <c r="C174" s="37">
        <v>5.14</v>
      </c>
      <c r="D174" s="111"/>
    </row>
    <row r="175" spans="1:5" ht="15.75" outlineLevel="1">
      <c r="A175" s="37" t="s">
        <v>1030</v>
      </c>
      <c r="B175" s="38" t="s">
        <v>4</v>
      </c>
      <c r="C175" s="37">
        <v>5.19</v>
      </c>
      <c r="D175" s="111"/>
    </row>
    <row r="176" spans="1:5" ht="15.75" outlineLevel="1">
      <c r="A176" s="37" t="s">
        <v>1030</v>
      </c>
      <c r="B176" s="38" t="s">
        <v>185</v>
      </c>
      <c r="C176" s="37">
        <v>5.24</v>
      </c>
      <c r="D176" s="111"/>
    </row>
    <row r="177" spans="1:4" ht="15.75" outlineLevel="1">
      <c r="A177" s="37" t="s">
        <v>1030</v>
      </c>
      <c r="B177" s="38" t="s">
        <v>5</v>
      </c>
      <c r="C177" s="37">
        <v>5.26</v>
      </c>
      <c r="D177" s="111"/>
    </row>
    <row r="178" spans="1:4" ht="15.75" outlineLevel="1">
      <c r="A178" s="37" t="s">
        <v>1030</v>
      </c>
      <c r="B178" s="38" t="s">
        <v>6</v>
      </c>
      <c r="C178" s="37">
        <v>5.27</v>
      </c>
      <c r="D178" s="111"/>
    </row>
    <row r="179" spans="1:4" ht="15.75" outlineLevel="1">
      <c r="A179" s="37" t="s">
        <v>1030</v>
      </c>
      <c r="B179" s="38" t="s">
        <v>7</v>
      </c>
      <c r="C179" s="37">
        <v>5.28</v>
      </c>
      <c r="D179" s="111"/>
    </row>
    <row r="180" spans="1:4" ht="15.75" outlineLevel="1">
      <c r="A180" s="37" t="s">
        <v>1030</v>
      </c>
      <c r="B180" s="38" t="s">
        <v>373</v>
      </c>
      <c r="C180" s="37">
        <v>5.29</v>
      </c>
      <c r="D180" s="111"/>
    </row>
    <row r="181" spans="1:4" ht="15.75" outlineLevel="1">
      <c r="A181" s="37" t="s">
        <v>1030</v>
      </c>
      <c r="B181" s="38" t="s">
        <v>8</v>
      </c>
      <c r="C181" s="39">
        <v>5.3</v>
      </c>
      <c r="D181" s="111"/>
    </row>
    <row r="182" spans="1:4" ht="15.75" outlineLevel="1">
      <c r="A182" s="37" t="s">
        <v>1030</v>
      </c>
      <c r="B182" s="38" t="s">
        <v>615</v>
      </c>
      <c r="C182" s="37">
        <v>5.32</v>
      </c>
      <c r="D182" s="111"/>
    </row>
    <row r="183" spans="1:4" ht="15.75" outlineLevel="1">
      <c r="A183" s="37" t="s">
        <v>1030</v>
      </c>
      <c r="B183" s="38" t="s">
        <v>150</v>
      </c>
      <c r="C183" s="37">
        <v>5.36</v>
      </c>
      <c r="D183" s="111"/>
    </row>
    <row r="184" spans="1:4" ht="15.75" outlineLevel="1">
      <c r="A184" s="37" t="s">
        <v>1030</v>
      </c>
      <c r="B184" s="38" t="s">
        <v>11</v>
      </c>
      <c r="C184" s="37">
        <v>5.53</v>
      </c>
      <c r="D184" s="111"/>
    </row>
    <row r="185" spans="1:4" ht="15.75" outlineLevel="1">
      <c r="A185" s="37" t="s">
        <v>1030</v>
      </c>
      <c r="B185" s="38" t="s">
        <v>17</v>
      </c>
      <c r="C185" s="37">
        <v>5.58</v>
      </c>
      <c r="D185" s="111"/>
    </row>
    <row r="186" spans="1:4" ht="15.75" outlineLevel="1">
      <c r="A186" s="37" t="s">
        <v>1030</v>
      </c>
      <c r="B186" s="38" t="s">
        <v>18</v>
      </c>
      <c r="C186" s="37">
        <v>5.54</v>
      </c>
      <c r="D186" s="111"/>
    </row>
    <row r="187" spans="1:4" ht="15.75" outlineLevel="1">
      <c r="A187" s="37" t="s">
        <v>1030</v>
      </c>
      <c r="B187" s="38" t="s">
        <v>19</v>
      </c>
      <c r="C187" s="37">
        <v>5.55</v>
      </c>
      <c r="D187" s="111"/>
    </row>
    <row r="188" spans="1:4" ht="15.75" outlineLevel="1">
      <c r="A188" s="37" t="s">
        <v>1030</v>
      </c>
      <c r="B188" s="38" t="s">
        <v>20</v>
      </c>
      <c r="C188" s="37">
        <v>5.63</v>
      </c>
      <c r="D188" s="111"/>
    </row>
    <row r="189" spans="1:4" ht="15.75" outlineLevel="1">
      <c r="A189" s="37" t="s">
        <v>1030</v>
      </c>
      <c r="B189" s="38" t="s">
        <v>23</v>
      </c>
      <c r="C189" s="37">
        <v>5.45</v>
      </c>
      <c r="D189" s="111"/>
    </row>
    <row r="190" spans="1:4" ht="15.75" outlineLevel="1">
      <c r="A190" s="37" t="s">
        <v>1030</v>
      </c>
      <c r="B190" s="38" t="s">
        <v>24</v>
      </c>
      <c r="C190" s="37">
        <v>5.47</v>
      </c>
      <c r="D190" s="111"/>
    </row>
    <row r="191" spans="1:4" ht="15.75" outlineLevel="1">
      <c r="A191" s="37" t="s">
        <v>1030</v>
      </c>
      <c r="B191" s="38" t="s">
        <v>25</v>
      </c>
      <c r="C191" s="37">
        <v>5.48</v>
      </c>
      <c r="D191" s="111"/>
    </row>
    <row r="192" spans="1:4" ht="15.75">
      <c r="A192" s="43" t="s">
        <v>1030</v>
      </c>
      <c r="B192" s="38"/>
      <c r="C192" s="37"/>
      <c r="D192" s="111"/>
    </row>
    <row r="193" spans="1:4" ht="15.75" outlineLevel="1">
      <c r="A193" s="37" t="s">
        <v>1160</v>
      </c>
      <c r="B193" s="38" t="s">
        <v>0</v>
      </c>
      <c r="C193" s="37">
        <v>5.0999999999999996</v>
      </c>
      <c r="D193" s="111"/>
    </row>
    <row r="194" spans="1:4" ht="15.75" outlineLevel="1">
      <c r="A194" s="37" t="s">
        <v>1160</v>
      </c>
      <c r="B194" s="38" t="s">
        <v>1</v>
      </c>
      <c r="C194" s="37">
        <v>5.2</v>
      </c>
      <c r="D194" s="111"/>
    </row>
    <row r="195" spans="1:4" ht="15.75" outlineLevel="1">
      <c r="A195" s="37" t="s">
        <v>1160</v>
      </c>
      <c r="B195" s="38" t="s">
        <v>2</v>
      </c>
      <c r="C195" s="37">
        <v>5.3</v>
      </c>
      <c r="D195" s="111"/>
    </row>
    <row r="196" spans="1:4" ht="15.75" outlineLevel="1">
      <c r="A196" s="37" t="s">
        <v>1160</v>
      </c>
      <c r="B196" s="38" t="s">
        <v>183</v>
      </c>
      <c r="C196" s="37">
        <v>5.6</v>
      </c>
      <c r="D196" s="111"/>
    </row>
    <row r="197" spans="1:4" ht="15.75" outlineLevel="1">
      <c r="A197" s="37" t="s">
        <v>1160</v>
      </c>
      <c r="B197" s="38" t="s">
        <v>1156</v>
      </c>
      <c r="C197" s="39">
        <v>5.0999999999999996</v>
      </c>
      <c r="D197" s="111"/>
    </row>
    <row r="198" spans="1:4" ht="15.75" outlineLevel="1">
      <c r="A198" s="37" t="s">
        <v>1160</v>
      </c>
      <c r="B198" s="38" t="s">
        <v>1155</v>
      </c>
      <c r="C198" s="37">
        <v>5.14</v>
      </c>
      <c r="D198" s="111"/>
    </row>
    <row r="199" spans="1:4" ht="15.75" outlineLevel="1">
      <c r="A199" s="37" t="s">
        <v>1160</v>
      </c>
      <c r="B199" s="38" t="s">
        <v>4</v>
      </c>
      <c r="C199" s="37">
        <v>5.19</v>
      </c>
      <c r="D199" s="111"/>
    </row>
    <row r="200" spans="1:4" ht="15.75" outlineLevel="1">
      <c r="A200" s="37" t="s">
        <v>1160</v>
      </c>
      <c r="B200" s="38" t="s">
        <v>185</v>
      </c>
      <c r="C200" s="37">
        <v>5.24</v>
      </c>
      <c r="D200" s="111"/>
    </row>
    <row r="201" spans="1:4" ht="15.75" outlineLevel="1">
      <c r="A201" s="37" t="s">
        <v>1160</v>
      </c>
      <c r="B201" s="38" t="s">
        <v>6</v>
      </c>
      <c r="C201" s="37">
        <v>5.27</v>
      </c>
      <c r="D201" s="111"/>
    </row>
    <row r="202" spans="1:4" ht="15.75" outlineLevel="1">
      <c r="A202" s="37" t="s">
        <v>1160</v>
      </c>
      <c r="B202" s="38" t="s">
        <v>7</v>
      </c>
      <c r="C202" s="37">
        <v>5.28</v>
      </c>
      <c r="D202" s="111"/>
    </row>
    <row r="203" spans="1:4" ht="15.75" outlineLevel="1">
      <c r="A203" s="37" t="s">
        <v>1160</v>
      </c>
      <c r="B203" s="38" t="s">
        <v>373</v>
      </c>
      <c r="C203" s="37">
        <v>5.29</v>
      </c>
      <c r="D203" s="111"/>
    </row>
    <row r="204" spans="1:4" ht="15.75" outlineLevel="1">
      <c r="A204" s="37" t="s">
        <v>1160</v>
      </c>
      <c r="B204" s="38" t="s">
        <v>8</v>
      </c>
      <c r="C204" s="39">
        <v>5.3</v>
      </c>
      <c r="D204" s="111"/>
    </row>
    <row r="205" spans="1:4" ht="15.75" outlineLevel="1">
      <c r="A205" s="37" t="s">
        <v>1160</v>
      </c>
      <c r="B205" s="38" t="s">
        <v>1161</v>
      </c>
      <c r="C205" s="37">
        <v>5.34</v>
      </c>
      <c r="D205" s="111"/>
    </row>
    <row r="206" spans="1:4" ht="15.75" outlineLevel="1">
      <c r="A206" s="37" t="s">
        <v>1160</v>
      </c>
      <c r="B206" s="38" t="s">
        <v>186</v>
      </c>
      <c r="C206" s="37">
        <v>5.31</v>
      </c>
      <c r="D206" s="111"/>
    </row>
    <row r="207" spans="1:4" ht="15.75" outlineLevel="1">
      <c r="A207" s="37" t="s">
        <v>1160</v>
      </c>
      <c r="B207" s="38" t="s">
        <v>1162</v>
      </c>
      <c r="C207" s="37">
        <v>5.101</v>
      </c>
      <c r="D207" s="111"/>
    </row>
    <row r="208" spans="1:4" ht="15.75" outlineLevel="1">
      <c r="A208" s="37" t="s">
        <v>1160</v>
      </c>
      <c r="B208" s="38" t="s">
        <v>150</v>
      </c>
      <c r="C208" s="37">
        <v>5.36</v>
      </c>
      <c r="D208" s="111"/>
    </row>
    <row r="209" spans="1:4" ht="15.75" outlineLevel="1">
      <c r="A209" s="37" t="s">
        <v>1160</v>
      </c>
      <c r="B209" s="38" t="s">
        <v>11</v>
      </c>
      <c r="C209" s="37">
        <v>5.53</v>
      </c>
      <c r="D209" s="111"/>
    </row>
    <row r="210" spans="1:4" ht="15.75" outlineLevel="1">
      <c r="A210" s="37" t="s">
        <v>1160</v>
      </c>
      <c r="B210" s="38" t="s">
        <v>1163</v>
      </c>
      <c r="C210" s="37">
        <v>5.1020000000000003</v>
      </c>
      <c r="D210" s="111"/>
    </row>
    <row r="211" spans="1:4" ht="15.75" outlineLevel="1">
      <c r="A211" s="37" t="s">
        <v>1160</v>
      </c>
      <c r="B211" s="38" t="s">
        <v>1164</v>
      </c>
      <c r="C211" s="40">
        <v>5.0999999999999996</v>
      </c>
      <c r="D211" s="111"/>
    </row>
    <row r="212" spans="1:4" ht="15.75" outlineLevel="1">
      <c r="A212" s="37" t="s">
        <v>1160</v>
      </c>
      <c r="B212" s="38" t="s">
        <v>17</v>
      </c>
      <c r="C212" s="37">
        <v>5.58</v>
      </c>
      <c r="D212" s="111"/>
    </row>
    <row r="213" spans="1:4" ht="15.75" outlineLevel="1">
      <c r="A213" s="37" t="s">
        <v>1160</v>
      </c>
      <c r="B213" s="38" t="s">
        <v>18</v>
      </c>
      <c r="C213" s="37">
        <v>5.54</v>
      </c>
      <c r="D213" s="111"/>
    </row>
    <row r="214" spans="1:4" ht="15.75" outlineLevel="1">
      <c r="A214" s="37" t="s">
        <v>1160</v>
      </c>
      <c r="B214" s="38" t="s">
        <v>19</v>
      </c>
      <c r="C214" s="37">
        <v>5.55</v>
      </c>
      <c r="D214" s="111"/>
    </row>
    <row r="215" spans="1:4" ht="15.75" outlineLevel="1">
      <c r="A215" s="37" t="s">
        <v>1160</v>
      </c>
      <c r="B215" s="38" t="s">
        <v>20</v>
      </c>
      <c r="C215" s="37">
        <v>5.63</v>
      </c>
      <c r="D215" s="111"/>
    </row>
    <row r="216" spans="1:4" ht="15.75" outlineLevel="1">
      <c r="A216" s="37" t="s">
        <v>1160</v>
      </c>
      <c r="B216" s="38" t="s">
        <v>24</v>
      </c>
      <c r="C216" s="37">
        <v>5.47</v>
      </c>
      <c r="D216" s="111"/>
    </row>
    <row r="217" spans="1:4" ht="15.75" outlineLevel="1">
      <c r="A217" s="37" t="s">
        <v>1160</v>
      </c>
      <c r="B217" s="38" t="s">
        <v>25</v>
      </c>
      <c r="C217" s="37">
        <v>5.48</v>
      </c>
      <c r="D217" s="111"/>
    </row>
    <row r="218" spans="1:4" ht="15.75">
      <c r="A218" s="43" t="s">
        <v>1160</v>
      </c>
      <c r="B218" s="38"/>
      <c r="C218" s="37"/>
      <c r="D218" s="111"/>
    </row>
    <row r="219" spans="1:4" ht="15.75" outlineLevel="1">
      <c r="A219" s="37" t="s">
        <v>1033</v>
      </c>
      <c r="B219" s="38" t="s">
        <v>0</v>
      </c>
      <c r="C219" s="37">
        <v>5.0999999999999996</v>
      </c>
      <c r="D219" s="111"/>
    </row>
    <row r="220" spans="1:4" ht="15.75" outlineLevel="1">
      <c r="A220" s="37" t="s">
        <v>1033</v>
      </c>
      <c r="B220" s="38" t="s">
        <v>1</v>
      </c>
      <c r="C220" s="37">
        <v>5.2</v>
      </c>
      <c r="D220" s="111"/>
    </row>
    <row r="221" spans="1:4" ht="15.75" outlineLevel="1">
      <c r="A221" s="37" t="s">
        <v>1033</v>
      </c>
      <c r="B221" s="38" t="s">
        <v>2</v>
      </c>
      <c r="C221" s="37">
        <v>5.3</v>
      </c>
      <c r="D221" s="111"/>
    </row>
    <row r="222" spans="1:4" ht="15.75" outlineLevel="1">
      <c r="A222" s="37" t="s">
        <v>1033</v>
      </c>
      <c r="B222" s="38" t="s">
        <v>183</v>
      </c>
      <c r="C222" s="37">
        <v>5.6</v>
      </c>
      <c r="D222" s="111"/>
    </row>
    <row r="223" spans="1:4" ht="15.75" outlineLevel="1">
      <c r="A223" s="37" t="s">
        <v>1033</v>
      </c>
      <c r="B223" s="38" t="s">
        <v>1156</v>
      </c>
      <c r="C223" s="39">
        <v>5.0999999999999996</v>
      </c>
      <c r="D223" s="111"/>
    </row>
    <row r="224" spans="1:4" ht="15.75" outlineLevel="1">
      <c r="A224" s="37" t="s">
        <v>1033</v>
      </c>
      <c r="B224" s="38" t="s">
        <v>1155</v>
      </c>
      <c r="C224" s="37">
        <v>5.14</v>
      </c>
      <c r="D224" s="111"/>
    </row>
    <row r="225" spans="1:4" ht="15.75" outlineLevel="1">
      <c r="A225" s="37" t="s">
        <v>1033</v>
      </c>
      <c r="B225" s="38" t="s">
        <v>4</v>
      </c>
      <c r="C225" s="37">
        <v>5.19</v>
      </c>
      <c r="D225" s="111"/>
    </row>
    <row r="226" spans="1:4" ht="15.75" outlineLevel="1">
      <c r="A226" s="37" t="s">
        <v>1033</v>
      </c>
      <c r="B226" s="38" t="s">
        <v>185</v>
      </c>
      <c r="C226" s="37">
        <v>5.24</v>
      </c>
      <c r="D226" s="111"/>
    </row>
    <row r="227" spans="1:4" ht="15.75" outlineLevel="1">
      <c r="A227" s="37" t="s">
        <v>1033</v>
      </c>
      <c r="B227" s="38" t="s">
        <v>5</v>
      </c>
      <c r="C227" s="37">
        <v>5.26</v>
      </c>
      <c r="D227" s="111"/>
    </row>
    <row r="228" spans="1:4" ht="15.75" outlineLevel="1">
      <c r="A228" s="37" t="s">
        <v>1033</v>
      </c>
      <c r="B228" s="38" t="s">
        <v>6</v>
      </c>
      <c r="C228" s="37">
        <v>5.27</v>
      </c>
      <c r="D228" s="111"/>
    </row>
    <row r="229" spans="1:4" ht="15.75" outlineLevel="1">
      <c r="A229" s="37" t="s">
        <v>1033</v>
      </c>
      <c r="B229" s="38" t="s">
        <v>7</v>
      </c>
      <c r="C229" s="37">
        <v>5.28</v>
      </c>
      <c r="D229" s="111"/>
    </row>
    <row r="230" spans="1:4" ht="15.75" outlineLevel="1">
      <c r="A230" s="37" t="s">
        <v>1033</v>
      </c>
      <c r="B230" s="38" t="s">
        <v>373</v>
      </c>
      <c r="C230" s="37">
        <v>5.29</v>
      </c>
      <c r="D230" s="111"/>
    </row>
    <row r="231" spans="1:4" ht="15.75" outlineLevel="1">
      <c r="A231" s="37" t="s">
        <v>1033</v>
      </c>
      <c r="B231" s="38" t="s">
        <v>8</v>
      </c>
      <c r="C231" s="39">
        <v>5.3</v>
      </c>
      <c r="D231" s="111"/>
    </row>
    <row r="232" spans="1:4" ht="15.75" outlineLevel="1">
      <c r="A232" s="37" t="s">
        <v>1033</v>
      </c>
      <c r="B232" s="38" t="s">
        <v>186</v>
      </c>
      <c r="C232" s="37">
        <v>5.31</v>
      </c>
      <c r="D232" s="111"/>
    </row>
    <row r="233" spans="1:4" ht="15.75" outlineLevel="1">
      <c r="A233" s="37" t="s">
        <v>1033</v>
      </c>
      <c r="B233" s="38" t="s">
        <v>222</v>
      </c>
      <c r="C233" s="37">
        <v>5.33</v>
      </c>
      <c r="D233" s="111"/>
    </row>
    <row r="234" spans="1:4" ht="15.75" outlineLevel="1">
      <c r="A234" s="37" t="s">
        <v>1033</v>
      </c>
      <c r="B234" s="38" t="s">
        <v>1162</v>
      </c>
      <c r="C234" s="37">
        <v>5.101</v>
      </c>
      <c r="D234" s="111"/>
    </row>
    <row r="235" spans="1:4" ht="15.75" outlineLevel="1">
      <c r="A235" s="37" t="s">
        <v>1033</v>
      </c>
      <c r="B235" s="38" t="s">
        <v>150</v>
      </c>
      <c r="C235" s="37">
        <v>5.36</v>
      </c>
      <c r="D235" s="111"/>
    </row>
    <row r="236" spans="1:4" ht="15.75" outlineLevel="1">
      <c r="A236" s="37" t="s">
        <v>1033</v>
      </c>
      <c r="B236" s="38" t="s">
        <v>11</v>
      </c>
      <c r="C236" s="37">
        <v>5.53</v>
      </c>
      <c r="D236" s="111"/>
    </row>
    <row r="237" spans="1:4" ht="15.75" outlineLevel="1">
      <c r="A237" s="37" t="s">
        <v>1033</v>
      </c>
      <c r="B237" s="38" t="s">
        <v>1163</v>
      </c>
      <c r="C237" s="37">
        <v>5.1020000000000003</v>
      </c>
      <c r="D237" s="111"/>
    </row>
    <row r="238" spans="1:4" ht="15.75" outlineLevel="1">
      <c r="A238" s="37" t="s">
        <v>1033</v>
      </c>
      <c r="B238" s="38" t="s">
        <v>17</v>
      </c>
      <c r="C238" s="37">
        <v>5.58</v>
      </c>
      <c r="D238" s="111"/>
    </row>
    <row r="239" spans="1:4" ht="15.75" outlineLevel="1">
      <c r="A239" s="37" t="s">
        <v>1033</v>
      </c>
      <c r="B239" s="38" t="s">
        <v>18</v>
      </c>
      <c r="C239" s="37">
        <v>5.54</v>
      </c>
      <c r="D239" s="111"/>
    </row>
    <row r="240" spans="1:4" ht="15.75" outlineLevel="1">
      <c r="A240" s="37" t="s">
        <v>1033</v>
      </c>
      <c r="B240" s="38" t="s">
        <v>19</v>
      </c>
      <c r="C240" s="37">
        <v>5.55</v>
      </c>
      <c r="D240" s="111"/>
    </row>
    <row r="241" spans="1:4" ht="15.75" outlineLevel="1">
      <c r="A241" s="37" t="s">
        <v>1033</v>
      </c>
      <c r="B241" s="38" t="s">
        <v>20</v>
      </c>
      <c r="C241" s="37">
        <v>5.63</v>
      </c>
      <c r="D241" s="111"/>
    </row>
    <row r="242" spans="1:4" ht="15.75" outlineLevel="1">
      <c r="A242" s="37" t="s">
        <v>1033</v>
      </c>
      <c r="B242" s="38" t="s">
        <v>24</v>
      </c>
      <c r="C242" s="37">
        <v>5.47</v>
      </c>
      <c r="D242" s="111"/>
    </row>
    <row r="243" spans="1:4" ht="15.75" outlineLevel="1">
      <c r="A243" s="37" t="s">
        <v>1033</v>
      </c>
      <c r="B243" s="38" t="s">
        <v>25</v>
      </c>
      <c r="C243" s="37">
        <v>5.48</v>
      </c>
      <c r="D243" s="111"/>
    </row>
    <row r="244" spans="1:4" ht="15.75">
      <c r="A244" s="43" t="s">
        <v>1033</v>
      </c>
      <c r="B244" s="38"/>
      <c r="C244" s="37"/>
      <c r="D244" s="111"/>
    </row>
    <row r="245" spans="1:4" ht="15.75" outlineLevel="1">
      <c r="A245" s="37" t="s">
        <v>1165</v>
      </c>
      <c r="B245" s="38" t="s">
        <v>0</v>
      </c>
      <c r="C245" s="37">
        <v>5.0999999999999996</v>
      </c>
      <c r="D245" s="111"/>
    </row>
    <row r="246" spans="1:4" ht="15.75" outlineLevel="1">
      <c r="A246" s="37" t="s">
        <v>1165</v>
      </c>
      <c r="B246" s="38" t="s">
        <v>1</v>
      </c>
      <c r="C246" s="37">
        <v>5.2</v>
      </c>
      <c r="D246" s="111"/>
    </row>
    <row r="247" spans="1:4" ht="15.75" outlineLevel="1">
      <c r="A247" s="37" t="s">
        <v>1165</v>
      </c>
      <c r="B247" s="38" t="s">
        <v>2</v>
      </c>
      <c r="C247" s="37">
        <v>5.3</v>
      </c>
      <c r="D247" s="111"/>
    </row>
    <row r="248" spans="1:4" ht="15.75" outlineLevel="1">
      <c r="A248" s="37" t="s">
        <v>1165</v>
      </c>
      <c r="B248" s="38" t="s">
        <v>183</v>
      </c>
      <c r="C248" s="37">
        <v>5.6</v>
      </c>
      <c r="D248" s="111"/>
    </row>
    <row r="249" spans="1:4" ht="15.75" outlineLevel="1">
      <c r="A249" s="37" t="s">
        <v>1165</v>
      </c>
      <c r="B249" s="38" t="s">
        <v>1156</v>
      </c>
      <c r="C249" s="39">
        <v>5.0999999999999996</v>
      </c>
      <c r="D249" s="111"/>
    </row>
    <row r="250" spans="1:4" ht="15.75" outlineLevel="1">
      <c r="A250" s="37" t="s">
        <v>1165</v>
      </c>
      <c r="B250" s="38" t="s">
        <v>1155</v>
      </c>
      <c r="C250" s="37">
        <v>5.14</v>
      </c>
      <c r="D250" s="111"/>
    </row>
    <row r="251" spans="1:4" ht="15.75" outlineLevel="1">
      <c r="A251" s="37" t="s">
        <v>1165</v>
      </c>
      <c r="B251" s="38" t="s">
        <v>4</v>
      </c>
      <c r="C251" s="37">
        <v>5.19</v>
      </c>
      <c r="D251" s="111"/>
    </row>
    <row r="252" spans="1:4" ht="15.75" outlineLevel="1">
      <c r="A252" s="37" t="s">
        <v>1165</v>
      </c>
      <c r="B252" s="38" t="s">
        <v>185</v>
      </c>
      <c r="C252" s="37">
        <v>5.24</v>
      </c>
      <c r="D252" s="111"/>
    </row>
    <row r="253" spans="1:4" ht="15.75" outlineLevel="1">
      <c r="A253" s="37" t="s">
        <v>1165</v>
      </c>
      <c r="B253" s="38" t="s">
        <v>6</v>
      </c>
      <c r="C253" s="37">
        <v>5.27</v>
      </c>
      <c r="D253" s="111"/>
    </row>
    <row r="254" spans="1:4" ht="15.75" outlineLevel="1">
      <c r="A254" s="37" t="s">
        <v>1165</v>
      </c>
      <c r="B254" s="38" t="s">
        <v>7</v>
      </c>
      <c r="C254" s="37">
        <v>5.28</v>
      </c>
      <c r="D254" s="111"/>
    </row>
    <row r="255" spans="1:4" ht="15.75" outlineLevel="1">
      <c r="A255" s="37" t="s">
        <v>1165</v>
      </c>
      <c r="B255" s="38" t="s">
        <v>8</v>
      </c>
      <c r="C255" s="39">
        <v>5.3</v>
      </c>
      <c r="D255" s="111"/>
    </row>
    <row r="256" spans="1:4" ht="15.75" outlineLevel="1">
      <c r="A256" s="37" t="s">
        <v>1165</v>
      </c>
      <c r="B256" s="38" t="s">
        <v>222</v>
      </c>
      <c r="C256" s="37">
        <v>5.33</v>
      </c>
      <c r="D256" s="111"/>
    </row>
    <row r="257" spans="1:4" ht="15.75" outlineLevel="1">
      <c r="A257" s="37" t="s">
        <v>1165</v>
      </c>
      <c r="B257" s="38" t="s">
        <v>150</v>
      </c>
      <c r="C257" s="37">
        <v>5.36</v>
      </c>
      <c r="D257" s="111"/>
    </row>
    <row r="258" spans="1:4" ht="15.75" outlineLevel="1">
      <c r="A258" s="37" t="s">
        <v>1165</v>
      </c>
      <c r="B258" s="38" t="s">
        <v>11</v>
      </c>
      <c r="C258" s="37">
        <v>5.53</v>
      </c>
      <c r="D258" s="111"/>
    </row>
    <row r="259" spans="1:4" ht="15.75" outlineLevel="1">
      <c r="A259" s="37" t="s">
        <v>1165</v>
      </c>
      <c r="B259" s="38" t="s">
        <v>17</v>
      </c>
      <c r="C259" s="37">
        <v>5.58</v>
      </c>
      <c r="D259" s="111"/>
    </row>
    <row r="260" spans="1:4" ht="15.75" outlineLevel="1">
      <c r="A260" s="37" t="s">
        <v>1165</v>
      </c>
      <c r="B260" s="38" t="s">
        <v>18</v>
      </c>
      <c r="C260" s="37">
        <v>5.54</v>
      </c>
      <c r="D260" s="111"/>
    </row>
    <row r="261" spans="1:4" ht="15.75" outlineLevel="1">
      <c r="A261" s="37" t="s">
        <v>1165</v>
      </c>
      <c r="B261" s="38" t="s">
        <v>19</v>
      </c>
      <c r="C261" s="37">
        <v>5.55</v>
      </c>
      <c r="D261" s="111"/>
    </row>
    <row r="262" spans="1:4" ht="15.75" outlineLevel="1">
      <c r="A262" s="37" t="s">
        <v>1165</v>
      </c>
      <c r="B262" s="38" t="s">
        <v>20</v>
      </c>
      <c r="C262" s="37">
        <v>5.63</v>
      </c>
      <c r="D262" s="111"/>
    </row>
    <row r="263" spans="1:4" ht="15.75" outlineLevel="1">
      <c r="A263" s="37" t="s">
        <v>1165</v>
      </c>
      <c r="B263" s="38" t="s">
        <v>24</v>
      </c>
      <c r="C263" s="37">
        <v>5.47</v>
      </c>
      <c r="D263" s="111"/>
    </row>
    <row r="264" spans="1:4" ht="15.75" outlineLevel="1">
      <c r="A264" s="37" t="s">
        <v>1165</v>
      </c>
      <c r="B264" s="38" t="s">
        <v>25</v>
      </c>
      <c r="C264" s="37">
        <v>5.48</v>
      </c>
      <c r="D264" s="111"/>
    </row>
    <row r="265" spans="1:4" ht="15.75">
      <c r="A265" s="43" t="s">
        <v>1165</v>
      </c>
      <c r="B265" s="38"/>
      <c r="C265" s="37"/>
      <c r="D265" s="111"/>
    </row>
    <row r="266" spans="1:4" ht="15.75" outlineLevel="1">
      <c r="A266" s="37" t="s">
        <v>1038</v>
      </c>
      <c r="B266" s="38" t="s">
        <v>0</v>
      </c>
      <c r="C266" s="37">
        <v>5.0999999999999996</v>
      </c>
      <c r="D266" s="111"/>
    </row>
    <row r="267" spans="1:4" ht="15.75" outlineLevel="1">
      <c r="A267" s="37" t="s">
        <v>1038</v>
      </c>
      <c r="B267" s="38" t="s">
        <v>1</v>
      </c>
      <c r="C267" s="37">
        <v>5.2</v>
      </c>
      <c r="D267" s="111"/>
    </row>
    <row r="268" spans="1:4" ht="15.75" outlineLevel="1">
      <c r="A268" s="37" t="s">
        <v>1038</v>
      </c>
      <c r="B268" s="38" t="s">
        <v>2</v>
      </c>
      <c r="C268" s="37">
        <v>5.3</v>
      </c>
      <c r="D268" s="111"/>
    </row>
    <row r="269" spans="1:4" ht="15.75" outlineLevel="1">
      <c r="A269" s="37" t="s">
        <v>1038</v>
      </c>
      <c r="B269" s="38" t="s">
        <v>183</v>
      </c>
      <c r="C269" s="37">
        <v>5.6</v>
      </c>
      <c r="D269" s="111"/>
    </row>
    <row r="270" spans="1:4" ht="15.75" outlineLevel="1">
      <c r="A270" s="37" t="s">
        <v>1038</v>
      </c>
      <c r="B270" s="38" t="s">
        <v>1156</v>
      </c>
      <c r="C270" s="39">
        <v>5.0999999999999996</v>
      </c>
      <c r="D270" s="111"/>
    </row>
    <row r="271" spans="1:4" ht="15.75" outlineLevel="1">
      <c r="A271" s="37" t="s">
        <v>1038</v>
      </c>
      <c r="B271" s="38" t="s">
        <v>1155</v>
      </c>
      <c r="C271" s="37">
        <v>5.14</v>
      </c>
      <c r="D271" s="111"/>
    </row>
    <row r="272" spans="1:4" ht="15.75" outlineLevel="1">
      <c r="A272" s="37" t="s">
        <v>1038</v>
      </c>
      <c r="B272" s="38" t="s">
        <v>4</v>
      </c>
      <c r="C272" s="37">
        <v>5.19</v>
      </c>
      <c r="D272" s="111"/>
    </row>
    <row r="273" spans="1:4" ht="15.75" outlineLevel="1">
      <c r="A273" s="37" t="s">
        <v>1038</v>
      </c>
      <c r="B273" s="38" t="s">
        <v>185</v>
      </c>
      <c r="C273" s="37">
        <v>5.24</v>
      </c>
      <c r="D273" s="111"/>
    </row>
    <row r="274" spans="1:4" ht="15.75" outlineLevel="1">
      <c r="A274" s="37" t="s">
        <v>1038</v>
      </c>
      <c r="B274" s="38" t="s">
        <v>5</v>
      </c>
      <c r="C274" s="37">
        <v>5.26</v>
      </c>
      <c r="D274" s="111"/>
    </row>
    <row r="275" spans="1:4" ht="15.75" outlineLevel="1">
      <c r="A275" s="37" t="s">
        <v>1038</v>
      </c>
      <c r="B275" s="38" t="s">
        <v>6</v>
      </c>
      <c r="C275" s="37">
        <v>5.27</v>
      </c>
      <c r="D275" s="111"/>
    </row>
    <row r="276" spans="1:4" ht="15.75" outlineLevel="1">
      <c r="A276" s="37" t="s">
        <v>1038</v>
      </c>
      <c r="B276" s="38" t="s">
        <v>7</v>
      </c>
      <c r="C276" s="37">
        <v>5.28</v>
      </c>
      <c r="D276" s="111"/>
    </row>
    <row r="277" spans="1:4" ht="15.75" outlineLevel="1">
      <c r="A277" s="37" t="s">
        <v>1038</v>
      </c>
      <c r="B277" s="38" t="s">
        <v>373</v>
      </c>
      <c r="C277" s="37">
        <v>5.29</v>
      </c>
      <c r="D277" s="111"/>
    </row>
    <row r="278" spans="1:4" ht="15.75" outlineLevel="1">
      <c r="A278" s="37" t="s">
        <v>1038</v>
      </c>
      <c r="B278" s="38" t="s">
        <v>8</v>
      </c>
      <c r="C278" s="39">
        <v>5.3</v>
      </c>
      <c r="D278" s="111"/>
    </row>
    <row r="279" spans="1:4" ht="15.75" outlineLevel="1">
      <c r="A279" s="37" t="s">
        <v>1038</v>
      </c>
      <c r="B279" s="38" t="s">
        <v>222</v>
      </c>
      <c r="C279" s="37">
        <v>5.33</v>
      </c>
      <c r="D279" s="111"/>
    </row>
    <row r="280" spans="1:4" ht="15.75" outlineLevel="1">
      <c r="A280" s="37" t="s">
        <v>1038</v>
      </c>
      <c r="B280" s="38" t="s">
        <v>150</v>
      </c>
      <c r="C280" s="37">
        <v>5.36</v>
      </c>
      <c r="D280" s="111"/>
    </row>
    <row r="281" spans="1:4" ht="15.75" outlineLevel="1">
      <c r="A281" s="37" t="s">
        <v>1038</v>
      </c>
      <c r="B281" s="38" t="s">
        <v>12</v>
      </c>
      <c r="C281" s="37">
        <v>5.69</v>
      </c>
      <c r="D281" s="111"/>
    </row>
    <row r="282" spans="1:4" ht="15.75" outlineLevel="1">
      <c r="A282" s="37" t="s">
        <v>1038</v>
      </c>
      <c r="B282" s="38" t="s">
        <v>14</v>
      </c>
      <c r="C282" s="39">
        <v>5.7</v>
      </c>
      <c r="D282" s="111"/>
    </row>
    <row r="283" spans="1:4" ht="15.75" outlineLevel="1">
      <c r="A283" s="37" t="s">
        <v>1038</v>
      </c>
      <c r="B283" s="38" t="s">
        <v>15</v>
      </c>
      <c r="C283" s="37">
        <v>5.74</v>
      </c>
      <c r="D283" s="111"/>
    </row>
    <row r="284" spans="1:4" ht="15.75" outlineLevel="1">
      <c r="A284" s="37" t="s">
        <v>1038</v>
      </c>
      <c r="B284" s="38" t="s">
        <v>9</v>
      </c>
      <c r="C284" s="37">
        <v>5.49</v>
      </c>
      <c r="D284" s="111"/>
    </row>
    <row r="285" spans="1:4" ht="15.75" outlineLevel="1">
      <c r="A285" s="37" t="s">
        <v>1038</v>
      </c>
      <c r="B285" s="38" t="s">
        <v>10</v>
      </c>
      <c r="C285" s="37">
        <v>5.51</v>
      </c>
      <c r="D285" s="111"/>
    </row>
    <row r="286" spans="1:4" ht="15.75" outlineLevel="1">
      <c r="A286" s="37" t="s">
        <v>1038</v>
      </c>
      <c r="B286" s="38" t="s">
        <v>1157</v>
      </c>
      <c r="C286" s="37">
        <v>5.52</v>
      </c>
      <c r="D286" s="111"/>
    </row>
    <row r="287" spans="1:4" ht="15.75" outlineLevel="1">
      <c r="A287" s="37" t="s">
        <v>1038</v>
      </c>
      <c r="B287" s="38" t="s">
        <v>11</v>
      </c>
      <c r="C287" s="37">
        <v>5.53</v>
      </c>
      <c r="D287" s="111"/>
    </row>
    <row r="288" spans="1:4" ht="15.75" outlineLevel="1">
      <c r="A288" s="37" t="s">
        <v>1038</v>
      </c>
      <c r="B288" s="38" t="s">
        <v>17</v>
      </c>
      <c r="C288" s="37">
        <v>5.58</v>
      </c>
      <c r="D288" s="111"/>
    </row>
    <row r="289" spans="1:4" ht="15.75" outlineLevel="1">
      <c r="A289" s="37" t="s">
        <v>1038</v>
      </c>
      <c r="B289" s="38" t="s">
        <v>18</v>
      </c>
      <c r="C289" s="37">
        <v>5.54</v>
      </c>
      <c r="D289" s="111"/>
    </row>
    <row r="290" spans="1:4" ht="15.75" outlineLevel="1">
      <c r="A290" s="37" t="s">
        <v>1038</v>
      </c>
      <c r="B290" s="38" t="s">
        <v>19</v>
      </c>
      <c r="C290" s="37">
        <v>5.55</v>
      </c>
      <c r="D290" s="111"/>
    </row>
    <row r="291" spans="1:4" ht="15.75" outlineLevel="1">
      <c r="A291" s="37" t="s">
        <v>1038</v>
      </c>
      <c r="B291" s="38" t="s">
        <v>20</v>
      </c>
      <c r="C291" s="37">
        <v>5.63</v>
      </c>
      <c r="D291" s="111"/>
    </row>
    <row r="292" spans="1:4" ht="15.75" outlineLevel="1">
      <c r="A292" s="37" t="s">
        <v>1038</v>
      </c>
      <c r="B292" s="38" t="s">
        <v>24</v>
      </c>
      <c r="C292" s="37">
        <v>5.47</v>
      </c>
      <c r="D292" s="111"/>
    </row>
    <row r="293" spans="1:4" ht="15.75" outlineLevel="1">
      <c r="A293" s="37" t="s">
        <v>1038</v>
      </c>
      <c r="B293" s="38" t="s">
        <v>25</v>
      </c>
      <c r="C293" s="37">
        <v>5.48</v>
      </c>
      <c r="D293" s="111"/>
    </row>
    <row r="294" spans="1:4" ht="15.75">
      <c r="A294" s="43" t="s">
        <v>1038</v>
      </c>
      <c r="B294" s="38"/>
      <c r="C294" s="37"/>
      <c r="D294" s="111"/>
    </row>
    <row r="295" spans="1:4" ht="31.5" outlineLevel="1">
      <c r="A295" s="37" t="s">
        <v>1045</v>
      </c>
      <c r="B295" s="38" t="s">
        <v>0</v>
      </c>
      <c r="C295" s="37">
        <v>5.0999999999999996</v>
      </c>
      <c r="D295" s="111"/>
    </row>
    <row r="296" spans="1:4" ht="31.5" outlineLevel="1">
      <c r="A296" s="37" t="s">
        <v>1045</v>
      </c>
      <c r="B296" s="38" t="s">
        <v>1</v>
      </c>
      <c r="C296" s="37">
        <v>5.2</v>
      </c>
      <c r="D296" s="111"/>
    </row>
    <row r="297" spans="1:4" ht="31.5" outlineLevel="1">
      <c r="A297" s="37" t="s">
        <v>1045</v>
      </c>
      <c r="B297" s="38" t="s">
        <v>2</v>
      </c>
      <c r="C297" s="37">
        <v>5.3</v>
      </c>
      <c r="D297" s="111"/>
    </row>
    <row r="298" spans="1:4" ht="31.5" outlineLevel="1">
      <c r="A298" s="37" t="s">
        <v>1045</v>
      </c>
      <c r="B298" s="38" t="s">
        <v>1155</v>
      </c>
      <c r="C298" s="37">
        <v>5.14</v>
      </c>
      <c r="D298" s="111"/>
    </row>
    <row r="299" spans="1:4" ht="31.5" outlineLevel="1">
      <c r="A299" s="37" t="s">
        <v>1045</v>
      </c>
      <c r="B299" s="38" t="s">
        <v>4</v>
      </c>
      <c r="C299" s="37">
        <v>5.19</v>
      </c>
      <c r="D299" s="111"/>
    </row>
    <row r="300" spans="1:4" ht="31.5" outlineLevel="1">
      <c r="A300" s="37" t="s">
        <v>1045</v>
      </c>
      <c r="B300" s="38" t="s">
        <v>185</v>
      </c>
      <c r="C300" s="37">
        <v>5.24</v>
      </c>
      <c r="D300" s="111"/>
    </row>
    <row r="301" spans="1:4" ht="31.5" outlineLevel="1">
      <c r="A301" s="37" t="s">
        <v>1045</v>
      </c>
      <c r="B301" s="38" t="s">
        <v>5</v>
      </c>
      <c r="C301" s="37">
        <v>5.26</v>
      </c>
      <c r="D301" s="111"/>
    </row>
    <row r="302" spans="1:4" ht="31.5" outlineLevel="1">
      <c r="A302" s="37" t="s">
        <v>1045</v>
      </c>
      <c r="B302" s="38" t="s">
        <v>6</v>
      </c>
      <c r="C302" s="37">
        <v>5.27</v>
      </c>
      <c r="D302" s="111"/>
    </row>
    <row r="303" spans="1:4" ht="31.5" outlineLevel="1">
      <c r="A303" s="37" t="s">
        <v>1045</v>
      </c>
      <c r="B303" s="38" t="s">
        <v>7</v>
      </c>
      <c r="C303" s="37">
        <v>5.28</v>
      </c>
      <c r="D303" s="111"/>
    </row>
    <row r="304" spans="1:4" ht="31.5" outlineLevel="1">
      <c r="A304" s="37" t="s">
        <v>1045</v>
      </c>
      <c r="B304" s="38" t="s">
        <v>194</v>
      </c>
      <c r="C304" s="37">
        <v>5.37</v>
      </c>
      <c r="D304" s="111"/>
    </row>
    <row r="305" spans="1:4" ht="31.5" outlineLevel="1">
      <c r="A305" s="37" t="s">
        <v>1045</v>
      </c>
      <c r="B305" s="38" t="s">
        <v>9</v>
      </c>
      <c r="C305" s="37">
        <v>5.49</v>
      </c>
      <c r="D305" s="111"/>
    </row>
    <row r="306" spans="1:4" ht="31.5" outlineLevel="1">
      <c r="A306" s="37" t="s">
        <v>1045</v>
      </c>
      <c r="B306" s="38" t="s">
        <v>10</v>
      </c>
      <c r="C306" s="37">
        <v>5.51</v>
      </c>
      <c r="D306" s="111"/>
    </row>
    <row r="307" spans="1:4" ht="31.5" outlineLevel="1">
      <c r="A307" s="37" t="s">
        <v>1045</v>
      </c>
      <c r="B307" s="38" t="s">
        <v>11</v>
      </c>
      <c r="C307" s="37">
        <v>5.53</v>
      </c>
      <c r="D307" s="111"/>
    </row>
    <row r="308" spans="1:4" ht="31.5" outlineLevel="1">
      <c r="A308" s="37" t="s">
        <v>1045</v>
      </c>
      <c r="B308" s="38" t="s">
        <v>12</v>
      </c>
      <c r="C308" s="37">
        <v>5.69</v>
      </c>
      <c r="D308" s="111"/>
    </row>
    <row r="309" spans="1:4" ht="31.5" outlineLevel="1">
      <c r="A309" s="37" t="s">
        <v>1045</v>
      </c>
      <c r="B309" s="38" t="s">
        <v>13</v>
      </c>
      <c r="C309" s="37">
        <v>5.75</v>
      </c>
      <c r="D309" s="111"/>
    </row>
    <row r="310" spans="1:4" ht="31.5" outlineLevel="1">
      <c r="A310" s="37" t="s">
        <v>1045</v>
      </c>
      <c r="B310" s="38" t="s">
        <v>14</v>
      </c>
      <c r="C310" s="39">
        <v>5.7</v>
      </c>
      <c r="D310" s="111"/>
    </row>
    <row r="311" spans="1:4" ht="31.5" outlineLevel="1">
      <c r="A311" s="37" t="s">
        <v>1045</v>
      </c>
      <c r="B311" s="38" t="s">
        <v>15</v>
      </c>
      <c r="C311" s="37">
        <v>5.74</v>
      </c>
      <c r="D311" s="111"/>
    </row>
    <row r="312" spans="1:4" ht="31.5" outlineLevel="1">
      <c r="A312" s="37" t="s">
        <v>1045</v>
      </c>
      <c r="B312" s="38" t="s">
        <v>17</v>
      </c>
      <c r="C312" s="37">
        <v>5.58</v>
      </c>
      <c r="D312" s="111"/>
    </row>
    <row r="313" spans="1:4" ht="31.5" outlineLevel="1">
      <c r="A313" s="37" t="s">
        <v>1045</v>
      </c>
      <c r="B313" s="38" t="s">
        <v>18</v>
      </c>
      <c r="C313" s="37">
        <v>5.54</v>
      </c>
      <c r="D313" s="111"/>
    </row>
    <row r="314" spans="1:4" ht="31.5" outlineLevel="1">
      <c r="A314" s="37" t="s">
        <v>1045</v>
      </c>
      <c r="B314" s="38" t="s">
        <v>19</v>
      </c>
      <c r="C314" s="37">
        <v>5.55</v>
      </c>
      <c r="D314" s="111"/>
    </row>
    <row r="315" spans="1:4" ht="31.5" outlineLevel="1">
      <c r="A315" s="37" t="s">
        <v>1045</v>
      </c>
      <c r="B315" s="38" t="s">
        <v>20</v>
      </c>
      <c r="C315" s="37">
        <v>5.63</v>
      </c>
      <c r="D315" s="111"/>
    </row>
    <row r="316" spans="1:4" ht="31.5" outlineLevel="1">
      <c r="A316" s="37" t="s">
        <v>1045</v>
      </c>
      <c r="B316" s="38" t="s">
        <v>21</v>
      </c>
      <c r="C316" s="37">
        <v>5.65</v>
      </c>
      <c r="D316" s="111"/>
    </row>
    <row r="317" spans="1:4" ht="31.5" outlineLevel="1">
      <c r="A317" s="37" t="s">
        <v>1045</v>
      </c>
      <c r="B317" s="38" t="s">
        <v>22</v>
      </c>
      <c r="C317" s="37">
        <v>5.68</v>
      </c>
      <c r="D317" s="111"/>
    </row>
    <row r="318" spans="1:4" ht="31.5" outlineLevel="1">
      <c r="A318" s="37" t="s">
        <v>1045</v>
      </c>
      <c r="B318" s="38" t="s">
        <v>24</v>
      </c>
      <c r="C318" s="37">
        <v>5.47</v>
      </c>
      <c r="D318" s="111"/>
    </row>
    <row r="319" spans="1:4" ht="31.5" outlineLevel="1">
      <c r="A319" s="37" t="s">
        <v>1045</v>
      </c>
      <c r="B319" s="38" t="s">
        <v>25</v>
      </c>
      <c r="C319" s="37">
        <v>5.48</v>
      </c>
      <c r="D319" s="111"/>
    </row>
    <row r="320" spans="1:4" ht="31.5">
      <c r="A320" s="43" t="s">
        <v>1045</v>
      </c>
      <c r="B320" s="38"/>
      <c r="C320" s="37"/>
      <c r="D320" s="111"/>
    </row>
    <row r="321" spans="1:4" ht="31.5" outlineLevel="1">
      <c r="A321" s="37" t="s">
        <v>1046</v>
      </c>
      <c r="B321" s="38" t="s">
        <v>0</v>
      </c>
      <c r="C321" s="37">
        <v>5.0999999999999996</v>
      </c>
      <c r="D321" s="111"/>
    </row>
    <row r="322" spans="1:4" ht="31.5" outlineLevel="1">
      <c r="A322" s="37" t="s">
        <v>1046</v>
      </c>
      <c r="B322" s="38" t="s">
        <v>1</v>
      </c>
      <c r="C322" s="37">
        <v>5.2</v>
      </c>
      <c r="D322" s="111"/>
    </row>
    <row r="323" spans="1:4" ht="31.5" outlineLevel="1">
      <c r="A323" s="37" t="s">
        <v>1046</v>
      </c>
      <c r="B323" s="38" t="s">
        <v>5</v>
      </c>
      <c r="C323" s="37">
        <v>5.26</v>
      </c>
      <c r="D323" s="111"/>
    </row>
    <row r="324" spans="1:4" ht="31.5" outlineLevel="1">
      <c r="A324" s="37" t="s">
        <v>1046</v>
      </c>
      <c r="B324" s="38" t="s">
        <v>1155</v>
      </c>
      <c r="C324" s="37">
        <v>5.14</v>
      </c>
      <c r="D324" s="111"/>
    </row>
    <row r="325" spans="1:4" ht="31.5" outlineLevel="1">
      <c r="A325" s="37" t="s">
        <v>1046</v>
      </c>
      <c r="B325" s="38" t="s">
        <v>4</v>
      </c>
      <c r="C325" s="37">
        <v>5.19</v>
      </c>
      <c r="D325" s="111"/>
    </row>
    <row r="326" spans="1:4" ht="31.5" outlineLevel="1">
      <c r="A326" s="37" t="s">
        <v>1046</v>
      </c>
      <c r="B326" s="38" t="s">
        <v>194</v>
      </c>
      <c r="C326" s="37">
        <v>5.37</v>
      </c>
      <c r="D326" s="111"/>
    </row>
    <row r="327" spans="1:4" ht="31.5" outlineLevel="1">
      <c r="A327" s="37" t="s">
        <v>1046</v>
      </c>
      <c r="B327" s="38" t="s">
        <v>12</v>
      </c>
      <c r="C327" s="37">
        <v>5.69</v>
      </c>
      <c r="D327" s="111"/>
    </row>
    <row r="328" spans="1:4" ht="31.5" outlineLevel="1">
      <c r="A328" s="37" t="s">
        <v>1046</v>
      </c>
      <c r="B328" s="38" t="s">
        <v>799</v>
      </c>
      <c r="C328" s="39">
        <v>5.8</v>
      </c>
      <c r="D328" s="111"/>
    </row>
    <row r="329" spans="1:4" ht="31.5" outlineLevel="1">
      <c r="A329" s="37" t="s">
        <v>1046</v>
      </c>
      <c r="B329" s="38" t="s">
        <v>13</v>
      </c>
      <c r="C329" s="37">
        <v>5.75</v>
      </c>
      <c r="D329" s="111"/>
    </row>
    <row r="330" spans="1:4" ht="31.5" outlineLevel="1">
      <c r="A330" s="37" t="s">
        <v>1046</v>
      </c>
      <c r="B330" s="38" t="s">
        <v>14</v>
      </c>
      <c r="C330" s="39">
        <v>5.7</v>
      </c>
      <c r="D330" s="111"/>
    </row>
    <row r="331" spans="1:4" ht="31.5" outlineLevel="1">
      <c r="A331" s="37" t="s">
        <v>1046</v>
      </c>
      <c r="B331" s="38" t="s">
        <v>15</v>
      </c>
      <c r="C331" s="37">
        <v>5.74</v>
      </c>
      <c r="D331" s="111"/>
    </row>
    <row r="332" spans="1:4" ht="31.5" outlineLevel="1">
      <c r="A332" s="37" t="s">
        <v>1046</v>
      </c>
      <c r="B332" s="38" t="s">
        <v>17</v>
      </c>
      <c r="C332" s="37">
        <v>5.58</v>
      </c>
      <c r="D332" s="111"/>
    </row>
    <row r="333" spans="1:4" ht="31.5" outlineLevel="1">
      <c r="A333" s="37" t="s">
        <v>1046</v>
      </c>
      <c r="B333" s="38" t="s">
        <v>19</v>
      </c>
      <c r="C333" s="37">
        <v>5.55</v>
      </c>
      <c r="D333" s="111"/>
    </row>
    <row r="334" spans="1:4" ht="31.5" outlineLevel="1">
      <c r="A334" s="37" t="s">
        <v>1046</v>
      </c>
      <c r="B334" s="38" t="s">
        <v>20</v>
      </c>
      <c r="C334" s="37">
        <v>5.63</v>
      </c>
      <c r="D334" s="111"/>
    </row>
    <row r="335" spans="1:4" ht="31.5" outlineLevel="1">
      <c r="A335" s="37" t="s">
        <v>1046</v>
      </c>
      <c r="B335" s="38" t="s">
        <v>21</v>
      </c>
      <c r="C335" s="37">
        <v>5.65</v>
      </c>
      <c r="D335" s="111"/>
    </row>
    <row r="336" spans="1:4" ht="31.5" outlineLevel="1">
      <c r="A336" s="37" t="s">
        <v>1046</v>
      </c>
      <c r="B336" s="38" t="s">
        <v>22</v>
      </c>
      <c r="C336" s="37">
        <v>5.68</v>
      </c>
      <c r="D336" s="111"/>
    </row>
    <row r="337" spans="1:4" ht="31.5" outlineLevel="1">
      <c r="A337" s="37" t="s">
        <v>1046</v>
      </c>
      <c r="B337" s="38" t="s">
        <v>24</v>
      </c>
      <c r="C337" s="37">
        <v>5.47</v>
      </c>
      <c r="D337" s="111"/>
    </row>
    <row r="338" spans="1:4" ht="31.5" outlineLevel="1">
      <c r="A338" s="37" t="s">
        <v>1046</v>
      </c>
      <c r="B338" s="38" t="s">
        <v>25</v>
      </c>
      <c r="C338" s="37">
        <v>5.48</v>
      </c>
      <c r="D338" s="111"/>
    </row>
    <row r="339" spans="1:4" ht="31.5">
      <c r="A339" s="43" t="s">
        <v>1046</v>
      </c>
      <c r="B339" s="38"/>
      <c r="C339" s="37"/>
      <c r="D339" s="111"/>
    </row>
    <row r="340" spans="1:4" ht="31.5" outlineLevel="1">
      <c r="A340" s="37" t="s">
        <v>1052</v>
      </c>
      <c r="B340" s="38" t="s">
        <v>1166</v>
      </c>
      <c r="C340" s="37">
        <v>5.0999999999999996</v>
      </c>
      <c r="D340" s="111"/>
    </row>
    <row r="341" spans="1:4" ht="31.5" outlineLevel="1">
      <c r="A341" s="37" t="s">
        <v>1052</v>
      </c>
      <c r="B341" s="38" t="s">
        <v>1</v>
      </c>
      <c r="C341" s="37">
        <v>5.2</v>
      </c>
      <c r="D341" s="111"/>
    </row>
    <row r="342" spans="1:4" ht="31.5" outlineLevel="1">
      <c r="A342" s="37" t="s">
        <v>1052</v>
      </c>
      <c r="B342" s="38" t="s">
        <v>5</v>
      </c>
      <c r="C342" s="37">
        <v>5.26</v>
      </c>
      <c r="D342" s="111"/>
    </row>
    <row r="343" spans="1:4" ht="31.5" outlineLevel="1">
      <c r="A343" s="37" t="s">
        <v>1052</v>
      </c>
      <c r="B343" s="38" t="s">
        <v>1167</v>
      </c>
      <c r="C343" s="37">
        <v>5.38</v>
      </c>
      <c r="D343" s="111"/>
    </row>
    <row r="344" spans="1:4" ht="31.5" outlineLevel="1">
      <c r="A344" s="37" t="s">
        <v>1052</v>
      </c>
      <c r="B344" s="38" t="s">
        <v>1168</v>
      </c>
      <c r="C344" s="37">
        <v>5.39</v>
      </c>
      <c r="D344" s="111"/>
    </row>
    <row r="345" spans="1:4" ht="31.5" outlineLevel="1">
      <c r="A345" s="37" t="s">
        <v>1052</v>
      </c>
      <c r="B345" s="38" t="s">
        <v>1169</v>
      </c>
      <c r="C345" s="39">
        <v>5.6</v>
      </c>
      <c r="D345" s="111"/>
    </row>
    <row r="346" spans="1:4" ht="31.5" outlineLevel="1">
      <c r="A346" s="37" t="s">
        <v>1052</v>
      </c>
      <c r="B346" s="38" t="s">
        <v>25</v>
      </c>
      <c r="C346" s="37">
        <v>5.48</v>
      </c>
      <c r="D346" s="111"/>
    </row>
    <row r="347" spans="1:4" ht="31.5">
      <c r="A347" s="43" t="s">
        <v>1052</v>
      </c>
      <c r="B347" s="38"/>
      <c r="C347" s="37"/>
      <c r="D347" s="111"/>
    </row>
    <row r="348" spans="1:4" ht="31.5" outlineLevel="1">
      <c r="A348" s="37" t="s">
        <v>1056</v>
      </c>
      <c r="B348" s="38" t="s">
        <v>0</v>
      </c>
      <c r="C348" s="37">
        <v>5.0999999999999996</v>
      </c>
      <c r="D348" s="111"/>
    </row>
    <row r="349" spans="1:4" ht="31.5" outlineLevel="1">
      <c r="A349" s="37" t="s">
        <v>1056</v>
      </c>
      <c r="B349" s="38" t="s">
        <v>1</v>
      </c>
      <c r="C349" s="37">
        <v>5.2</v>
      </c>
      <c r="D349" s="111"/>
    </row>
    <row r="350" spans="1:4" ht="31.5" outlineLevel="1">
      <c r="A350" s="37" t="s">
        <v>1056</v>
      </c>
      <c r="B350" s="38" t="s">
        <v>2</v>
      </c>
      <c r="C350" s="37">
        <v>5.3</v>
      </c>
      <c r="D350" s="111"/>
    </row>
    <row r="351" spans="1:4" ht="31.5" outlineLevel="1">
      <c r="A351" s="37" t="s">
        <v>1056</v>
      </c>
      <c r="B351" s="38" t="s">
        <v>183</v>
      </c>
      <c r="C351" s="37">
        <v>5.6</v>
      </c>
      <c r="D351" s="111"/>
    </row>
    <row r="352" spans="1:4" ht="31.5" outlineLevel="1">
      <c r="A352" s="37" t="s">
        <v>1056</v>
      </c>
      <c r="B352" s="38" t="s">
        <v>1156</v>
      </c>
      <c r="C352" s="39">
        <v>5.0999999999999996</v>
      </c>
      <c r="D352" s="111"/>
    </row>
    <row r="353" spans="1:4" ht="31.5" outlineLevel="1">
      <c r="A353" s="37" t="s">
        <v>1056</v>
      </c>
      <c r="B353" s="38" t="s">
        <v>1155</v>
      </c>
      <c r="C353" s="37">
        <v>5.14</v>
      </c>
      <c r="D353" s="111"/>
    </row>
    <row r="354" spans="1:4" ht="31.5" outlineLevel="1">
      <c r="A354" s="37" t="s">
        <v>1056</v>
      </c>
      <c r="B354" s="38" t="s">
        <v>4</v>
      </c>
      <c r="C354" s="37">
        <v>5.19</v>
      </c>
      <c r="D354" s="111"/>
    </row>
    <row r="355" spans="1:4" ht="31.5" outlineLevel="1">
      <c r="A355" s="37" t="s">
        <v>1056</v>
      </c>
      <c r="B355" s="38" t="s">
        <v>185</v>
      </c>
      <c r="C355" s="37">
        <v>5.24</v>
      </c>
      <c r="D355" s="111"/>
    </row>
    <row r="356" spans="1:4" ht="31.5" outlineLevel="1">
      <c r="A356" s="37" t="s">
        <v>1056</v>
      </c>
      <c r="B356" s="38" t="s">
        <v>5</v>
      </c>
      <c r="C356" s="37">
        <v>5.26</v>
      </c>
      <c r="D356" s="111"/>
    </row>
    <row r="357" spans="1:4" ht="31.5" outlineLevel="1">
      <c r="A357" s="37" t="s">
        <v>1056</v>
      </c>
      <c r="B357" s="38" t="s">
        <v>6</v>
      </c>
      <c r="C357" s="37">
        <v>5.27</v>
      </c>
      <c r="D357" s="111"/>
    </row>
    <row r="358" spans="1:4" ht="31.5" outlineLevel="1">
      <c r="A358" s="37" t="s">
        <v>1056</v>
      </c>
      <c r="B358" s="38" t="s">
        <v>7</v>
      </c>
      <c r="C358" s="37">
        <v>5.28</v>
      </c>
      <c r="D358" s="111"/>
    </row>
    <row r="359" spans="1:4" ht="31.5" outlineLevel="1">
      <c r="A359" s="37" t="s">
        <v>1056</v>
      </c>
      <c r="B359" s="38" t="s">
        <v>186</v>
      </c>
      <c r="C359" s="37">
        <v>5.31</v>
      </c>
      <c r="D359" s="111"/>
    </row>
    <row r="360" spans="1:4" ht="31.5" outlineLevel="1">
      <c r="A360" s="37" t="s">
        <v>1056</v>
      </c>
      <c r="B360" s="38" t="s">
        <v>150</v>
      </c>
      <c r="C360" s="37">
        <v>5.36</v>
      </c>
      <c r="D360" s="111"/>
    </row>
    <row r="361" spans="1:4" ht="31.5" outlineLevel="1">
      <c r="A361" s="37" t="s">
        <v>1056</v>
      </c>
      <c r="B361" s="38" t="s">
        <v>194</v>
      </c>
      <c r="C361" s="37">
        <v>5.37</v>
      </c>
      <c r="D361" s="111"/>
    </row>
    <row r="362" spans="1:4" ht="31.5" outlineLevel="1">
      <c r="A362" s="37" t="s">
        <v>1056</v>
      </c>
      <c r="B362" s="38" t="s">
        <v>9</v>
      </c>
      <c r="C362" s="37">
        <v>5.49</v>
      </c>
      <c r="D362" s="111"/>
    </row>
    <row r="363" spans="1:4" ht="31.5" outlineLevel="1">
      <c r="A363" s="37" t="s">
        <v>1056</v>
      </c>
      <c r="B363" s="38" t="s">
        <v>10</v>
      </c>
      <c r="C363" s="37">
        <v>5.51</v>
      </c>
      <c r="D363" s="111"/>
    </row>
    <row r="364" spans="1:4" ht="31.5" outlineLevel="1">
      <c r="A364" s="37" t="s">
        <v>1056</v>
      </c>
      <c r="B364" s="38" t="s">
        <v>1157</v>
      </c>
      <c r="C364" s="37">
        <v>5.52</v>
      </c>
      <c r="D364" s="111"/>
    </row>
    <row r="365" spans="1:4" ht="31.5" outlineLevel="1">
      <c r="A365" s="37" t="s">
        <v>1056</v>
      </c>
      <c r="B365" s="38" t="s">
        <v>11</v>
      </c>
      <c r="C365" s="37">
        <v>5.53</v>
      </c>
      <c r="D365" s="111"/>
    </row>
    <row r="366" spans="1:4" ht="31.5" outlineLevel="1">
      <c r="A366" s="37" t="s">
        <v>1056</v>
      </c>
      <c r="B366" s="38" t="s">
        <v>12</v>
      </c>
      <c r="C366" s="37">
        <v>5.69</v>
      </c>
      <c r="D366" s="111"/>
    </row>
    <row r="367" spans="1:4" ht="31.5" outlineLevel="1">
      <c r="A367" s="37" t="s">
        <v>1056</v>
      </c>
      <c r="B367" s="38" t="s">
        <v>799</v>
      </c>
      <c r="C367" s="39">
        <v>5.8</v>
      </c>
      <c r="D367" s="111"/>
    </row>
    <row r="368" spans="1:4" ht="31.5" outlineLevel="1">
      <c r="A368" s="37" t="s">
        <v>1056</v>
      </c>
      <c r="B368" s="38" t="s">
        <v>954</v>
      </c>
      <c r="C368" s="39">
        <v>5.72</v>
      </c>
      <c r="D368" s="111"/>
    </row>
    <row r="369" spans="1:4" ht="31.5" outlineLevel="1">
      <c r="A369" s="37" t="s">
        <v>1056</v>
      </c>
      <c r="B369" s="38" t="s">
        <v>13</v>
      </c>
      <c r="C369" s="37">
        <v>5.75</v>
      </c>
      <c r="D369" s="111"/>
    </row>
    <row r="370" spans="1:4" ht="31.5" outlineLevel="1">
      <c r="A370" s="37" t="s">
        <v>1056</v>
      </c>
      <c r="B370" s="38" t="s">
        <v>14</v>
      </c>
      <c r="C370" s="39">
        <v>5.7</v>
      </c>
      <c r="D370" s="111"/>
    </row>
    <row r="371" spans="1:4" ht="31.5" outlineLevel="1">
      <c r="A371" s="37" t="s">
        <v>1056</v>
      </c>
      <c r="B371" s="38" t="s">
        <v>15</v>
      </c>
      <c r="C371" s="37">
        <v>5.74</v>
      </c>
      <c r="D371" s="111"/>
    </row>
    <row r="372" spans="1:4" ht="31.5" outlineLevel="1">
      <c r="A372" s="37" t="s">
        <v>1056</v>
      </c>
      <c r="B372" s="38" t="s">
        <v>457</v>
      </c>
      <c r="C372" s="37">
        <v>5.76</v>
      </c>
      <c r="D372" s="111"/>
    </row>
    <row r="373" spans="1:4" ht="31.5" outlineLevel="1">
      <c r="A373" s="37" t="s">
        <v>1056</v>
      </c>
      <c r="B373" s="38" t="s">
        <v>875</v>
      </c>
      <c r="C373" s="37">
        <v>5.89</v>
      </c>
      <c r="D373" s="110" t="s">
        <v>1154</v>
      </c>
    </row>
    <row r="374" spans="1:4" ht="31.5" outlineLevel="1">
      <c r="A374" s="37" t="s">
        <v>1056</v>
      </c>
      <c r="B374" s="38" t="s">
        <v>187</v>
      </c>
      <c r="C374" s="37">
        <v>5.109</v>
      </c>
      <c r="D374" s="110"/>
    </row>
    <row r="375" spans="1:4" ht="31.5" outlineLevel="1">
      <c r="A375" s="37" t="s">
        <v>1056</v>
      </c>
      <c r="B375" s="38" t="s">
        <v>188</v>
      </c>
      <c r="C375" s="37">
        <v>5.1109999999999998</v>
      </c>
      <c r="D375" s="111"/>
    </row>
    <row r="376" spans="1:4" ht="31.5" outlineLevel="1">
      <c r="A376" s="37" t="s">
        <v>1056</v>
      </c>
      <c r="B376" s="38" t="s">
        <v>159</v>
      </c>
      <c r="C376" s="37">
        <v>5.1120000000000001</v>
      </c>
      <c r="D376" s="111"/>
    </row>
    <row r="377" spans="1:4" ht="31.5" outlineLevel="1">
      <c r="A377" s="37" t="s">
        <v>1056</v>
      </c>
      <c r="B377" s="38" t="s">
        <v>1170</v>
      </c>
      <c r="C377" s="37">
        <v>5.1130000000000004</v>
      </c>
      <c r="D377" s="111"/>
    </row>
    <row r="378" spans="1:4" ht="31.5" outlineLevel="1">
      <c r="A378" s="37" t="s">
        <v>1056</v>
      </c>
      <c r="B378" s="38" t="s">
        <v>17</v>
      </c>
      <c r="C378" s="37">
        <v>5.58</v>
      </c>
      <c r="D378" s="111"/>
    </row>
    <row r="379" spans="1:4" ht="31.5" outlineLevel="1">
      <c r="A379" s="37" t="s">
        <v>1056</v>
      </c>
      <c r="B379" s="38" t="s">
        <v>18</v>
      </c>
      <c r="C379" s="37">
        <v>5.54</v>
      </c>
      <c r="D379" s="111"/>
    </row>
    <row r="380" spans="1:4" ht="31.5" outlineLevel="1">
      <c r="A380" s="37" t="s">
        <v>1056</v>
      </c>
      <c r="B380" s="38" t="s">
        <v>19</v>
      </c>
      <c r="C380" s="37">
        <v>5.55</v>
      </c>
      <c r="D380" s="111"/>
    </row>
    <row r="381" spans="1:4" ht="31.5" outlineLevel="1">
      <c r="A381" s="37" t="s">
        <v>1056</v>
      </c>
      <c r="B381" s="38" t="s">
        <v>20</v>
      </c>
      <c r="C381" s="37">
        <v>5.63</v>
      </c>
      <c r="D381" s="111"/>
    </row>
    <row r="382" spans="1:4" ht="31.5" outlineLevel="1">
      <c r="A382" s="37" t="s">
        <v>1056</v>
      </c>
      <c r="B382" s="38" t="s">
        <v>21</v>
      </c>
      <c r="C382" s="37">
        <v>5.65</v>
      </c>
      <c r="D382" s="111"/>
    </row>
    <row r="383" spans="1:4" ht="31.5" outlineLevel="1">
      <c r="A383" s="37" t="s">
        <v>1056</v>
      </c>
      <c r="B383" s="38" t="s">
        <v>202</v>
      </c>
      <c r="C383" s="37">
        <v>5.66</v>
      </c>
      <c r="D383" s="111"/>
    </row>
    <row r="384" spans="1:4" ht="31.5" outlineLevel="1">
      <c r="A384" s="37" t="s">
        <v>1056</v>
      </c>
      <c r="B384" s="38" t="s">
        <v>22</v>
      </c>
      <c r="C384" s="37">
        <v>5.68</v>
      </c>
      <c r="D384" s="111"/>
    </row>
    <row r="385" spans="1:4" ht="31.5" outlineLevel="1">
      <c r="A385" s="37" t="s">
        <v>1056</v>
      </c>
      <c r="B385" s="38" t="s">
        <v>24</v>
      </c>
      <c r="C385" s="37">
        <v>5.47</v>
      </c>
      <c r="D385" s="111"/>
    </row>
    <row r="386" spans="1:4" ht="31.5" outlineLevel="1">
      <c r="A386" s="37" t="s">
        <v>1056</v>
      </c>
      <c r="B386" s="38" t="s">
        <v>25</v>
      </c>
      <c r="C386" s="37">
        <v>5.48</v>
      </c>
      <c r="D386" s="111"/>
    </row>
    <row r="387" spans="1:4" ht="31.5">
      <c r="A387" s="43" t="s">
        <v>1056</v>
      </c>
      <c r="B387" s="38"/>
      <c r="C387" s="37"/>
      <c r="D387" s="111"/>
    </row>
    <row r="388" spans="1:4" ht="15.75" outlineLevel="1">
      <c r="A388" s="37" t="s">
        <v>1058</v>
      </c>
      <c r="B388" s="38" t="s">
        <v>0</v>
      </c>
      <c r="C388" s="37">
        <v>5.0999999999999996</v>
      </c>
      <c r="D388" s="111"/>
    </row>
    <row r="389" spans="1:4" ht="15.75" outlineLevel="1">
      <c r="A389" s="37" t="s">
        <v>1058</v>
      </c>
      <c r="B389" s="38" t="s">
        <v>1</v>
      </c>
      <c r="C389" s="37">
        <v>5.2</v>
      </c>
      <c r="D389" s="111"/>
    </row>
    <row r="390" spans="1:4" ht="15.75" outlineLevel="1">
      <c r="A390" s="37" t="s">
        <v>1058</v>
      </c>
      <c r="B390" s="38" t="s">
        <v>2</v>
      </c>
      <c r="C390" s="37">
        <v>5.3</v>
      </c>
      <c r="D390" s="111"/>
    </row>
    <row r="391" spans="1:4" ht="15.75" outlineLevel="1">
      <c r="A391" s="37" t="s">
        <v>1058</v>
      </c>
      <c r="B391" s="38" t="s">
        <v>183</v>
      </c>
      <c r="C391" s="37">
        <v>5.6</v>
      </c>
      <c r="D391" s="111"/>
    </row>
    <row r="392" spans="1:4" ht="15.75" outlineLevel="1">
      <c r="A392" s="37" t="s">
        <v>1058</v>
      </c>
      <c r="B392" s="38" t="s">
        <v>1156</v>
      </c>
      <c r="C392" s="39">
        <v>5.0999999999999996</v>
      </c>
      <c r="D392" s="111"/>
    </row>
    <row r="393" spans="1:4" ht="15.75" outlineLevel="1">
      <c r="A393" s="37" t="s">
        <v>1058</v>
      </c>
      <c r="B393" s="38" t="s">
        <v>1155</v>
      </c>
      <c r="C393" s="37">
        <v>5.14</v>
      </c>
      <c r="D393" s="111"/>
    </row>
    <row r="394" spans="1:4" ht="15.75" outlineLevel="1">
      <c r="A394" s="37" t="s">
        <v>1058</v>
      </c>
      <c r="B394" s="38" t="s">
        <v>4</v>
      </c>
      <c r="C394" s="37">
        <v>5.19</v>
      </c>
      <c r="D394" s="111"/>
    </row>
    <row r="395" spans="1:4" ht="15.75" outlineLevel="1">
      <c r="A395" s="37" t="s">
        <v>1058</v>
      </c>
      <c r="B395" s="38" t="s">
        <v>185</v>
      </c>
      <c r="C395" s="37">
        <v>5.24</v>
      </c>
      <c r="D395" s="111"/>
    </row>
    <row r="396" spans="1:4" ht="15.75" outlineLevel="1">
      <c r="A396" s="37" t="s">
        <v>1058</v>
      </c>
      <c r="B396" s="38" t="s">
        <v>5</v>
      </c>
      <c r="C396" s="37">
        <v>5.26</v>
      </c>
      <c r="D396" s="111"/>
    </row>
    <row r="397" spans="1:4" ht="15.75" outlineLevel="1">
      <c r="A397" s="37" t="s">
        <v>1058</v>
      </c>
      <c r="B397" s="38" t="s">
        <v>6</v>
      </c>
      <c r="C397" s="37">
        <v>5.27</v>
      </c>
      <c r="D397" s="111"/>
    </row>
    <row r="398" spans="1:4" ht="15.75" outlineLevel="1">
      <c r="A398" s="37" t="s">
        <v>1058</v>
      </c>
      <c r="B398" s="38" t="s">
        <v>7</v>
      </c>
      <c r="C398" s="37">
        <v>5.28</v>
      </c>
      <c r="D398" s="111"/>
    </row>
    <row r="399" spans="1:4" ht="15.75" outlineLevel="1">
      <c r="A399" s="37" t="s">
        <v>1058</v>
      </c>
      <c r="B399" s="38" t="s">
        <v>373</v>
      </c>
      <c r="C399" s="37">
        <v>5.29</v>
      </c>
      <c r="D399" s="111"/>
    </row>
    <row r="400" spans="1:4" ht="15.75" outlineLevel="1">
      <c r="A400" s="37" t="s">
        <v>1058</v>
      </c>
      <c r="B400" s="38" t="s">
        <v>186</v>
      </c>
      <c r="C400" s="37">
        <v>5.31</v>
      </c>
      <c r="D400" s="111"/>
    </row>
    <row r="401" spans="1:4" ht="15.75" outlineLevel="1">
      <c r="A401" s="37" t="s">
        <v>1058</v>
      </c>
      <c r="B401" s="38" t="s">
        <v>150</v>
      </c>
      <c r="C401" s="37">
        <v>5.36</v>
      </c>
      <c r="D401" s="111"/>
    </row>
    <row r="402" spans="1:4" ht="15.75" outlineLevel="1">
      <c r="A402" s="37" t="s">
        <v>1058</v>
      </c>
      <c r="B402" s="38" t="s">
        <v>194</v>
      </c>
      <c r="C402" s="37">
        <v>5.37</v>
      </c>
      <c r="D402" s="111"/>
    </row>
    <row r="403" spans="1:4" ht="15.75" outlineLevel="1">
      <c r="A403" s="37" t="s">
        <v>1058</v>
      </c>
      <c r="B403" s="38" t="s">
        <v>9</v>
      </c>
      <c r="C403" s="37">
        <v>5.49</v>
      </c>
      <c r="D403" s="111"/>
    </row>
    <row r="404" spans="1:4" ht="15.75" outlineLevel="1">
      <c r="A404" s="37" t="s">
        <v>1058</v>
      </c>
      <c r="B404" s="38" t="s">
        <v>10</v>
      </c>
      <c r="C404" s="37">
        <v>5.51</v>
      </c>
      <c r="D404" s="111"/>
    </row>
    <row r="405" spans="1:4" ht="15.75" outlineLevel="1">
      <c r="A405" s="37" t="s">
        <v>1058</v>
      </c>
      <c r="B405" s="38" t="s">
        <v>1157</v>
      </c>
      <c r="C405" s="37">
        <v>5.52</v>
      </c>
      <c r="D405" s="111"/>
    </row>
    <row r="406" spans="1:4" ht="15.75" outlineLevel="1">
      <c r="A406" s="37" t="s">
        <v>1058</v>
      </c>
      <c r="B406" s="38" t="s">
        <v>11</v>
      </c>
      <c r="C406" s="37">
        <v>5.53</v>
      </c>
      <c r="D406" s="111"/>
    </row>
    <row r="407" spans="1:4" ht="15.75" outlineLevel="1">
      <c r="A407" s="37" t="s">
        <v>1058</v>
      </c>
      <c r="B407" s="38" t="s">
        <v>12</v>
      </c>
      <c r="C407" s="37">
        <v>5.69</v>
      </c>
      <c r="D407" s="111"/>
    </row>
    <row r="408" spans="1:4" ht="15.75" outlineLevel="1">
      <c r="A408" s="37" t="s">
        <v>1058</v>
      </c>
      <c r="B408" s="38" t="s">
        <v>13</v>
      </c>
      <c r="C408" s="37">
        <v>5.75</v>
      </c>
      <c r="D408" s="111"/>
    </row>
    <row r="409" spans="1:4" ht="15.75" outlineLevel="1">
      <c r="A409" s="37" t="s">
        <v>1058</v>
      </c>
      <c r="B409" s="38" t="s">
        <v>15</v>
      </c>
      <c r="C409" s="37">
        <v>5.74</v>
      </c>
      <c r="D409" s="111"/>
    </row>
    <row r="410" spans="1:4" ht="15.75" outlineLevel="1">
      <c r="A410" s="37" t="s">
        <v>1058</v>
      </c>
      <c r="B410" s="38" t="s">
        <v>14</v>
      </c>
      <c r="C410" s="39">
        <v>5.7</v>
      </c>
      <c r="D410" s="111"/>
    </row>
    <row r="411" spans="1:4" ht="15.75" outlineLevel="1">
      <c r="A411" s="37" t="s">
        <v>1058</v>
      </c>
      <c r="B411" s="38" t="s">
        <v>457</v>
      </c>
      <c r="C411" s="37">
        <v>5.76</v>
      </c>
      <c r="D411" s="111"/>
    </row>
    <row r="412" spans="1:4" ht="15.75" outlineLevel="1">
      <c r="A412" s="37" t="s">
        <v>1058</v>
      </c>
      <c r="B412" s="38" t="s">
        <v>875</v>
      </c>
      <c r="C412" s="37">
        <v>5.89</v>
      </c>
      <c r="D412" s="110" t="s">
        <v>1154</v>
      </c>
    </row>
    <row r="413" spans="1:4" ht="15.75" outlineLevel="1">
      <c r="A413" s="37" t="s">
        <v>1058</v>
      </c>
      <c r="B413" s="38" t="s">
        <v>187</v>
      </c>
      <c r="C413" s="37">
        <v>5.109</v>
      </c>
      <c r="D413" s="111"/>
    </row>
    <row r="414" spans="1:4" ht="15.75" outlineLevel="1">
      <c r="A414" s="37" t="s">
        <v>1058</v>
      </c>
      <c r="B414" s="38" t="s">
        <v>188</v>
      </c>
      <c r="C414" s="37">
        <v>5.1109999999999998</v>
      </c>
      <c r="D414" s="111"/>
    </row>
    <row r="415" spans="1:4" ht="15.75" outlineLevel="1">
      <c r="A415" s="37" t="s">
        <v>1058</v>
      </c>
      <c r="B415" s="38" t="s">
        <v>159</v>
      </c>
      <c r="C415" s="37">
        <v>5.1120000000000001</v>
      </c>
      <c r="D415" s="111"/>
    </row>
    <row r="416" spans="1:4" ht="15.75" outlineLevel="1">
      <c r="A416" s="37" t="s">
        <v>1058</v>
      </c>
      <c r="B416" s="38" t="s">
        <v>1170</v>
      </c>
      <c r="C416" s="37">
        <v>5.1130000000000004</v>
      </c>
      <c r="D416" s="111"/>
    </row>
    <row r="417" spans="1:4" ht="15.75" outlineLevel="1">
      <c r="A417" s="37" t="s">
        <v>1058</v>
      </c>
      <c r="B417" s="38" t="s">
        <v>17</v>
      </c>
      <c r="C417" s="37">
        <v>5.58</v>
      </c>
      <c r="D417" s="111"/>
    </row>
    <row r="418" spans="1:4" ht="15.75" outlineLevel="1">
      <c r="A418" s="37" t="s">
        <v>1058</v>
      </c>
      <c r="B418" s="38" t="s">
        <v>18</v>
      </c>
      <c r="C418" s="37">
        <v>5.54</v>
      </c>
      <c r="D418" s="111"/>
    </row>
    <row r="419" spans="1:4" ht="15.75" outlineLevel="1">
      <c r="A419" s="37" t="s">
        <v>1058</v>
      </c>
      <c r="B419" s="38" t="s">
        <v>19</v>
      </c>
      <c r="C419" s="37">
        <v>5.55</v>
      </c>
      <c r="D419" s="111"/>
    </row>
    <row r="420" spans="1:4" ht="15.75" outlineLevel="1">
      <c r="A420" s="37" t="s">
        <v>1058</v>
      </c>
      <c r="B420" s="38" t="s">
        <v>20</v>
      </c>
      <c r="C420" s="37">
        <v>5.63</v>
      </c>
      <c r="D420" s="111"/>
    </row>
    <row r="421" spans="1:4" ht="15.75" outlineLevel="1">
      <c r="A421" s="37" t="s">
        <v>1058</v>
      </c>
      <c r="B421" s="38" t="s">
        <v>21</v>
      </c>
      <c r="C421" s="37">
        <v>5.65</v>
      </c>
      <c r="D421" s="111"/>
    </row>
    <row r="422" spans="1:4" ht="15.75" outlineLevel="1">
      <c r="A422" s="37" t="s">
        <v>1058</v>
      </c>
      <c r="B422" s="38" t="s">
        <v>202</v>
      </c>
      <c r="C422" s="37">
        <v>5.66</v>
      </c>
      <c r="D422" s="111"/>
    </row>
    <row r="423" spans="1:4" ht="15.75" outlineLevel="1">
      <c r="A423" s="37" t="s">
        <v>1058</v>
      </c>
      <c r="B423" s="38" t="s">
        <v>22</v>
      </c>
      <c r="C423" s="37">
        <v>5.68</v>
      </c>
      <c r="D423" s="111"/>
    </row>
    <row r="424" spans="1:4" ht="15.75" outlineLevel="1">
      <c r="A424" s="37" t="s">
        <v>1058</v>
      </c>
      <c r="B424" s="38" t="s">
        <v>24</v>
      </c>
      <c r="C424" s="37">
        <v>5.47</v>
      </c>
      <c r="D424" s="111"/>
    </row>
    <row r="425" spans="1:4" ht="15.75" outlineLevel="1">
      <c r="A425" s="37" t="s">
        <v>1058</v>
      </c>
      <c r="B425" s="38" t="s">
        <v>25</v>
      </c>
      <c r="C425" s="37">
        <v>5.48</v>
      </c>
      <c r="D425" s="111"/>
    </row>
    <row r="426" spans="1:4" ht="15.75">
      <c r="A426" s="43" t="s">
        <v>1058</v>
      </c>
      <c r="B426" s="38"/>
      <c r="C426" s="37"/>
      <c r="D426" s="111"/>
    </row>
    <row r="427" spans="1:4" ht="15.75" outlineLevel="1">
      <c r="A427" s="37" t="s">
        <v>1171</v>
      </c>
      <c r="B427" s="38" t="s">
        <v>0</v>
      </c>
      <c r="C427" s="37">
        <v>5.0999999999999996</v>
      </c>
      <c r="D427" s="111"/>
    </row>
    <row r="428" spans="1:4" ht="15.75" outlineLevel="1">
      <c r="A428" s="37" t="s">
        <v>1171</v>
      </c>
      <c r="B428" s="38" t="s">
        <v>1</v>
      </c>
      <c r="C428" s="37">
        <v>5.2</v>
      </c>
      <c r="D428" s="111"/>
    </row>
    <row r="429" spans="1:4" ht="15.75" outlineLevel="1">
      <c r="A429" s="37" t="s">
        <v>1171</v>
      </c>
      <c r="B429" s="38" t="s">
        <v>2</v>
      </c>
      <c r="C429" s="37">
        <v>5.3</v>
      </c>
      <c r="D429" s="111"/>
    </row>
    <row r="430" spans="1:4" ht="15.75" outlineLevel="1">
      <c r="A430" s="37" t="s">
        <v>1171</v>
      </c>
      <c r="B430" s="38" t="s">
        <v>183</v>
      </c>
      <c r="C430" s="37">
        <v>5.6</v>
      </c>
      <c r="D430" s="111"/>
    </row>
    <row r="431" spans="1:4" ht="15.75" outlineLevel="1">
      <c r="A431" s="37" t="s">
        <v>1171</v>
      </c>
      <c r="B431" s="38" t="s">
        <v>1156</v>
      </c>
      <c r="C431" s="39">
        <v>5.0999999999999996</v>
      </c>
      <c r="D431" s="111"/>
    </row>
    <row r="432" spans="1:4" ht="15.75" outlineLevel="1">
      <c r="A432" s="37" t="s">
        <v>1171</v>
      </c>
      <c r="B432" s="38" t="s">
        <v>1155</v>
      </c>
      <c r="C432" s="37">
        <v>5.14</v>
      </c>
      <c r="D432" s="111"/>
    </row>
    <row r="433" spans="1:4" ht="15.75" outlineLevel="1">
      <c r="A433" s="37" t="s">
        <v>1171</v>
      </c>
      <c r="B433" s="38" t="s">
        <v>4</v>
      </c>
      <c r="C433" s="37">
        <v>5.19</v>
      </c>
      <c r="D433" s="111"/>
    </row>
    <row r="434" spans="1:4" ht="15.75" outlineLevel="1">
      <c r="A434" s="37" t="s">
        <v>1171</v>
      </c>
      <c r="B434" s="38" t="s">
        <v>185</v>
      </c>
      <c r="C434" s="37">
        <v>5.24</v>
      </c>
      <c r="D434" s="111"/>
    </row>
    <row r="435" spans="1:4" ht="15.75" outlineLevel="1">
      <c r="A435" s="37" t="s">
        <v>1171</v>
      </c>
      <c r="B435" s="38" t="s">
        <v>5</v>
      </c>
      <c r="C435" s="37">
        <v>5.26</v>
      </c>
      <c r="D435" s="111"/>
    </row>
    <row r="436" spans="1:4" ht="15.75" outlineLevel="1">
      <c r="A436" s="37" t="s">
        <v>1171</v>
      </c>
      <c r="B436" s="38" t="s">
        <v>6</v>
      </c>
      <c r="C436" s="37">
        <v>5.27</v>
      </c>
      <c r="D436" s="111"/>
    </row>
    <row r="437" spans="1:4" ht="15.75" outlineLevel="1">
      <c r="A437" s="37" t="s">
        <v>1171</v>
      </c>
      <c r="B437" s="38" t="s">
        <v>7</v>
      </c>
      <c r="C437" s="37">
        <v>5.28</v>
      </c>
      <c r="D437" s="111"/>
    </row>
    <row r="438" spans="1:4" ht="15.75" outlineLevel="1">
      <c r="A438" s="37" t="s">
        <v>1171</v>
      </c>
      <c r="B438" s="38" t="s">
        <v>373</v>
      </c>
      <c r="C438" s="37">
        <v>5.29</v>
      </c>
      <c r="D438" s="111"/>
    </row>
    <row r="439" spans="1:4" ht="15.75" outlineLevel="1">
      <c r="A439" s="37" t="s">
        <v>1171</v>
      </c>
      <c r="B439" s="38" t="s">
        <v>186</v>
      </c>
      <c r="C439" s="37">
        <v>5.31</v>
      </c>
      <c r="D439" s="111"/>
    </row>
    <row r="440" spans="1:4" ht="15.75" outlineLevel="1">
      <c r="A440" s="37" t="s">
        <v>1171</v>
      </c>
      <c r="B440" s="38" t="s">
        <v>150</v>
      </c>
      <c r="C440" s="37">
        <v>5.36</v>
      </c>
      <c r="D440" s="111"/>
    </row>
    <row r="441" spans="1:4" ht="15.75" outlineLevel="1">
      <c r="A441" s="37" t="s">
        <v>1171</v>
      </c>
      <c r="B441" s="38" t="s">
        <v>194</v>
      </c>
      <c r="C441" s="37">
        <v>5.37</v>
      </c>
      <c r="D441" s="111"/>
    </row>
    <row r="442" spans="1:4" ht="15.75" outlineLevel="1">
      <c r="A442" s="37" t="s">
        <v>1171</v>
      </c>
      <c r="B442" s="38" t="s">
        <v>11</v>
      </c>
      <c r="C442" s="37">
        <v>5.53</v>
      </c>
      <c r="D442" s="111"/>
    </row>
    <row r="443" spans="1:4" ht="15.75" outlineLevel="1">
      <c r="A443" s="37" t="s">
        <v>1171</v>
      </c>
      <c r="B443" s="38" t="s">
        <v>187</v>
      </c>
      <c r="C443" s="37">
        <v>5.109</v>
      </c>
      <c r="D443" s="111"/>
    </row>
    <row r="444" spans="1:4" ht="15.75" outlineLevel="1">
      <c r="A444" s="37" t="s">
        <v>1171</v>
      </c>
      <c r="B444" s="38" t="s">
        <v>188</v>
      </c>
      <c r="C444" s="37">
        <v>5.1109999999999998</v>
      </c>
      <c r="D444" s="111"/>
    </row>
    <row r="445" spans="1:4" ht="15.75" outlineLevel="1">
      <c r="A445" s="37" t="s">
        <v>1171</v>
      </c>
      <c r="B445" s="38" t="s">
        <v>159</v>
      </c>
      <c r="C445" s="37">
        <v>5.1120000000000001</v>
      </c>
      <c r="D445" s="111"/>
    </row>
    <row r="446" spans="1:4" ht="15.75" outlineLevel="1">
      <c r="A446" s="37" t="s">
        <v>1171</v>
      </c>
      <c r="B446" s="38" t="s">
        <v>1170</v>
      </c>
      <c r="C446" s="37">
        <v>5.1130000000000004</v>
      </c>
      <c r="D446" s="111"/>
    </row>
    <row r="447" spans="1:4" ht="15.75" outlineLevel="1">
      <c r="A447" s="37" t="s">
        <v>1171</v>
      </c>
      <c r="B447" s="38" t="s">
        <v>17</v>
      </c>
      <c r="C447" s="37">
        <v>5.58</v>
      </c>
      <c r="D447" s="111"/>
    </row>
    <row r="448" spans="1:4" ht="15.75" outlineLevel="1">
      <c r="A448" s="37" t="s">
        <v>1171</v>
      </c>
      <c r="B448" s="38" t="s">
        <v>18</v>
      </c>
      <c r="C448" s="37">
        <v>5.54</v>
      </c>
      <c r="D448" s="111"/>
    </row>
    <row r="449" spans="1:4" ht="15.75" outlineLevel="1">
      <c r="A449" s="37" t="s">
        <v>1171</v>
      </c>
      <c r="B449" s="38" t="s">
        <v>19</v>
      </c>
      <c r="C449" s="37">
        <v>5.55</v>
      </c>
      <c r="D449" s="111"/>
    </row>
    <row r="450" spans="1:4" ht="15.75" outlineLevel="1">
      <c r="A450" s="37" t="s">
        <v>1171</v>
      </c>
      <c r="B450" s="38" t="s">
        <v>20</v>
      </c>
      <c r="C450" s="37">
        <v>5.63</v>
      </c>
      <c r="D450" s="111"/>
    </row>
    <row r="451" spans="1:4" ht="15.75" outlineLevel="1">
      <c r="A451" s="37" t="s">
        <v>1171</v>
      </c>
      <c r="B451" s="38" t="s">
        <v>24</v>
      </c>
      <c r="C451" s="37">
        <v>5.47</v>
      </c>
      <c r="D451" s="111"/>
    </row>
    <row r="452" spans="1:4" ht="15.75" outlineLevel="1">
      <c r="A452" s="37" t="s">
        <v>1171</v>
      </c>
      <c r="B452" s="38" t="s">
        <v>25</v>
      </c>
      <c r="C452" s="37">
        <v>5.48</v>
      </c>
      <c r="D452" s="111"/>
    </row>
    <row r="453" spans="1:4" ht="31.5">
      <c r="A453" s="43" t="s">
        <v>1171</v>
      </c>
      <c r="B453" s="38"/>
      <c r="C453" s="37"/>
      <c r="D453" s="111"/>
    </row>
    <row r="454" spans="1:4" ht="15.75" outlineLevel="1">
      <c r="A454" s="37" t="s">
        <v>819</v>
      </c>
      <c r="B454" s="38" t="s">
        <v>0</v>
      </c>
      <c r="C454" s="37">
        <v>5.0999999999999996</v>
      </c>
      <c r="D454" s="111"/>
    </row>
    <row r="455" spans="1:4" ht="15.75" outlineLevel="1">
      <c r="A455" s="37" t="s">
        <v>819</v>
      </c>
      <c r="B455" s="38" t="s">
        <v>1</v>
      </c>
      <c r="C455" s="37">
        <v>5.2</v>
      </c>
      <c r="D455" s="111"/>
    </row>
    <row r="456" spans="1:4" ht="15.75" outlineLevel="1">
      <c r="A456" s="37" t="s">
        <v>819</v>
      </c>
      <c r="B456" s="38" t="s">
        <v>239</v>
      </c>
      <c r="C456" s="37">
        <v>5.5</v>
      </c>
      <c r="D456" s="111"/>
    </row>
    <row r="457" spans="1:4" ht="15.75" outlineLevel="1">
      <c r="A457" s="37" t="s">
        <v>819</v>
      </c>
      <c r="B457" s="38" t="s">
        <v>240</v>
      </c>
      <c r="C457" s="37">
        <v>5.8</v>
      </c>
      <c r="D457" s="110" t="s">
        <v>1154</v>
      </c>
    </row>
    <row r="458" spans="1:4" ht="15.75" outlineLevel="1">
      <c r="A458" s="37" t="s">
        <v>819</v>
      </c>
      <c r="B458" s="38" t="s">
        <v>241</v>
      </c>
      <c r="C458" s="37">
        <v>5.12</v>
      </c>
      <c r="D458" s="110" t="s">
        <v>1154</v>
      </c>
    </row>
    <row r="459" spans="1:4" ht="15.75" outlineLevel="1">
      <c r="A459" s="37" t="s">
        <v>819</v>
      </c>
      <c r="B459" s="38" t="s">
        <v>242</v>
      </c>
      <c r="C459" s="37">
        <v>5.15</v>
      </c>
      <c r="D459" s="111"/>
    </row>
    <row r="460" spans="1:4" ht="15.75" outlineLevel="1">
      <c r="A460" s="37" t="s">
        <v>819</v>
      </c>
      <c r="B460" s="38" t="s">
        <v>243</v>
      </c>
      <c r="C460" s="39">
        <v>5.2</v>
      </c>
      <c r="D460" s="110"/>
    </row>
    <row r="461" spans="1:4" ht="15.75" outlineLevel="1">
      <c r="A461" s="37" t="s">
        <v>819</v>
      </c>
      <c r="B461" s="38" t="s">
        <v>244</v>
      </c>
      <c r="C461" s="37">
        <v>5.25</v>
      </c>
      <c r="D461" s="111"/>
    </row>
    <row r="462" spans="1:4" ht="15.75" outlineLevel="1">
      <c r="A462" s="37" t="s">
        <v>819</v>
      </c>
      <c r="B462" s="38" t="s">
        <v>5</v>
      </c>
      <c r="C462" s="37">
        <v>5.26</v>
      </c>
      <c r="D462" s="111"/>
    </row>
    <row r="463" spans="1:4" ht="15.75" outlineLevel="1">
      <c r="A463" s="37" t="s">
        <v>819</v>
      </c>
      <c r="B463" s="38" t="s">
        <v>876</v>
      </c>
      <c r="C463" s="37">
        <v>5.1139999999999999</v>
      </c>
      <c r="D463" s="110" t="s">
        <v>1154</v>
      </c>
    </row>
    <row r="464" spans="1:4" ht="15.75" outlineLevel="1">
      <c r="A464" s="37" t="s">
        <v>819</v>
      </c>
      <c r="B464" s="38" t="s">
        <v>6</v>
      </c>
      <c r="C464" s="37">
        <v>5.27</v>
      </c>
      <c r="D464" s="111"/>
    </row>
    <row r="465" spans="1:4" ht="15.75" outlineLevel="1">
      <c r="A465" s="37" t="s">
        <v>819</v>
      </c>
      <c r="B465" s="38" t="s">
        <v>1172</v>
      </c>
      <c r="C465" s="37">
        <v>5.1150000000000002</v>
      </c>
      <c r="D465" s="110" t="s">
        <v>1154</v>
      </c>
    </row>
    <row r="466" spans="1:4" ht="15.75" outlineLevel="1">
      <c r="A466" s="37" t="s">
        <v>819</v>
      </c>
      <c r="B466" s="38" t="s">
        <v>1173</v>
      </c>
      <c r="C466" s="37">
        <v>5.1159999999999997</v>
      </c>
      <c r="D466" s="110" t="s">
        <v>1154</v>
      </c>
    </row>
    <row r="467" spans="1:4" ht="15.75" outlineLevel="1">
      <c r="A467" s="37" t="s">
        <v>819</v>
      </c>
      <c r="B467" s="38" t="s">
        <v>7</v>
      </c>
      <c r="C467" s="37">
        <v>5.28</v>
      </c>
      <c r="D467" s="111"/>
    </row>
    <row r="468" spans="1:4" ht="15.75" outlineLevel="1">
      <c r="A468" s="37" t="s">
        <v>819</v>
      </c>
      <c r="B468" s="38" t="s">
        <v>150</v>
      </c>
      <c r="C468" s="37">
        <v>5.36</v>
      </c>
      <c r="D468" s="111"/>
    </row>
    <row r="469" spans="1:4" ht="15.75" outlineLevel="1">
      <c r="A469" s="37" t="s">
        <v>819</v>
      </c>
      <c r="B469" s="38" t="s">
        <v>194</v>
      </c>
      <c r="C469" s="37">
        <v>5.37</v>
      </c>
      <c r="D469" s="111"/>
    </row>
    <row r="470" spans="1:4" ht="15.75" outlineLevel="1">
      <c r="A470" s="37" t="s">
        <v>819</v>
      </c>
      <c r="B470" s="38" t="s">
        <v>11</v>
      </c>
      <c r="C470" s="37">
        <v>5.53</v>
      </c>
      <c r="D470" s="111"/>
    </row>
    <row r="471" spans="1:4" ht="15.75" outlineLevel="1">
      <c r="A471" s="37" t="s">
        <v>819</v>
      </c>
      <c r="B471" s="38" t="s">
        <v>187</v>
      </c>
      <c r="C471" s="37">
        <v>5.109</v>
      </c>
      <c r="D471" s="111"/>
    </row>
    <row r="472" spans="1:4" ht="15.75" outlineLevel="1">
      <c r="A472" s="37" t="s">
        <v>819</v>
      </c>
      <c r="B472" s="38" t="s">
        <v>188</v>
      </c>
      <c r="C472" s="37">
        <v>5.1109999999999998</v>
      </c>
      <c r="D472" s="111"/>
    </row>
    <row r="473" spans="1:4" ht="15.75" outlineLevel="1">
      <c r="A473" s="37" t="s">
        <v>819</v>
      </c>
      <c r="B473" s="38" t="s">
        <v>159</v>
      </c>
      <c r="C473" s="37">
        <v>5.1120000000000001</v>
      </c>
      <c r="D473" s="111"/>
    </row>
    <row r="474" spans="1:4" ht="15.75" outlineLevel="1">
      <c r="A474" s="37" t="s">
        <v>819</v>
      </c>
      <c r="B474" s="38" t="s">
        <v>18</v>
      </c>
      <c r="C474" s="37">
        <v>5.54</v>
      </c>
      <c r="D474" s="111"/>
    </row>
    <row r="475" spans="1:4" ht="15.75" outlineLevel="1">
      <c r="A475" s="37" t="s">
        <v>819</v>
      </c>
      <c r="B475" s="38" t="s">
        <v>1174</v>
      </c>
      <c r="C475" s="37">
        <v>5.61</v>
      </c>
      <c r="D475" s="111"/>
    </row>
    <row r="476" spans="1:4" ht="15.75" outlineLevel="1">
      <c r="A476" s="37" t="s">
        <v>819</v>
      </c>
      <c r="B476" s="38" t="s">
        <v>20</v>
      </c>
      <c r="C476" s="37">
        <v>5.63</v>
      </c>
      <c r="D476" s="111"/>
    </row>
    <row r="477" spans="1:4" ht="15.75" outlineLevel="1">
      <c r="A477" s="37" t="s">
        <v>819</v>
      </c>
      <c r="B477" s="38" t="s">
        <v>1175</v>
      </c>
      <c r="C477" s="37">
        <v>5.46</v>
      </c>
      <c r="D477" s="111"/>
    </row>
    <row r="478" spans="1:4" ht="15.75" outlineLevel="1">
      <c r="A478" s="37" t="s">
        <v>819</v>
      </c>
      <c r="B478" s="38" t="s">
        <v>24</v>
      </c>
      <c r="C478" s="37">
        <v>5.47</v>
      </c>
      <c r="D478" s="111"/>
    </row>
    <row r="479" spans="1:4" ht="15.75" outlineLevel="1">
      <c r="A479" s="37" t="s">
        <v>819</v>
      </c>
      <c r="B479" s="38" t="s">
        <v>25</v>
      </c>
      <c r="C479" s="37">
        <v>5.48</v>
      </c>
      <c r="D479" s="111"/>
    </row>
    <row r="480" spans="1:4" ht="15.75">
      <c r="A480" s="43" t="s">
        <v>819</v>
      </c>
      <c r="B480" s="38"/>
      <c r="C480" s="37"/>
      <c r="D480" s="111"/>
    </row>
    <row r="481" spans="1:4" ht="15.75" outlineLevel="1">
      <c r="A481" s="37" t="s">
        <v>1176</v>
      </c>
      <c r="B481" s="38" t="s">
        <v>0</v>
      </c>
      <c r="C481" s="37">
        <v>5.0999999999999996</v>
      </c>
      <c r="D481" s="111"/>
    </row>
    <row r="482" spans="1:4" ht="15.75" outlineLevel="1">
      <c r="A482" s="37" t="s">
        <v>1176</v>
      </c>
      <c r="B482" s="38" t="s">
        <v>1</v>
      </c>
      <c r="C482" s="37">
        <v>5.2</v>
      </c>
      <c r="D482" s="111"/>
    </row>
    <row r="483" spans="1:4" ht="15.75" outlineLevel="1">
      <c r="A483" s="37" t="s">
        <v>1176</v>
      </c>
      <c r="B483" s="38" t="s">
        <v>2</v>
      </c>
      <c r="C483" s="37">
        <v>5.3</v>
      </c>
      <c r="D483" s="111"/>
    </row>
    <row r="484" spans="1:4" ht="15.75" outlineLevel="1">
      <c r="A484" s="37" t="s">
        <v>1176</v>
      </c>
      <c r="B484" s="38" t="s">
        <v>183</v>
      </c>
      <c r="C484" s="37">
        <v>5.6</v>
      </c>
      <c r="D484" s="111"/>
    </row>
    <row r="485" spans="1:4" ht="15.75" outlineLevel="1">
      <c r="A485" s="37" t="s">
        <v>1176</v>
      </c>
      <c r="B485" s="38" t="s">
        <v>1156</v>
      </c>
      <c r="C485" s="39">
        <v>5.0999999999999996</v>
      </c>
      <c r="D485" s="111"/>
    </row>
    <row r="486" spans="1:4" ht="15.75" outlineLevel="1">
      <c r="A486" s="37" t="s">
        <v>1176</v>
      </c>
      <c r="B486" s="38" t="s">
        <v>1155</v>
      </c>
      <c r="C486" s="37">
        <v>5.14</v>
      </c>
      <c r="D486" s="111"/>
    </row>
    <row r="487" spans="1:4" ht="15.75" outlineLevel="1">
      <c r="A487" s="37" t="s">
        <v>1176</v>
      </c>
      <c r="B487" s="38" t="s">
        <v>4</v>
      </c>
      <c r="C487" s="37">
        <v>5.19</v>
      </c>
      <c r="D487" s="111"/>
    </row>
    <row r="488" spans="1:4" ht="15.75" outlineLevel="1">
      <c r="A488" s="37" t="s">
        <v>1176</v>
      </c>
      <c r="B488" s="38" t="s">
        <v>185</v>
      </c>
      <c r="C488" s="37">
        <v>5.24</v>
      </c>
      <c r="D488" s="111"/>
    </row>
    <row r="489" spans="1:4" ht="15.75" outlineLevel="1">
      <c r="A489" s="37" t="s">
        <v>1176</v>
      </c>
      <c r="B489" s="38" t="s">
        <v>6</v>
      </c>
      <c r="C489" s="37">
        <v>5.27</v>
      </c>
      <c r="D489" s="111"/>
    </row>
    <row r="490" spans="1:4" ht="15.75" outlineLevel="1">
      <c r="A490" s="37" t="s">
        <v>1176</v>
      </c>
      <c r="B490" s="38" t="s">
        <v>7</v>
      </c>
      <c r="C490" s="37">
        <v>5.28</v>
      </c>
      <c r="D490" s="111"/>
    </row>
    <row r="491" spans="1:4" ht="15.75" outlineLevel="1">
      <c r="A491" s="37" t="s">
        <v>1176</v>
      </c>
      <c r="B491" s="38" t="s">
        <v>373</v>
      </c>
      <c r="C491" s="37">
        <v>5.29</v>
      </c>
      <c r="D491" s="111"/>
    </row>
    <row r="492" spans="1:4" ht="15.75" outlineLevel="1">
      <c r="A492" s="37" t="s">
        <v>1176</v>
      </c>
      <c r="B492" s="38" t="s">
        <v>1161</v>
      </c>
      <c r="C492" s="37">
        <v>5.34</v>
      </c>
      <c r="D492" s="111"/>
    </row>
    <row r="493" spans="1:4" ht="15.75" outlineLevel="1">
      <c r="A493" s="37" t="s">
        <v>1176</v>
      </c>
      <c r="B493" s="38" t="s">
        <v>186</v>
      </c>
      <c r="C493" s="37">
        <v>5.31</v>
      </c>
      <c r="D493" s="111"/>
    </row>
    <row r="494" spans="1:4" ht="15.75" outlineLevel="1">
      <c r="A494" s="37" t="s">
        <v>1176</v>
      </c>
      <c r="B494" s="38" t="s">
        <v>1162</v>
      </c>
      <c r="C494" s="37">
        <v>5.101</v>
      </c>
      <c r="D494" s="111"/>
    </row>
    <row r="495" spans="1:4" ht="15.75" outlineLevel="1">
      <c r="A495" s="37" t="s">
        <v>1176</v>
      </c>
      <c r="B495" s="38" t="s">
        <v>150</v>
      </c>
      <c r="C495" s="37">
        <v>5.36</v>
      </c>
      <c r="D495" s="111"/>
    </row>
    <row r="496" spans="1:4" ht="15.75" outlineLevel="1">
      <c r="A496" s="37" t="s">
        <v>1176</v>
      </c>
      <c r="B496" s="38" t="s">
        <v>194</v>
      </c>
      <c r="C496" s="37">
        <v>5.37</v>
      </c>
      <c r="D496" s="111"/>
    </row>
    <row r="497" spans="1:4" ht="15.75" outlineLevel="1">
      <c r="A497" s="37" t="s">
        <v>1176</v>
      </c>
      <c r="B497" s="38" t="s">
        <v>11</v>
      </c>
      <c r="C497" s="37">
        <v>5.53</v>
      </c>
      <c r="D497" s="111"/>
    </row>
    <row r="498" spans="1:4" ht="15.75" outlineLevel="1">
      <c r="A498" s="37" t="s">
        <v>1176</v>
      </c>
      <c r="B498" s="38" t="s">
        <v>187</v>
      </c>
      <c r="C498" s="37">
        <v>5.109</v>
      </c>
      <c r="D498" s="111"/>
    </row>
    <row r="499" spans="1:4" ht="15.75" outlineLevel="1">
      <c r="A499" s="37" t="s">
        <v>1176</v>
      </c>
      <c r="B499" s="38" t="s">
        <v>188</v>
      </c>
      <c r="C499" s="37">
        <v>5.1109999999999998</v>
      </c>
      <c r="D499" s="111"/>
    </row>
    <row r="500" spans="1:4" ht="15.75" outlineLevel="1">
      <c r="A500" s="37" t="s">
        <v>1176</v>
      </c>
      <c r="B500" s="38" t="s">
        <v>159</v>
      </c>
      <c r="C500" s="37">
        <v>5.1120000000000001</v>
      </c>
      <c r="D500" s="111"/>
    </row>
    <row r="501" spans="1:4" ht="15.75" outlineLevel="1">
      <c r="A501" s="37" t="s">
        <v>1176</v>
      </c>
      <c r="B501" s="38" t="s">
        <v>1163</v>
      </c>
      <c r="C501" s="37">
        <v>5.1020000000000003</v>
      </c>
      <c r="D501" s="111"/>
    </row>
    <row r="502" spans="1:4" ht="15.75" outlineLevel="1">
      <c r="A502" s="37" t="s">
        <v>1176</v>
      </c>
      <c r="B502" s="38" t="s">
        <v>1164</v>
      </c>
      <c r="C502" s="40">
        <v>5.0999999999999996</v>
      </c>
      <c r="D502" s="111"/>
    </row>
    <row r="503" spans="1:4" ht="15.75" outlineLevel="1">
      <c r="A503" s="37" t="s">
        <v>1176</v>
      </c>
      <c r="B503" s="38" t="s">
        <v>17</v>
      </c>
      <c r="C503" s="37">
        <v>5.58</v>
      </c>
      <c r="D503" s="111"/>
    </row>
    <row r="504" spans="1:4" ht="15.75" outlineLevel="1">
      <c r="A504" s="37" t="s">
        <v>1176</v>
      </c>
      <c r="B504" s="38" t="s">
        <v>19</v>
      </c>
      <c r="C504" s="37">
        <v>5.55</v>
      </c>
      <c r="D504" s="111"/>
    </row>
    <row r="505" spans="1:4" ht="15.75" outlineLevel="1">
      <c r="A505" s="37" t="s">
        <v>1176</v>
      </c>
      <c r="B505" s="38" t="s">
        <v>18</v>
      </c>
      <c r="C505" s="37">
        <v>5.54</v>
      </c>
      <c r="D505" s="111"/>
    </row>
    <row r="506" spans="1:4" ht="15.75" outlineLevel="1">
      <c r="A506" s="37" t="s">
        <v>1176</v>
      </c>
      <c r="B506" s="38" t="s">
        <v>20</v>
      </c>
      <c r="C506" s="37">
        <v>5.63</v>
      </c>
      <c r="D506" s="111"/>
    </row>
    <row r="507" spans="1:4" ht="15.75" outlineLevel="1">
      <c r="A507" s="37" t="s">
        <v>1176</v>
      </c>
      <c r="B507" s="38" t="s">
        <v>24</v>
      </c>
      <c r="C507" s="37">
        <v>5.47</v>
      </c>
      <c r="D507" s="111"/>
    </row>
    <row r="508" spans="1:4" ht="15.75" outlineLevel="1">
      <c r="A508" s="37" t="s">
        <v>1176</v>
      </c>
      <c r="B508" s="38" t="s">
        <v>25</v>
      </c>
      <c r="C508" s="37">
        <v>5.48</v>
      </c>
      <c r="D508" s="111"/>
    </row>
    <row r="509" spans="1:4" ht="15.75">
      <c r="A509" s="43" t="s">
        <v>1176</v>
      </c>
      <c r="B509" s="38"/>
      <c r="C509" s="37"/>
      <c r="D509" s="111"/>
    </row>
    <row r="510" spans="1:4" ht="15.75" outlineLevel="1">
      <c r="A510" s="37" t="s">
        <v>1076</v>
      </c>
      <c r="B510" s="38" t="s">
        <v>0</v>
      </c>
      <c r="C510" s="37">
        <v>5.0999999999999996</v>
      </c>
      <c r="D510" s="111"/>
    </row>
    <row r="511" spans="1:4" ht="15.75" outlineLevel="1">
      <c r="A511" s="37" t="s">
        <v>1076</v>
      </c>
      <c r="B511" s="38" t="s">
        <v>1</v>
      </c>
      <c r="C511" s="37">
        <v>5.2</v>
      </c>
      <c r="D511" s="111"/>
    </row>
    <row r="512" spans="1:4" ht="15.75" outlineLevel="1">
      <c r="A512" s="37" t="s">
        <v>1076</v>
      </c>
      <c r="B512" s="38" t="s">
        <v>2</v>
      </c>
      <c r="C512" s="37">
        <v>5.3</v>
      </c>
      <c r="D512" s="111"/>
    </row>
    <row r="513" spans="1:4" ht="15.75" outlineLevel="1">
      <c r="A513" s="37" t="s">
        <v>1076</v>
      </c>
      <c r="B513" s="38" t="s">
        <v>183</v>
      </c>
      <c r="C513" s="37">
        <v>5.6</v>
      </c>
      <c r="D513" s="111"/>
    </row>
    <row r="514" spans="1:4" ht="15.75" outlineLevel="1">
      <c r="A514" s="37" t="s">
        <v>1076</v>
      </c>
      <c r="B514" s="38" t="s">
        <v>1156</v>
      </c>
      <c r="C514" s="39">
        <v>5.0999999999999996</v>
      </c>
      <c r="D514" s="111"/>
    </row>
    <row r="515" spans="1:4" ht="15.75" outlineLevel="1">
      <c r="A515" s="37" t="s">
        <v>1076</v>
      </c>
      <c r="B515" s="38" t="s">
        <v>1155</v>
      </c>
      <c r="C515" s="37">
        <v>5.14</v>
      </c>
      <c r="D515" s="111"/>
    </row>
    <row r="516" spans="1:4" ht="15.75" outlineLevel="1">
      <c r="A516" s="37" t="s">
        <v>1076</v>
      </c>
      <c r="B516" s="38" t="s">
        <v>4</v>
      </c>
      <c r="C516" s="37">
        <v>5.19</v>
      </c>
      <c r="D516" s="111"/>
    </row>
    <row r="517" spans="1:4" ht="15.75" outlineLevel="1">
      <c r="A517" s="37" t="s">
        <v>1076</v>
      </c>
      <c r="B517" s="38" t="s">
        <v>185</v>
      </c>
      <c r="C517" s="37">
        <v>5.24</v>
      </c>
      <c r="D517" s="111"/>
    </row>
    <row r="518" spans="1:4" ht="15.75" outlineLevel="1">
      <c r="A518" s="37" t="s">
        <v>1076</v>
      </c>
      <c r="B518" s="38" t="s">
        <v>5</v>
      </c>
      <c r="C518" s="37">
        <v>5.26</v>
      </c>
      <c r="D518" s="111"/>
    </row>
    <row r="519" spans="1:4" ht="15.75" outlineLevel="1">
      <c r="A519" s="37" t="s">
        <v>1076</v>
      </c>
      <c r="B519" s="38" t="s">
        <v>6</v>
      </c>
      <c r="C519" s="37">
        <v>5.27</v>
      </c>
      <c r="D519" s="111"/>
    </row>
    <row r="520" spans="1:4" ht="15.75" outlineLevel="1">
      <c r="A520" s="37" t="s">
        <v>1076</v>
      </c>
      <c r="B520" s="38" t="s">
        <v>7</v>
      </c>
      <c r="C520" s="37">
        <v>5.28</v>
      </c>
      <c r="D520" s="111"/>
    </row>
    <row r="521" spans="1:4" ht="15.75" outlineLevel="1">
      <c r="A521" s="37" t="s">
        <v>1076</v>
      </c>
      <c r="B521" s="38" t="s">
        <v>186</v>
      </c>
      <c r="C521" s="37">
        <v>5.31</v>
      </c>
      <c r="D521" s="111"/>
    </row>
    <row r="522" spans="1:4" ht="15.75" outlineLevel="1">
      <c r="A522" s="37" t="s">
        <v>1076</v>
      </c>
      <c r="B522" s="38" t="s">
        <v>222</v>
      </c>
      <c r="C522" s="37">
        <v>5.33</v>
      </c>
      <c r="D522" s="111"/>
    </row>
    <row r="523" spans="1:4" ht="15.75" outlineLevel="1">
      <c r="A523" s="37" t="s">
        <v>1076</v>
      </c>
      <c r="B523" s="38" t="s">
        <v>1162</v>
      </c>
      <c r="C523" s="37">
        <v>5.101</v>
      </c>
      <c r="D523" s="111"/>
    </row>
    <row r="524" spans="1:4" ht="15.75" outlineLevel="1">
      <c r="A524" s="37" t="s">
        <v>1076</v>
      </c>
      <c r="B524" s="38" t="s">
        <v>150</v>
      </c>
      <c r="C524" s="37">
        <v>5.36</v>
      </c>
      <c r="D524" s="111"/>
    </row>
    <row r="525" spans="1:4" ht="15.75" outlineLevel="1">
      <c r="A525" s="37" t="s">
        <v>1076</v>
      </c>
      <c r="B525" s="38" t="s">
        <v>194</v>
      </c>
      <c r="C525" s="37">
        <v>5.37</v>
      </c>
      <c r="D525" s="111"/>
    </row>
    <row r="526" spans="1:4" ht="15.75" outlineLevel="1">
      <c r="A526" s="37" t="s">
        <v>1076</v>
      </c>
      <c r="B526" s="38" t="s">
        <v>11</v>
      </c>
      <c r="C526" s="37">
        <v>5.53</v>
      </c>
      <c r="D526" s="111"/>
    </row>
    <row r="527" spans="1:4" ht="15.75" outlineLevel="1">
      <c r="A527" s="37" t="s">
        <v>1076</v>
      </c>
      <c r="B527" s="38" t="s">
        <v>187</v>
      </c>
      <c r="C527" s="37">
        <v>5.109</v>
      </c>
      <c r="D527" s="111"/>
    </row>
    <row r="528" spans="1:4" ht="15.75" outlineLevel="1">
      <c r="A528" s="37" t="s">
        <v>1076</v>
      </c>
      <c r="B528" s="38" t="s">
        <v>188</v>
      </c>
      <c r="C528" s="37">
        <v>5.1109999999999998</v>
      </c>
      <c r="D528" s="111"/>
    </row>
    <row r="529" spans="1:4" ht="15.75" outlineLevel="1">
      <c r="A529" s="37" t="s">
        <v>1076</v>
      </c>
      <c r="B529" s="38" t="s">
        <v>159</v>
      </c>
      <c r="C529" s="37">
        <v>5.1120000000000001</v>
      </c>
      <c r="D529" s="111"/>
    </row>
    <row r="530" spans="1:4" ht="15.75" outlineLevel="1">
      <c r="A530" s="37" t="s">
        <v>1076</v>
      </c>
      <c r="B530" s="38" t="s">
        <v>1163</v>
      </c>
      <c r="C530" s="37">
        <v>5.1020000000000003</v>
      </c>
      <c r="D530" s="111"/>
    </row>
    <row r="531" spans="1:4" ht="15.75" outlineLevel="1">
      <c r="A531" s="37" t="s">
        <v>1076</v>
      </c>
      <c r="B531" s="38" t="s">
        <v>1164</v>
      </c>
      <c r="C531" s="40">
        <v>5.0999999999999996</v>
      </c>
      <c r="D531" s="111"/>
    </row>
    <row r="532" spans="1:4" ht="15.75" outlineLevel="1">
      <c r="A532" s="37" t="s">
        <v>1076</v>
      </c>
      <c r="B532" s="38" t="s">
        <v>17</v>
      </c>
      <c r="C532" s="37">
        <v>5.58</v>
      </c>
      <c r="D532" s="111"/>
    </row>
    <row r="533" spans="1:4" ht="15.75" outlineLevel="1">
      <c r="A533" s="37" t="s">
        <v>1076</v>
      </c>
      <c r="B533" s="38" t="s">
        <v>19</v>
      </c>
      <c r="C533" s="37">
        <v>5.55</v>
      </c>
      <c r="D533" s="111"/>
    </row>
    <row r="534" spans="1:4" ht="15.75" outlineLevel="1">
      <c r="A534" s="37" t="s">
        <v>1076</v>
      </c>
      <c r="B534" s="38" t="s">
        <v>18</v>
      </c>
      <c r="C534" s="37">
        <v>5.54</v>
      </c>
      <c r="D534" s="111"/>
    </row>
    <row r="535" spans="1:4" ht="15.75" outlineLevel="1">
      <c r="A535" s="37" t="s">
        <v>1076</v>
      </c>
      <c r="B535" s="38" t="s">
        <v>20</v>
      </c>
      <c r="C535" s="37">
        <v>5.63</v>
      </c>
      <c r="D535" s="111"/>
    </row>
    <row r="536" spans="1:4" ht="15.75" outlineLevel="1">
      <c r="A536" s="37" t="s">
        <v>1076</v>
      </c>
      <c r="B536" s="38" t="s">
        <v>24</v>
      </c>
      <c r="C536" s="37">
        <v>5.47</v>
      </c>
      <c r="D536" s="111"/>
    </row>
    <row r="537" spans="1:4" ht="15.75" outlineLevel="1">
      <c r="A537" s="37" t="s">
        <v>1076</v>
      </c>
      <c r="B537" s="38" t="s">
        <v>25</v>
      </c>
      <c r="C537" s="37">
        <v>5.48</v>
      </c>
      <c r="D537" s="111"/>
    </row>
    <row r="538" spans="1:4" ht="15.75">
      <c r="A538" s="43" t="s">
        <v>1076</v>
      </c>
      <c r="B538" s="38"/>
      <c r="C538" s="37"/>
      <c r="D538" s="111"/>
    </row>
    <row r="539" spans="1:4" ht="15.75" outlineLevel="1">
      <c r="A539" s="37" t="s">
        <v>1085</v>
      </c>
      <c r="B539" s="38" t="s">
        <v>0</v>
      </c>
      <c r="C539" s="37">
        <v>5.0999999999999996</v>
      </c>
      <c r="D539" s="111"/>
    </row>
    <row r="540" spans="1:4" ht="15.75" outlineLevel="1">
      <c r="A540" s="37" t="s">
        <v>1085</v>
      </c>
      <c r="B540" s="38" t="s">
        <v>1</v>
      </c>
      <c r="C540" s="37">
        <v>5.2</v>
      </c>
      <c r="D540" s="111"/>
    </row>
    <row r="541" spans="1:4" ht="15.75" outlineLevel="1">
      <c r="A541" s="37" t="s">
        <v>1085</v>
      </c>
      <c r="B541" s="38" t="s">
        <v>5</v>
      </c>
      <c r="C541" s="37">
        <v>5.26</v>
      </c>
      <c r="D541" s="111"/>
    </row>
    <row r="542" spans="1:4" ht="15.75" outlineLevel="1">
      <c r="A542" s="37" t="s">
        <v>1085</v>
      </c>
      <c r="B542" s="38" t="s">
        <v>1177</v>
      </c>
      <c r="C542" s="37">
        <v>5.21</v>
      </c>
      <c r="D542" s="111"/>
    </row>
    <row r="543" spans="1:4" ht="15.75" outlineLevel="1">
      <c r="A543" s="37" t="s">
        <v>1085</v>
      </c>
      <c r="B543" s="38" t="s">
        <v>1178</v>
      </c>
      <c r="C543" s="37">
        <v>5.53</v>
      </c>
      <c r="D543" s="111"/>
    </row>
    <row r="544" spans="1:4" ht="15.75" outlineLevel="1">
      <c r="A544" s="37" t="s">
        <v>1085</v>
      </c>
      <c r="B544" s="38" t="s">
        <v>18</v>
      </c>
      <c r="C544" s="37">
        <v>5.54</v>
      </c>
      <c r="D544" s="111"/>
    </row>
    <row r="545" spans="1:4" ht="15.75" outlineLevel="1">
      <c r="A545" s="37" t="s">
        <v>1085</v>
      </c>
      <c r="B545" s="38" t="s">
        <v>1179</v>
      </c>
      <c r="C545" s="37">
        <v>5.58</v>
      </c>
      <c r="D545" s="111"/>
    </row>
    <row r="546" spans="1:4" ht="15.75" outlineLevel="1">
      <c r="A546" s="37" t="s">
        <v>1085</v>
      </c>
      <c r="B546" s="38" t="s">
        <v>1180</v>
      </c>
      <c r="C546" s="37">
        <v>5.1180000000000003</v>
      </c>
      <c r="D546" s="111"/>
    </row>
    <row r="547" spans="1:4" ht="15.75" outlineLevel="1">
      <c r="A547" s="37" t="s">
        <v>1085</v>
      </c>
      <c r="B547" s="38" t="s">
        <v>1181</v>
      </c>
      <c r="C547" s="37">
        <v>5.47</v>
      </c>
      <c r="D547" s="111"/>
    </row>
    <row r="548" spans="1:4" ht="15.75" outlineLevel="1">
      <c r="A548" s="37" t="s">
        <v>1085</v>
      </c>
      <c r="B548" s="38" t="s">
        <v>1182</v>
      </c>
      <c r="C548" s="37">
        <v>5.48</v>
      </c>
      <c r="D548" s="111"/>
    </row>
    <row r="549" spans="1:4" ht="15.75" outlineLevel="1">
      <c r="A549" s="37" t="s">
        <v>1085</v>
      </c>
      <c r="B549" s="38" t="s">
        <v>1183</v>
      </c>
      <c r="C549" s="37">
        <v>5.21</v>
      </c>
      <c r="D549" s="111"/>
    </row>
    <row r="550" spans="1:4" ht="15.75" outlineLevel="1">
      <c r="A550" s="37" t="s">
        <v>1085</v>
      </c>
      <c r="B550" s="38" t="s">
        <v>1184</v>
      </c>
      <c r="C550" s="37">
        <v>5.53</v>
      </c>
      <c r="D550" s="111"/>
    </row>
    <row r="551" spans="1:4" ht="15.75" outlineLevel="1">
      <c r="A551" s="37" t="s">
        <v>1085</v>
      </c>
      <c r="B551" s="38" t="s">
        <v>18</v>
      </c>
      <c r="C551" s="37">
        <v>5.54</v>
      </c>
      <c r="D551" s="111"/>
    </row>
    <row r="552" spans="1:4" ht="15.75" outlineLevel="1">
      <c r="A552" s="37" t="s">
        <v>1085</v>
      </c>
      <c r="B552" s="38" t="s">
        <v>1185</v>
      </c>
      <c r="C552" s="37">
        <v>5.58</v>
      </c>
      <c r="D552" s="111"/>
    </row>
    <row r="553" spans="1:4" ht="15.75" outlineLevel="1">
      <c r="A553" s="37" t="s">
        <v>1085</v>
      </c>
      <c r="B553" s="38" t="s">
        <v>1186</v>
      </c>
      <c r="C553" s="37">
        <v>5.1180000000000003</v>
      </c>
      <c r="D553" s="111"/>
    </row>
    <row r="554" spans="1:4" ht="15.75" outlineLevel="1">
      <c r="A554" s="37" t="s">
        <v>1085</v>
      </c>
      <c r="B554" s="38" t="s">
        <v>1187</v>
      </c>
      <c r="C554" s="37">
        <v>5.47</v>
      </c>
      <c r="D554" s="111"/>
    </row>
    <row r="555" spans="1:4" ht="15.75" outlineLevel="1">
      <c r="A555" s="37" t="s">
        <v>1085</v>
      </c>
      <c r="B555" s="38" t="s">
        <v>1188</v>
      </c>
      <c r="C555" s="37">
        <v>5.48</v>
      </c>
      <c r="D555" s="111"/>
    </row>
    <row r="556" spans="1:4" ht="15.75" outlineLevel="1">
      <c r="A556" s="37" t="s">
        <v>1085</v>
      </c>
      <c r="B556" s="38" t="s">
        <v>1189</v>
      </c>
      <c r="C556" s="37">
        <v>5.63</v>
      </c>
      <c r="D556" s="111"/>
    </row>
    <row r="557" spans="1:4" ht="15.75" outlineLevel="1">
      <c r="A557" s="37" t="s">
        <v>1085</v>
      </c>
      <c r="B557" s="38" t="s">
        <v>6</v>
      </c>
      <c r="C557" s="37">
        <v>5.27</v>
      </c>
      <c r="D557" s="111"/>
    </row>
    <row r="558" spans="1:4" ht="15.75" outlineLevel="1">
      <c r="A558" s="37" t="s">
        <v>1085</v>
      </c>
      <c r="B558" s="38" t="s">
        <v>7</v>
      </c>
      <c r="C558" s="37">
        <v>5.28</v>
      </c>
      <c r="D558" s="111"/>
    </row>
    <row r="559" spans="1:4" ht="15.75" outlineLevel="1">
      <c r="A559" s="37" t="s">
        <v>1085</v>
      </c>
      <c r="B559" s="38" t="s">
        <v>1190</v>
      </c>
      <c r="C559" s="37">
        <v>5.35</v>
      </c>
      <c r="D559" s="111"/>
    </row>
    <row r="560" spans="1:4" ht="15.75" outlineLevel="1">
      <c r="A560" s="37" t="s">
        <v>1085</v>
      </c>
      <c r="B560" s="38" t="s">
        <v>972</v>
      </c>
      <c r="C560" s="37">
        <v>5.1189999999999998</v>
      </c>
      <c r="D560" s="111"/>
    </row>
    <row r="561" spans="1:4" ht="15.75" outlineLevel="1">
      <c r="A561" s="37" t="s">
        <v>1085</v>
      </c>
      <c r="B561" s="38" t="s">
        <v>979</v>
      </c>
      <c r="C561" s="40">
        <v>5.12</v>
      </c>
      <c r="D561" s="111"/>
    </row>
    <row r="562" spans="1:4" ht="15.75" outlineLevel="1">
      <c r="A562" s="37" t="s">
        <v>1085</v>
      </c>
      <c r="B562" s="38" t="s">
        <v>371</v>
      </c>
      <c r="C562" s="37">
        <v>5.1210000000000004</v>
      </c>
      <c r="D562" s="111"/>
    </row>
    <row r="563" spans="1:4" ht="15.75" outlineLevel="1">
      <c r="A563" s="37" t="s">
        <v>1085</v>
      </c>
      <c r="B563" s="38" t="s">
        <v>150</v>
      </c>
      <c r="C563" s="37">
        <v>5.36</v>
      </c>
      <c r="D563" s="111"/>
    </row>
    <row r="564" spans="1:4" ht="15.75" outlineLevel="1">
      <c r="A564" s="37" t="s">
        <v>1085</v>
      </c>
      <c r="B564" s="38" t="s">
        <v>1191</v>
      </c>
      <c r="C564" s="37">
        <v>5.1219999999999999</v>
      </c>
      <c r="D564" s="111"/>
    </row>
    <row r="565" spans="1:4" ht="15.75" outlineLevel="1">
      <c r="A565" s="37" t="s">
        <v>1085</v>
      </c>
      <c r="B565" s="38" t="s">
        <v>1192</v>
      </c>
      <c r="C565" s="37">
        <v>5.1230000000000002</v>
      </c>
      <c r="D565" s="111"/>
    </row>
    <row r="566" spans="1:4" ht="15.75" outlineLevel="1">
      <c r="A566" s="37" t="s">
        <v>1085</v>
      </c>
      <c r="B566" s="38" t="s">
        <v>943</v>
      </c>
      <c r="C566" s="37">
        <v>5.1239999999999997</v>
      </c>
      <c r="D566" s="111"/>
    </row>
    <row r="567" spans="1:4" ht="15.75" outlineLevel="1">
      <c r="A567" s="37" t="s">
        <v>1085</v>
      </c>
      <c r="B567" s="38" t="s">
        <v>951</v>
      </c>
      <c r="C567" s="37">
        <v>5.125</v>
      </c>
      <c r="D567" s="111"/>
    </row>
    <row r="568" spans="1:4" ht="15.75" outlineLevel="1">
      <c r="A568" s="37" t="s">
        <v>1085</v>
      </c>
      <c r="B568" s="38" t="s">
        <v>1193</v>
      </c>
      <c r="C568" s="37">
        <v>5.1260000000000003</v>
      </c>
      <c r="D568" s="111"/>
    </row>
    <row r="569" spans="1:4" ht="15.75" outlineLevel="1">
      <c r="A569" s="37" t="s">
        <v>1085</v>
      </c>
      <c r="B569" s="38" t="s">
        <v>969</v>
      </c>
      <c r="C569" s="37">
        <v>5.1269999999999998</v>
      </c>
      <c r="D569" s="111"/>
    </row>
    <row r="570" spans="1:4" ht="15.75" outlineLevel="1">
      <c r="A570" s="37" t="s">
        <v>1085</v>
      </c>
      <c r="B570" s="38" t="s">
        <v>954</v>
      </c>
      <c r="C570" s="39">
        <v>5.72</v>
      </c>
      <c r="D570" s="111"/>
    </row>
    <row r="571" spans="1:4" ht="15.75" outlineLevel="1">
      <c r="A571" s="37" t="s">
        <v>1085</v>
      </c>
      <c r="B571" s="38" t="s">
        <v>965</v>
      </c>
      <c r="C571" s="37">
        <v>5.1280000000000001</v>
      </c>
      <c r="D571" s="111"/>
    </row>
    <row r="572" spans="1:4" ht="15.75" outlineLevel="1">
      <c r="A572" s="37" t="s">
        <v>1085</v>
      </c>
      <c r="B572" s="38" t="s">
        <v>1194</v>
      </c>
      <c r="C572" s="37">
        <v>5.1289999999999996</v>
      </c>
      <c r="D572" s="110" t="s">
        <v>1154</v>
      </c>
    </row>
    <row r="573" spans="1:4" ht="15.75" outlineLevel="1">
      <c r="A573" s="37" t="s">
        <v>1085</v>
      </c>
      <c r="B573" s="38" t="s">
        <v>1195</v>
      </c>
      <c r="C573" s="37">
        <v>5.1310000000000002</v>
      </c>
      <c r="D573" s="111"/>
    </row>
    <row r="574" spans="1:4" ht="15.75" outlineLevel="1">
      <c r="A574" s="37" t="s">
        <v>1085</v>
      </c>
      <c r="B574" s="38" t="s">
        <v>1196</v>
      </c>
      <c r="C574" s="37">
        <v>5.1319999999999997</v>
      </c>
      <c r="D574" s="110" t="s">
        <v>1154</v>
      </c>
    </row>
    <row r="575" spans="1:4" ht="15.75" outlineLevel="1">
      <c r="A575" s="37" t="s">
        <v>1085</v>
      </c>
      <c r="B575" s="38" t="s">
        <v>994</v>
      </c>
      <c r="C575" s="37">
        <v>5.133</v>
      </c>
      <c r="D575" s="110" t="s">
        <v>1154</v>
      </c>
    </row>
    <row r="576" spans="1:4" ht="15.75" outlineLevel="1">
      <c r="A576" s="37" t="s">
        <v>1085</v>
      </c>
      <c r="B576" s="38" t="s">
        <v>1197</v>
      </c>
      <c r="C576" s="37">
        <v>5.1340000000000003</v>
      </c>
      <c r="D576" s="110" t="s">
        <v>1154</v>
      </c>
    </row>
    <row r="577" spans="1:4" ht="15.75" outlineLevel="1">
      <c r="A577" s="37" t="s">
        <v>1085</v>
      </c>
      <c r="B577" s="38" t="s">
        <v>1198</v>
      </c>
      <c r="C577" s="40">
        <v>5.13</v>
      </c>
      <c r="D577" s="111"/>
    </row>
    <row r="578" spans="1:4" ht="15.75" outlineLevel="1">
      <c r="A578" s="37" t="s">
        <v>1085</v>
      </c>
      <c r="B578" s="38" t="s">
        <v>24</v>
      </c>
      <c r="C578" s="37">
        <v>5.47</v>
      </c>
      <c r="D578" s="111"/>
    </row>
    <row r="579" spans="1:4" ht="15.75" outlineLevel="1">
      <c r="A579" s="37" t="s">
        <v>1085</v>
      </c>
      <c r="B579" s="38" t="s">
        <v>25</v>
      </c>
      <c r="C579" s="37">
        <v>5.48</v>
      </c>
      <c r="D579" s="111"/>
    </row>
    <row r="580" spans="1:4" ht="15.75">
      <c r="A580" s="43" t="s">
        <v>1085</v>
      </c>
      <c r="B580" s="38"/>
      <c r="C580" s="37"/>
      <c r="D580" s="111"/>
    </row>
    <row r="581" spans="1:4" ht="15.75" outlineLevel="1">
      <c r="A581" s="37" t="s">
        <v>1078</v>
      </c>
      <c r="B581" s="38" t="s">
        <v>0</v>
      </c>
      <c r="C581" s="37">
        <v>5.0999999999999996</v>
      </c>
      <c r="D581" s="111"/>
    </row>
    <row r="582" spans="1:4" ht="15.75" outlineLevel="1">
      <c r="A582" s="37" t="s">
        <v>1078</v>
      </c>
      <c r="B582" s="38" t="s">
        <v>1</v>
      </c>
      <c r="C582" s="37">
        <v>5.2</v>
      </c>
      <c r="D582" s="111"/>
    </row>
    <row r="583" spans="1:4" ht="15.75" outlineLevel="1">
      <c r="A583" s="37" t="s">
        <v>1078</v>
      </c>
      <c r="B583" s="38" t="s">
        <v>145</v>
      </c>
      <c r="C583" s="37">
        <v>5.9</v>
      </c>
      <c r="D583" s="110" t="s">
        <v>1154</v>
      </c>
    </row>
    <row r="584" spans="1:4" ht="15.75" outlineLevel="1">
      <c r="A584" s="37" t="s">
        <v>1078</v>
      </c>
      <c r="B584" s="38" t="s">
        <v>146</v>
      </c>
      <c r="C584" s="37">
        <v>5.13</v>
      </c>
      <c r="D584" s="110" t="s">
        <v>1154</v>
      </c>
    </row>
    <row r="585" spans="1:4" ht="15.75" outlineLevel="1">
      <c r="A585" s="37" t="s">
        <v>1078</v>
      </c>
      <c r="B585" s="38" t="s">
        <v>147</v>
      </c>
      <c r="C585" s="37">
        <v>5.16</v>
      </c>
      <c r="D585" s="110" t="s">
        <v>1154</v>
      </c>
    </row>
    <row r="586" spans="1:4" ht="15.75" outlineLevel="1">
      <c r="A586" s="37" t="s">
        <v>1078</v>
      </c>
      <c r="B586" s="38" t="s">
        <v>148</v>
      </c>
      <c r="C586" s="37">
        <v>5.22</v>
      </c>
      <c r="D586" s="110"/>
    </row>
    <row r="587" spans="1:4" ht="15.75" outlineLevel="1">
      <c r="A587" s="37" t="s">
        <v>1078</v>
      </c>
      <c r="B587" s="38" t="s">
        <v>5</v>
      </c>
      <c r="C587" s="37">
        <v>5.26</v>
      </c>
      <c r="D587" s="111"/>
    </row>
    <row r="588" spans="1:4" ht="15.75" outlineLevel="1">
      <c r="A588" s="37" t="s">
        <v>1078</v>
      </c>
      <c r="B588" s="38" t="s">
        <v>1199</v>
      </c>
      <c r="C588" s="37">
        <v>5.77</v>
      </c>
      <c r="D588" s="111"/>
    </row>
    <row r="589" spans="1:4" ht="15.75" outlineLevel="1">
      <c r="A589" s="37" t="s">
        <v>1078</v>
      </c>
      <c r="B589" s="38" t="s">
        <v>6</v>
      </c>
      <c r="C589" s="37">
        <v>5.27</v>
      </c>
      <c r="D589" s="111"/>
    </row>
    <row r="590" spans="1:4" ht="15.75" outlineLevel="1">
      <c r="A590" s="37" t="s">
        <v>1078</v>
      </c>
      <c r="B590" s="38" t="s">
        <v>7</v>
      </c>
      <c r="C590" s="37">
        <v>5.28</v>
      </c>
      <c r="D590" s="110" t="s">
        <v>1154</v>
      </c>
    </row>
    <row r="591" spans="1:4" ht="15.75" outlineLevel="1">
      <c r="A591" s="37" t="s">
        <v>1078</v>
      </c>
      <c r="B591" s="38" t="s">
        <v>186</v>
      </c>
      <c r="C591" s="37">
        <v>5.31</v>
      </c>
      <c r="D591" s="111"/>
    </row>
    <row r="592" spans="1:4" ht="15.75" outlineLevel="1">
      <c r="A592" s="37" t="s">
        <v>1078</v>
      </c>
      <c r="B592" s="38" t="s">
        <v>150</v>
      </c>
      <c r="C592" s="37">
        <v>5.36</v>
      </c>
      <c r="D592" s="111"/>
    </row>
    <row r="593" spans="1:4" ht="15.75" outlineLevel="1">
      <c r="A593" s="37" t="s">
        <v>1078</v>
      </c>
      <c r="B593" s="38" t="s">
        <v>1200</v>
      </c>
      <c r="C593" s="37">
        <v>5.78</v>
      </c>
      <c r="D593" s="111"/>
    </row>
    <row r="594" spans="1:4" ht="15.75" outlineLevel="1">
      <c r="A594" s="37" t="s">
        <v>1078</v>
      </c>
      <c r="B594" s="38" t="s">
        <v>1201</v>
      </c>
      <c r="C594" s="37">
        <v>5.79</v>
      </c>
      <c r="D594" s="110" t="s">
        <v>1154</v>
      </c>
    </row>
    <row r="595" spans="1:4" ht="15.75" outlineLevel="1">
      <c r="A595" s="37" t="s">
        <v>1078</v>
      </c>
      <c r="B595" s="38" t="s">
        <v>1202</v>
      </c>
      <c r="C595" s="37">
        <v>5.41</v>
      </c>
      <c r="D595" s="111"/>
    </row>
    <row r="596" spans="1:4" ht="15.75" outlineLevel="1">
      <c r="A596" s="37" t="s">
        <v>1078</v>
      </c>
      <c r="B596" s="38" t="s">
        <v>9</v>
      </c>
      <c r="C596" s="37">
        <v>5.49</v>
      </c>
      <c r="D596" s="111"/>
    </row>
    <row r="597" spans="1:4" ht="15.75" outlineLevel="1">
      <c r="A597" s="37" t="s">
        <v>1078</v>
      </c>
      <c r="B597" s="38" t="s">
        <v>10</v>
      </c>
      <c r="C597" s="37">
        <v>5.51</v>
      </c>
      <c r="D597" s="111"/>
    </row>
    <row r="598" spans="1:4" ht="15.75" outlineLevel="1">
      <c r="A598" s="37" t="s">
        <v>1078</v>
      </c>
      <c r="B598" s="38" t="s">
        <v>1203</v>
      </c>
      <c r="C598" s="37">
        <v>5.52</v>
      </c>
      <c r="D598" s="111"/>
    </row>
    <row r="599" spans="1:4" ht="15.75" outlineLevel="1">
      <c r="A599" s="37" t="s">
        <v>1078</v>
      </c>
      <c r="B599" s="38" t="s">
        <v>11</v>
      </c>
      <c r="C599" s="37">
        <v>5.53</v>
      </c>
      <c r="D599" s="111"/>
    </row>
    <row r="600" spans="1:4" ht="15.75" outlineLevel="1">
      <c r="A600" s="37" t="s">
        <v>1078</v>
      </c>
      <c r="B600" s="38" t="s">
        <v>12</v>
      </c>
      <c r="C600" s="37">
        <v>5.69</v>
      </c>
      <c r="D600" s="111"/>
    </row>
    <row r="601" spans="1:4" ht="15.75" outlineLevel="1">
      <c r="A601" s="37" t="s">
        <v>1078</v>
      </c>
      <c r="B601" s="38" t="s">
        <v>152</v>
      </c>
      <c r="C601" s="37">
        <v>5.71</v>
      </c>
      <c r="D601" s="111"/>
    </row>
    <row r="602" spans="1:4" ht="15.75" outlineLevel="1">
      <c r="A602" s="37" t="s">
        <v>1078</v>
      </c>
      <c r="B602" s="38" t="s">
        <v>14</v>
      </c>
      <c r="C602" s="39">
        <v>5.7</v>
      </c>
      <c r="D602" s="111"/>
    </row>
    <row r="603" spans="1:4" ht="15.75" outlineLevel="1">
      <c r="A603" s="37" t="s">
        <v>1078</v>
      </c>
      <c r="B603" s="38" t="s">
        <v>799</v>
      </c>
      <c r="C603" s="39">
        <v>5.8</v>
      </c>
      <c r="D603" s="110" t="s">
        <v>1154</v>
      </c>
    </row>
    <row r="604" spans="1:4" ht="15.75" outlineLevel="1">
      <c r="A604" s="37" t="s">
        <v>1078</v>
      </c>
      <c r="B604" s="38" t="s">
        <v>954</v>
      </c>
      <c r="C604" s="39">
        <v>5.72</v>
      </c>
      <c r="D604" s="110" t="s">
        <v>1154</v>
      </c>
    </row>
    <row r="605" spans="1:4" ht="15.75" outlineLevel="1">
      <c r="A605" s="37" t="s">
        <v>1078</v>
      </c>
      <c r="B605" s="38" t="s">
        <v>1204</v>
      </c>
      <c r="C605" s="37">
        <v>5.73</v>
      </c>
      <c r="D605" s="110" t="s">
        <v>1154</v>
      </c>
    </row>
    <row r="606" spans="1:4" ht="15.75" outlineLevel="1">
      <c r="A606" s="37" t="s">
        <v>1078</v>
      </c>
      <c r="B606" s="38" t="s">
        <v>15</v>
      </c>
      <c r="C606" s="37">
        <v>5.74</v>
      </c>
      <c r="D606" s="111"/>
    </row>
    <row r="607" spans="1:4" ht="15.75" outlineLevel="1">
      <c r="A607" s="37" t="s">
        <v>1078</v>
      </c>
      <c r="B607" s="38" t="s">
        <v>13</v>
      </c>
      <c r="C607" s="37">
        <v>5.75</v>
      </c>
      <c r="D607" s="111"/>
    </row>
    <row r="608" spans="1:4" ht="15.75" outlineLevel="1">
      <c r="A608" s="37" t="s">
        <v>1078</v>
      </c>
      <c r="B608" s="38" t="s">
        <v>457</v>
      </c>
      <c r="C608" s="37">
        <v>5.76</v>
      </c>
      <c r="D608" s="111"/>
    </row>
    <row r="609" spans="1:4" ht="15.75" outlineLevel="1">
      <c r="A609" s="37" t="s">
        <v>1078</v>
      </c>
      <c r="B609" s="38" t="s">
        <v>802</v>
      </c>
      <c r="C609" s="37">
        <v>5.81</v>
      </c>
      <c r="D609" s="110" t="s">
        <v>1154</v>
      </c>
    </row>
    <row r="610" spans="1:4" ht="15.75" outlineLevel="1">
      <c r="A610" s="37" t="s">
        <v>1078</v>
      </c>
      <c r="B610" s="38" t="s">
        <v>1205</v>
      </c>
      <c r="C610" s="37">
        <v>5.82</v>
      </c>
      <c r="D610" s="110" t="s">
        <v>1154</v>
      </c>
    </row>
    <row r="611" spans="1:4" ht="15.75" outlineLevel="1">
      <c r="A611" s="37" t="s">
        <v>1078</v>
      </c>
      <c r="B611" s="38" t="s">
        <v>1206</v>
      </c>
      <c r="C611" s="37">
        <v>5.83</v>
      </c>
      <c r="D611" s="110" t="s">
        <v>1154</v>
      </c>
    </row>
    <row r="612" spans="1:4" ht="15.75" outlineLevel="1">
      <c r="A612" s="37" t="s">
        <v>1078</v>
      </c>
      <c r="B612" s="38" t="s">
        <v>1207</v>
      </c>
      <c r="C612" s="37">
        <v>5.84</v>
      </c>
      <c r="D612" s="111"/>
    </row>
    <row r="613" spans="1:4" ht="15.75" outlineLevel="1">
      <c r="A613" s="37" t="s">
        <v>1078</v>
      </c>
      <c r="B613" s="38" t="s">
        <v>825</v>
      </c>
      <c r="C613" s="37">
        <v>5.85</v>
      </c>
      <c r="D613" s="110" t="s">
        <v>1154</v>
      </c>
    </row>
    <row r="614" spans="1:4" ht="15.75" outlineLevel="1">
      <c r="A614" s="37" t="s">
        <v>1078</v>
      </c>
      <c r="B614" s="38" t="s">
        <v>826</v>
      </c>
      <c r="C614" s="37">
        <v>5.86</v>
      </c>
      <c r="D614" s="110" t="s">
        <v>1154</v>
      </c>
    </row>
    <row r="615" spans="1:4" ht="15.75" outlineLevel="1">
      <c r="A615" s="37" t="s">
        <v>1078</v>
      </c>
      <c r="B615" s="38" t="s">
        <v>1208</v>
      </c>
      <c r="C615" s="37">
        <v>5.88</v>
      </c>
      <c r="D615" s="110" t="s">
        <v>1154</v>
      </c>
    </row>
    <row r="616" spans="1:4" ht="15.75" outlineLevel="1">
      <c r="A616" s="37" t="s">
        <v>1078</v>
      </c>
      <c r="B616" s="38" t="s">
        <v>832</v>
      </c>
      <c r="C616" s="37">
        <v>5.87</v>
      </c>
      <c r="D616" s="111"/>
    </row>
    <row r="617" spans="1:4" ht="15.75" outlineLevel="1">
      <c r="A617" s="37" t="s">
        <v>1078</v>
      </c>
      <c r="B617" s="38" t="s">
        <v>187</v>
      </c>
      <c r="C617" s="37">
        <v>5.109</v>
      </c>
      <c r="D617" s="111"/>
    </row>
    <row r="618" spans="1:4" ht="15.75" outlineLevel="1">
      <c r="A618" s="37" t="s">
        <v>1078</v>
      </c>
      <c r="B618" s="38" t="s">
        <v>200</v>
      </c>
      <c r="C618" s="40">
        <v>5.1100000000000003</v>
      </c>
      <c r="D618" s="110" t="s">
        <v>1154</v>
      </c>
    </row>
    <row r="619" spans="1:4" ht="15.75" outlineLevel="1">
      <c r="A619" s="37" t="s">
        <v>1078</v>
      </c>
      <c r="B619" s="38" t="s">
        <v>188</v>
      </c>
      <c r="C619" s="37">
        <v>5.1109999999999998</v>
      </c>
      <c r="D619" s="111"/>
    </row>
    <row r="620" spans="1:4" ht="15.75" outlineLevel="1">
      <c r="A620" s="37" t="s">
        <v>1078</v>
      </c>
      <c r="B620" s="38" t="s">
        <v>159</v>
      </c>
      <c r="C620" s="37">
        <v>5.1120000000000001</v>
      </c>
      <c r="D620" s="111"/>
    </row>
    <row r="621" spans="1:4" ht="15.75" outlineLevel="1">
      <c r="A621" s="37" t="s">
        <v>1078</v>
      </c>
      <c r="B621" s="38" t="s">
        <v>1170</v>
      </c>
      <c r="C621" s="37">
        <v>5.1130000000000004</v>
      </c>
      <c r="D621" s="111"/>
    </row>
    <row r="622" spans="1:4" ht="15.75" outlineLevel="1">
      <c r="A622" s="37" t="s">
        <v>1078</v>
      </c>
      <c r="B622" s="38" t="s">
        <v>1209</v>
      </c>
      <c r="C622" s="37">
        <v>5.99</v>
      </c>
      <c r="D622" s="110" t="s">
        <v>1154</v>
      </c>
    </row>
    <row r="623" spans="1:4" ht="15.75" outlineLevel="1">
      <c r="A623" s="37" t="s">
        <v>1078</v>
      </c>
      <c r="B623" s="38" t="s">
        <v>1210</v>
      </c>
      <c r="C623" s="37">
        <v>5.58</v>
      </c>
      <c r="D623" s="110"/>
    </row>
    <row r="624" spans="1:4" ht="15.75" outlineLevel="1">
      <c r="A624" s="37" t="s">
        <v>1078</v>
      </c>
      <c r="B624" s="38" t="s">
        <v>18</v>
      </c>
      <c r="C624" s="37">
        <v>5.54</v>
      </c>
      <c r="D624" s="111"/>
    </row>
    <row r="625" spans="1:4" ht="15.75" outlineLevel="1">
      <c r="A625" s="37" t="s">
        <v>1078</v>
      </c>
      <c r="B625" s="38" t="s">
        <v>1211</v>
      </c>
      <c r="C625" s="37">
        <v>5.56</v>
      </c>
      <c r="D625" s="111"/>
    </row>
    <row r="626" spans="1:4" ht="15.75" outlineLevel="1">
      <c r="A626" s="37" t="s">
        <v>1078</v>
      </c>
      <c r="B626" s="38" t="s">
        <v>20</v>
      </c>
      <c r="C626" s="37">
        <v>5.63</v>
      </c>
      <c r="D626" s="111"/>
    </row>
    <row r="627" spans="1:4" ht="15.75" outlineLevel="1">
      <c r="A627" s="37" t="s">
        <v>1078</v>
      </c>
      <c r="B627" s="38" t="s">
        <v>201</v>
      </c>
      <c r="C627" s="37">
        <v>5.64</v>
      </c>
      <c r="D627" s="111"/>
    </row>
    <row r="628" spans="1:4" ht="15.75" outlineLevel="1">
      <c r="A628" s="37" t="s">
        <v>1078</v>
      </c>
      <c r="B628" s="38" t="s">
        <v>21</v>
      </c>
      <c r="C628" s="37">
        <v>5.65</v>
      </c>
      <c r="D628" s="111"/>
    </row>
    <row r="629" spans="1:4" ht="15.75" outlineLevel="1">
      <c r="A629" s="37" t="s">
        <v>1078</v>
      </c>
      <c r="B629" s="38" t="s">
        <v>202</v>
      </c>
      <c r="C629" s="37">
        <v>5.66</v>
      </c>
      <c r="D629" s="111"/>
    </row>
    <row r="630" spans="1:4" ht="15.75" outlineLevel="1">
      <c r="A630" s="37" t="s">
        <v>1078</v>
      </c>
      <c r="B630" s="38" t="s">
        <v>875</v>
      </c>
      <c r="C630" s="37">
        <v>5.89</v>
      </c>
      <c r="D630" s="110" t="s">
        <v>1154</v>
      </c>
    </row>
    <row r="631" spans="1:4" ht="15.75" outlineLevel="1">
      <c r="A631" s="37" t="s">
        <v>1078</v>
      </c>
      <c r="B631" s="38" t="s">
        <v>22</v>
      </c>
      <c r="C631" s="37">
        <v>5.68</v>
      </c>
      <c r="D631" s="111"/>
    </row>
    <row r="632" spans="1:4" ht="15.75" outlineLevel="1">
      <c r="A632" s="37" t="s">
        <v>1078</v>
      </c>
      <c r="B632" s="38" t="s">
        <v>24</v>
      </c>
      <c r="C632" s="37">
        <v>5.47</v>
      </c>
      <c r="D632" s="111"/>
    </row>
    <row r="633" spans="1:4" ht="15.75" outlineLevel="1">
      <c r="A633" s="37" t="s">
        <v>1078</v>
      </c>
      <c r="B633" s="38" t="s">
        <v>25</v>
      </c>
      <c r="C633" s="37">
        <v>5.48</v>
      </c>
      <c r="D633" s="111"/>
    </row>
    <row r="634" spans="1:4" ht="15.75">
      <c r="A634" s="43" t="s">
        <v>1078</v>
      </c>
      <c r="B634" s="38"/>
      <c r="C634" s="37"/>
      <c r="D634" s="111"/>
    </row>
    <row r="635" spans="1:4" ht="15.75" outlineLevel="1">
      <c r="A635" s="37" t="s">
        <v>1097</v>
      </c>
      <c r="B635" s="38" t="s">
        <v>0</v>
      </c>
      <c r="C635" s="37">
        <v>5.0999999999999996</v>
      </c>
      <c r="D635" s="111"/>
    </row>
    <row r="636" spans="1:4" ht="15.75" outlineLevel="1">
      <c r="A636" s="37" t="s">
        <v>1097</v>
      </c>
      <c r="B636" s="38" t="s">
        <v>1</v>
      </c>
      <c r="C636" s="37">
        <v>5.2</v>
      </c>
      <c r="D636" s="111"/>
    </row>
    <row r="637" spans="1:4" ht="15.75" outlineLevel="1">
      <c r="A637" s="37" t="s">
        <v>1097</v>
      </c>
      <c r="B637" s="38" t="s">
        <v>2</v>
      </c>
      <c r="C637" s="37">
        <v>5.3</v>
      </c>
      <c r="D637" s="111"/>
    </row>
    <row r="638" spans="1:4" ht="15.75" outlineLevel="1">
      <c r="A638" s="37" t="s">
        <v>1097</v>
      </c>
      <c r="B638" s="38" t="s">
        <v>183</v>
      </c>
      <c r="C638" s="37">
        <v>5.6</v>
      </c>
      <c r="D638" s="111"/>
    </row>
    <row r="639" spans="1:4" ht="15.75" outlineLevel="1">
      <c r="A639" s="37" t="s">
        <v>1097</v>
      </c>
      <c r="B639" s="38" t="s">
        <v>1156</v>
      </c>
      <c r="C639" s="39">
        <v>5.0999999999999996</v>
      </c>
      <c r="D639" s="111"/>
    </row>
    <row r="640" spans="1:4" ht="15.75" outlineLevel="1">
      <c r="A640" s="37" t="s">
        <v>1097</v>
      </c>
      <c r="B640" s="38" t="s">
        <v>1155</v>
      </c>
      <c r="C640" s="37">
        <v>5.14</v>
      </c>
      <c r="D640" s="111"/>
    </row>
    <row r="641" spans="1:4" ht="15.75" outlineLevel="1">
      <c r="A641" s="37" t="s">
        <v>1097</v>
      </c>
      <c r="B641" s="38" t="s">
        <v>4</v>
      </c>
      <c r="C641" s="37">
        <v>5.19</v>
      </c>
      <c r="D641" s="111"/>
    </row>
    <row r="642" spans="1:4" ht="15.75" outlineLevel="1">
      <c r="A642" s="37" t="s">
        <v>1097</v>
      </c>
      <c r="B642" s="38" t="s">
        <v>185</v>
      </c>
      <c r="C642" s="37">
        <v>5.24</v>
      </c>
      <c r="D642" s="111"/>
    </row>
    <row r="643" spans="1:4" ht="15.75" outlineLevel="1">
      <c r="A643" s="37" t="s">
        <v>1097</v>
      </c>
      <c r="B643" s="38" t="s">
        <v>5</v>
      </c>
      <c r="C643" s="37">
        <v>5.26</v>
      </c>
      <c r="D643" s="111"/>
    </row>
    <row r="644" spans="1:4" ht="15.75" outlineLevel="1">
      <c r="A644" s="37" t="s">
        <v>1097</v>
      </c>
      <c r="B644" s="38" t="s">
        <v>6</v>
      </c>
      <c r="C644" s="37">
        <v>5.27</v>
      </c>
      <c r="D644" s="111"/>
    </row>
    <row r="645" spans="1:4" ht="15.75" outlineLevel="1">
      <c r="A645" s="37" t="s">
        <v>1097</v>
      </c>
      <c r="B645" s="38" t="s">
        <v>7</v>
      </c>
      <c r="C645" s="37">
        <v>5.28</v>
      </c>
      <c r="D645" s="111"/>
    </row>
    <row r="646" spans="1:4" ht="15.75" outlineLevel="1">
      <c r="A646" s="37" t="s">
        <v>1097</v>
      </c>
      <c r="B646" s="38" t="s">
        <v>150</v>
      </c>
      <c r="C646" s="37">
        <v>5.36</v>
      </c>
      <c r="D646" s="111"/>
    </row>
    <row r="647" spans="1:4" ht="15.75" outlineLevel="1">
      <c r="A647" s="37" t="s">
        <v>1097</v>
      </c>
      <c r="B647" s="38" t="s">
        <v>222</v>
      </c>
      <c r="C647" s="37">
        <v>5.33</v>
      </c>
      <c r="D647" s="111"/>
    </row>
    <row r="648" spans="1:4" ht="15.75" outlineLevel="1">
      <c r="A648" s="37" t="s">
        <v>1097</v>
      </c>
      <c r="B648" s="38" t="s">
        <v>194</v>
      </c>
      <c r="C648" s="37">
        <v>5.37</v>
      </c>
      <c r="D648" s="111"/>
    </row>
    <row r="649" spans="1:4" ht="15.75" outlineLevel="1">
      <c r="A649" s="37" t="s">
        <v>1097</v>
      </c>
      <c r="B649" s="38" t="s">
        <v>9</v>
      </c>
      <c r="C649" s="37">
        <v>5.49</v>
      </c>
      <c r="D649" s="111"/>
    </row>
    <row r="650" spans="1:4" ht="15.75" outlineLevel="1">
      <c r="A650" s="37" t="s">
        <v>1097</v>
      </c>
      <c r="B650" s="38" t="s">
        <v>10</v>
      </c>
      <c r="C650" s="37">
        <v>5.51</v>
      </c>
      <c r="D650" s="111"/>
    </row>
    <row r="651" spans="1:4" ht="15.75" outlineLevel="1">
      <c r="A651" s="37" t="s">
        <v>1097</v>
      </c>
      <c r="B651" s="38" t="s">
        <v>1157</v>
      </c>
      <c r="C651" s="37">
        <v>5.52</v>
      </c>
      <c r="D651" s="111"/>
    </row>
    <row r="652" spans="1:4" ht="15.75" outlineLevel="1">
      <c r="A652" s="37" t="s">
        <v>1097</v>
      </c>
      <c r="B652" s="38" t="s">
        <v>11</v>
      </c>
      <c r="C652" s="37">
        <v>5.53</v>
      </c>
      <c r="D652" s="111"/>
    </row>
    <row r="653" spans="1:4" ht="15.75" outlineLevel="1">
      <c r="A653" s="37" t="s">
        <v>1097</v>
      </c>
      <c r="B653" s="38" t="s">
        <v>12</v>
      </c>
      <c r="C653" s="37">
        <v>5.69</v>
      </c>
      <c r="D653" s="111"/>
    </row>
    <row r="654" spans="1:4" ht="15.75" outlineLevel="1">
      <c r="A654" s="37" t="s">
        <v>1097</v>
      </c>
      <c r="B654" s="38" t="s">
        <v>14</v>
      </c>
      <c r="C654" s="39">
        <v>5.7</v>
      </c>
      <c r="D654" s="111"/>
    </row>
    <row r="655" spans="1:4" ht="15.75" outlineLevel="1">
      <c r="A655" s="37" t="s">
        <v>1097</v>
      </c>
      <c r="B655" s="38" t="s">
        <v>15</v>
      </c>
      <c r="C655" s="37">
        <v>5.74</v>
      </c>
      <c r="D655" s="111"/>
    </row>
    <row r="656" spans="1:4" ht="15.75" outlineLevel="1">
      <c r="A656" s="37" t="s">
        <v>1097</v>
      </c>
      <c r="B656" s="38" t="s">
        <v>187</v>
      </c>
      <c r="C656" s="37">
        <v>5.109</v>
      </c>
      <c r="D656" s="111"/>
    </row>
    <row r="657" spans="1:4" ht="15.75" outlineLevel="1">
      <c r="A657" s="37" t="s">
        <v>1097</v>
      </c>
      <c r="B657" s="38" t="s">
        <v>188</v>
      </c>
      <c r="C657" s="37">
        <v>5.1109999999999998</v>
      </c>
      <c r="D657" s="111"/>
    </row>
    <row r="658" spans="1:4" ht="15.75" outlineLevel="1">
      <c r="A658" s="37" t="s">
        <v>1097</v>
      </c>
      <c r="B658" s="38" t="s">
        <v>159</v>
      </c>
      <c r="C658" s="37">
        <v>5.1120000000000001</v>
      </c>
      <c r="D658" s="111"/>
    </row>
    <row r="659" spans="1:4" ht="15.75" outlineLevel="1">
      <c r="A659" s="37" t="s">
        <v>1097</v>
      </c>
      <c r="B659" s="38" t="s">
        <v>17</v>
      </c>
      <c r="C659" s="37">
        <v>5.58</v>
      </c>
      <c r="D659" s="111"/>
    </row>
    <row r="660" spans="1:4" ht="15.75" outlineLevel="1">
      <c r="A660" s="37" t="s">
        <v>1097</v>
      </c>
      <c r="B660" s="38" t="s">
        <v>18</v>
      </c>
      <c r="C660" s="37">
        <v>5.54</v>
      </c>
      <c r="D660" s="111"/>
    </row>
    <row r="661" spans="1:4" ht="15.75" outlineLevel="1">
      <c r="A661" s="37" t="s">
        <v>1097</v>
      </c>
      <c r="B661" s="38" t="s">
        <v>19</v>
      </c>
      <c r="C661" s="37">
        <v>5.55</v>
      </c>
      <c r="D661" s="111"/>
    </row>
    <row r="662" spans="1:4" ht="15.75" outlineLevel="1">
      <c r="A662" s="37" t="s">
        <v>1097</v>
      </c>
      <c r="B662" s="38" t="s">
        <v>20</v>
      </c>
      <c r="C662" s="37">
        <v>5.63</v>
      </c>
      <c r="D662" s="111"/>
    </row>
    <row r="663" spans="1:4" ht="15.75" outlineLevel="1">
      <c r="A663" s="37" t="s">
        <v>1097</v>
      </c>
      <c r="B663" s="38" t="s">
        <v>24</v>
      </c>
      <c r="C663" s="37">
        <v>5.47</v>
      </c>
      <c r="D663" s="111"/>
    </row>
    <row r="664" spans="1:4" ht="15.75" outlineLevel="1">
      <c r="A664" s="37" t="s">
        <v>1097</v>
      </c>
      <c r="B664" s="38" t="s">
        <v>25</v>
      </c>
      <c r="C664" s="37">
        <v>5.48</v>
      </c>
      <c r="D664" s="111"/>
    </row>
    <row r="665" spans="1:4" ht="15.75">
      <c r="A665" s="43" t="s">
        <v>1097</v>
      </c>
      <c r="B665" s="38"/>
      <c r="C665" s="37"/>
      <c r="D665" s="111"/>
    </row>
    <row r="666" spans="1:4" ht="15.75" outlineLevel="1">
      <c r="A666" s="37" t="s">
        <v>1102</v>
      </c>
      <c r="B666" s="38" t="s">
        <v>0</v>
      </c>
      <c r="C666" s="37">
        <v>5.0999999999999996</v>
      </c>
      <c r="D666" s="111"/>
    </row>
    <row r="667" spans="1:4" ht="15.75" outlineLevel="1">
      <c r="A667" s="37" t="s">
        <v>1102</v>
      </c>
      <c r="B667" s="38" t="s">
        <v>1</v>
      </c>
      <c r="C667" s="37">
        <v>5.2</v>
      </c>
      <c r="D667" s="111"/>
    </row>
    <row r="668" spans="1:4" ht="15.75" outlineLevel="1">
      <c r="A668" s="37" t="s">
        <v>1102</v>
      </c>
      <c r="B668" s="38" t="s">
        <v>205</v>
      </c>
      <c r="C668" s="37">
        <v>5.4</v>
      </c>
      <c r="D668" s="111"/>
    </row>
    <row r="669" spans="1:4" ht="15.75" outlineLevel="1">
      <c r="A669" s="37" t="s">
        <v>1102</v>
      </c>
      <c r="B669" s="38" t="s">
        <v>206</v>
      </c>
      <c r="C669" s="37">
        <v>5.7</v>
      </c>
      <c r="D669" s="111"/>
    </row>
    <row r="670" spans="1:4" ht="15.75" outlineLevel="1">
      <c r="A670" s="37" t="s">
        <v>1102</v>
      </c>
      <c r="B670" s="38" t="s">
        <v>207</v>
      </c>
      <c r="C670" s="37">
        <v>5.1100000000000003</v>
      </c>
      <c r="D670" s="111"/>
    </row>
    <row r="671" spans="1:4" ht="15.75" outlineLevel="1">
      <c r="A671" s="37" t="s">
        <v>1102</v>
      </c>
      <c r="B671" s="38" t="s">
        <v>5</v>
      </c>
      <c r="C671" s="37">
        <v>5.26</v>
      </c>
      <c r="D671" s="111"/>
    </row>
    <row r="672" spans="1:4" ht="15.75" outlineLevel="1">
      <c r="A672" s="37" t="s">
        <v>1102</v>
      </c>
      <c r="B672" s="38" t="s">
        <v>208</v>
      </c>
      <c r="C672" s="37">
        <v>5.43</v>
      </c>
      <c r="D672" s="111"/>
    </row>
    <row r="673" spans="1:4" ht="15.75" outlineLevel="1">
      <c r="A673" s="37" t="s">
        <v>1102</v>
      </c>
      <c r="B673" s="38" t="s">
        <v>6</v>
      </c>
      <c r="C673" s="37">
        <v>5.27</v>
      </c>
      <c r="D673" s="111"/>
    </row>
    <row r="674" spans="1:4" ht="15.75" outlineLevel="1">
      <c r="A674" s="37" t="s">
        <v>1102</v>
      </c>
      <c r="B674" s="38" t="s">
        <v>7</v>
      </c>
      <c r="C674" s="37">
        <v>5.28</v>
      </c>
      <c r="D674" s="111"/>
    </row>
    <row r="675" spans="1:4" ht="15.75" outlineLevel="1">
      <c r="A675" s="37" t="s">
        <v>1102</v>
      </c>
      <c r="B675" s="38" t="s">
        <v>150</v>
      </c>
      <c r="C675" s="37">
        <v>5.36</v>
      </c>
      <c r="D675" s="111"/>
    </row>
    <row r="676" spans="1:4" ht="15.75" outlineLevel="1">
      <c r="A676" s="37" t="s">
        <v>1102</v>
      </c>
      <c r="B676" s="38" t="s">
        <v>209</v>
      </c>
      <c r="C676" s="39">
        <v>5.5</v>
      </c>
      <c r="D676" s="111"/>
    </row>
    <row r="677" spans="1:4" ht="15.75" outlineLevel="1">
      <c r="A677" s="37" t="s">
        <v>1102</v>
      </c>
      <c r="B677" s="38" t="s">
        <v>10</v>
      </c>
      <c r="C677" s="37">
        <v>5.51</v>
      </c>
      <c r="D677" s="111"/>
    </row>
    <row r="678" spans="1:4" ht="15.75" outlineLevel="1">
      <c r="A678" s="37" t="s">
        <v>1102</v>
      </c>
      <c r="B678" s="38" t="s">
        <v>11</v>
      </c>
      <c r="C678" s="37">
        <v>5.53</v>
      </c>
      <c r="D678" s="111"/>
    </row>
    <row r="679" spans="1:4" ht="15.75" outlineLevel="1">
      <c r="A679" s="37" t="s">
        <v>1102</v>
      </c>
      <c r="B679" s="38" t="s">
        <v>12</v>
      </c>
      <c r="C679" s="37">
        <v>5.69</v>
      </c>
      <c r="D679" s="111"/>
    </row>
    <row r="680" spans="1:4" ht="15.75" outlineLevel="1">
      <c r="A680" s="37" t="s">
        <v>1102</v>
      </c>
      <c r="B680" s="38" t="s">
        <v>14</v>
      </c>
      <c r="C680" s="39">
        <v>5.7</v>
      </c>
      <c r="D680" s="110" t="s">
        <v>1154</v>
      </c>
    </row>
    <row r="681" spans="1:4" ht="15.75" outlineLevel="1">
      <c r="A681" s="37" t="s">
        <v>1102</v>
      </c>
      <c r="B681" s="38" t="s">
        <v>15</v>
      </c>
      <c r="C681" s="37">
        <v>5.74</v>
      </c>
      <c r="D681" s="111"/>
    </row>
    <row r="682" spans="1:4" ht="15.75" outlineLevel="1">
      <c r="A682" s="37" t="s">
        <v>1102</v>
      </c>
      <c r="B682" s="38" t="s">
        <v>160</v>
      </c>
      <c r="C682" s="37">
        <v>5.59</v>
      </c>
      <c r="D682" s="111"/>
    </row>
    <row r="683" spans="1:4" ht="15.75" outlineLevel="1">
      <c r="A683" s="37" t="s">
        <v>1102</v>
      </c>
      <c r="B683" s="38" t="s">
        <v>18</v>
      </c>
      <c r="C683" s="37">
        <v>5.54</v>
      </c>
      <c r="D683" s="111"/>
    </row>
    <row r="684" spans="1:4" ht="15.75" outlineLevel="1">
      <c r="A684" s="37" t="s">
        <v>1102</v>
      </c>
      <c r="B684" s="38" t="s">
        <v>210</v>
      </c>
      <c r="C684" s="37">
        <v>5.57</v>
      </c>
      <c r="D684" s="111"/>
    </row>
    <row r="685" spans="1:4" ht="15.75" outlineLevel="1">
      <c r="A685" s="37" t="s">
        <v>1102</v>
      </c>
      <c r="B685" s="38" t="s">
        <v>20</v>
      </c>
      <c r="C685" s="37">
        <v>5.63</v>
      </c>
      <c r="D685" s="111"/>
    </row>
    <row r="686" spans="1:4" ht="15.75" outlineLevel="1">
      <c r="A686" s="37" t="s">
        <v>1102</v>
      </c>
      <c r="B686" s="38" t="s">
        <v>24</v>
      </c>
      <c r="C686" s="37">
        <v>5.47</v>
      </c>
      <c r="D686" s="111"/>
    </row>
    <row r="687" spans="1:4" ht="15.75" outlineLevel="1">
      <c r="A687" s="37" t="s">
        <v>1102</v>
      </c>
      <c r="B687" s="38" t="s">
        <v>25</v>
      </c>
      <c r="C687" s="37">
        <v>5.48</v>
      </c>
      <c r="D687" s="111"/>
    </row>
    <row r="688" spans="1:4" ht="15.75">
      <c r="A688" s="43" t="s">
        <v>1102</v>
      </c>
      <c r="B688" s="38"/>
      <c r="C688" s="37"/>
      <c r="D688" s="111"/>
    </row>
    <row r="689" spans="1:4" ht="15.75" outlineLevel="1">
      <c r="A689" s="37" t="s">
        <v>1105</v>
      </c>
      <c r="B689" s="38" t="s">
        <v>0</v>
      </c>
      <c r="C689" s="37">
        <v>5.0999999999999996</v>
      </c>
      <c r="D689" s="111"/>
    </row>
    <row r="690" spans="1:4" ht="15.75" outlineLevel="1">
      <c r="A690" s="37" t="s">
        <v>1105</v>
      </c>
      <c r="B690" s="38" t="s">
        <v>1</v>
      </c>
      <c r="C690" s="37">
        <v>5.2</v>
      </c>
      <c r="D690" s="111"/>
    </row>
    <row r="691" spans="1:4" ht="15.75" outlineLevel="1">
      <c r="A691" s="37" t="s">
        <v>1105</v>
      </c>
      <c r="B691" s="38" t="s">
        <v>192</v>
      </c>
      <c r="C691" s="37">
        <v>5.17</v>
      </c>
      <c r="D691" s="111"/>
    </row>
    <row r="692" spans="1:4" ht="15.75" outlineLevel="1">
      <c r="A692" s="37" t="s">
        <v>1105</v>
      </c>
      <c r="B692" s="38" t="s">
        <v>5</v>
      </c>
      <c r="C692" s="37">
        <v>5.26</v>
      </c>
      <c r="D692" s="111"/>
    </row>
    <row r="693" spans="1:4" ht="15.75" outlineLevel="1">
      <c r="A693" s="37" t="s">
        <v>1105</v>
      </c>
      <c r="B693" s="38" t="s">
        <v>193</v>
      </c>
      <c r="C693" s="37">
        <v>5.1029999999999998</v>
      </c>
      <c r="D693" s="111"/>
    </row>
    <row r="694" spans="1:4" ht="15.75" outlineLevel="1">
      <c r="A694" s="37" t="s">
        <v>1105</v>
      </c>
      <c r="B694" s="38" t="s">
        <v>150</v>
      </c>
      <c r="C694" s="37">
        <v>5.36</v>
      </c>
      <c r="D694" s="111"/>
    </row>
    <row r="695" spans="1:4" ht="15.75" outlineLevel="1">
      <c r="A695" s="37" t="s">
        <v>1105</v>
      </c>
      <c r="B695" s="38" t="s">
        <v>194</v>
      </c>
      <c r="C695" s="37">
        <v>5.37</v>
      </c>
      <c r="D695" s="111"/>
    </row>
    <row r="696" spans="1:4" ht="15.75" outlineLevel="1">
      <c r="A696" s="37" t="s">
        <v>1105</v>
      </c>
      <c r="B696" s="38" t="s">
        <v>195</v>
      </c>
      <c r="C696" s="37">
        <v>5.1040000000000001</v>
      </c>
      <c r="D696" s="111"/>
    </row>
    <row r="697" spans="1:4" ht="15.75" outlineLevel="1">
      <c r="A697" s="37" t="s">
        <v>1105</v>
      </c>
      <c r="B697" s="38" t="s">
        <v>196</v>
      </c>
      <c r="C697" s="37">
        <v>5.1050000000000004</v>
      </c>
      <c r="D697" s="111"/>
    </row>
    <row r="698" spans="1:4" ht="15.75" outlineLevel="1">
      <c r="A698" s="37" t="s">
        <v>1105</v>
      </c>
      <c r="B698" s="38" t="s">
        <v>197</v>
      </c>
      <c r="C698" s="37">
        <v>5.1059999999999999</v>
      </c>
      <c r="D698" s="111"/>
    </row>
    <row r="699" spans="1:4" ht="15.75" outlineLevel="1">
      <c r="A699" s="37" t="s">
        <v>1105</v>
      </c>
      <c r="B699" s="38" t="s">
        <v>198</v>
      </c>
      <c r="C699" s="37">
        <v>5.1070000000000002</v>
      </c>
      <c r="D699" s="111"/>
    </row>
    <row r="700" spans="1:4" ht="15.75" outlineLevel="1">
      <c r="A700" s="37" t="s">
        <v>1105</v>
      </c>
      <c r="B700" s="38" t="s">
        <v>926</v>
      </c>
      <c r="C700" s="37">
        <v>5.1079999999999997</v>
      </c>
      <c r="D700" s="110" t="s">
        <v>1154</v>
      </c>
    </row>
    <row r="701" spans="1:4" ht="15.75" outlineLevel="1">
      <c r="A701" s="37" t="s">
        <v>1105</v>
      </c>
      <c r="B701" s="38" t="s">
        <v>187</v>
      </c>
      <c r="C701" s="37">
        <v>5.109</v>
      </c>
      <c r="D701" s="111"/>
    </row>
    <row r="702" spans="1:4" ht="15.75" outlineLevel="1">
      <c r="A702" s="37" t="s">
        <v>1105</v>
      </c>
      <c r="B702" s="38" t="s">
        <v>200</v>
      </c>
      <c r="C702" s="40">
        <v>5.1100000000000003</v>
      </c>
      <c r="D702" s="110" t="s">
        <v>1154</v>
      </c>
    </row>
    <row r="703" spans="1:4" ht="15.75" outlineLevel="1">
      <c r="A703" s="37" t="s">
        <v>1105</v>
      </c>
      <c r="B703" s="38" t="s">
        <v>188</v>
      </c>
      <c r="C703" s="37">
        <v>5.1109999999999998</v>
      </c>
      <c r="D703" s="111"/>
    </row>
    <row r="704" spans="1:4" ht="15.75" outlineLevel="1">
      <c r="A704" s="37" t="s">
        <v>1105</v>
      </c>
      <c r="B704" s="38" t="s">
        <v>159</v>
      </c>
      <c r="C704" s="37">
        <v>5.1120000000000001</v>
      </c>
      <c r="D704" s="111"/>
    </row>
    <row r="705" spans="1:4" ht="15.75" outlineLevel="1">
      <c r="A705" s="37" t="s">
        <v>1105</v>
      </c>
      <c r="B705" s="38" t="s">
        <v>11</v>
      </c>
      <c r="C705" s="37">
        <v>5.53</v>
      </c>
      <c r="D705" s="111"/>
    </row>
    <row r="706" spans="1:4" ht="15.75" outlineLevel="1">
      <c r="A706" s="37" t="s">
        <v>1105</v>
      </c>
      <c r="B706" s="38" t="s">
        <v>201</v>
      </c>
      <c r="C706" s="37">
        <v>5.64</v>
      </c>
      <c r="D706" s="111"/>
    </row>
    <row r="707" spans="1:4" ht="15.75" outlineLevel="1">
      <c r="A707" s="37" t="s">
        <v>1105</v>
      </c>
      <c r="B707" s="38" t="s">
        <v>20</v>
      </c>
      <c r="C707" s="37">
        <v>5.63</v>
      </c>
      <c r="D707" s="111"/>
    </row>
    <row r="708" spans="1:4" ht="15.75" outlineLevel="1">
      <c r="A708" s="37" t="s">
        <v>1105</v>
      </c>
      <c r="B708" s="38" t="s">
        <v>21</v>
      </c>
      <c r="C708" s="37">
        <v>5.65</v>
      </c>
      <c r="D708" s="111"/>
    </row>
    <row r="709" spans="1:4" ht="15.75" outlineLevel="1">
      <c r="A709" s="37" t="s">
        <v>1105</v>
      </c>
      <c r="B709" s="38" t="s">
        <v>202</v>
      </c>
      <c r="C709" s="37">
        <v>5.66</v>
      </c>
      <c r="D709" s="111"/>
    </row>
    <row r="710" spans="1:4" ht="15.75" outlineLevel="1">
      <c r="A710" s="37" t="s">
        <v>1105</v>
      </c>
      <c r="B710" s="38" t="s">
        <v>22</v>
      </c>
      <c r="C710" s="37">
        <v>5.68</v>
      </c>
      <c r="D710" s="111"/>
    </row>
    <row r="711" spans="1:4" ht="15.75" outlineLevel="1">
      <c r="A711" s="37" t="s">
        <v>1105</v>
      </c>
      <c r="B711" s="38" t="s">
        <v>24</v>
      </c>
      <c r="C711" s="37">
        <v>5.47</v>
      </c>
      <c r="D711" s="111"/>
    </row>
    <row r="712" spans="1:4" ht="15.75" outlineLevel="1">
      <c r="A712" s="37" t="s">
        <v>1105</v>
      </c>
      <c r="B712" s="38" t="s">
        <v>25</v>
      </c>
      <c r="C712" s="37">
        <v>5.48</v>
      </c>
      <c r="D712" s="111"/>
    </row>
    <row r="713" spans="1:4" ht="15.75">
      <c r="A713" s="43" t="s">
        <v>1105</v>
      </c>
      <c r="B713" s="38"/>
      <c r="C713" s="37"/>
      <c r="D713" s="111"/>
    </row>
    <row r="714" spans="1:4" ht="15.75" outlineLevel="1">
      <c r="A714" s="37" t="s">
        <v>1212</v>
      </c>
      <c r="B714" s="38" t="s">
        <v>0</v>
      </c>
      <c r="C714" s="37">
        <v>5.0999999999999996</v>
      </c>
      <c r="D714" s="111"/>
    </row>
    <row r="715" spans="1:4" ht="15.75" outlineLevel="1">
      <c r="A715" s="37" t="s">
        <v>1212</v>
      </c>
      <c r="B715" s="38" t="s">
        <v>1</v>
      </c>
      <c r="C715" s="37">
        <v>5.2</v>
      </c>
      <c r="D715" s="111"/>
    </row>
    <row r="716" spans="1:4" ht="15.75" outlineLevel="1">
      <c r="A716" s="37" t="s">
        <v>1212</v>
      </c>
      <c r="B716" s="38" t="s">
        <v>2</v>
      </c>
      <c r="C716" s="37">
        <v>5.3</v>
      </c>
      <c r="D716" s="111"/>
    </row>
    <row r="717" spans="1:4" ht="15.75" outlineLevel="1">
      <c r="A717" s="37" t="s">
        <v>1212</v>
      </c>
      <c r="B717" s="38" t="s">
        <v>183</v>
      </c>
      <c r="C717" s="37">
        <v>5.6</v>
      </c>
      <c r="D717" s="111"/>
    </row>
    <row r="718" spans="1:4" ht="15.75" outlineLevel="1">
      <c r="A718" s="37" t="s">
        <v>1212</v>
      </c>
      <c r="B718" s="38" t="s">
        <v>1156</v>
      </c>
      <c r="C718" s="39">
        <v>5.0999999999999996</v>
      </c>
      <c r="D718" s="111"/>
    </row>
    <row r="719" spans="1:4" ht="15.75" outlineLevel="1">
      <c r="A719" s="37" t="s">
        <v>1212</v>
      </c>
      <c r="B719" s="38" t="s">
        <v>1155</v>
      </c>
      <c r="C719" s="37">
        <v>5.14</v>
      </c>
      <c r="D719" s="111"/>
    </row>
    <row r="720" spans="1:4" ht="15.75" outlineLevel="1">
      <c r="A720" s="37" t="s">
        <v>1212</v>
      </c>
      <c r="B720" s="38" t="s">
        <v>4</v>
      </c>
      <c r="C720" s="37">
        <v>5.19</v>
      </c>
      <c r="D720" s="111"/>
    </row>
    <row r="721" spans="1:4" ht="15.75" outlineLevel="1">
      <c r="A721" s="37" t="s">
        <v>1212</v>
      </c>
      <c r="B721" s="38" t="s">
        <v>185</v>
      </c>
      <c r="C721" s="37">
        <v>5.24</v>
      </c>
      <c r="D721" s="111"/>
    </row>
    <row r="722" spans="1:4" ht="15.75" outlineLevel="1">
      <c r="A722" s="37" t="s">
        <v>1212</v>
      </c>
      <c r="B722" s="38" t="s">
        <v>5</v>
      </c>
      <c r="C722" s="37">
        <v>5.26</v>
      </c>
      <c r="D722" s="111"/>
    </row>
    <row r="723" spans="1:4" ht="15.75" outlineLevel="1">
      <c r="A723" s="37" t="s">
        <v>1212</v>
      </c>
      <c r="B723" s="38" t="s">
        <v>6</v>
      </c>
      <c r="C723" s="37">
        <v>5.27</v>
      </c>
      <c r="D723" s="111"/>
    </row>
    <row r="724" spans="1:4" ht="15.75" outlineLevel="1">
      <c r="A724" s="37" t="s">
        <v>1212</v>
      </c>
      <c r="B724" s="38" t="s">
        <v>7</v>
      </c>
      <c r="C724" s="37">
        <v>5.28</v>
      </c>
      <c r="D724" s="111"/>
    </row>
    <row r="725" spans="1:4" ht="15.75" outlineLevel="1">
      <c r="A725" s="37" t="s">
        <v>1212</v>
      </c>
      <c r="B725" s="38" t="s">
        <v>186</v>
      </c>
      <c r="C725" s="37">
        <v>5.31</v>
      </c>
      <c r="D725" s="111"/>
    </row>
    <row r="726" spans="1:4" ht="15.75" outlineLevel="1">
      <c r="A726" s="37" t="s">
        <v>1212</v>
      </c>
      <c r="B726" s="38" t="s">
        <v>150</v>
      </c>
      <c r="C726" s="37">
        <v>5.36</v>
      </c>
      <c r="D726" s="111"/>
    </row>
    <row r="727" spans="1:4" ht="15.75" outlineLevel="1">
      <c r="A727" s="37" t="s">
        <v>1212</v>
      </c>
      <c r="B727" s="38" t="s">
        <v>11</v>
      </c>
      <c r="C727" s="37">
        <v>5.53</v>
      </c>
      <c r="D727" s="111"/>
    </row>
    <row r="728" spans="1:4" ht="15.75" outlineLevel="1">
      <c r="A728" s="37" t="s">
        <v>1212</v>
      </c>
      <c r="B728" s="38" t="s">
        <v>187</v>
      </c>
      <c r="C728" s="37">
        <v>5.109</v>
      </c>
      <c r="D728" s="111"/>
    </row>
    <row r="729" spans="1:4" ht="15.75" outlineLevel="1">
      <c r="A729" s="37" t="s">
        <v>1212</v>
      </c>
      <c r="B729" s="38" t="s">
        <v>188</v>
      </c>
      <c r="C729" s="37">
        <v>5.1109999999999998</v>
      </c>
      <c r="D729" s="111"/>
    </row>
    <row r="730" spans="1:4" ht="15.75" outlineLevel="1">
      <c r="A730" s="37" t="s">
        <v>1212</v>
      </c>
      <c r="B730" s="38" t="s">
        <v>159</v>
      </c>
      <c r="C730" s="37">
        <v>5.1120000000000001</v>
      </c>
      <c r="D730" s="111"/>
    </row>
    <row r="731" spans="1:4" ht="15.75" outlineLevel="1">
      <c r="A731" s="37" t="s">
        <v>1212</v>
      </c>
      <c r="B731" s="38" t="s">
        <v>1170</v>
      </c>
      <c r="C731" s="37">
        <v>5.1130000000000004</v>
      </c>
      <c r="D731" s="111"/>
    </row>
    <row r="732" spans="1:4" ht="15.75" outlineLevel="1">
      <c r="A732" s="37" t="s">
        <v>1212</v>
      </c>
      <c r="B732" s="38" t="s">
        <v>190</v>
      </c>
      <c r="C732" s="37">
        <v>5.117</v>
      </c>
      <c r="D732" s="111"/>
    </row>
    <row r="733" spans="1:4" ht="15.75" outlineLevel="1">
      <c r="A733" s="37" t="s">
        <v>1212</v>
      </c>
      <c r="B733" s="38" t="s">
        <v>191</v>
      </c>
      <c r="C733" s="37">
        <v>5.67</v>
      </c>
      <c r="D733" s="111"/>
    </row>
    <row r="734" spans="1:4" ht="15.75" outlineLevel="1">
      <c r="A734" s="37" t="s">
        <v>1212</v>
      </c>
      <c r="B734" s="38" t="s">
        <v>20</v>
      </c>
      <c r="C734" s="37">
        <v>5.63</v>
      </c>
      <c r="D734" s="111"/>
    </row>
    <row r="735" spans="1:4" ht="15.75" outlineLevel="1">
      <c r="A735" s="37" t="s">
        <v>1212</v>
      </c>
      <c r="B735" s="38" t="s">
        <v>24</v>
      </c>
      <c r="C735" s="37">
        <v>5.47</v>
      </c>
      <c r="D735" s="111"/>
    </row>
    <row r="736" spans="1:4" ht="15.75" outlineLevel="1">
      <c r="A736" s="37" t="s">
        <v>1212</v>
      </c>
      <c r="B736" s="38" t="s">
        <v>25</v>
      </c>
      <c r="C736" s="37">
        <v>5.48</v>
      </c>
      <c r="D736" s="111"/>
    </row>
    <row r="737" spans="1:4" ht="15.75">
      <c r="A737" s="43" t="s">
        <v>1213</v>
      </c>
      <c r="B737" s="38"/>
      <c r="C737" s="37"/>
      <c r="D737" s="111"/>
    </row>
    <row r="738" spans="1:4" ht="15.75" outlineLevel="1">
      <c r="A738" s="37" t="s">
        <v>1107</v>
      </c>
      <c r="B738" s="38" t="s">
        <v>0</v>
      </c>
      <c r="C738" s="37">
        <v>5.0999999999999996</v>
      </c>
      <c r="D738" s="111"/>
    </row>
    <row r="739" spans="1:4" ht="15.75" outlineLevel="1">
      <c r="A739" s="37" t="s">
        <v>1107</v>
      </c>
      <c r="B739" s="38" t="s">
        <v>1</v>
      </c>
      <c r="C739" s="37">
        <v>5.2</v>
      </c>
      <c r="D739" s="111"/>
    </row>
    <row r="740" spans="1:4" ht="15.75" outlineLevel="1">
      <c r="A740" s="37" t="s">
        <v>1107</v>
      </c>
      <c r="B740" s="38" t="s">
        <v>156</v>
      </c>
      <c r="C740" s="37">
        <v>5.18</v>
      </c>
      <c r="D740" s="111"/>
    </row>
    <row r="741" spans="1:4" ht="15.75" outlineLevel="1">
      <c r="A741" s="37" t="s">
        <v>1107</v>
      </c>
      <c r="B741" s="38" t="s">
        <v>157</v>
      </c>
      <c r="C741" s="37">
        <v>5.23</v>
      </c>
      <c r="D741" s="111"/>
    </row>
    <row r="742" spans="1:4" ht="15.75" outlineLevel="1">
      <c r="A742" s="37" t="s">
        <v>1107</v>
      </c>
      <c r="B742" s="38" t="s">
        <v>5</v>
      </c>
      <c r="C742" s="37">
        <v>5.26</v>
      </c>
      <c r="D742" s="111"/>
    </row>
    <row r="743" spans="1:4" ht="15.75" outlineLevel="1">
      <c r="A743" s="37" t="s">
        <v>1107</v>
      </c>
      <c r="B743" s="38" t="s">
        <v>6</v>
      </c>
      <c r="C743" s="37">
        <v>5.27</v>
      </c>
      <c r="D743" s="111"/>
    </row>
    <row r="744" spans="1:4" ht="15.75" outlineLevel="1">
      <c r="A744" s="37" t="s">
        <v>1107</v>
      </c>
      <c r="B744" s="38" t="s">
        <v>7</v>
      </c>
      <c r="C744" s="37">
        <v>5.28</v>
      </c>
      <c r="D744" s="111"/>
    </row>
    <row r="745" spans="1:4" ht="15.75" outlineLevel="1">
      <c r="A745" s="37" t="s">
        <v>1107</v>
      </c>
      <c r="B745" s="38" t="s">
        <v>150</v>
      </c>
      <c r="C745" s="37">
        <v>5.36</v>
      </c>
      <c r="D745" s="111"/>
    </row>
    <row r="746" spans="1:4" ht="15.75" outlineLevel="1">
      <c r="A746" s="37" t="s">
        <v>1107</v>
      </c>
      <c r="B746" s="38" t="s">
        <v>158</v>
      </c>
      <c r="C746" s="37">
        <v>5.44</v>
      </c>
      <c r="D746" s="111"/>
    </row>
    <row r="747" spans="1:4" ht="15.75" outlineLevel="1">
      <c r="A747" s="37" t="s">
        <v>1107</v>
      </c>
      <c r="B747" s="38" t="s">
        <v>11</v>
      </c>
      <c r="C747" s="37">
        <v>5.53</v>
      </c>
      <c r="D747" s="111"/>
    </row>
    <row r="748" spans="1:4" ht="15.75" outlineLevel="1">
      <c r="A748" s="37" t="s">
        <v>1107</v>
      </c>
      <c r="B748" s="38" t="s">
        <v>159</v>
      </c>
      <c r="C748" s="37">
        <v>5.1120000000000001</v>
      </c>
      <c r="D748" s="111"/>
    </row>
    <row r="749" spans="1:4" ht="15.75" outlineLevel="1">
      <c r="A749" s="37" t="s">
        <v>1107</v>
      </c>
      <c r="B749" s="38" t="s">
        <v>160</v>
      </c>
      <c r="C749" s="37">
        <v>5.59</v>
      </c>
      <c r="D749" s="111"/>
    </row>
    <row r="750" spans="1:4" ht="15.75" outlineLevel="1">
      <c r="A750" s="37" t="s">
        <v>1107</v>
      </c>
      <c r="B750" s="38" t="s">
        <v>18</v>
      </c>
      <c r="C750" s="37">
        <v>5.54</v>
      </c>
      <c r="D750" s="111"/>
    </row>
    <row r="751" spans="1:4" ht="15.75" outlineLevel="1">
      <c r="A751" s="37" t="s">
        <v>1107</v>
      </c>
      <c r="B751" s="38" t="s">
        <v>20</v>
      </c>
      <c r="C751" s="37">
        <v>5.63</v>
      </c>
      <c r="D751" s="111"/>
    </row>
    <row r="752" spans="1:4" ht="15.75" outlineLevel="1">
      <c r="A752" s="37" t="s">
        <v>1107</v>
      </c>
      <c r="B752" s="38" t="s">
        <v>21</v>
      </c>
      <c r="C752" s="37">
        <v>5.65</v>
      </c>
      <c r="D752" s="111"/>
    </row>
    <row r="753" spans="1:4" ht="15.75" outlineLevel="1">
      <c r="A753" s="37" t="s">
        <v>1107</v>
      </c>
      <c r="B753" s="38" t="s">
        <v>22</v>
      </c>
      <c r="C753" s="37">
        <v>5.68</v>
      </c>
      <c r="D753" s="111"/>
    </row>
    <row r="754" spans="1:4" ht="15.75" outlineLevel="1">
      <c r="A754" s="37" t="s">
        <v>1107</v>
      </c>
      <c r="B754" s="38" t="s">
        <v>24</v>
      </c>
      <c r="C754" s="37">
        <v>5.47</v>
      </c>
      <c r="D754" s="111"/>
    </row>
    <row r="755" spans="1:4" ht="15.75" outlineLevel="1">
      <c r="A755" s="37" t="s">
        <v>1107</v>
      </c>
      <c r="B755" s="38" t="s">
        <v>25</v>
      </c>
      <c r="C755" s="37">
        <v>5.48</v>
      </c>
      <c r="D755" s="111"/>
    </row>
    <row r="756" spans="1:4" ht="15.75">
      <c r="A756" s="43" t="s">
        <v>1107</v>
      </c>
      <c r="B756" s="38"/>
      <c r="C756" s="37"/>
      <c r="D756" s="111"/>
    </row>
    <row r="757" spans="1:4" ht="15.75" outlineLevel="1">
      <c r="A757" s="37" t="s">
        <v>1214</v>
      </c>
      <c r="B757" s="38" t="s">
        <v>0</v>
      </c>
      <c r="C757" s="37">
        <v>5.0999999999999996</v>
      </c>
      <c r="D757" s="111"/>
    </row>
    <row r="758" spans="1:4" ht="15.75" outlineLevel="1">
      <c r="A758" s="37" t="s">
        <v>1214</v>
      </c>
      <c r="B758" s="38" t="s">
        <v>1</v>
      </c>
      <c r="C758" s="37">
        <v>5.2</v>
      </c>
      <c r="D758" s="111"/>
    </row>
    <row r="759" spans="1:4" ht="15.75" outlineLevel="1">
      <c r="A759" s="37" t="s">
        <v>1214</v>
      </c>
      <c r="B759" s="38" t="s">
        <v>145</v>
      </c>
      <c r="C759" s="37">
        <v>5.9</v>
      </c>
      <c r="D759" s="110" t="s">
        <v>1154</v>
      </c>
    </row>
    <row r="760" spans="1:4" ht="15.75" outlineLevel="1">
      <c r="A760" s="37" t="s">
        <v>1214</v>
      </c>
      <c r="B760" s="38" t="s">
        <v>146</v>
      </c>
      <c r="C760" s="37">
        <v>5.13</v>
      </c>
      <c r="D760" s="111"/>
    </row>
    <row r="761" spans="1:4" ht="15.75" outlineLevel="1">
      <c r="A761" s="37" t="s">
        <v>1214</v>
      </c>
      <c r="B761" s="38" t="s">
        <v>147</v>
      </c>
      <c r="C761" s="37">
        <v>5.16</v>
      </c>
      <c r="D761" s="110" t="s">
        <v>1154</v>
      </c>
    </row>
    <row r="762" spans="1:4" ht="15.75" outlineLevel="1">
      <c r="A762" s="37" t="s">
        <v>1214</v>
      </c>
      <c r="B762" s="38" t="s">
        <v>148</v>
      </c>
      <c r="C762" s="37">
        <v>5.22</v>
      </c>
      <c r="D762" s="110"/>
    </row>
    <row r="763" spans="1:4" ht="15.75" outlineLevel="1">
      <c r="A763" s="37" t="s">
        <v>1214</v>
      </c>
      <c r="B763" s="38" t="s">
        <v>149</v>
      </c>
      <c r="C763" s="37">
        <v>5.42</v>
      </c>
      <c r="D763" s="111"/>
    </row>
    <row r="764" spans="1:4" ht="15.75" outlineLevel="1">
      <c r="A764" s="37" t="s">
        <v>1214</v>
      </c>
      <c r="B764" s="38" t="s">
        <v>6</v>
      </c>
      <c r="C764" s="37">
        <v>5.27</v>
      </c>
      <c r="D764" s="111"/>
    </row>
    <row r="765" spans="1:4" ht="15.75" outlineLevel="1">
      <c r="A765" s="37" t="s">
        <v>1214</v>
      </c>
      <c r="B765" s="38" t="s">
        <v>7</v>
      </c>
      <c r="C765" s="37">
        <v>5.28</v>
      </c>
      <c r="D765" s="110" t="s">
        <v>1154</v>
      </c>
    </row>
    <row r="766" spans="1:4" ht="15.75" outlineLevel="1">
      <c r="A766" s="37" t="s">
        <v>1214</v>
      </c>
      <c r="B766" s="38" t="s">
        <v>150</v>
      </c>
      <c r="C766" s="37">
        <v>5.36</v>
      </c>
      <c r="D766" s="111"/>
    </row>
    <row r="767" spans="1:4" ht="15.75" outlineLevel="1">
      <c r="A767" s="37" t="s">
        <v>1214</v>
      </c>
      <c r="B767" s="38" t="s">
        <v>9</v>
      </c>
      <c r="C767" s="37">
        <v>5.49</v>
      </c>
      <c r="D767" s="111"/>
    </row>
    <row r="768" spans="1:4" ht="15.75" outlineLevel="1">
      <c r="A768" s="37" t="s">
        <v>1214</v>
      </c>
      <c r="B768" s="38" t="s">
        <v>10</v>
      </c>
      <c r="C768" s="37">
        <v>5.51</v>
      </c>
      <c r="D768" s="111"/>
    </row>
    <row r="769" spans="1:4" ht="15.75" outlineLevel="1">
      <c r="A769" s="37" t="s">
        <v>1214</v>
      </c>
      <c r="B769" s="38" t="s">
        <v>1203</v>
      </c>
      <c r="C769" s="37">
        <v>5.52</v>
      </c>
      <c r="D769" s="111"/>
    </row>
    <row r="770" spans="1:4" ht="15.75" outlineLevel="1">
      <c r="A770" s="37" t="s">
        <v>1214</v>
      </c>
      <c r="B770" s="38" t="s">
        <v>11</v>
      </c>
      <c r="C770" s="37">
        <v>5.53</v>
      </c>
      <c r="D770" s="111"/>
    </row>
    <row r="771" spans="1:4" ht="15.75" outlineLevel="1">
      <c r="A771" s="37" t="s">
        <v>1214</v>
      </c>
      <c r="B771" s="38" t="s">
        <v>18</v>
      </c>
      <c r="C771" s="37">
        <v>5.54</v>
      </c>
      <c r="D771" s="111"/>
    </row>
    <row r="772" spans="1:4" ht="15.75" outlineLevel="1">
      <c r="A772" s="37" t="s">
        <v>1214</v>
      </c>
      <c r="B772" s="38" t="s">
        <v>14</v>
      </c>
      <c r="C772" s="39">
        <v>5.7</v>
      </c>
      <c r="D772" s="111"/>
    </row>
    <row r="773" spans="1:4" ht="15.75" outlineLevel="1">
      <c r="A773" s="37" t="s">
        <v>1214</v>
      </c>
      <c r="B773" s="38" t="s">
        <v>152</v>
      </c>
      <c r="C773" s="37">
        <v>5.71</v>
      </c>
      <c r="D773" s="111"/>
    </row>
    <row r="774" spans="1:4" ht="15.75" outlineLevel="1">
      <c r="A774" s="37" t="s">
        <v>1214</v>
      </c>
      <c r="B774" s="38" t="s">
        <v>153</v>
      </c>
      <c r="C774" s="39">
        <v>5.9</v>
      </c>
      <c r="D774" s="111"/>
    </row>
    <row r="775" spans="1:4" ht="15.75" outlineLevel="1">
      <c r="A775" s="37" t="s">
        <v>1214</v>
      </c>
      <c r="B775" s="38" t="s">
        <v>154</v>
      </c>
      <c r="C775" s="37">
        <v>5.91</v>
      </c>
      <c r="D775" s="111"/>
    </row>
    <row r="776" spans="1:4" ht="15.75" outlineLevel="1">
      <c r="A776" s="37" t="s">
        <v>1214</v>
      </c>
      <c r="B776" s="38" t="s">
        <v>155</v>
      </c>
      <c r="C776" s="37">
        <v>5.97</v>
      </c>
      <c r="D776" s="111"/>
    </row>
    <row r="777" spans="1:4" ht="15.75">
      <c r="A777" s="43" t="s">
        <v>1214</v>
      </c>
      <c r="B777" s="38"/>
      <c r="C777" s="37"/>
      <c r="D777" s="111"/>
    </row>
    <row r="778" spans="1:4" ht="15.75" outlineLevel="1">
      <c r="A778" s="37" t="s">
        <v>1141</v>
      </c>
      <c r="B778" s="38" t="s">
        <v>0</v>
      </c>
      <c r="C778" s="37">
        <v>5.0999999999999996</v>
      </c>
      <c r="D778" s="111"/>
    </row>
    <row r="779" spans="1:4" ht="15.75" outlineLevel="1">
      <c r="A779" s="37" t="s">
        <v>1141</v>
      </c>
      <c r="B779" s="38" t="s">
        <v>1</v>
      </c>
      <c r="C779" s="37">
        <v>5.2</v>
      </c>
      <c r="D779" s="111"/>
    </row>
    <row r="780" spans="1:4" ht="15.75" outlineLevel="1">
      <c r="A780" s="37" t="s">
        <v>1141</v>
      </c>
      <c r="B780" s="38" t="s">
        <v>5</v>
      </c>
      <c r="C780" s="37">
        <v>5.26</v>
      </c>
      <c r="D780" s="111"/>
    </row>
    <row r="781" spans="1:4" ht="15.75" outlineLevel="1">
      <c r="A781" s="37" t="s">
        <v>1141</v>
      </c>
      <c r="B781" s="38" t="s">
        <v>239</v>
      </c>
      <c r="C781" s="37">
        <v>5.5</v>
      </c>
      <c r="D781" s="111"/>
    </row>
    <row r="782" spans="1:4" ht="15.75" outlineLevel="1">
      <c r="A782" s="37" t="s">
        <v>1141</v>
      </c>
      <c r="B782" s="38" t="s">
        <v>240</v>
      </c>
      <c r="C782" s="37">
        <v>5.8</v>
      </c>
      <c r="D782" s="110" t="s">
        <v>1154</v>
      </c>
    </row>
    <row r="783" spans="1:4" ht="15.75" outlineLevel="1">
      <c r="A783" s="37" t="s">
        <v>1141</v>
      </c>
      <c r="B783" s="38" t="s">
        <v>241</v>
      </c>
      <c r="C783" s="37">
        <v>5.12</v>
      </c>
      <c r="D783" s="37"/>
    </row>
    <row r="784" spans="1:4" ht="15.75" outlineLevel="1">
      <c r="A784" s="37" t="s">
        <v>1141</v>
      </c>
      <c r="B784" s="38" t="s">
        <v>242</v>
      </c>
      <c r="C784" s="37">
        <v>5.15</v>
      </c>
      <c r="D784" s="37"/>
    </row>
    <row r="785" spans="1:4" ht="15.75" outlineLevel="1">
      <c r="A785" s="37" t="s">
        <v>1141</v>
      </c>
      <c r="B785" s="38" t="s">
        <v>243</v>
      </c>
      <c r="C785" s="39">
        <v>5.2</v>
      </c>
      <c r="D785" s="110"/>
    </row>
    <row r="786" spans="1:4" ht="15.75" outlineLevel="1">
      <c r="A786" s="37" t="s">
        <v>1141</v>
      </c>
      <c r="B786" s="38" t="s">
        <v>244</v>
      </c>
      <c r="C786" s="37">
        <v>5.25</v>
      </c>
      <c r="D786" s="37"/>
    </row>
    <row r="787" spans="1:4" ht="15.75" outlineLevel="1">
      <c r="A787" s="37" t="s">
        <v>1141</v>
      </c>
      <c r="B787" s="38" t="s">
        <v>11</v>
      </c>
      <c r="C787" s="37">
        <v>5.53</v>
      </c>
      <c r="D787" s="37"/>
    </row>
    <row r="788" spans="1:4" ht="15.75" outlineLevel="1">
      <c r="A788" s="37" t="s">
        <v>1141</v>
      </c>
      <c r="B788" s="38" t="s">
        <v>245</v>
      </c>
      <c r="C788" s="39">
        <v>5.4</v>
      </c>
      <c r="D788" s="37"/>
    </row>
    <row r="789" spans="1:4" ht="31.5" outlineLevel="1">
      <c r="A789" s="37" t="s">
        <v>1141</v>
      </c>
      <c r="B789" s="38" t="s">
        <v>246</v>
      </c>
      <c r="C789" s="37">
        <v>5.92</v>
      </c>
      <c r="D789" s="37"/>
    </row>
    <row r="790" spans="1:4" ht="15.75" outlineLevel="1">
      <c r="A790" s="37" t="s">
        <v>1141</v>
      </c>
      <c r="B790" s="38" t="s">
        <v>247</v>
      </c>
      <c r="C790" s="37">
        <v>5.93</v>
      </c>
      <c r="D790" s="37"/>
    </row>
    <row r="791" spans="1:4" ht="31.5" outlineLevel="1">
      <c r="A791" s="37" t="s">
        <v>1141</v>
      </c>
      <c r="B791" s="38" t="s">
        <v>248</v>
      </c>
      <c r="C791" s="37">
        <v>5.94</v>
      </c>
      <c r="D791" s="37"/>
    </row>
    <row r="792" spans="1:4" ht="15.75" outlineLevel="1">
      <c r="A792" s="37" t="s">
        <v>1141</v>
      </c>
      <c r="B792" s="38" t="s">
        <v>249</v>
      </c>
      <c r="C792" s="37">
        <v>5.95</v>
      </c>
      <c r="D792" s="37"/>
    </row>
    <row r="793" spans="1:4" ht="15.75" outlineLevel="1">
      <c r="A793" s="37" t="s">
        <v>1141</v>
      </c>
      <c r="B793" s="38" t="s">
        <v>250</v>
      </c>
      <c r="C793" s="37">
        <v>5.98</v>
      </c>
      <c r="D793" s="37"/>
    </row>
    <row r="794" spans="1:4" ht="15.75" outlineLevel="1">
      <c r="A794" s="37" t="s">
        <v>1141</v>
      </c>
      <c r="B794" s="38" t="s">
        <v>251</v>
      </c>
      <c r="C794" s="37">
        <v>5.96</v>
      </c>
      <c r="D794" s="37"/>
    </row>
    <row r="795" spans="1:4" ht="31.5">
      <c r="A795" s="43" t="s">
        <v>1141</v>
      </c>
      <c r="B795" s="38"/>
      <c r="C795" s="37"/>
      <c r="D795" s="3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1229</v>
      </c>
    </row>
    <row r="3" spans="1:2">
      <c r="A3" t="s">
        <v>1230</v>
      </c>
      <c r="B3" t="s">
        <v>1231</v>
      </c>
    </row>
    <row r="4" spans="1:2">
      <c r="A4" t="s">
        <v>226</v>
      </c>
      <c r="B4" t="s">
        <v>1232</v>
      </c>
    </row>
    <row r="5" spans="1:2">
      <c r="A5" t="s">
        <v>1233</v>
      </c>
      <c r="B5" t="s">
        <v>1234</v>
      </c>
    </row>
    <row r="6" spans="1:2">
      <c r="A6" t="s">
        <v>1235</v>
      </c>
      <c r="B6" t="s">
        <v>1236</v>
      </c>
    </row>
    <row r="7" spans="1:2">
      <c r="A7" t="s">
        <v>1237</v>
      </c>
      <c r="B7" t="s">
        <v>1238</v>
      </c>
    </row>
    <row r="8" spans="1:2">
      <c r="A8" t="s">
        <v>1239</v>
      </c>
      <c r="B8" t="s">
        <v>1240</v>
      </c>
    </row>
    <row r="10" spans="1:2" ht="15">
      <c r="A10" s="23" t="s">
        <v>1241</v>
      </c>
    </row>
    <row r="11" spans="1:2">
      <c r="A11" t="s">
        <v>1242</v>
      </c>
    </row>
    <row r="12" spans="1:2">
      <c r="A12" t="s">
        <v>1243</v>
      </c>
      <c r="B12" t="s">
        <v>1244</v>
      </c>
    </row>
    <row r="14" spans="1:2">
      <c r="A14" s="36"/>
    </row>
    <row r="15" spans="1:2" ht="15">
      <c r="A15" s="23" t="s">
        <v>1245</v>
      </c>
    </row>
    <row r="16" spans="1:2">
      <c r="A16" s="34" t="s">
        <v>1246</v>
      </c>
    </row>
    <row r="17" spans="1:2">
      <c r="A17" s="34" t="s">
        <v>1247</v>
      </c>
    </row>
    <row r="18" spans="1:2">
      <c r="A18" s="34" t="s">
        <v>1248</v>
      </c>
    </row>
    <row r="19" spans="1:2">
      <c r="A19" s="34" t="s">
        <v>1249</v>
      </c>
    </row>
    <row r="21" spans="1:2" ht="15">
      <c r="A21" s="35" t="s">
        <v>1250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1251</v>
      </c>
      <c r="B34" s="23" t="s">
        <v>359</v>
      </c>
    </row>
    <row r="35" spans="1:2">
      <c r="A35" s="15" t="s">
        <v>1252</v>
      </c>
      <c r="B35" s="42">
        <v>512310509</v>
      </c>
    </row>
    <row r="36" spans="1:2">
      <c r="A36" t="s">
        <v>1253</v>
      </c>
      <c r="B36" s="42">
        <v>513910703</v>
      </c>
    </row>
    <row r="37" spans="1:2">
      <c r="A37" t="s">
        <v>1254</v>
      </c>
      <c r="B37" s="42">
        <v>512304882</v>
      </c>
    </row>
    <row r="38" spans="1:2">
      <c r="A38" t="s">
        <v>1255</v>
      </c>
      <c r="B38" s="42">
        <v>520030677</v>
      </c>
    </row>
    <row r="39" spans="1:2">
      <c r="A39" t="s">
        <v>1256</v>
      </c>
      <c r="B39" s="42">
        <v>513621110</v>
      </c>
    </row>
    <row r="40" spans="1:2">
      <c r="A40" t="s">
        <v>1257</v>
      </c>
      <c r="B40" s="15">
        <v>513173393</v>
      </c>
    </row>
    <row r="41" spans="1:2">
      <c r="A41" t="s">
        <v>1258</v>
      </c>
      <c r="B41" s="15">
        <v>511880460</v>
      </c>
    </row>
    <row r="42" spans="1:2">
      <c r="A42" t="s">
        <v>1259</v>
      </c>
      <c r="B42" s="15">
        <v>510773922</v>
      </c>
    </row>
    <row r="43" spans="1:2">
      <c r="A43" t="s">
        <v>1260</v>
      </c>
      <c r="B43">
        <v>520021916</v>
      </c>
    </row>
    <row r="44" spans="1:2">
      <c r="A44" t="s">
        <v>1261</v>
      </c>
      <c r="B44">
        <v>520044025</v>
      </c>
    </row>
    <row r="45" spans="1:2">
      <c r="A45" t="s">
        <v>1262</v>
      </c>
      <c r="B45">
        <v>570003152</v>
      </c>
    </row>
    <row r="46" spans="1:2">
      <c r="A46" t="s">
        <v>1263</v>
      </c>
      <c r="B46" s="15">
        <v>520023094</v>
      </c>
    </row>
    <row r="47" spans="1:2">
      <c r="A47" t="s">
        <v>1264</v>
      </c>
      <c r="B47" s="15">
        <v>512711409</v>
      </c>
    </row>
    <row r="48" spans="1:2">
      <c r="A48" t="s">
        <v>1265</v>
      </c>
      <c r="B48">
        <v>515859379</v>
      </c>
    </row>
    <row r="49" spans="1:2">
      <c r="A49" t="s">
        <v>1266</v>
      </c>
      <c r="B49" s="15">
        <v>520030990</v>
      </c>
    </row>
    <row r="50" spans="1:2">
      <c r="A50" t="s">
        <v>1267</v>
      </c>
      <c r="B50" s="15">
        <v>520028812</v>
      </c>
    </row>
    <row r="51" spans="1:2">
      <c r="A51" t="s">
        <v>1268</v>
      </c>
      <c r="B51" s="15">
        <v>520034968</v>
      </c>
    </row>
    <row r="52" spans="1:2">
      <c r="A52" t="s">
        <v>1269</v>
      </c>
      <c r="B52" s="15">
        <v>520031824</v>
      </c>
    </row>
    <row r="53" spans="1:2">
      <c r="A53" t="s">
        <v>1270</v>
      </c>
      <c r="B53" s="15">
        <v>520005497</v>
      </c>
    </row>
    <row r="54" spans="1:2">
      <c r="A54" t="s">
        <v>1271</v>
      </c>
      <c r="B54" s="15">
        <v>520022518</v>
      </c>
    </row>
    <row r="55" spans="1:2">
      <c r="A55" t="s">
        <v>1272</v>
      </c>
      <c r="B55" s="15">
        <v>520028556</v>
      </c>
    </row>
    <row r="56" spans="1:2">
      <c r="A56" t="s">
        <v>1273</v>
      </c>
      <c r="B56" s="15">
        <v>520032269</v>
      </c>
    </row>
    <row r="57" spans="1:2">
      <c r="A57" t="s">
        <v>1274</v>
      </c>
      <c r="B57" s="15">
        <v>520027954</v>
      </c>
    </row>
    <row r="58" spans="1:2">
      <c r="A58" t="s">
        <v>1275</v>
      </c>
      <c r="B58">
        <v>520029620</v>
      </c>
    </row>
    <row r="59" spans="1:2">
      <c r="A59" t="s">
        <v>1276</v>
      </c>
      <c r="B59" s="15">
        <v>520028861</v>
      </c>
    </row>
    <row r="60" spans="1:2">
      <c r="A60" t="s">
        <v>1277</v>
      </c>
      <c r="B60" s="15">
        <v>520030743</v>
      </c>
    </row>
    <row r="61" spans="1:2">
      <c r="A61" t="s">
        <v>1278</v>
      </c>
      <c r="B61">
        <v>520042177</v>
      </c>
    </row>
    <row r="62" spans="1:2">
      <c r="A62" t="s">
        <v>1279</v>
      </c>
      <c r="B62" s="15">
        <v>515447035</v>
      </c>
    </row>
    <row r="63" spans="1:2">
      <c r="A63" t="s">
        <v>1280</v>
      </c>
      <c r="B63" s="15">
        <v>520042607</v>
      </c>
    </row>
    <row r="64" spans="1:2">
      <c r="A64" t="s">
        <v>1281</v>
      </c>
      <c r="B64" s="15">
        <v>513026484</v>
      </c>
    </row>
    <row r="65" spans="1:2">
      <c r="A65" t="s">
        <v>1282</v>
      </c>
      <c r="B65">
        <v>520023185</v>
      </c>
    </row>
    <row r="66" spans="1:2">
      <c r="A66" t="s">
        <v>1283</v>
      </c>
      <c r="B66">
        <v>520004078</v>
      </c>
    </row>
    <row r="67" spans="1:2">
      <c r="A67" t="s">
        <v>1284</v>
      </c>
      <c r="B67" s="15">
        <v>512267592</v>
      </c>
    </row>
    <row r="68" spans="1:2">
      <c r="A68" t="s">
        <v>1285</v>
      </c>
      <c r="B68">
        <v>515764868</v>
      </c>
    </row>
    <row r="69" spans="1:2">
      <c r="A69" t="s">
        <v>1286</v>
      </c>
      <c r="B69" s="15">
        <v>513452003</v>
      </c>
    </row>
    <row r="70" spans="1:2">
      <c r="A70" t="s">
        <v>1287</v>
      </c>
      <c r="B70" s="15">
        <v>510142789</v>
      </c>
    </row>
    <row r="71" spans="1:2">
      <c r="A71" t="s">
        <v>1288</v>
      </c>
      <c r="B71" s="15">
        <v>510960586</v>
      </c>
    </row>
    <row r="72" spans="1:2">
      <c r="A72" t="s">
        <v>1289</v>
      </c>
      <c r="B72" s="15">
        <v>510930670</v>
      </c>
    </row>
    <row r="73" spans="1:2">
      <c r="A73" t="s">
        <v>1290</v>
      </c>
      <c r="B73" s="15">
        <v>510927536</v>
      </c>
    </row>
    <row r="74" spans="1:2">
      <c r="A74" t="s">
        <v>1291</v>
      </c>
      <c r="B74" s="15">
        <v>510930654</v>
      </c>
    </row>
    <row r="75" spans="1:2">
      <c r="A75" t="s">
        <v>1292</v>
      </c>
      <c r="B75" s="15">
        <v>520032566</v>
      </c>
    </row>
    <row r="76" spans="1:2">
      <c r="A76" t="s">
        <v>1293</v>
      </c>
      <c r="B76" s="15">
        <v>513611509</v>
      </c>
    </row>
    <row r="77" spans="1:2">
      <c r="A77" t="s">
        <v>1294</v>
      </c>
      <c r="B77">
        <v>510888985</v>
      </c>
    </row>
    <row r="78" spans="1:2">
      <c r="A78" t="s">
        <v>1295</v>
      </c>
      <c r="B78">
        <v>520024647</v>
      </c>
    </row>
    <row r="79" spans="1:2">
      <c r="A79" t="s">
        <v>1296</v>
      </c>
      <c r="B79" s="15">
        <v>512244146</v>
      </c>
    </row>
    <row r="80" spans="1:2">
      <c r="A80" t="s">
        <v>1297</v>
      </c>
      <c r="B80" s="15">
        <v>510694821</v>
      </c>
    </row>
    <row r="81" spans="1:2">
      <c r="A81" t="s">
        <v>1298</v>
      </c>
      <c r="B81">
        <v>515761625</v>
      </c>
    </row>
    <row r="82" spans="1:2">
      <c r="A82" t="s">
        <v>1299</v>
      </c>
      <c r="B82" s="15">
        <v>511423048</v>
      </c>
    </row>
    <row r="83" spans="1:2">
      <c r="A83" t="s">
        <v>1300</v>
      </c>
      <c r="B83" s="15">
        <v>520019688</v>
      </c>
    </row>
    <row r="84" spans="1:2">
      <c r="A84" t="s">
        <v>1301</v>
      </c>
      <c r="B84">
        <v>520004896</v>
      </c>
    </row>
    <row r="85" spans="1:2">
      <c r="A85" t="s">
        <v>1302</v>
      </c>
      <c r="B85" s="15">
        <v>512237744</v>
      </c>
    </row>
    <row r="86" spans="1:2">
      <c r="A86" t="s">
        <v>1303</v>
      </c>
      <c r="B86" s="15">
        <v>514956465</v>
      </c>
    </row>
    <row r="87" spans="1:2">
      <c r="A87" t="s">
        <v>1304</v>
      </c>
      <c r="B87" s="15">
        <v>512362914</v>
      </c>
    </row>
    <row r="88" spans="1:2">
      <c r="A88" t="s">
        <v>1305</v>
      </c>
      <c r="B88" s="15">
        <v>520042615</v>
      </c>
    </row>
    <row r="89" spans="1:2">
      <c r="A89" t="s">
        <v>1306</v>
      </c>
      <c r="B89" s="15">
        <v>512065202</v>
      </c>
    </row>
    <row r="90" spans="1:2">
      <c r="A90" t="s">
        <v>1307</v>
      </c>
      <c r="B90">
        <v>520042540</v>
      </c>
    </row>
    <row r="91" spans="1:2">
      <c r="A91" t="s">
        <v>1308</v>
      </c>
      <c r="B91" s="15">
        <v>520027715</v>
      </c>
    </row>
    <row r="92" spans="1:2">
      <c r="A92" t="s">
        <v>1309</v>
      </c>
      <c r="B92" s="15">
        <v>512245812</v>
      </c>
    </row>
    <row r="93" spans="1:2">
      <c r="A93" t="s">
        <v>1310</v>
      </c>
      <c r="B93" s="15">
        <v>520022351</v>
      </c>
    </row>
    <row r="94" spans="1:2">
      <c r="A94" t="s">
        <v>1311</v>
      </c>
      <c r="B94" s="15">
        <v>514767490</v>
      </c>
    </row>
    <row r="95" spans="1:2">
      <c r="A95" t="s">
        <v>1312</v>
      </c>
      <c r="B95" s="15">
        <v>520024985</v>
      </c>
    </row>
    <row r="96" spans="1:2">
      <c r="A96" t="s">
        <v>1313</v>
      </c>
      <c r="B96" s="15">
        <v>520042573</v>
      </c>
    </row>
    <row r="97" spans="1:2">
      <c r="A97" t="s">
        <v>1314</v>
      </c>
      <c r="B97" s="15">
        <v>570009449</v>
      </c>
    </row>
    <row r="98" spans="1:2">
      <c r="A98" t="s">
        <v>1315</v>
      </c>
      <c r="B98" s="15">
        <v>520031659</v>
      </c>
    </row>
    <row r="99" spans="1:2">
      <c r="A99" t="s">
        <v>1316</v>
      </c>
      <c r="B99" s="15">
        <v>520042581</v>
      </c>
    </row>
    <row r="100" spans="1:2">
      <c r="A100" t="s">
        <v>1317</v>
      </c>
      <c r="B100">
        <v>520031030</v>
      </c>
    </row>
    <row r="101" spans="1:2">
      <c r="A101" t="s">
        <v>1318</v>
      </c>
      <c r="B101" s="15">
        <v>520030941</v>
      </c>
    </row>
    <row r="102" spans="1:2">
      <c r="A102" t="s">
        <v>1319</v>
      </c>
      <c r="B102" s="15">
        <v>512008335</v>
      </c>
    </row>
    <row r="103" spans="1:2">
      <c r="A103" t="s">
        <v>1320</v>
      </c>
      <c r="B103" s="15">
        <v>520022963</v>
      </c>
    </row>
    <row r="104" spans="1:2">
      <c r="A104" t="s">
        <v>1321</v>
      </c>
      <c r="B104" s="15">
        <v>570011767</v>
      </c>
    </row>
    <row r="105" spans="1:2">
      <c r="A105" t="s">
        <v>1322</v>
      </c>
      <c r="B105" s="15">
        <v>570014928</v>
      </c>
    </row>
    <row r="106" spans="1:2">
      <c r="A106" t="s">
        <v>1323</v>
      </c>
      <c r="B106" s="15">
        <v>570005959</v>
      </c>
    </row>
    <row r="107" spans="1:2">
      <c r="A107" t="s">
        <v>1324</v>
      </c>
      <c r="B107" s="15">
        <v>510800402</v>
      </c>
    </row>
    <row r="108" spans="1:2">
      <c r="A108" t="s">
        <v>1325</v>
      </c>
      <c r="B108" s="15">
        <v>570007476</v>
      </c>
    </row>
    <row r="109" spans="1:2">
      <c r="A109" t="s">
        <v>1326</v>
      </c>
      <c r="B109" s="15">
        <v>570005850</v>
      </c>
    </row>
    <row r="110" spans="1:2">
      <c r="A110" t="s">
        <v>1327</v>
      </c>
      <c r="B110" s="15">
        <v>520020504</v>
      </c>
    </row>
    <row r="111" spans="1:2">
      <c r="A111" t="s">
        <v>1328</v>
      </c>
      <c r="B111" s="15">
        <v>520020447</v>
      </c>
    </row>
    <row r="112" spans="1:2">
      <c r="A112" t="s">
        <v>1329</v>
      </c>
      <c r="B112" s="15">
        <v>511033060</v>
      </c>
    </row>
    <row r="113" spans="1:2">
      <c r="A113" t="s">
        <v>1330</v>
      </c>
      <c r="B113">
        <v>520027848</v>
      </c>
    </row>
    <row r="114" spans="1:2">
      <c r="A114" t="s">
        <v>1331</v>
      </c>
      <c r="B114" s="15">
        <v>570009852</v>
      </c>
    </row>
    <row r="115" spans="1:2">
      <c r="A115" t="s">
        <v>1332</v>
      </c>
      <c r="B115" s="15">
        <v>520027251</v>
      </c>
    </row>
    <row r="116" spans="1:2">
      <c r="A116" t="s">
        <v>1333</v>
      </c>
      <c r="B116" s="15">
        <v>520028390</v>
      </c>
    </row>
    <row r="117" spans="1:2">
      <c r="A117" t="s">
        <v>1334</v>
      </c>
      <c r="B117" s="15">
        <v>510806870</v>
      </c>
    </row>
    <row r="118" spans="1:2">
      <c r="A118" t="s">
        <v>1335</v>
      </c>
      <c r="B118">
        <v>513879189</v>
      </c>
    </row>
    <row r="119" spans="1:2">
      <c r="A119" t="s">
        <v>1336</v>
      </c>
      <c r="B119">
        <v>510015951</v>
      </c>
    </row>
    <row r="120" spans="1:2">
      <c r="A120" t="s">
        <v>1337</v>
      </c>
      <c r="B120" s="15">
        <v>520030693</v>
      </c>
    </row>
    <row r="121" spans="1:2">
      <c r="A121" t="s">
        <v>1338</v>
      </c>
      <c r="B121" s="15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Balat Noi</cp:lastModifiedBy>
  <cp:lastPrinted>2022-08-08T09:16:18Z</cp:lastPrinted>
  <dcterms:created xsi:type="dcterms:W3CDTF">2021-05-03T04:41:48Z</dcterms:created>
  <dcterms:modified xsi:type="dcterms:W3CDTF">2024-06-05T08:06:32Z</dcterms:modified>
</cp:coreProperties>
</file>