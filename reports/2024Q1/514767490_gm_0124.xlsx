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רשימות נכסים רבעוניות\2024\רבעון 1\דוחות סופיים\"/>
    </mc:Choice>
  </mc:AlternateContent>
  <bookViews>
    <workbookView xWindow="0" yWindow="0" windowWidth="20430" windowHeight="8370" tabRatio="840" activeTab="1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1" i="8" l="1"/>
  <c r="C30" i="2" l="1"/>
  <c r="D30" i="2"/>
  <c r="B30" i="2"/>
  <c r="E29" i="2" l="1"/>
  <c r="E13" i="2"/>
  <c r="E12" i="2"/>
  <c r="E11" i="2"/>
  <c r="E26" i="2"/>
  <c r="E25" i="2"/>
  <c r="E9" i="2"/>
  <c r="E7" i="2"/>
  <c r="E21" i="2"/>
  <c r="E4" i="2"/>
  <c r="E17" i="2"/>
  <c r="E28" i="2"/>
  <c r="E10" i="2"/>
  <c r="E24" i="2"/>
  <c r="E6" i="2"/>
  <c r="E20" i="2"/>
  <c r="E18" i="2"/>
  <c r="E15" i="2"/>
  <c r="E27" i="2"/>
  <c r="E8" i="2"/>
  <c r="E22" i="2"/>
  <c r="E5" i="2"/>
  <c r="E19" i="2"/>
  <c r="E16" i="2"/>
  <c r="E14" i="2"/>
  <c r="E23" i="2"/>
  <c r="E3" i="2"/>
  <c r="D13" i="38"/>
  <c r="E30" i="2" l="1"/>
  <c r="D15" i="38"/>
</calcChain>
</file>

<file path=xl/sharedStrings.xml><?xml version="1.0" encoding="utf-8"?>
<sst xmlns="http://schemas.openxmlformats.org/spreadsheetml/2006/main" count="9445" uniqueCount="1616">
  <si>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</si>
  <si>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</si>
  <si>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</si>
  <si>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</si>
  <si>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</si>
  <si>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</si>
  <si>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</si>
  <si>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</si>
  <si>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</si>
  <si>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</si>
  <si>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</si>
  <si>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</si>
  <si>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</si>
  <si>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</si>
  <si>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</si>
  <si>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</si>
  <si>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</si>
  <si>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</si>
  <si>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</si>
  <si>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</si>
  <si>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</si>
  <si>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</si>
  <si>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</si>
  <si>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</si>
  <si>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</si>
  <si>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</si>
  <si>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</si>
  <si>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</si>
  <si>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</si>
  <si>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</si>
  <si>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</si>
  <si>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</si>
  <si>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</si>
  <si>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</si>
  <si>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</si>
  <si>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</si>
  <si>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</si>
  <si>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</si>
  <si>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</si>
  <si>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</si>
  <si>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</si>
  <si>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</si>
  <si>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</si>
  <si>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</si>
  <si>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</si>
  <si>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</si>
  <si>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</si>
  <si>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</si>
  <si>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</si>
  <si>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</si>
  <si>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</si>
  <si>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</si>
  <si>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</si>
  <si>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</si>
  <si>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</si>
  <si>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</si>
  <si>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</si>
  <si>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</si>
  <si>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</si>
  <si>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</si>
  <si>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</si>
  <si>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</si>
  <si>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</si>
  <si>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</si>
  <si>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</si>
  <si>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</si>
  <si>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</si>
  <si>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</si>
  <si>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</si>
  <si>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</si>
  <si>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</si>
  <si>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</si>
  <si>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</si>
  <si>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</si>
  <si>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</si>
  <si>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</si>
  <si>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</si>
  <si>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</si>
  <si>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</si>
  <si>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</si>
  <si>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</si>
  <si>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</si>
  <si>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</si>
  <si>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</si>
  <si>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</si>
  <si>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</si>
  <si>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</si>
  <si>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</si>
  <si>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</si>
  <si>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</si>
  <si>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</si>
  <si>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</si>
  <si>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</si>
  <si>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</si>
  <si>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</si>
  <si>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</si>
  <si>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</si>
  <si>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</si>
  <si>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</si>
  <si>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</si>
  <si>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</si>
  <si>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</si>
  <si>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</si>
  <si>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</si>
  <si>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</si>
  <si>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</si>
  <si>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</si>
  <si>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</si>
  <si>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</si>
  <si>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</si>
  <si>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</si>
  <si>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</si>
  <si>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</si>
  <si>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</si>
  <si>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</si>
  <si>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</si>
  <si>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</si>
  <si>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</si>
  <si>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</si>
  <si>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</si>
  <si>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</si>
  <si>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</si>
  <si>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</si>
  <si>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</si>
  <si>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</si>
  <si>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</si>
  <si>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</si>
  <si>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</si>
  <si>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</si>
  <si>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</si>
  <si>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</si>
  <si>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</si>
  <si>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</si>
  <si>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</si>
  <si>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</si>
  <si>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</si>
  <si>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</si>
  <si>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</si>
  <si>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</si>
  <si>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</si>
  <si>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</si>
  <si>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</si>
  <si>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</si>
  <si>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</si>
  <si>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</si>
  <si>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</si>
  <si>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</si>
  <si>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</si>
  <si>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</si>
  <si>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</si>
  <si>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</si>
  <si>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</si>
  <si>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</si>
  <si>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</si>
  <si>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</si>
  <si>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</si>
  <si>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</si>
  <si>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</si>
  <si>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</si>
  <si>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</si>
  <si>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</si>
  <si>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</si>
  <si>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</si>
  <si>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</si>
  <si>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</si>
  <si>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</si>
  <si>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</si>
  <si>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</si>
  <si>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</si>
  <si>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</si>
  <si>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</si>
  <si>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</si>
  <si>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</si>
  <si>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</si>
  <si>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</si>
  <si>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</si>
  <si>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</si>
  <si>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</si>
  <si>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</si>
  <si>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</si>
  <si>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</si>
  <si>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</si>
  <si>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</si>
  <si>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</si>
  <si>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</si>
  <si>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</si>
  <si>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</si>
  <si>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</si>
  <si>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</si>
  <si>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</si>
  <si>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</si>
  <si>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</si>
  <si>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</si>
  <si>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</si>
  <si>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</si>
  <si>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</si>
  <si>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</si>
  <si>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</si>
  <si>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</si>
  <si>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</si>
  <si>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</si>
  <si>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</si>
  <si>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</si>
  <si>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</si>
  <si>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</si>
  <si>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</si>
  <si>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</si>
  <si>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</si>
  <si>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</si>
  <si>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</si>
  <si>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</si>
  <si>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</si>
  <si>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</si>
  <si>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</si>
  <si>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</si>
  <si>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</si>
  <si>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</si>
  <si>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</si>
  <si>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</si>
  <si>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</si>
  <si>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</si>
  <si>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</si>
  <si>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</si>
  <si>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</si>
  <si>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</si>
  <si>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</si>
  <si>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</si>
  <si>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</si>
  <si>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</si>
  <si>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</si>
  <si>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</si>
  <si>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</si>
  <si>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</si>
  <si>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</si>
  <si>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</si>
  <si>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</si>
  <si>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</si>
  <si>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</si>
  <si>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</si>
  <si>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</si>
  <si>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</si>
  <si>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</si>
  <si>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</si>
  <si>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</si>
  <si>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</si>
  <si>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</si>
  <si>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</si>
  <si>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</si>
  <si>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</si>
  <si>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</si>
  <si>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</si>
  <si>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</si>
  <si>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</si>
  <si>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</si>
  <si>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</si>
  <si>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</si>
  <si>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</si>
  <si>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</si>
  <si>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</si>
  <si>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</si>
  <si>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</si>
  <si>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</si>
  <si>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</si>
  <si>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</si>
  <si>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</si>
  <si>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</si>
  <si>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</si>
  <si>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</si>
  <si>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</si>
  <si>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</si>
  <si>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</si>
  <si>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</si>
  <si>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</si>
  <si>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</si>
  <si>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</si>
  <si>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</si>
  <si>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</si>
  <si>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</si>
  <si>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</si>
  <si>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</si>
  <si>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</si>
  <si>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</si>
  <si>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</si>
  <si>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</si>
  <si>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</si>
  <si>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</si>
  <si>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</si>
  <si>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</si>
  <si>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</si>
  <si>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</si>
  <si>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</si>
  <si>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</si>
  <si>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</si>
  <si>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</si>
  <si>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</si>
  <si>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</si>
  <si>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</si>
  <si>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</si>
  <si>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</si>
  <si>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</si>
  <si>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</si>
  <si>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</si>
  <si>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</si>
  <si>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</si>
  <si>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</si>
  <si>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</si>
  <si>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</si>
  <si>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</si>
  <si>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</si>
  <si>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</si>
  <si>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</si>
  <si>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</si>
  <si>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</si>
  <si>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</si>
  <si>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</si>
  <si>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</si>
  <si>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</si>
  <si>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</si>
  <si>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</si>
  <si>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</si>
  <si>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</si>
  <si>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</si>
  <si>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</si>
  <si>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</si>
  <si>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</si>
  <si>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</si>
  <si>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</si>
  <si>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</si>
  <si>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</si>
  <si>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</si>
  <si>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</si>
  <si>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</si>
  <si>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</si>
  <si>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</si>
  <si>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</si>
  <si>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</si>
  <si>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</si>
  <si>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</si>
  <si>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</si>
  <si>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</si>
  <si>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</si>
  <si>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</si>
  <si>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</si>
  <si>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</si>
  <si>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</si>
  <si>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</si>
  <si>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</si>
  <si>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</si>
  <si>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</si>
  <si>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</si>
  <si>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</si>
  <si>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</si>
  <si>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</si>
  <si>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</si>
  <si>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</si>
  <si>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</si>
  <si>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</si>
  <si>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</si>
  <si>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</si>
  <si>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</si>
  <si>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</si>
  <si>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</si>
  <si>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</si>
  <si>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</si>
  <si>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</si>
  <si>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</si>
  <si>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</si>
  <si>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</si>
  <si>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</si>
  <si>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</si>
  <si>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</si>
  <si>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</si>
  <si>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</si>
  <si>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</si>
  <si>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</si>
  <si>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</si>
  <si>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</si>
  <si>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</si>
  <si>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</si>
  <si>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</si>
  <si>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</si>
  <si>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</si>
  <si>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</si>
  <si>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</si>
  <si>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</si>
  <si>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</si>
  <si>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</si>
  <si>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</si>
  <si>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</si>
  <si>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</si>
  <si>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</si>
  <si>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</si>
  <si>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</si>
  <si>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</si>
  <si>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</si>
  <si>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</si>
  <si>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</si>
  <si>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</si>
  <si>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</si>
  <si>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</si>
  <si>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</si>
  <si>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</si>
  <si>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</si>
  <si>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</si>
  <si>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</si>
  <si>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</si>
  <si>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</si>
  <si>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</si>
  <si>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</si>
  <si>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</si>
  <si>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</si>
  <si>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</si>
  <si>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</si>
  <si>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</si>
  <si>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</si>
  <si>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</si>
  <si>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</si>
  <si>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</si>
  <si>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</si>
  <si>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</si>
  <si>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</si>
  <si>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</si>
  <si>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</si>
  <si>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</si>
  <si>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</si>
  <si>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</si>
  <si>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</si>
  <si>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</si>
  <si>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</si>
  <si>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</si>
  <si>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</si>
  <si>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</si>
  <si>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</si>
  <si>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</si>
  <si>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</si>
  <si>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</si>
  <si>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</si>
  <si>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</si>
  <si>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</si>
  <si>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</si>
  <si>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</si>
  <si>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</si>
  <si>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</si>
  <si>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</si>
  <si>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</si>
  <si>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</si>
  <si>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</si>
  <si>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</si>
  <si>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</si>
  <si>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</si>
  <si>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</si>
  <si>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</si>
  <si>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</si>
  <si>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</si>
  <si>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</si>
  <si>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</si>
  <si>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</si>
  <si>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</si>
  <si>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</si>
  <si>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</si>
  <si>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</si>
  <si>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</si>
  <si>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</si>
  <si>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</si>
  <si>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</si>
  <si>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</si>
  <si>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</si>
  <si>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</si>
  <si>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</si>
  <si>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</si>
  <si>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</si>
  <si>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</si>
  <si>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</si>
  <si>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</si>
  <si>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</si>
  <si>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</si>
  <si>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</si>
  <si>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</si>
  <si>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</si>
  <si>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</si>
  <si>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</si>
  <si>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</si>
  <si>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</si>
  <si>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</si>
  <si>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</si>
  <si>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</si>
  <si>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</si>
  <si>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</si>
  <si>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</si>
  <si>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</si>
  <si>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</si>
  <si>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</si>
  <si>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</si>
  <si>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</si>
  <si>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</si>
  <si>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</si>
  <si>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</si>
  <si>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</si>
  <si>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</si>
  <si>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</si>
  <si>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</si>
  <si>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</si>
  <si>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</si>
  <si>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</si>
  <si>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</si>
  <si>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</si>
  <si>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</si>
  <si>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</si>
  <si>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</si>
  <si>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</si>
  <si>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</si>
  <si>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</si>
  <si>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</si>
  <si>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</si>
  <si>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</si>
  <si>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</si>
  <si>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</si>
  <si>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</si>
  <si>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</si>
  <si>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</si>
  <si>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</si>
  <si>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</si>
  <si>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</si>
  <si>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</si>
  <si>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</si>
  <si>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</si>
  <si>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</si>
  <si>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</si>
  <si>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</si>
  <si>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</si>
  <si>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</si>
  <si>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</si>
  <si>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</si>
  <si>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</si>
  <si>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</si>
  <si>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</si>
  <si>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</si>
  <si>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</si>
  <si>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</si>
  <si>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</si>
  <si>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</si>
  <si>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</si>
  <si>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</si>
  <si>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</si>
  <si>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</si>
  <si>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</si>
  <si>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</si>
  <si>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</si>
  <si>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</si>
  <si>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</si>
  <si>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</si>
  <si>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</si>
  <si>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</si>
  <si>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</si>
  <si>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</si>
  <si>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</si>
  <si>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</si>
  <si>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</si>
  <si>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</si>
  <si>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</si>
  <si>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</si>
  <si>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</si>
  <si>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</si>
  <si>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</si>
  <si>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</si>
  <si>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</si>
  <si>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</si>
  <si>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</si>
  <si>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</si>
  <si>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</si>
  <si>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</si>
  <si>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</si>
  <si>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</si>
  <si>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</si>
  <si>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</si>
  <si>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</si>
  <si>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</si>
  <si>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</si>
  <si>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</si>
  <si>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</si>
  <si>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</si>
  <si>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</si>
  <si>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</si>
  <si>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</si>
  <si>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</si>
  <si>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</si>
  <si>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</si>
  <si>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</si>
  <si>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</si>
  <si>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</si>
  <si>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</si>
  <si>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</si>
  <si>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</si>
  <si>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</si>
  <si>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</si>
  <si>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</si>
  <si>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</si>
  <si>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</si>
  <si>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</si>
  <si>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</si>
  <si>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</si>
  <si>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</si>
  <si>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</si>
  <si>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</si>
  <si>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</si>
  <si>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</si>
  <si>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</si>
  <si>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</si>
  <si>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</si>
  <si>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</si>
  <si>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</si>
  <si>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</si>
  <si>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</si>
  <si>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</si>
  <si>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</si>
  <si>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</si>
  <si>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</si>
  <si>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</si>
  <si>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</si>
  <si>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</si>
  <si>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</si>
  <si>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</si>
  <si>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</si>
  <si>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</si>
  <si>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</si>
  <si>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</si>
  <si>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</si>
  <si>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</si>
  <si>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</si>
  <si>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</si>
  <si>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</si>
  <si>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</si>
  <si>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</si>
  <si>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</si>
  <si>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</si>
  <si>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</si>
  <si>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</si>
  <si>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</si>
  <si>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</si>
  <si>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</si>
  <si>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</si>
  <si>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</si>
  <si>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</si>
  <si>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</si>
  <si>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</si>
  <si>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</si>
  <si>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</si>
  <si>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</si>
  <si>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</si>
  <si>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</si>
  <si>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</si>
  <si>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</si>
  <si>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</si>
  <si>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</si>
  <si>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</si>
  <si>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</si>
  <si>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</si>
  <si>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</si>
  <si>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</si>
  <si>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</si>
  <si>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</si>
  <si>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</si>
  <si>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</si>
  <si>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</si>
  <si>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</si>
  <si>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</si>
  <si>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</si>
  <si>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</si>
  <si>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</si>
  <si>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</si>
  <si>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</si>
  <si>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</si>
  <si>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</si>
  <si>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</si>
  <si>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</si>
  <si>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</si>
  <si>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</si>
  <si>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</si>
  <si>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</si>
  <si>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</si>
  <si>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</si>
  <si>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</si>
  <si>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</si>
  <si>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</si>
  <si>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</si>
  <si>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</si>
  <si>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</si>
  <si>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</si>
  <si>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</si>
  <si>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</si>
  <si>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</si>
  <si>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</si>
  <si>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</si>
  <si>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</si>
  <si>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</si>
  <si>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</si>
  <si>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</si>
  <si>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</si>
  <si>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</si>
  <si>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</si>
  <si>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</si>
  <si>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</si>
  <si>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</si>
  <si>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</si>
  <si>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</si>
  <si>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</si>
  <si>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</si>
  <si>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</si>
  <si>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</si>
  <si>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</si>
  <si>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</si>
  <si>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</si>
  <si>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</si>
  <si>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</si>
  <si>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</si>
  <si>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</si>
  <si>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</si>
  <si>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</si>
  <si>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</si>
  <si>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</si>
  <si>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</si>
  <si>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</si>
  <si>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</si>
  <si>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</si>
  <si>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</si>
  <si>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</si>
  <si>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</si>
  <si>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</si>
  <si>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</si>
  <si>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</si>
  <si>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</si>
  <si>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</si>
  <si>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</si>
  <si>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</si>
  <si>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</si>
  <si>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</si>
  <si>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</si>
  <si>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</si>
  <si>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</si>
  <si>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</si>
  <si>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</si>
  <si>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</si>
  <si>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</si>
  <si>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</si>
  <si>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</si>
  <si>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</si>
  <si>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</si>
  <si>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</si>
  <si>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</si>
  <si>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</si>
  <si>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</si>
  <si>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</si>
  <si>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</si>
  <si>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</si>
  <si>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</si>
  <si>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</si>
  <si>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</si>
  <si>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</si>
  <si>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</si>
  <si>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</si>
  <si>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</si>
  <si>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</si>
  <si>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</si>
  <si>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</si>
  <si>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</si>
  <si>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</si>
  <si>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</si>
  <si>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</si>
  <si>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</si>
  <si>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</si>
  <si>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</si>
  <si>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</si>
  <si>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</si>
  <si>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</si>
  <si>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</si>
  <si>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</si>
  <si>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</si>
  <si>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</si>
  <si>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</si>
  <si>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</si>
  <si>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</si>
  <si>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</si>
  <si>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</si>
  <si>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</si>
  <si>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</si>
  <si>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</si>
  <si>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</si>
  <si>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</si>
  <si>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</si>
  <si>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</si>
  <si>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</si>
  <si>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</si>
  <si>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</si>
  <si>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</si>
  <si>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</si>
  <si>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</si>
  <si>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</si>
  <si>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</si>
  <si>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</si>
  <si>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</si>
  <si>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</si>
  <si>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</si>
  <si>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</si>
  <si>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</si>
  <si>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</si>
  <si>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</si>
  <si>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</si>
  <si>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</si>
  <si>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</si>
  <si>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</si>
  <si>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</si>
  <si>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</si>
  <si>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</si>
  <si>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</si>
  <si>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</si>
  <si>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</si>
  <si>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</si>
  <si>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</si>
  <si>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</si>
  <si>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</si>
  <si>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</si>
  <si>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</si>
  <si>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</si>
  <si>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</si>
  <si>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</si>
  <si>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</si>
  <si>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</si>
  <si>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</si>
  <si>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</si>
  <si>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</si>
  <si>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</si>
  <si>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</si>
  <si>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</si>
  <si>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</si>
  <si>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</si>
  <si>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</si>
  <si>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</si>
  <si>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</si>
  <si>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</si>
  <si>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</si>
  <si>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</si>
  <si>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</si>
  <si>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</si>
  <si>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</si>
  <si>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</si>
  <si>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</si>
  <si>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</si>
  <si>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</si>
  <si>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</si>
  <si>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</si>
  <si>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</si>
  <si>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</si>
  <si>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</si>
  <si>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</si>
  <si>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</si>
  <si>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</si>
  <si>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</si>
  <si>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</si>
  <si>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</si>
  <si>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</si>
  <si>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</si>
  <si>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</si>
  <si>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</si>
  <si>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</si>
  <si>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</si>
  <si>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</si>
  <si>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</si>
  <si>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</si>
  <si>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</si>
  <si>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</si>
  <si>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</si>
  <si>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</si>
  <si>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</si>
  <si>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</si>
  <si>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</si>
  <si>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</si>
  <si>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</si>
  <si>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</si>
  <si>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</si>
  <si>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</si>
  <si>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</si>
  <si>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</si>
  <si>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</si>
  <si>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</si>
  <si>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</si>
  <si>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</si>
  <si>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</si>
  <si>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</si>
  <si>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</si>
  <si>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</si>
  <si>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</si>
  <si>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</si>
  <si>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</si>
  <si>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</si>
  <si>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</si>
  <si>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</si>
  <si>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</si>
  <si>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</si>
  <si>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</si>
  <si>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</si>
  <si>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</si>
  <si>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</si>
  <si>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</si>
  <si>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</si>
  <si>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</si>
  <si>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</si>
  <si>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</si>
  <si>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</si>
  <si>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</si>
  <si>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</si>
  <si>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</si>
  <si>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</si>
  <si>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</si>
  <si>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</si>
  <si>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</si>
  <si>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</si>
  <si>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</si>
  <si>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</si>
  <si>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</si>
  <si>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</si>
  <si>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</si>
  <si>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</si>
  <si>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</si>
  <si>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</si>
  <si>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</si>
  <si>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</si>
  <si>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</si>
  <si>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</si>
  <si>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</si>
  <si>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</si>
  <si>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</si>
  <si>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</si>
  <si>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</si>
  <si>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</si>
  <si>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</si>
  <si>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</si>
  <si>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</si>
  <si>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</si>
  <si>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</si>
  <si>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</si>
  <si>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</si>
  <si>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</si>
  <si>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</si>
  <si>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</si>
  <si>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</si>
  <si>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</si>
  <si>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</si>
  <si>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</si>
  <si>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</si>
  <si>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</si>
  <si>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</si>
  <si>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</si>
  <si>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</si>
  <si>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</si>
  <si>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</si>
  <si>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</si>
  <si>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</si>
  <si>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</si>
  <si>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</si>
  <si>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</si>
  <si>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</si>
  <si>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</si>
  <si>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</si>
  <si>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</si>
  <si>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</si>
  <si>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</si>
  <si>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</si>
  <si>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</si>
  <si>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</si>
  <si>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</si>
  <si>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</si>
  <si>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</si>
  <si>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</si>
  <si>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</si>
  <si>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</si>
  <si>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</si>
  <si>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</si>
  <si>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</si>
  <si>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</si>
  <si>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</si>
  <si>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</si>
  <si>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</si>
  <si>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</si>
  <si>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</si>
  <si>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</si>
  <si>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</si>
  <si>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</si>
  <si>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</si>
  <si>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</si>
  <si>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</si>
  <si>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</si>
  <si>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</si>
  <si>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</si>
  <si>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</si>
  <si>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</si>
  <si>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</si>
  <si>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</si>
  <si>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</si>
  <si>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</si>
  <si>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</si>
  <si>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</si>
  <si>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</si>
  <si>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</si>
  <si>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</si>
  <si>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</si>
  <si>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</si>
  <si>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</si>
  <si>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</si>
  <si>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</si>
  <si>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</si>
  <si>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</si>
  <si>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</si>
  <si>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</si>
  <si>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</si>
  <si>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</si>
  <si>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</si>
  <si>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</si>
  <si>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</si>
  <si>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</si>
  <si>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</si>
  <si>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</si>
  <si>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</si>
  <si>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</si>
  <si>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</si>
  <si>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</si>
  <si>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</si>
  <si>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</si>
  <si>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</si>
  <si>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</si>
  <si>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</si>
  <si>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</si>
  <si>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</si>
  <si>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</si>
  <si>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</si>
  <si>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</si>
  <si>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</si>
  <si>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</si>
  <si>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</si>
  <si>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</si>
  <si>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</si>
  <si>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</si>
  <si>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</si>
  <si>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</si>
  <si>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</si>
  <si>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</si>
  <si>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</si>
  <si>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</si>
  <si>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</si>
  <si>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</si>
  <si>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</si>
  <si>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</si>
  <si>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</si>
  <si>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</si>
  <si>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</si>
  <si>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</si>
  <si>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</si>
  <si>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</si>
  <si>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</si>
  <si>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</si>
  <si>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</si>
  <si>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</si>
  <si>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</si>
  <si>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</si>
  <si>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</si>
  <si>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</si>
  <si>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</si>
  <si>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</si>
  <si>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</si>
  <si>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</si>
  <si>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</si>
  <si>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</si>
  <si>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</si>
  <si>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</si>
  <si>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</si>
  <si>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</si>
  <si>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</si>
  <si>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</si>
  <si>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</si>
  <si>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</si>
  <si>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</si>
  <si>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</si>
  <si>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</si>
  <si>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</si>
  <si>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</si>
  <si>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</si>
  <si>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</si>
  <si>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</si>
  <si>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</si>
  <si>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</si>
  <si>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</si>
  <si>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</si>
  <si>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</si>
  <si>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</si>
  <si>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</si>
  <si>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</si>
  <si>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</si>
  <si>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</si>
  <si>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</si>
  <si>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</si>
  <si>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</si>
  <si>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</si>
  <si>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</si>
  <si>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</si>
  <si>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</si>
  <si>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</si>
  <si>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</si>
  <si>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</si>
  <si>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</si>
  <si>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</si>
  <si>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</si>
  <si>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</si>
  <si>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</si>
  <si>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</si>
  <si>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</si>
  <si>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</si>
  <si>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</si>
  <si>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</si>
  <si>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</si>
  <si>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</si>
  <si>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</si>
  <si>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</si>
  <si>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</si>
  <si>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</si>
  <si>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</si>
  <si>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</si>
  <si>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</si>
  <si>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</si>
  <si>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</si>
  <si>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</si>
  <si>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</si>
  <si>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</si>
  <si>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</si>
  <si>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</si>
  <si>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</si>
  <si>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</si>
  <si>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</si>
  <si>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</si>
  <si>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</si>
  <si>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</si>
  <si>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</si>
  <si>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</si>
  <si>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</si>
  <si>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</si>
  <si>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</si>
  <si>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</si>
  <si>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</si>
  <si>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</si>
  <si>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</si>
  <si>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</si>
  <si>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</si>
  <si>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</si>
  <si>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</si>
  <si>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</si>
  <si>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</si>
  <si>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</si>
  <si>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</si>
  <si>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</si>
  <si>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</si>
  <si>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</si>
  <si>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</si>
  <si>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</si>
  <si>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</si>
  <si>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</si>
  <si>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</si>
  <si>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</si>
  <si>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</si>
  <si>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</si>
  <si>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</si>
  <si>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</si>
  <si>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</si>
  <si>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</si>
  <si>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</si>
  <si>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</si>
  <si>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</si>
  <si>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</si>
  <si>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</si>
  <si>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</si>
  <si>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</si>
  <si>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</si>
  <si>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</si>
  <si>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</si>
  <si>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</si>
  <si>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</si>
  <si>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</si>
  <si>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</si>
  <si>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</si>
  <si>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</si>
  <si>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</si>
  <si>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</si>
  <si>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</si>
  <si>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</si>
  <si>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</si>
  <si>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</si>
  <si>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</si>
  <si>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</si>
  <si>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</si>
  <si>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</si>
  <si>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</si>
  <si>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</si>
  <si>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</si>
  <si>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</si>
  <si>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</si>
  <si>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</si>
  <si>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</si>
  <si>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אפרת ריינהרדט</t>
  </si>
  <si>
    <t>efrat@slice.co.il</t>
  </si>
  <si>
    <t>בנק לאומי לישראל בע"מ</t>
  </si>
  <si>
    <t>ilAAA</t>
  </si>
  <si>
    <t>ILS</t>
  </si>
  <si>
    <t>בנק הפועלים בע"מ</t>
  </si>
  <si>
    <t>USD</t>
  </si>
  <si>
    <t>EUR</t>
  </si>
  <si>
    <t>AUD</t>
  </si>
  <si>
    <t>GBP</t>
  </si>
  <si>
    <t>בזק החברה הישראלית לתקשורת בע"</t>
  </si>
  <si>
    <t>0230</t>
  </si>
  <si>
    <t>בזק</t>
  </si>
  <si>
    <t>ישראמקו נגב 2 שותפות מוגבלת</t>
  </si>
  <si>
    <t>0232</t>
  </si>
  <si>
    <t>ישראמקו     יהש</t>
  </si>
  <si>
    <t>פורמולה מערכות (1985)בע"מ</t>
  </si>
  <si>
    <t>0256</t>
  </si>
  <si>
    <t>פורמולה מערכות</t>
  </si>
  <si>
    <t>נייס בע"מ</t>
  </si>
  <si>
    <t>0273</t>
  </si>
  <si>
    <t>נייס</t>
  </si>
  <si>
    <t>מליסרון בע"מ</t>
  </si>
  <si>
    <t>0323</t>
  </si>
  <si>
    <t>מליסרון</t>
  </si>
  <si>
    <t>רציו אנרגיות-שותפות מוגבלת</t>
  </si>
  <si>
    <t>0394</t>
  </si>
  <si>
    <t>רציו      יהש</t>
  </si>
  <si>
    <t>מטריקס אי.טי בע"מ</t>
  </si>
  <si>
    <t>0445</t>
  </si>
  <si>
    <t>מטריקס</t>
  </si>
  <si>
    <t>ניו-מד אנרג'י- שותפות מוגבלת</t>
  </si>
  <si>
    <t>0475</t>
  </si>
  <si>
    <t>ניו-מד אנרג יהש</t>
  </si>
  <si>
    <t>מנורה מבטחים החזקות בע"מ</t>
  </si>
  <si>
    <t>0566</t>
  </si>
  <si>
    <t>מנורה מב החז</t>
  </si>
  <si>
    <t>הבנק הבינלאומי הראשון לישראל ב</t>
  </si>
  <si>
    <t>0593</t>
  </si>
  <si>
    <t>בינלאומי</t>
  </si>
  <si>
    <t>0604</t>
  </si>
  <si>
    <t>לאומי</t>
  </si>
  <si>
    <t>ישרס חברה להשקעות בע"מ</t>
  </si>
  <si>
    <t>0613</t>
  </si>
  <si>
    <t>ישרס</t>
  </si>
  <si>
    <t>לפידות קפיטל בע"מ</t>
  </si>
  <si>
    <t>0642</t>
  </si>
  <si>
    <t>לפידות קפיטל</t>
  </si>
  <si>
    <t>נפטא חברה ישראלית לנפט בע"מ</t>
  </si>
  <si>
    <t>0643</t>
  </si>
  <si>
    <t>נפטא</t>
  </si>
  <si>
    <t>0662</t>
  </si>
  <si>
    <t>פועלים</t>
  </si>
  <si>
    <t>בנק דיסקונט לישראל בע"מ</t>
  </si>
  <si>
    <t>0691</t>
  </si>
  <si>
    <t>דיסקונט       א</t>
  </si>
  <si>
    <t>בנק מזרחי טפחות בע"מ</t>
  </si>
  <si>
    <t>0695</t>
  </si>
  <si>
    <t>מזרחי טפחות</t>
  </si>
  <si>
    <t>ערד השקעות ופתוח תעשיה בע"מ</t>
  </si>
  <si>
    <t>0731</t>
  </si>
  <si>
    <t>ערד</t>
  </si>
  <si>
    <t>שטראוס גרופ בע"מ</t>
  </si>
  <si>
    <t>0746</t>
  </si>
  <si>
    <t>שטראוס</t>
  </si>
  <si>
    <t>פ.י.ב.י. אחזקות בע"מ</t>
  </si>
  <si>
    <t>0763</t>
  </si>
  <si>
    <t>פיבי</t>
  </si>
  <si>
    <t>הפניקס אחזקות בע"מ</t>
  </si>
  <si>
    <t>0767</t>
  </si>
  <si>
    <t>הפניקס</t>
  </si>
  <si>
    <t>אלביט מערכות בע"מ</t>
  </si>
  <si>
    <t>1040</t>
  </si>
  <si>
    <t>אלביט מערכות</t>
  </si>
  <si>
    <t>מגדל אחזקות ביטוח ופיננסים בע"</t>
  </si>
  <si>
    <t>1041</t>
  </si>
  <si>
    <t>מגדל ביטוח</t>
  </si>
  <si>
    <t>טאואר סמיקונדקטור בע"מ</t>
  </si>
  <si>
    <t>2028</t>
  </si>
  <si>
    <t>טאואר</t>
  </si>
  <si>
    <t>גילת רשתות לווין בע"מ</t>
  </si>
  <si>
    <t>2030</t>
  </si>
  <si>
    <t>גילת</t>
  </si>
  <si>
    <t>נובה בע"מ</t>
  </si>
  <si>
    <t>2177</t>
  </si>
  <si>
    <t>נובה</t>
  </si>
  <si>
    <t>חילן בע"מ</t>
  </si>
  <si>
    <t>1110</t>
  </si>
  <si>
    <t>חילן</t>
  </si>
  <si>
    <t>סאפיינס אינטרנשיונל קורפוריישן</t>
  </si>
  <si>
    <t>1146</t>
  </si>
  <si>
    <t>סאפיינס</t>
  </si>
  <si>
    <t>מיטרוניקס בע"מ</t>
  </si>
  <si>
    <t>1212</t>
  </si>
  <si>
    <t>מיטרוניקס</t>
  </si>
  <si>
    <t>קמטק בע"מ</t>
  </si>
  <si>
    <t>2174</t>
  </si>
  <si>
    <t>קמטק</t>
  </si>
  <si>
    <t>פריון נטוורק בע"מ</t>
  </si>
  <si>
    <t>2240</t>
  </si>
  <si>
    <t>פריון נטוורק</t>
  </si>
  <si>
    <t>אמות השקעות בע"מ</t>
  </si>
  <si>
    <t>1328</t>
  </si>
  <si>
    <t>אמות</t>
  </si>
  <si>
    <t>אפריקה ישראל מגורים בע"מ</t>
  </si>
  <si>
    <t>1338</t>
  </si>
  <si>
    <t>אפריקה מגורים</t>
  </si>
  <si>
    <t>פז חברת הנפט בע"מ</t>
  </si>
  <si>
    <t>1363</t>
  </si>
  <si>
    <t>פז נפט</t>
  </si>
  <si>
    <t>רשת חנויות רמי לוי שיווק השיקמ</t>
  </si>
  <si>
    <t>1445</t>
  </si>
  <si>
    <t>רמי לוי</t>
  </si>
  <si>
    <t>סלע קפיטל נדל"ן בע"מ</t>
  </si>
  <si>
    <t>1514</t>
  </si>
  <si>
    <t>סלע נדלן</t>
  </si>
  <si>
    <t>קבוצת עזריאלי בע"מ</t>
  </si>
  <si>
    <t>1420</t>
  </si>
  <si>
    <t>עזריאלי קבוצה</t>
  </si>
  <si>
    <t>מגדלי הים התיכון בע"מ</t>
  </si>
  <si>
    <t>1614</t>
  </si>
  <si>
    <t>מגדלי תיכון</t>
  </si>
  <si>
    <t>אורמת טכנולוגיות, אינק</t>
  </si>
  <si>
    <t>2250</t>
  </si>
  <si>
    <t>אורמת טכנו</t>
  </si>
  <si>
    <t>נאוויטס פטרוליום, שותפות מוגבל</t>
  </si>
  <si>
    <t>1688</t>
  </si>
  <si>
    <t>נאוויטס פטר יהש</t>
  </si>
  <si>
    <t>ישראכרט בע"מ</t>
  </si>
  <si>
    <t>1773</t>
  </si>
  <si>
    <t>ישראכרט</t>
  </si>
  <si>
    <t>מ.יוחננוף ובניו (1988) בע"מ</t>
  </si>
  <si>
    <t>1786</t>
  </si>
  <si>
    <t>יוחננוף</t>
  </si>
  <si>
    <t>משק אנרגיה-אנרגיות מתחדשות בע"</t>
  </si>
  <si>
    <t>1803</t>
  </si>
  <si>
    <t>משק אנרגיה</t>
  </si>
  <si>
    <t>דניה סיבוס בע"מ</t>
  </si>
  <si>
    <t>1096</t>
  </si>
  <si>
    <t>דניה סיבוס</t>
  </si>
  <si>
    <t>דיפלומט אחזקות בע"מ</t>
  </si>
  <si>
    <t>1867</t>
  </si>
  <si>
    <t>דיפלומט אחזקות</t>
  </si>
  <si>
    <t>ישרס אחזקות בע"מ</t>
  </si>
  <si>
    <t>2435</t>
  </si>
  <si>
    <t>ישרס אחזקות</t>
  </si>
  <si>
    <t>בתי זקוק לנפט בע"מ</t>
  </si>
  <si>
    <t>0259</t>
  </si>
  <si>
    <t>בזן</t>
  </si>
  <si>
    <t>מיטב קרנות נאמנות בע"מ</t>
  </si>
  <si>
    <t>5097</t>
  </si>
  <si>
    <t>תכ.תא35</t>
  </si>
  <si>
    <t>קסם קרנות נאמנות בע"מ</t>
  </si>
  <si>
    <t>5017</t>
  </si>
  <si>
    <t>קסם.תא 35</t>
  </si>
  <si>
    <t>הראל קרנות נאמנות בע"מ</t>
  </si>
  <si>
    <t>5044</t>
  </si>
  <si>
    <t>הרל.תא 35</t>
  </si>
  <si>
    <t>מגדל קרנות נאמנות בע"מ</t>
  </si>
  <si>
    <t>5028</t>
  </si>
  <si>
    <t>MTF.תא35</t>
  </si>
  <si>
    <t>תכ.תלבונד60</t>
  </si>
  <si>
    <t>קסם.תלבונד 60</t>
  </si>
  <si>
    <t>פסגות קרנות נאמנות בע"מ</t>
  </si>
  <si>
    <t>5084</t>
  </si>
  <si>
    <t>פסג.תלבונד 60</t>
  </si>
  <si>
    <t>הרל.תלבונד 60</t>
  </si>
  <si>
    <t>AMUNDI S&amp;P 500 UCITS ETF</t>
  </si>
  <si>
    <t>LU1681048804</t>
  </si>
  <si>
    <t>INVESCO S&amp;P 500 ACC</t>
  </si>
  <si>
    <t>IE00B3YCGJ38</t>
  </si>
  <si>
    <t>ISHARES CORE S&amp;P 500</t>
  </si>
  <si>
    <t>IE00B5BMR087</t>
  </si>
  <si>
    <t>X S&amp;P 500 SWAP</t>
  </si>
  <si>
    <t>LU0490618542</t>
  </si>
  <si>
    <t>LYXOR S&amp;P 500</t>
  </si>
  <si>
    <t>LU0496786574</t>
  </si>
  <si>
    <t>קסם.תל ג-צמ 0-2</t>
  </si>
  <si>
    <t>קסם.תלבונד שקלי</t>
  </si>
  <si>
    <t>קסם.SP500ממ</t>
  </si>
  <si>
    <t>SP500.MTFממ</t>
  </si>
  <si>
    <t>STX600.MTFממ</t>
  </si>
  <si>
    <t>INVESCO QQQ TRUST SERIES 1</t>
  </si>
  <si>
    <t>US46090E1038</t>
  </si>
  <si>
    <t>ISHARES 0-5 YR HY CORP BOND</t>
  </si>
  <si>
    <t>US46434V4077</t>
  </si>
  <si>
    <t>ISHARES U.S. FINANCIAL SERVI</t>
  </si>
  <si>
    <t>US4642877702</t>
  </si>
  <si>
    <t>תכ.תלבונדשקלי</t>
  </si>
  <si>
    <t>MTF.תל גוב כללי</t>
  </si>
  <si>
    <t>תכ.NDX100ממ</t>
  </si>
  <si>
    <t>SP500.הרל</t>
  </si>
  <si>
    <t>הרל.SP500 ממ</t>
  </si>
  <si>
    <t>הרל.SPFINANCEממ</t>
  </si>
  <si>
    <t>מור ניהול קרנות נאמנות</t>
  </si>
  <si>
    <t>5094</t>
  </si>
  <si>
    <t>מו.SP500ממ</t>
  </si>
  <si>
    <t>ISHARES S&amp;P 500 INDEX FUND</t>
  </si>
  <si>
    <t>US4642872000</t>
  </si>
  <si>
    <t>ISHARES JPM USD EM BND USD</t>
  </si>
  <si>
    <t>IE00B2NPKV68</t>
  </si>
  <si>
    <t>INVESCO S&amp;P 500 LOW VOLATIL</t>
  </si>
  <si>
    <t>US46138E3541</t>
  </si>
  <si>
    <t>SPDR BofA ML Crossover Corp Bo</t>
  </si>
  <si>
    <t>US78468R6062</t>
  </si>
  <si>
    <t>ISHARES USD TREASURY 3-7 YR</t>
  </si>
  <si>
    <t>IE00B3VWN393</t>
  </si>
  <si>
    <t>ISHARES CORE MSCI JAPAN UCIT</t>
  </si>
  <si>
    <t>IE00B4L5YX21</t>
  </si>
  <si>
    <t>ISHARES JPM USD EM CORP BND</t>
  </si>
  <si>
    <t>IE00B6TLBW47</t>
  </si>
  <si>
    <t>ISHARES CORE EM IMI UCITS ET</t>
  </si>
  <si>
    <t>IE00BKM4GZ66</t>
  </si>
  <si>
    <t>שווקים מתעוררים</t>
  </si>
  <si>
    <t>ISHARES USD CORP INTRST HDG</t>
  </si>
  <si>
    <t>IE00BCLWRB83</t>
  </si>
  <si>
    <t>ISHARES EDGE S&amp;P500 MIN VOL</t>
  </si>
  <si>
    <t>IE00B6SPMN59</t>
  </si>
  <si>
    <t>ISHARES CORE MSCI PACIF X-JP</t>
  </si>
  <si>
    <t>IE00B52MJY50</t>
  </si>
  <si>
    <t>ISHARES J.P.MORGAN EM CORPORAT</t>
  </si>
  <si>
    <t>US4642862514</t>
  </si>
  <si>
    <t>ISHARES USD HY CORP USD DIST</t>
  </si>
  <si>
    <t>IE00B4PY7Y77</t>
  </si>
  <si>
    <t>ISHARES CORE MSCI EMU-USD HA</t>
  </si>
  <si>
    <t>IE00BKBF6616</t>
  </si>
  <si>
    <t>ISHARES US MBS USD DIST</t>
  </si>
  <si>
    <t>IE00BZ6V7883</t>
  </si>
  <si>
    <t>ISHARES MSCI USA USD ACC</t>
  </si>
  <si>
    <t>IE00B52SFT06</t>
  </si>
  <si>
    <t>ISHARES USD TRSRY 1-3Y USD</t>
  </si>
  <si>
    <t>IE00B14X4S71</t>
  </si>
  <si>
    <t>ISHARES USD TREASURY 7-10Y</t>
  </si>
  <si>
    <t>IE00B1FZS798</t>
  </si>
  <si>
    <t>ISHARES COR FTSE 100-USD</t>
  </si>
  <si>
    <t>IE00BYZ28W67</t>
  </si>
  <si>
    <t>ISHARES USD TRES 20PLUS</t>
  </si>
  <si>
    <t>IE00BSKRJZ44</t>
  </si>
  <si>
    <t>X MSCI JAPAN ESG</t>
  </si>
  <si>
    <t>IE00BG36TC12</t>
  </si>
  <si>
    <t>MTF.תלבונדשקלי</t>
  </si>
  <si>
    <t>מו.NDX100ממ</t>
  </si>
  <si>
    <t>INVESCO S&amp;P 500 DOWNSIDE HED</t>
  </si>
  <si>
    <t>US46090A7054</t>
  </si>
  <si>
    <t>תכ.גליל0-2</t>
  </si>
  <si>
    <t>קסם.תל ג-שק 0-2</t>
  </si>
  <si>
    <t>הרל.100 NDX ממ</t>
  </si>
  <si>
    <t>SP500.מו</t>
  </si>
  <si>
    <t>MTF.תלבנצ1-3</t>
  </si>
  <si>
    <t>קסם.תלבונד צ1-3</t>
  </si>
  <si>
    <t>SPDR DJIA TRUST</t>
  </si>
  <si>
    <t>US78467X1090</t>
  </si>
  <si>
    <t>תכ.תלבונדמאגר</t>
  </si>
  <si>
    <t>SP500.תכ</t>
  </si>
  <si>
    <t>קסם.תלבונד מאגר</t>
  </si>
  <si>
    <t>הרל.תלבונד מאגר</t>
  </si>
  <si>
    <t>MTF.תלבונד-מאגר</t>
  </si>
  <si>
    <t>LYXOR CORE EURSTX 600 DR</t>
  </si>
  <si>
    <t>LU0908500753</t>
  </si>
  <si>
    <t>STX600.MTF</t>
  </si>
  <si>
    <t>הרל.תלבונד שקלי</t>
  </si>
  <si>
    <t>הרל.תלבונד צמוד</t>
  </si>
  <si>
    <t>ISHARES TRUST ISHARES ESG AW</t>
  </si>
  <si>
    <t>US46435G4257</t>
  </si>
  <si>
    <t>פסג.תלבונד צמוד</t>
  </si>
  <si>
    <t>SPDR S&amp;P 500</t>
  </si>
  <si>
    <t>IE00B6YX5C33</t>
  </si>
  <si>
    <t>תכ.STOXX600מא</t>
  </si>
  <si>
    <t>NASDAQ100.MTFממ</t>
  </si>
  <si>
    <t>ISHARES DOW JONES INDUS AVRG</t>
  </si>
  <si>
    <t>IE00B53L4350</t>
  </si>
  <si>
    <t>MARKET VECTORS GOLD MINERS</t>
  </si>
  <si>
    <t>US9229083632</t>
  </si>
  <si>
    <t>קסם פלטינום אגח מדינה לא מניות</t>
  </si>
  <si>
    <t>קסם תל גוב-כללי</t>
  </si>
  <si>
    <t>תכלית תלגוב כלל</t>
  </si>
  <si>
    <t>הראל אגח ממשלתי</t>
  </si>
  <si>
    <t>מגדל כספי שקלית</t>
  </si>
  <si>
    <t>אלטשולר שחם ניהול קרנות</t>
  </si>
  <si>
    <t>5060</t>
  </si>
  <si>
    <t>אלטש כספ לא קנצ</t>
  </si>
  <si>
    <t>הראל כספית שקלי</t>
  </si>
  <si>
    <t>מור כספית</t>
  </si>
  <si>
    <t>אנליסט אי.אמ.אס. ניהול קר</t>
  </si>
  <si>
    <t>5025</t>
  </si>
  <si>
    <t>אנליסט כספית</t>
  </si>
  <si>
    <t>קסם כספית</t>
  </si>
  <si>
    <t>קסם כספית שקלית</t>
  </si>
  <si>
    <t>הראל כס נהל נזל</t>
  </si>
  <si>
    <t>ילין לפידות ניהול קרנות</t>
  </si>
  <si>
    <t>5088</t>
  </si>
  <si>
    <t>ילין כספית</t>
  </si>
  <si>
    <t>הראל כס מגמ ריב</t>
  </si>
  <si>
    <t>STX EURO600 קסם</t>
  </si>
  <si>
    <t>BLKR ADV EUR X UK-D USD HDG</t>
  </si>
  <si>
    <t>IE00BFZP7J29</t>
  </si>
  <si>
    <t>BGF-FIX INC GL OP-D2 USD</t>
  </si>
  <si>
    <t>LU0278469043</t>
  </si>
  <si>
    <t>BLKRK ADV US EQ-D USD ACC</t>
  </si>
  <si>
    <t>IE00BFZP7V49</t>
  </si>
  <si>
    <t>BLCKRCK I ICAV TAC-D USD ACC</t>
  </si>
  <si>
    <t>IE00BK4PZV64</t>
  </si>
  <si>
    <t>איביאי ניהול קרנות נאמנות</t>
  </si>
  <si>
    <t>5008</t>
  </si>
  <si>
    <t>איביאי כספ פטור</t>
  </si>
  <si>
    <t>איביאי כספ נקב$</t>
  </si>
  <si>
    <t>מיטב כספית</t>
  </si>
  <si>
    <t>SHILLER CAP PTF</t>
  </si>
  <si>
    <t>מיטב כספ ניה נז</t>
  </si>
  <si>
    <t>איילון קרנות נאמנות</t>
  </si>
  <si>
    <t>5091</t>
  </si>
  <si>
    <t>איילון כספ ניהו</t>
  </si>
  <si>
    <t>SLR CAPE US PTF</t>
  </si>
  <si>
    <t>SHILLER PTF נ $</t>
  </si>
  <si>
    <t>קסם SPHLTCAREממ</t>
  </si>
  <si>
    <t>Phnx Anchor_BB</t>
  </si>
  <si>
    <t>11020434</t>
  </si>
  <si>
    <t xml:space="preserve">          דיווח מנהל הקרן</t>
  </si>
  <si>
    <t>Stepstone_SCL E</t>
  </si>
  <si>
    <t>11017960</t>
  </si>
  <si>
    <t>SCL Enhanched $</t>
  </si>
  <si>
    <t>11017989</t>
  </si>
  <si>
    <t>POLLEN FUND</t>
  </si>
  <si>
    <t>11019167</t>
  </si>
  <si>
    <t>Real Es_Dbt KYC</t>
  </si>
  <si>
    <t>11019396</t>
  </si>
  <si>
    <t>Ares Real Estat</t>
  </si>
  <si>
    <t>11019503</t>
  </si>
  <si>
    <t>BDC סטלוס</t>
  </si>
  <si>
    <t>11019756</t>
  </si>
  <si>
    <t>Noked Equity</t>
  </si>
  <si>
    <t>11017662</t>
  </si>
  <si>
    <t>(Hedge Fund) קרן גידור</t>
  </si>
  <si>
    <t>Noked Bonds</t>
  </si>
  <si>
    <t>11017663</t>
  </si>
  <si>
    <t>Guy Global LP</t>
  </si>
  <si>
    <t>11018485</t>
  </si>
  <si>
    <t>Granite Alphen</t>
  </si>
  <si>
    <t>11018486</t>
  </si>
  <si>
    <t>ION Tech Feeder</t>
  </si>
  <si>
    <t>11018487</t>
  </si>
  <si>
    <t>Alph Lng Equity</t>
  </si>
  <si>
    <t>11019126</t>
  </si>
  <si>
    <t>RPS Inv Managmt</t>
  </si>
  <si>
    <t>11019127</t>
  </si>
  <si>
    <t>Eden Alpha C.I.</t>
  </si>
  <si>
    <t>11019341</t>
  </si>
  <si>
    <t>Kai Capital</t>
  </si>
  <si>
    <t>11019496</t>
  </si>
  <si>
    <t>Total Equity</t>
  </si>
  <si>
    <t>11019731</t>
  </si>
  <si>
    <t>Silver Dome Cp</t>
  </si>
  <si>
    <t>11019492</t>
  </si>
  <si>
    <t>QUANTTRAX FUND$</t>
  </si>
  <si>
    <t>11021109</t>
  </si>
  <si>
    <t>SILVER DOME CP</t>
  </si>
  <si>
    <t>11019500</t>
  </si>
  <si>
    <t>11019750</t>
  </si>
  <si>
    <t>11021108</t>
  </si>
  <si>
    <t>11019363</t>
  </si>
  <si>
    <t>11019490</t>
  </si>
  <si>
    <t>11019609</t>
  </si>
  <si>
    <t>11021106</t>
  </si>
  <si>
    <t>11021107</t>
  </si>
  <si>
    <t>Comrit Inv_fund</t>
  </si>
  <si>
    <t>11017147</t>
  </si>
  <si>
    <t>Debt strateg In</t>
  </si>
  <si>
    <t>11018811</t>
  </si>
  <si>
    <t>GB Fund</t>
  </si>
  <si>
    <t>11019771</t>
  </si>
  <si>
    <t>Metropolitan</t>
  </si>
  <si>
    <t>11019488</t>
  </si>
  <si>
    <t>Sustainable Cap</t>
  </si>
  <si>
    <t>11020530</t>
  </si>
  <si>
    <t>FW EUR 211</t>
  </si>
  <si>
    <t xml:space="preserve">                          מט"ח</t>
  </si>
  <si>
    <t xml:space="preserve">                      אחר</t>
  </si>
  <si>
    <t xml:space="preserve">                מט"ח/מט"ח</t>
  </si>
  <si>
    <t xml:space="preserve">       ללא</t>
  </si>
  <si>
    <t>NO DELIVERY</t>
  </si>
  <si>
    <t xml:space="preserve">           לא</t>
  </si>
  <si>
    <t xml:space="preserve">       גורם אחר</t>
  </si>
  <si>
    <t xml:space="preserve"> </t>
  </si>
  <si>
    <t>FW $ 232</t>
  </si>
  <si>
    <t>FW $ 236</t>
  </si>
  <si>
    <t>EURILS</t>
  </si>
  <si>
    <t>USDILS</t>
  </si>
  <si>
    <t>11017953</t>
  </si>
  <si>
    <t xml:space="preserve">               חברת ציטוט</t>
  </si>
  <si>
    <t xml:space="preserve">      שווי הוגן</t>
  </si>
  <si>
    <t>11020128</t>
  </si>
  <si>
    <t>14041911</t>
  </si>
  <si>
    <t>24041901</t>
  </si>
  <si>
    <t>24041911</t>
  </si>
  <si>
    <t>34041901</t>
  </si>
  <si>
    <t>34041911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</si>
  <si>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</si>
  <si>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</si>
  <si>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</si>
  <si>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</si>
  <si>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</si>
  <si>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</si>
  <si>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</si>
  <si>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Amundi ETF</t>
  </si>
  <si>
    <t>INVESCO</t>
  </si>
  <si>
    <t>iShares</t>
  </si>
  <si>
    <t>Xtrackers</t>
  </si>
  <si>
    <t>SPDR</t>
  </si>
  <si>
    <t>Vanguard</t>
  </si>
  <si>
    <t>BlackRock</t>
  </si>
  <si>
    <t>פריים</t>
  </si>
  <si>
    <t>ריבית קבועה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</si>
</sst>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"/>
    <numFmt numFmtId="165" formatCode="#,##0.000"/>
    <numFmt numFmtId="166" formatCode="#0"/>
    <numFmt numFmtId="167" formatCode="#,##0.000%"/>
    <numFmt numFmtId="168" formatCode="#,##0.######"/>
    <numFmt numFmtId="169" formatCode="dd/mm/yy"/>
    <numFmt numFmtId="170" formatCode="#0.000%"/>
    <numFmt numFmtId="171" formatCode="#0.000"/>
  </numFmts>
  <fonts count="2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sz val="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2" fillId="0" borderId="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 applyProtection="1">
      <alignment horizontal="right" readingOrder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right"/>
    </xf>
    <xf numFmtId="0" fontId="2" fillId="0" borderId="4" xfId="0" applyFont="1" applyFill="1" applyBorder="1" applyAlignment="1" applyProtection="1">
      <alignment horizontal="right"/>
    </xf>
    <xf numFmtId="0" fontId="12" fillId="0" borderId="0" xfId="0" applyFont="1"/>
    <xf numFmtId="0" fontId="12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1" fillId="0" borderId="0" xfId="0" applyFont="1" applyBorder="1" applyProtection="1">
      <protection locked="0"/>
    </xf>
    <xf numFmtId="0" fontId="0" fillId="0" borderId="0" xfId="0" applyAlignment="1">
      <alignment horizontal="right" vertical="top"/>
    </xf>
    <xf numFmtId="0" fontId="6" fillId="3" borderId="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Fill="1" applyBorder="1" applyProtection="1">
      <protection locked="0"/>
    </xf>
    <xf numFmtId="0" fontId="0" fillId="0" borderId="0" xfId="0" applyAlignment="1">
      <alignment horizontal="right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8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6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0" fillId="0" borderId="0" xfId="0" applyNumberForma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0" fontId="17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5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7" fillId="0" borderId="11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Fill="1" applyBorder="1"/>
    <xf numFmtId="0" fontId="7" fillId="0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4" xfId="0" applyFont="1" applyFill="1" applyBorder="1" applyAlignment="1">
      <alignment horizontal="right"/>
    </xf>
    <xf numFmtId="0" fontId="0" fillId="0" borderId="4" xfId="0" applyFont="1" applyFill="1" applyBorder="1" applyAlignment="1"/>
    <xf numFmtId="0" fontId="0" fillId="0" borderId="0" xfId="0" applyFont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2" borderId="7" xfId="0" applyFont="1" applyFill="1" applyBorder="1" applyAlignment="1">
      <alignment horizontal="right"/>
    </xf>
    <xf numFmtId="0" fontId="20" fillId="0" borderId="0" xfId="0" applyFont="1"/>
    <xf numFmtId="0" fontId="0" fillId="0" borderId="7" xfId="0" applyFon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0" fillId="0" borderId="6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 vertical="top"/>
    </xf>
    <xf numFmtId="0" fontId="0" fillId="2" borderId="6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vertical="center" wrapText="1"/>
    </xf>
    <xf numFmtId="0" fontId="0" fillId="2" borderId="7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 wrapText="1"/>
    </xf>
    <xf numFmtId="0" fontId="0" fillId="2" borderId="6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/>
    </xf>
    <xf numFmtId="0" fontId="1" fillId="2" borderId="10" xfId="0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2" fillId="0" borderId="5" xfId="0" applyFont="1" applyFill="1" applyBorder="1" applyAlignment="1" applyProtection="1">
      <alignment horizontal="right" vertical="top"/>
    </xf>
    <xf numFmtId="0" fontId="2" fillId="0" borderId="7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6" xfId="0" applyFont="1" applyFill="1" applyBorder="1" applyAlignment="1">
      <alignment vertical="top" wrapText="1"/>
    </xf>
    <xf numFmtId="0" fontId="11" fillId="5" borderId="12" xfId="1" applyFont="1" applyFill="1" applyBorder="1" applyAlignment="1" applyProtection="1">
      <alignment horizontal="right" vertical="center" wrapText="1"/>
      <protection locked="0"/>
    </xf>
    <xf numFmtId="0" fontId="11" fillId="5" borderId="12" xfId="1" applyFont="1" applyFill="1" applyBorder="1" applyAlignment="1" applyProtection="1">
      <alignment horizontal="right" vertical="center" wrapText="1"/>
    </xf>
    <xf numFmtId="0" fontId="11" fillId="5" borderId="12" xfId="1" applyFont="1" applyFill="1" applyBorder="1" applyAlignment="1" applyProtection="1">
      <alignment horizontal="left" vertical="center" wrapText="1" indent="1"/>
      <protection locked="0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right" vertical="center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7" fillId="0" borderId="0" xfId="0" applyFont="1" applyFill="1"/>
    <xf numFmtId="0" fontId="6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1" fillId="2" borderId="5" xfId="0" applyFont="1" applyFill="1" applyBorder="1" applyAlignment="1">
      <alignment horizontal="right"/>
    </xf>
    <xf numFmtId="0" fontId="2" fillId="0" borderId="18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0" borderId="19" xfId="0" applyFont="1" applyFill="1" applyBorder="1" applyAlignment="1">
      <alignment horizontal="right" vertical="top"/>
    </xf>
    <xf numFmtId="0" fontId="0" fillId="0" borderId="20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7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vertical="top" wrapText="1"/>
    </xf>
    <xf numFmtId="0" fontId="12" fillId="2" borderId="4" xfId="0" applyFont="1" applyFill="1" applyBorder="1" applyAlignment="1">
      <alignment horizontal="right"/>
    </xf>
    <xf numFmtId="0" fontId="0" fillId="0" borderId="0" xfId="0" applyFont="1" applyFill="1"/>
    <xf numFmtId="0" fontId="18" fillId="0" borderId="0" xfId="0" applyFont="1" applyFill="1" applyBorder="1"/>
    <xf numFmtId="0" fontId="1" fillId="2" borderId="4" xfId="0" applyFont="1" applyFill="1" applyBorder="1" applyAlignment="1">
      <alignment horizontal="right"/>
    </xf>
    <xf numFmtId="17" fontId="0" fillId="0" borderId="0" xfId="0" applyNumberFormat="1" applyFill="1"/>
    <xf numFmtId="0" fontId="23" fillId="2" borderId="4" xfId="0" applyFont="1" applyFill="1" applyBorder="1" applyAlignment="1" applyProtection="1">
      <alignment horizontal="right"/>
    </xf>
    <xf numFmtId="0" fontId="0" fillId="0" borderId="4" xfId="0" applyFont="1" applyFill="1" applyBorder="1" applyAlignment="1">
      <alignment horizontal="right" readingOrder="1"/>
    </xf>
    <xf numFmtId="0" fontId="0" fillId="0" borderId="4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5" fillId="2" borderId="4" xfId="0" applyFont="1" applyFill="1" applyBorder="1" applyAlignment="1">
      <alignment horizontal="right"/>
    </xf>
    <xf numFmtId="0" fontId="26" fillId="5" borderId="12" xfId="4" applyFill="1" applyBorder="1" applyAlignment="1" applyProtection="1">
      <alignment vertical="center" wrapText="1"/>
      <protection locked="0"/>
    </xf>
    <xf numFmtId="165" fontId="7" fillId="0" borderId="11" xfId="0" applyNumberFormat="1" applyFont="1" applyBorder="1" applyAlignment="1">
      <alignment horizontal="center" vertical="center" wrapText="1"/>
    </xf>
    <xf numFmtId="165" fontId="7" fillId="0" borderId="11" xfId="0" applyNumberFormat="1" applyFont="1" applyFill="1" applyBorder="1" applyAlignment="1">
      <alignment horizontal="center" vertical="center" wrapText="1"/>
    </xf>
    <xf numFmtId="165" fontId="14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10" fontId="14" fillId="0" borderId="11" xfId="3" applyNumberFormat="1" applyFont="1" applyBorder="1" applyAlignment="1">
      <alignment horizontal="center" vertical="center" wrapText="1"/>
    </xf>
    <xf numFmtId="166" fontId="27" fillId="0" borderId="21" xfId="0" applyNumberFormat="1" applyFont="1" applyBorder="1" applyAlignment="1">
      <alignment horizontal="right" vertical="top"/>
    </xf>
    <xf numFmtId="0" fontId="27" fillId="0" borderId="21" xfId="0" applyFont="1" applyBorder="1" applyAlignment="1">
      <alignment horizontal="right" vertical="top"/>
    </xf>
    <xf numFmtId="165" fontId="27" fillId="0" borderId="21" xfId="0" applyNumberFormat="1" applyFont="1" applyBorder="1" applyAlignment="1">
      <alignment horizontal="right" vertical="top"/>
    </xf>
    <xf numFmtId="167" fontId="27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27" fillId="0" borderId="21" xfId="0" applyFont="1" applyBorder="1" applyAlignment="1">
      <alignment horizontal="center" vertical="top"/>
    </xf>
    <xf numFmtId="0" fontId="27" fillId="0" borderId="21" xfId="0" applyNumberFormat="1" applyFont="1" applyBorder="1" applyAlignment="1">
      <alignment horizontal="center" vertical="top"/>
    </xf>
    <xf numFmtId="0" fontId="27" fillId="0" borderId="21" xfId="0" applyNumberFormat="1" applyFont="1" applyBorder="1" applyAlignment="1">
      <alignment horizontal="right" vertical="top"/>
    </xf>
    <xf numFmtId="165" fontId="27" fillId="0" borderId="21" xfId="0" applyNumberFormat="1" applyFont="1" applyBorder="1" applyAlignment="1">
      <alignment horizontal="center" vertical="top"/>
    </xf>
    <xf numFmtId="167" fontId="27" fillId="0" borderId="21" xfId="0" applyNumberFormat="1" applyFont="1" applyBorder="1" applyAlignment="1">
      <alignment horizontal="center" vertical="top"/>
    </xf>
    <xf numFmtId="3" fontId="27" fillId="0" borderId="21" xfId="0" applyNumberFormat="1" applyFont="1" applyBorder="1" applyAlignment="1">
      <alignment horizontal="right" vertical="top"/>
    </xf>
    <xf numFmtId="168" fontId="27" fillId="0" borderId="21" xfId="0" applyNumberFormat="1" applyFont="1" applyBorder="1" applyAlignment="1">
      <alignment horizontal="right" vertical="top"/>
    </xf>
    <xf numFmtId="169" fontId="27" fillId="0" borderId="21" xfId="0" applyNumberFormat="1" applyFont="1" applyBorder="1" applyAlignment="1">
      <alignment horizontal="center" vertical="top"/>
    </xf>
    <xf numFmtId="0" fontId="0" fillId="0" borderId="21" xfId="0" applyFont="1" applyBorder="1"/>
    <xf numFmtId="14" fontId="27" fillId="0" borderId="22" xfId="0" applyNumberFormat="1" applyFont="1" applyBorder="1" applyAlignment="1">
      <alignment wrapText="1"/>
    </xf>
    <xf numFmtId="165" fontId="0" fillId="0" borderId="21" xfId="0" applyNumberFormat="1" applyBorder="1"/>
    <xf numFmtId="14" fontId="27" fillId="0" borderId="21" xfId="0" applyNumberFormat="1" applyFont="1" applyBorder="1" applyAlignment="1">
      <alignment horizontal="center" vertical="top"/>
    </xf>
    <xf numFmtId="170" fontId="27" fillId="0" borderId="21" xfId="0" applyNumberFormat="1" applyFont="1" applyBorder="1" applyAlignment="1">
      <alignment horizontal="center" vertical="top"/>
    </xf>
    <xf numFmtId="166" fontId="27" fillId="0" borderId="21" xfId="0" applyNumberFormat="1" applyFont="1" applyBorder="1" applyAlignment="1">
      <alignment horizontal="center" vertical="top"/>
    </xf>
    <xf numFmtId="171" fontId="27" fillId="0" borderId="21" xfId="0" applyNumberFormat="1" applyFont="1" applyBorder="1" applyAlignment="1">
      <alignment horizontal="center" vertical="top"/>
    </xf>
    <xf numFmtId="0" fontId="1" fillId="0" borderId="1" xfId="0" applyFont="1" applyBorder="1" applyProtection="1">
      <protection locked="0"/>
    </xf>
    <xf numFmtId="10" fontId="0" fillId="0" borderId="21" xfId="3" applyNumberFormat="1" applyFont="1" applyBorder="1"/>
    <xf numFmtId="14" fontId="0" fillId="0" borderId="21" xfId="0" applyNumberFormat="1" applyFill="1" applyBorder="1"/>
    <xf numFmtId="0" fontId="27" fillId="0" borderId="21" xfId="0" applyFont="1" applyFill="1" applyBorder="1" applyAlignment="1">
      <alignment horizontal="center" vertical="top"/>
    </xf>
  </cellXfs>
  <cellStyles count="5">
    <cellStyle name="Hyperlink" xfId="4" builtinId="8"/>
    <cellStyle name="Normal" xfId="0" builtinId="0"/>
    <cellStyle name="Normal 3" xfId="1"/>
    <cellStyle name="Normal 9" xfId="2"/>
    <cellStyle name="Percent" xfId="3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1;&#1493;&#1508;&#1493;&#1514;%20&#1490;&#1502;&#1500;/&#1495;&#1513;&#1489;&#1493;&#1514;/&#1499;&#1500;&#1500;&#1497;/&#1491;&#1493;&#1495;%20&#1504;&#1499;&#1505;&#1497;&#1501;%20&#1512;&#1489;&#1506;&#1493;&#1504;&#1497;/&#1512;&#1513;&#1497;&#1502;&#1514;%20&#1504;&#1499;&#1505;&#1497;&#1501;-&#1495;&#1493;&#1494;&#1512;%20&#1495;&#1491;&#1513;%2003.2023/single_asset_template-&#1505;&#1493;&#1508;&#14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C4" t="str">
            <v>ישראל</v>
          </cell>
        </row>
      </sheetData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frat@slice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workbookViewId="0">
      <selection activeCell="D22" sqref="D22"/>
    </sheetView>
  </sheetViews>
  <sheetFormatPr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10" max="10" width="34.7109375" customWidth="1"/>
    <col min="11" max="11" width="25.85546875" customWidth="1"/>
    <col min="12" max="12" width="21.42578125" customWidth="1"/>
  </cols>
  <sheetData>
    <row r="1" spans="1:8" ht="18">
      <c r="A1" s="35" t="s">
        <v>872</v>
      </c>
      <c r="B1" s="36"/>
      <c r="C1" s="36"/>
      <c r="D1" s="36"/>
    </row>
    <row r="3" spans="1:8">
      <c r="A3" t="s">
        <v>507</v>
      </c>
      <c r="D3" s="118" t="s">
        <v>823</v>
      </c>
    </row>
    <row r="5" spans="1:8">
      <c r="A5" t="s">
        <v>613</v>
      </c>
      <c r="D5" s="118" t="s">
        <v>614</v>
      </c>
    </row>
    <row r="7" spans="1:8">
      <c r="A7" t="s">
        <v>601</v>
      </c>
      <c r="D7" s="118" t="s">
        <v>514</v>
      </c>
    </row>
    <row r="8" spans="1:8">
      <c r="D8" s="34"/>
      <c r="E8" s="34"/>
      <c r="F8" s="34"/>
      <c r="G8" s="34"/>
      <c r="H8" s="34"/>
    </row>
    <row r="9" spans="1:8">
      <c r="A9" t="s">
        <v>602</v>
      </c>
      <c r="D9" s="118">
        <v>2024</v>
      </c>
    </row>
    <row r="11" spans="1:8">
      <c r="A11" t="s">
        <v>581</v>
      </c>
      <c r="D11" s="118" t="s">
        <v>543</v>
      </c>
    </row>
    <row r="13" spans="1:8">
      <c r="A13" t="s">
        <v>509</v>
      </c>
      <c r="D13" s="119">
        <f>IFERROR(VLOOKUP(D11,'File Name Info'!A35:B121,2,0),"תא מחושב")</f>
        <v>514767490</v>
      </c>
    </row>
    <row r="15" spans="1:8">
      <c r="A15" s="18" t="s">
        <v>371</v>
      </c>
      <c r="D15" s="11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514767490_gm_0124.xlxs</v>
      </c>
    </row>
    <row r="16" spans="1:8">
      <c r="A16" s="18"/>
      <c r="D16" s="34"/>
      <c r="E16" s="34"/>
      <c r="F16" s="34"/>
      <c r="G16" s="34"/>
      <c r="H16" s="34"/>
    </row>
    <row r="17" spans="1:8">
      <c r="A17" s="18" t="s">
        <v>437</v>
      </c>
      <c r="B17" s="15" t="s">
        <v>345</v>
      </c>
      <c r="C17" s="15"/>
      <c r="D17" s="120" t="s">
        <v>1204</v>
      </c>
    </row>
    <row r="18" spans="1:8">
      <c r="A18" s="13"/>
      <c r="B18" s="16"/>
      <c r="C18" s="16"/>
      <c r="D18" s="17"/>
      <c r="E18" s="17"/>
      <c r="F18" s="17"/>
      <c r="G18" s="17"/>
      <c r="H18" s="17"/>
    </row>
    <row r="19" spans="1:8">
      <c r="A19" s="13"/>
      <c r="B19" s="15" t="s">
        <v>346</v>
      </c>
      <c r="C19" s="15"/>
      <c r="D19" s="120"/>
    </row>
    <row r="20" spans="1:8">
      <c r="A20" s="13"/>
      <c r="B20" s="16"/>
      <c r="C20" s="16"/>
      <c r="D20" s="17"/>
      <c r="E20" s="17"/>
      <c r="F20" s="17"/>
      <c r="G20" s="17"/>
      <c r="H20" s="17"/>
    </row>
    <row r="21" spans="1:8">
      <c r="A21" s="13"/>
      <c r="B21" s="15" t="s">
        <v>347</v>
      </c>
      <c r="C21" s="15"/>
      <c r="D21" s="153" t="s">
        <v>1205</v>
      </c>
    </row>
    <row r="22" spans="1:8">
      <c r="A22" s="13"/>
      <c r="B22" s="14"/>
      <c r="C22" s="14"/>
    </row>
    <row r="23" spans="1:8">
      <c r="A23" s="18" t="s">
        <v>415</v>
      </c>
      <c r="D23" s="31" t="s">
        <v>508</v>
      </c>
      <c r="E23" s="31"/>
      <c r="F23" s="31"/>
      <c r="G23" s="31"/>
      <c r="H23" s="31"/>
    </row>
    <row r="25" spans="1:8">
      <c r="D25" s="1"/>
    </row>
    <row r="28" spans="1:8" ht="14.1" customHeight="1">
      <c r="A28" s="26"/>
      <c r="D28" s="27"/>
      <c r="E28" s="29"/>
      <c r="F28" s="29"/>
      <c r="G28" s="29"/>
      <c r="H28" s="29"/>
    </row>
    <row r="29" spans="1:8">
      <c r="D29" s="76"/>
      <c r="E29" s="76"/>
      <c r="F29" s="76"/>
      <c r="G29" s="76"/>
      <c r="H29" s="76"/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tabSelected="1" workbookViewId="0">
      <selection activeCell="D3" sqref="D3"/>
    </sheetView>
  </sheetViews>
  <sheetFormatPr defaultColWidth="9" defaultRowHeight="12.75"/>
  <cols>
    <col min="1" max="1" width="42.7109375" style="9" customWidth="1"/>
    <col min="2" max="5" width="13" style="10" customWidth="1"/>
    <col min="6" max="6" width="11.140625" style="9" customWidth="1"/>
    <col min="7" max="8" width="8.5703125" style="9" customWidth="1"/>
    <col min="9" max="10" width="9" style="9"/>
    <col min="11" max="12" width="8.5703125" style="9" customWidth="1"/>
    <col min="13" max="16384" width="9" style="9"/>
  </cols>
  <sheetData>
    <row r="1" spans="1:5" ht="18.75" customHeight="1">
      <c r="A1" s="56"/>
      <c r="B1" s="57"/>
      <c r="C1" s="122" t="s">
        <v>937</v>
      </c>
      <c r="D1" s="121"/>
      <c r="E1" s="57"/>
    </row>
    <row r="2" spans="1:5" ht="39.75" customHeight="1">
      <c r="A2" s="56"/>
      <c r="B2" s="57" t="s">
        <v>17</v>
      </c>
      <c r="C2" s="57" t="s">
        <v>27</v>
      </c>
      <c r="D2" s="57" t="s">
        <v>26</v>
      </c>
      <c r="E2" s="57" t="s">
        <v>934</v>
      </c>
    </row>
    <row r="3" spans="1:5">
      <c r="A3" s="59" t="s">
        <v>31</v>
      </c>
      <c r="B3" s="154">
        <v>172747.90385</v>
      </c>
      <c r="C3" s="60"/>
      <c r="D3" s="60"/>
      <c r="E3" s="157">
        <f>+B3/$B$30</f>
        <v>0.13895552618313275</v>
      </c>
    </row>
    <row r="4" spans="1:5">
      <c r="A4" s="59" t="s">
        <v>40</v>
      </c>
      <c r="B4" s="154"/>
      <c r="C4" s="60"/>
      <c r="D4" s="60"/>
      <c r="E4" s="157">
        <f t="shared" ref="E4:E29" si="0">+B4/$B$30</f>
        <v>0</v>
      </c>
    </row>
    <row r="5" spans="1:5">
      <c r="A5" s="59" t="s">
        <v>32</v>
      </c>
      <c r="B5" s="154"/>
      <c r="C5" s="60"/>
      <c r="D5" s="60"/>
      <c r="E5" s="157">
        <f t="shared" si="0"/>
        <v>0</v>
      </c>
    </row>
    <row r="6" spans="1:5">
      <c r="A6" s="59" t="s">
        <v>33</v>
      </c>
      <c r="B6" s="154"/>
      <c r="C6" s="60"/>
      <c r="D6" s="60"/>
      <c r="E6" s="157">
        <f t="shared" si="0"/>
        <v>0</v>
      </c>
    </row>
    <row r="7" spans="1:5">
      <c r="A7" s="59" t="s">
        <v>459</v>
      </c>
      <c r="B7" s="154">
        <v>24777.042580000001</v>
      </c>
      <c r="C7" s="60"/>
      <c r="D7" s="60"/>
      <c r="E7" s="157">
        <f t="shared" si="0"/>
        <v>1.9930238875461671E-2</v>
      </c>
    </row>
    <row r="8" spans="1:5">
      <c r="A8" s="59" t="s">
        <v>34</v>
      </c>
      <c r="B8" s="154">
        <v>333041.21087000001</v>
      </c>
      <c r="C8" s="60"/>
      <c r="D8" s="60"/>
      <c r="E8" s="157">
        <f t="shared" si="0"/>
        <v>0.26789278286868495</v>
      </c>
    </row>
    <row r="9" spans="1:5">
      <c r="A9" s="59" t="s">
        <v>35</v>
      </c>
      <c r="B9" s="154">
        <v>303665.36027</v>
      </c>
      <c r="C9" s="60"/>
      <c r="D9" s="60"/>
      <c r="E9" s="157">
        <f t="shared" si="0"/>
        <v>0.2442633396961385</v>
      </c>
    </row>
    <row r="10" spans="1:5">
      <c r="A10" s="59" t="s">
        <v>36</v>
      </c>
      <c r="B10" s="154"/>
      <c r="C10" s="60"/>
      <c r="D10" s="60"/>
      <c r="E10" s="157">
        <f t="shared" si="0"/>
        <v>0</v>
      </c>
    </row>
    <row r="11" spans="1:5">
      <c r="A11" s="59" t="s">
        <v>37</v>
      </c>
      <c r="B11" s="154"/>
      <c r="C11" s="60"/>
      <c r="D11" s="60"/>
      <c r="E11" s="157">
        <f t="shared" si="0"/>
        <v>0</v>
      </c>
    </row>
    <row r="12" spans="1:5">
      <c r="A12" s="59" t="s">
        <v>38</v>
      </c>
      <c r="B12" s="154"/>
      <c r="C12" s="60"/>
      <c r="D12" s="60"/>
      <c r="E12" s="157">
        <f t="shared" si="0"/>
        <v>0</v>
      </c>
    </row>
    <row r="13" spans="1:5">
      <c r="A13" s="59" t="s">
        <v>39</v>
      </c>
      <c r="B13" s="154"/>
      <c r="C13" s="60"/>
      <c r="D13" s="60"/>
      <c r="E13" s="157">
        <f t="shared" si="0"/>
        <v>0</v>
      </c>
    </row>
    <row r="14" spans="1:5">
      <c r="A14" s="59" t="s">
        <v>41</v>
      </c>
      <c r="B14" s="154"/>
      <c r="C14" s="60"/>
      <c r="D14" s="60"/>
      <c r="E14" s="157">
        <f t="shared" si="0"/>
        <v>0</v>
      </c>
    </row>
    <row r="15" spans="1:5">
      <c r="A15" s="59" t="s">
        <v>42</v>
      </c>
      <c r="B15" s="154"/>
      <c r="C15" s="60"/>
      <c r="D15" s="60"/>
      <c r="E15" s="157">
        <f t="shared" si="0"/>
        <v>0</v>
      </c>
    </row>
    <row r="16" spans="1:5" s="125" customFormat="1">
      <c r="A16" s="61" t="s">
        <v>683</v>
      </c>
      <c r="B16" s="155"/>
      <c r="C16" s="62"/>
      <c r="D16" s="62"/>
      <c r="E16" s="157">
        <f t="shared" si="0"/>
        <v>0</v>
      </c>
    </row>
    <row r="17" spans="1:5">
      <c r="A17" s="61" t="s">
        <v>43</v>
      </c>
      <c r="B17" s="155"/>
      <c r="C17" s="62"/>
      <c r="D17" s="62"/>
      <c r="E17" s="157">
        <f t="shared" si="0"/>
        <v>0</v>
      </c>
    </row>
    <row r="18" spans="1:5">
      <c r="A18" s="59" t="s">
        <v>44</v>
      </c>
      <c r="B18" s="154"/>
      <c r="C18" s="60"/>
      <c r="D18" s="60"/>
      <c r="E18" s="157">
        <f t="shared" si="0"/>
        <v>0</v>
      </c>
    </row>
    <row r="19" spans="1:5">
      <c r="A19" s="59" t="s">
        <v>462</v>
      </c>
      <c r="B19" s="154"/>
      <c r="C19" s="60"/>
      <c r="D19" s="60"/>
      <c r="E19" s="157">
        <f t="shared" si="0"/>
        <v>0</v>
      </c>
    </row>
    <row r="20" spans="1:5">
      <c r="A20" s="59" t="s">
        <v>45</v>
      </c>
      <c r="B20" s="154">
        <v>356488.69193999999</v>
      </c>
      <c r="C20" s="60"/>
      <c r="D20" s="60"/>
      <c r="E20" s="157">
        <f t="shared" si="0"/>
        <v>0.2867535446906056</v>
      </c>
    </row>
    <row r="21" spans="1:5">
      <c r="A21" s="59" t="s">
        <v>46</v>
      </c>
      <c r="B21" s="154"/>
      <c r="C21" s="60"/>
      <c r="D21" s="60"/>
      <c r="E21" s="157">
        <f t="shared" si="0"/>
        <v>0</v>
      </c>
    </row>
    <row r="22" spans="1:5">
      <c r="A22" s="59" t="s">
        <v>47</v>
      </c>
      <c r="B22" s="154"/>
      <c r="C22" s="60"/>
      <c r="D22" s="60"/>
      <c r="E22" s="157">
        <f t="shared" si="0"/>
        <v>0</v>
      </c>
    </row>
    <row r="23" spans="1:5">
      <c r="A23" s="59" t="s">
        <v>461</v>
      </c>
      <c r="B23" s="154">
        <v>-357.54628000000002</v>
      </c>
      <c r="C23" s="60"/>
      <c r="D23" s="60"/>
      <c r="E23" s="157">
        <f t="shared" si="0"/>
        <v>-2.876042508473061E-4</v>
      </c>
    </row>
    <row r="24" spans="1:5">
      <c r="A24" s="59" t="s">
        <v>48</v>
      </c>
      <c r="B24" s="154">
        <v>52825.776949999999</v>
      </c>
      <c r="C24" s="60"/>
      <c r="D24" s="60"/>
      <c r="E24" s="157">
        <f t="shared" si="0"/>
        <v>4.2492171936823503E-2</v>
      </c>
    </row>
    <row r="25" spans="1:5">
      <c r="A25" s="59" t="s">
        <v>49</v>
      </c>
      <c r="B25" s="154"/>
      <c r="C25" s="60"/>
      <c r="D25" s="60"/>
      <c r="E25" s="157">
        <f t="shared" si="0"/>
        <v>0</v>
      </c>
    </row>
    <row r="26" spans="1:5">
      <c r="A26" s="59" t="s">
        <v>50</v>
      </c>
      <c r="B26" s="154"/>
      <c r="C26" s="60"/>
      <c r="D26" s="60"/>
      <c r="E26" s="157">
        <f t="shared" si="0"/>
        <v>0</v>
      </c>
    </row>
    <row r="27" spans="1:5">
      <c r="A27" s="59" t="s">
        <v>51</v>
      </c>
      <c r="B27" s="154"/>
      <c r="C27" s="60"/>
      <c r="D27" s="60"/>
      <c r="E27" s="157">
        <f t="shared" si="0"/>
        <v>0</v>
      </c>
    </row>
    <row r="28" spans="1:5">
      <c r="A28" s="59" t="s">
        <v>506</v>
      </c>
      <c r="B28" s="154"/>
      <c r="C28" s="60"/>
      <c r="D28" s="60"/>
      <c r="E28" s="157">
        <f t="shared" si="0"/>
        <v>0</v>
      </c>
    </row>
    <row r="29" spans="1:5">
      <c r="A29" s="59" t="s">
        <v>52</v>
      </c>
      <c r="B29" s="154"/>
      <c r="C29" s="60"/>
      <c r="D29" s="60"/>
      <c r="E29" s="157">
        <f t="shared" si="0"/>
        <v>0</v>
      </c>
    </row>
    <row r="30" spans="1:5">
      <c r="A30" s="58" t="s">
        <v>619</v>
      </c>
      <c r="B30" s="156">
        <f>SUM(B3:B29)</f>
        <v>1243188.4401800004</v>
      </c>
      <c r="C30" s="63">
        <f t="shared" ref="C30:E30" si="1">SUM(C3:C29)</f>
        <v>0</v>
      </c>
      <c r="D30" s="63">
        <f t="shared" si="1"/>
        <v>0</v>
      </c>
      <c r="E30" s="158">
        <f t="shared" si="1"/>
        <v>0.99999999999999967</v>
      </c>
    </row>
    <row r="31" spans="1:5" s="125" customFormat="1">
      <c r="A31" s="61" t="s">
        <v>771</v>
      </c>
      <c r="B31" s="62"/>
      <c r="C31" s="62"/>
      <c r="D31" s="62"/>
      <c r="E31" s="62"/>
    </row>
    <row r="32" spans="1:5">
      <c r="A32" s="61" t="s">
        <v>772</v>
      </c>
      <c r="B32" s="62"/>
      <c r="C32" s="62"/>
      <c r="D32" s="62"/>
      <c r="E32" s="6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72"/>
  <sheetViews>
    <sheetView rightToLeft="1" workbookViewId="0">
      <selection activeCell="P2" sqref="P2:Q54"/>
    </sheetView>
  </sheetViews>
  <sheetFormatPr defaultColWidth="9" defaultRowHeight="15"/>
  <cols>
    <col min="1" max="2" width="11.5703125" style="2" customWidth="1"/>
    <col min="3" max="3" width="19.140625" style="2" bestFit="1" customWidth="1"/>
    <col min="4" max="4" width="11.5703125" style="2" customWidth="1"/>
    <col min="5" max="5" width="11.5703125" style="4" customWidth="1"/>
    <col min="6" max="18" width="11.5703125" style="2" customWidth="1"/>
    <col min="19" max="16384" width="9" style="2"/>
  </cols>
  <sheetData>
    <row r="1" spans="1:17" s="3" customFormat="1" ht="66.75" customHeight="1">
      <c r="A1" s="20" t="s">
        <v>667</v>
      </c>
      <c r="B1" s="20" t="s">
        <v>0</v>
      </c>
      <c r="C1" s="20" t="s">
        <v>739</v>
      </c>
      <c r="D1" s="20" t="s">
        <v>757</v>
      </c>
      <c r="E1" s="20" t="s">
        <v>758</v>
      </c>
      <c r="F1" s="20" t="s">
        <v>1</v>
      </c>
      <c r="G1" s="20" t="s">
        <v>620</v>
      </c>
      <c r="H1" s="20" t="s">
        <v>622</v>
      </c>
      <c r="I1" s="20" t="s">
        <v>788</v>
      </c>
      <c r="J1" s="20" t="s">
        <v>8</v>
      </c>
      <c r="K1" s="20" t="s">
        <v>396</v>
      </c>
      <c r="L1" s="20" t="s">
        <v>938</v>
      </c>
      <c r="M1" s="20" t="s">
        <v>11</v>
      </c>
      <c r="N1" s="20" t="s">
        <v>14</v>
      </c>
      <c r="O1" s="20" t="s">
        <v>1171</v>
      </c>
      <c r="P1" s="20" t="s">
        <v>19</v>
      </c>
      <c r="Q1" s="20" t="s">
        <v>30</v>
      </c>
    </row>
    <row r="2" spans="1:17" ht="15.75" thickBot="1">
      <c r="A2" s="159">
        <v>7891</v>
      </c>
      <c r="B2" s="159">
        <v>7892</v>
      </c>
      <c r="C2" s="160" t="s">
        <v>1206</v>
      </c>
      <c r="D2" s="165">
        <v>10</v>
      </c>
      <c r="E2" s="160" t="s">
        <v>792</v>
      </c>
      <c r="F2" s="160" t="s">
        <v>213</v>
      </c>
      <c r="G2" s="160" t="s">
        <v>53</v>
      </c>
      <c r="H2" s="160" t="s">
        <v>62</v>
      </c>
      <c r="I2" s="160" t="s">
        <v>1207</v>
      </c>
      <c r="J2" s="160" t="s">
        <v>65</v>
      </c>
      <c r="K2" s="160" t="s">
        <v>1208</v>
      </c>
      <c r="L2" s="161">
        <v>0</v>
      </c>
      <c r="M2" s="161">
        <v>0</v>
      </c>
      <c r="N2" s="162"/>
      <c r="O2" s="161">
        <v>78.266229999999993</v>
      </c>
      <c r="P2" s="162">
        <v>1</v>
      </c>
      <c r="Q2" s="162">
        <v>3.338500616067705E-2</v>
      </c>
    </row>
    <row r="3" spans="1:17" ht="15.75" thickBot="1">
      <c r="A3" s="159">
        <v>7891</v>
      </c>
      <c r="B3" s="159">
        <v>7893</v>
      </c>
      <c r="C3" s="160" t="s">
        <v>1206</v>
      </c>
      <c r="D3" s="165">
        <v>10</v>
      </c>
      <c r="E3" s="160" t="s">
        <v>792</v>
      </c>
      <c r="F3" s="160" t="s">
        <v>213</v>
      </c>
      <c r="G3" s="160" t="s">
        <v>53</v>
      </c>
      <c r="H3" s="160" t="s">
        <v>62</v>
      </c>
      <c r="I3" s="160" t="s">
        <v>1207</v>
      </c>
      <c r="J3" s="160" t="s">
        <v>65</v>
      </c>
      <c r="K3" s="160" t="s">
        <v>1208</v>
      </c>
      <c r="L3" s="161">
        <v>0</v>
      </c>
      <c r="M3" s="161">
        <v>0</v>
      </c>
      <c r="N3" s="162"/>
      <c r="O3" s="161">
        <v>64.923169999999999</v>
      </c>
      <c r="P3" s="162">
        <v>1</v>
      </c>
      <c r="Q3" s="162">
        <v>6.0455148236896135E-2</v>
      </c>
    </row>
    <row r="4" spans="1:17" ht="15.75" thickBot="1">
      <c r="A4" s="159">
        <v>7891</v>
      </c>
      <c r="B4" s="159">
        <v>7895</v>
      </c>
      <c r="C4" s="160" t="s">
        <v>1209</v>
      </c>
      <c r="D4" s="165">
        <v>12</v>
      </c>
      <c r="E4" s="160" t="s">
        <v>792</v>
      </c>
      <c r="F4" s="160" t="s">
        <v>213</v>
      </c>
      <c r="G4" s="160" t="s">
        <v>53</v>
      </c>
      <c r="H4" s="160" t="s">
        <v>62</v>
      </c>
      <c r="I4" s="160" t="s">
        <v>1207</v>
      </c>
      <c r="J4" s="160" t="s">
        <v>65</v>
      </c>
      <c r="K4" s="160" t="s">
        <v>1208</v>
      </c>
      <c r="L4" s="161">
        <v>0</v>
      </c>
      <c r="M4" s="161">
        <v>0</v>
      </c>
      <c r="N4" s="162"/>
      <c r="O4" s="161">
        <v>15.23137</v>
      </c>
      <c r="P4" s="162">
        <v>1</v>
      </c>
      <c r="Q4" s="162">
        <v>3.4724604621955799E-2</v>
      </c>
    </row>
    <row r="5" spans="1:17" ht="15.75" thickBot="1">
      <c r="A5" s="159">
        <v>7891</v>
      </c>
      <c r="B5" s="159">
        <v>7896</v>
      </c>
      <c r="C5" s="160" t="s">
        <v>1209</v>
      </c>
      <c r="D5" s="165">
        <v>12</v>
      </c>
      <c r="E5" s="160" t="s">
        <v>792</v>
      </c>
      <c r="F5" s="160" t="s">
        <v>213</v>
      </c>
      <c r="G5" s="160" t="s">
        <v>53</v>
      </c>
      <c r="H5" s="160" t="s">
        <v>62</v>
      </c>
      <c r="I5" s="160" t="s">
        <v>1207</v>
      </c>
      <c r="J5" s="160" t="s">
        <v>65</v>
      </c>
      <c r="K5" s="160" t="s">
        <v>1208</v>
      </c>
      <c r="L5" s="161">
        <v>0</v>
      </c>
      <c r="M5" s="161">
        <v>0</v>
      </c>
      <c r="N5" s="162"/>
      <c r="O5" s="161">
        <v>304.32128999999998</v>
      </c>
      <c r="P5" s="162">
        <v>0.89545646046793637</v>
      </c>
      <c r="Q5" s="162">
        <v>2.0747526714507351E-2</v>
      </c>
    </row>
    <row r="6" spans="1:17" ht="15.75" thickBot="1">
      <c r="A6" s="159">
        <v>7891</v>
      </c>
      <c r="B6" s="159">
        <v>7896</v>
      </c>
      <c r="C6" s="160" t="s">
        <v>1209</v>
      </c>
      <c r="D6" s="165">
        <v>12</v>
      </c>
      <c r="E6" s="160" t="s">
        <v>792</v>
      </c>
      <c r="F6" s="160" t="s">
        <v>218</v>
      </c>
      <c r="G6" s="160" t="s">
        <v>53</v>
      </c>
      <c r="H6" s="160" t="s">
        <v>62</v>
      </c>
      <c r="I6" s="160" t="s">
        <v>1207</v>
      </c>
      <c r="J6" s="160" t="s">
        <v>65</v>
      </c>
      <c r="K6" s="160" t="s">
        <v>1210</v>
      </c>
      <c r="L6" s="161">
        <v>2.94374</v>
      </c>
      <c r="M6" s="161">
        <v>3.681</v>
      </c>
      <c r="N6" s="162"/>
      <c r="O6" s="161">
        <v>10.83591</v>
      </c>
      <c r="P6" s="162">
        <v>3.1884347015449087E-2</v>
      </c>
      <c r="Q6" s="162">
        <v>7.3875321769632807E-4</v>
      </c>
    </row>
    <row r="7" spans="1:17" ht="15.75" thickBot="1">
      <c r="A7" s="159">
        <v>7891</v>
      </c>
      <c r="B7" s="159">
        <v>7896</v>
      </c>
      <c r="C7" s="160" t="s">
        <v>1209</v>
      </c>
      <c r="D7" s="165">
        <v>12</v>
      </c>
      <c r="E7" s="160" t="s">
        <v>792</v>
      </c>
      <c r="F7" s="160" t="s">
        <v>218</v>
      </c>
      <c r="G7" s="160" t="s">
        <v>53</v>
      </c>
      <c r="H7" s="160" t="s">
        <v>62</v>
      </c>
      <c r="I7" s="160" t="s">
        <v>1207</v>
      </c>
      <c r="J7" s="160" t="s">
        <v>65</v>
      </c>
      <c r="K7" s="160" t="s">
        <v>1211</v>
      </c>
      <c r="L7" s="161">
        <v>6.2057399999999996</v>
      </c>
      <c r="M7" s="161">
        <v>3.9790999999999999</v>
      </c>
      <c r="N7" s="162"/>
      <c r="O7" s="161">
        <v>24.693259999999999</v>
      </c>
      <c r="P7" s="162">
        <v>7.2659192516614513E-2</v>
      </c>
      <c r="Q7" s="162">
        <v>1.6834973048329147E-3</v>
      </c>
    </row>
    <row r="8" spans="1:17" ht="15.75" thickBot="1">
      <c r="A8" s="159">
        <v>7891</v>
      </c>
      <c r="B8" s="159">
        <v>7897</v>
      </c>
      <c r="C8" s="160" t="s">
        <v>1209</v>
      </c>
      <c r="D8" s="165">
        <v>12</v>
      </c>
      <c r="E8" s="160" t="s">
        <v>792</v>
      </c>
      <c r="F8" s="160" t="s">
        <v>213</v>
      </c>
      <c r="G8" s="160" t="s">
        <v>53</v>
      </c>
      <c r="H8" s="160" t="s">
        <v>62</v>
      </c>
      <c r="I8" s="160" t="s">
        <v>1207</v>
      </c>
      <c r="J8" s="160" t="s">
        <v>65</v>
      </c>
      <c r="K8" s="160" t="s">
        <v>1208</v>
      </c>
      <c r="L8" s="161">
        <v>0</v>
      </c>
      <c r="M8" s="161">
        <v>0</v>
      </c>
      <c r="N8" s="162"/>
      <c r="O8" s="161">
        <v>5105.6409599999997</v>
      </c>
      <c r="P8" s="162">
        <v>0.18098378326458642</v>
      </c>
      <c r="Q8" s="162">
        <v>5.3697556878521222E-2</v>
      </c>
    </row>
    <row r="9" spans="1:17" ht="15.75" thickBot="1">
      <c r="A9" s="159">
        <v>7891</v>
      </c>
      <c r="B9" s="159">
        <v>7897</v>
      </c>
      <c r="C9" s="160" t="s">
        <v>1209</v>
      </c>
      <c r="D9" s="165">
        <v>12</v>
      </c>
      <c r="E9" s="160" t="s">
        <v>792</v>
      </c>
      <c r="F9" s="160" t="s">
        <v>218</v>
      </c>
      <c r="G9" s="160" t="s">
        <v>53</v>
      </c>
      <c r="H9" s="160" t="s">
        <v>62</v>
      </c>
      <c r="I9" s="160" t="s">
        <v>1207</v>
      </c>
      <c r="J9" s="160" t="s">
        <v>65</v>
      </c>
      <c r="K9" s="160" t="s">
        <v>1210</v>
      </c>
      <c r="L9" s="161">
        <v>-2.0000000000000002E-5</v>
      </c>
      <c r="M9" s="161">
        <v>3.681</v>
      </c>
      <c r="N9" s="162"/>
      <c r="O9" s="161">
        <v>-6.9999999999999994E-5</v>
      </c>
      <c r="P9" s="162">
        <v>-2.481346598355606E-9</v>
      </c>
      <c r="Q9" s="162">
        <v>-7.3621098916765297E-10</v>
      </c>
    </row>
    <row r="10" spans="1:17" ht="15.75" thickBot="1">
      <c r="A10" s="159">
        <v>7891</v>
      </c>
      <c r="B10" s="159">
        <v>7897</v>
      </c>
      <c r="C10" s="160" t="s">
        <v>1209</v>
      </c>
      <c r="D10" s="165">
        <v>12</v>
      </c>
      <c r="E10" s="160" t="s">
        <v>792</v>
      </c>
      <c r="F10" s="160" t="s">
        <v>218</v>
      </c>
      <c r="G10" s="160" t="s">
        <v>53</v>
      </c>
      <c r="H10" s="160" t="s">
        <v>62</v>
      </c>
      <c r="I10" s="160" t="s">
        <v>1207</v>
      </c>
      <c r="J10" s="160" t="s">
        <v>65</v>
      </c>
      <c r="K10" s="160" t="s">
        <v>1211</v>
      </c>
      <c r="L10" s="161">
        <v>1.0000000000000001E-5</v>
      </c>
      <c r="M10" s="161">
        <v>3.9790999999999999</v>
      </c>
      <c r="N10" s="162"/>
      <c r="O10" s="161">
        <v>4.0000000000000003E-5</v>
      </c>
      <c r="P10" s="162">
        <v>1.4179123419174892E-9</v>
      </c>
      <c r="Q10" s="162">
        <v>4.2069199381008747E-10</v>
      </c>
    </row>
    <row r="11" spans="1:17" ht="15.75" thickBot="1">
      <c r="A11" s="159">
        <v>7891</v>
      </c>
      <c r="B11" s="159">
        <v>7897</v>
      </c>
      <c r="C11" s="160" t="s">
        <v>1209</v>
      </c>
      <c r="D11" s="165">
        <v>12</v>
      </c>
      <c r="E11" s="160" t="s">
        <v>792</v>
      </c>
      <c r="F11" s="160" t="s">
        <v>213</v>
      </c>
      <c r="G11" s="160" t="s">
        <v>53</v>
      </c>
      <c r="H11" s="160" t="s">
        <v>62</v>
      </c>
      <c r="I11" s="160" t="s">
        <v>1207</v>
      </c>
      <c r="J11" s="160" t="s">
        <v>65</v>
      </c>
      <c r="K11" s="160" t="s">
        <v>1208</v>
      </c>
      <c r="L11" s="161">
        <v>0</v>
      </c>
      <c r="M11" s="161">
        <v>0</v>
      </c>
      <c r="N11" s="162"/>
      <c r="O11" s="161">
        <v>21104.631570000001</v>
      </c>
      <c r="P11" s="162">
        <v>0.74811293936811196</v>
      </c>
      <c r="Q11" s="162">
        <v>0.22196373834526542</v>
      </c>
    </row>
    <row r="12" spans="1:17" ht="15.75" thickBot="1">
      <c r="A12" s="159">
        <v>7891</v>
      </c>
      <c r="B12" s="159">
        <v>7897</v>
      </c>
      <c r="C12" s="160" t="s">
        <v>1209</v>
      </c>
      <c r="D12" s="165">
        <v>12</v>
      </c>
      <c r="E12" s="160" t="s">
        <v>792</v>
      </c>
      <c r="F12" s="160" t="s">
        <v>218</v>
      </c>
      <c r="G12" s="160" t="s">
        <v>53</v>
      </c>
      <c r="H12" s="160" t="s">
        <v>62</v>
      </c>
      <c r="I12" s="160" t="s">
        <v>1207</v>
      </c>
      <c r="J12" s="160" t="s">
        <v>65</v>
      </c>
      <c r="K12" s="160" t="s">
        <v>1210</v>
      </c>
      <c r="L12" s="161">
        <v>448.07056</v>
      </c>
      <c r="M12" s="161">
        <v>1</v>
      </c>
      <c r="N12" s="162"/>
      <c r="O12" s="161">
        <v>1649.34773</v>
      </c>
      <c r="P12" s="162">
        <v>5.8465762562014863E-2</v>
      </c>
      <c r="Q12" s="162">
        <v>1.7346684625496045E-2</v>
      </c>
    </row>
    <row r="13" spans="1:17" ht="15.75" thickBot="1">
      <c r="A13" s="159">
        <v>7891</v>
      </c>
      <c r="B13" s="159">
        <v>7897</v>
      </c>
      <c r="C13" s="160" t="s">
        <v>1209</v>
      </c>
      <c r="D13" s="165">
        <v>12</v>
      </c>
      <c r="E13" s="160" t="s">
        <v>792</v>
      </c>
      <c r="F13" s="160" t="s">
        <v>218</v>
      </c>
      <c r="G13" s="160" t="s">
        <v>53</v>
      </c>
      <c r="H13" s="160" t="s">
        <v>62</v>
      </c>
      <c r="I13" s="160" t="s">
        <v>1207</v>
      </c>
      <c r="J13" s="160" t="s">
        <v>65</v>
      </c>
      <c r="K13" s="160" t="s">
        <v>1211</v>
      </c>
      <c r="L13" s="161">
        <v>88.17783</v>
      </c>
      <c r="M13" s="161">
        <v>1</v>
      </c>
      <c r="N13" s="162"/>
      <c r="O13" s="161">
        <v>350.86840000000001</v>
      </c>
      <c r="P13" s="162">
        <v>1.2437515868721058E-2</v>
      </c>
      <c r="Q13" s="162">
        <v>3.6901881690238822E-3</v>
      </c>
    </row>
    <row r="14" spans="1:17" ht="15.75" thickBot="1">
      <c r="A14" s="159">
        <v>7891</v>
      </c>
      <c r="B14" s="159">
        <v>7900</v>
      </c>
      <c r="C14" s="160" t="s">
        <v>1209</v>
      </c>
      <c r="D14" s="165">
        <v>12</v>
      </c>
      <c r="E14" s="160" t="s">
        <v>792</v>
      </c>
      <c r="F14" s="160" t="s">
        <v>213</v>
      </c>
      <c r="G14" s="160" t="s">
        <v>53</v>
      </c>
      <c r="H14" s="160" t="s">
        <v>62</v>
      </c>
      <c r="I14" s="160" t="s">
        <v>1207</v>
      </c>
      <c r="J14" s="160" t="s">
        <v>65</v>
      </c>
      <c r="K14" s="160" t="s">
        <v>1208</v>
      </c>
      <c r="L14" s="161">
        <v>0</v>
      </c>
      <c r="M14" s="161">
        <v>0</v>
      </c>
      <c r="N14" s="162"/>
      <c r="O14" s="161">
        <v>242.32746</v>
      </c>
      <c r="P14" s="162">
        <v>0.99229699527371273</v>
      </c>
      <c r="Q14" s="162">
        <v>2.0519094049495951E-2</v>
      </c>
    </row>
    <row r="15" spans="1:17" ht="15.75" thickBot="1">
      <c r="A15" s="159">
        <v>7891</v>
      </c>
      <c r="B15" s="159">
        <v>7900</v>
      </c>
      <c r="C15" s="160" t="s">
        <v>1209</v>
      </c>
      <c r="D15" s="165">
        <v>12</v>
      </c>
      <c r="E15" s="160" t="s">
        <v>792</v>
      </c>
      <c r="F15" s="160" t="s">
        <v>218</v>
      </c>
      <c r="G15" s="160" t="s">
        <v>53</v>
      </c>
      <c r="H15" s="160" t="s">
        <v>62</v>
      </c>
      <c r="I15" s="160" t="s">
        <v>1207</v>
      </c>
      <c r="J15" s="160" t="s">
        <v>65</v>
      </c>
      <c r="K15" s="160" t="s">
        <v>1210</v>
      </c>
      <c r="L15" s="161">
        <v>0.51104000000000005</v>
      </c>
      <c r="M15" s="161">
        <v>3.681</v>
      </c>
      <c r="N15" s="162"/>
      <c r="O15" s="161">
        <v>1.88114</v>
      </c>
      <c r="P15" s="162">
        <v>7.7030047262872815E-3</v>
      </c>
      <c r="Q15" s="162">
        <v>1.5928565660808236E-4</v>
      </c>
    </row>
    <row r="16" spans="1:17" ht="15.75" thickBot="1">
      <c r="A16" s="159">
        <v>11925</v>
      </c>
      <c r="B16" s="159">
        <v>11926</v>
      </c>
      <c r="C16" s="160" t="s">
        <v>1209</v>
      </c>
      <c r="D16" s="165">
        <v>12</v>
      </c>
      <c r="E16" s="160" t="s">
        <v>792</v>
      </c>
      <c r="F16" s="160" t="s">
        <v>213</v>
      </c>
      <c r="G16" s="160" t="s">
        <v>53</v>
      </c>
      <c r="H16" s="160" t="s">
        <v>62</v>
      </c>
      <c r="I16" s="160" t="s">
        <v>1207</v>
      </c>
      <c r="J16" s="160" t="s">
        <v>65</v>
      </c>
      <c r="K16" s="160" t="s">
        <v>1208</v>
      </c>
      <c r="L16" s="161">
        <v>0</v>
      </c>
      <c r="M16" s="161">
        <v>0</v>
      </c>
      <c r="N16" s="162"/>
      <c r="O16" s="161">
        <v>891.15466000000004</v>
      </c>
      <c r="P16" s="162">
        <v>0.94363008970564621</v>
      </c>
      <c r="Q16" s="162">
        <v>3.4042043370380852E-2</v>
      </c>
    </row>
    <row r="17" spans="1:17" ht="15.75" thickBot="1">
      <c r="A17" s="159">
        <v>11925</v>
      </c>
      <c r="B17" s="159">
        <v>11926</v>
      </c>
      <c r="C17" s="160" t="s">
        <v>1209</v>
      </c>
      <c r="D17" s="165">
        <v>12</v>
      </c>
      <c r="E17" s="160" t="s">
        <v>792</v>
      </c>
      <c r="F17" s="160" t="s">
        <v>218</v>
      </c>
      <c r="G17" s="160" t="s">
        <v>53</v>
      </c>
      <c r="H17" s="160" t="s">
        <v>62</v>
      </c>
      <c r="I17" s="160" t="s">
        <v>1207</v>
      </c>
      <c r="J17" s="160" t="s">
        <v>65</v>
      </c>
      <c r="K17" s="160" t="s">
        <v>1210</v>
      </c>
      <c r="L17" s="161">
        <v>14.462149999999999</v>
      </c>
      <c r="M17" s="161">
        <v>3.681</v>
      </c>
      <c r="N17" s="162"/>
      <c r="O17" s="161">
        <v>53.235169999999997</v>
      </c>
      <c r="P17" s="162">
        <v>5.6369910294353752E-2</v>
      </c>
      <c r="Q17" s="162">
        <v>2.0335796324844418E-3</v>
      </c>
    </row>
    <row r="18" spans="1:17" ht="15.75" thickBot="1">
      <c r="A18" s="159">
        <v>11925</v>
      </c>
      <c r="B18" s="159">
        <v>11928</v>
      </c>
      <c r="C18" s="160" t="s">
        <v>1209</v>
      </c>
      <c r="D18" s="165">
        <v>12</v>
      </c>
      <c r="E18" s="160" t="s">
        <v>792</v>
      </c>
      <c r="F18" s="160" t="s">
        <v>213</v>
      </c>
      <c r="G18" s="160" t="s">
        <v>53</v>
      </c>
      <c r="H18" s="160" t="s">
        <v>62</v>
      </c>
      <c r="I18" s="160" t="s">
        <v>1207</v>
      </c>
      <c r="J18" s="160" t="s">
        <v>65</v>
      </c>
      <c r="K18" s="160" t="s">
        <v>1208</v>
      </c>
      <c r="L18" s="161">
        <v>0</v>
      </c>
      <c r="M18" s="161">
        <v>0</v>
      </c>
      <c r="N18" s="162"/>
      <c r="O18" s="161">
        <v>4404.0891700000002</v>
      </c>
      <c r="P18" s="162">
        <v>0.12750878165584725</v>
      </c>
      <c r="Q18" s="162">
        <v>3.2665814229895639E-2</v>
      </c>
    </row>
    <row r="19" spans="1:17" ht="15.75" thickBot="1">
      <c r="A19" s="159">
        <v>11925</v>
      </c>
      <c r="B19" s="159">
        <v>11928</v>
      </c>
      <c r="C19" s="160" t="s">
        <v>1209</v>
      </c>
      <c r="D19" s="165">
        <v>12</v>
      </c>
      <c r="E19" s="160" t="s">
        <v>792</v>
      </c>
      <c r="F19" s="160" t="s">
        <v>218</v>
      </c>
      <c r="G19" s="160" t="s">
        <v>53</v>
      </c>
      <c r="H19" s="160" t="s">
        <v>62</v>
      </c>
      <c r="I19" s="160" t="s">
        <v>1207</v>
      </c>
      <c r="J19" s="160" t="s">
        <v>65</v>
      </c>
      <c r="K19" s="160" t="s">
        <v>1210</v>
      </c>
      <c r="L19" s="161">
        <v>4.0000000000000003E-5</v>
      </c>
      <c r="M19" s="161">
        <v>3.681</v>
      </c>
      <c r="N19" s="162"/>
      <c r="O19" s="161">
        <v>1.4999999999999999E-4</v>
      </c>
      <c r="P19" s="162">
        <v>4.3428542225399779E-9</v>
      </c>
      <c r="Q19" s="162">
        <v>1.1125733256859431E-9</v>
      </c>
    </row>
    <row r="20" spans="1:17" ht="15.75" thickBot="1">
      <c r="A20" s="159">
        <v>11925</v>
      </c>
      <c r="B20" s="159">
        <v>11928</v>
      </c>
      <c r="C20" s="160" t="s">
        <v>1209</v>
      </c>
      <c r="D20" s="165">
        <v>12</v>
      </c>
      <c r="E20" s="160" t="s">
        <v>792</v>
      </c>
      <c r="F20" s="160" t="s">
        <v>213</v>
      </c>
      <c r="G20" s="160" t="s">
        <v>53</v>
      </c>
      <c r="H20" s="160" t="s">
        <v>62</v>
      </c>
      <c r="I20" s="160" t="s">
        <v>1207</v>
      </c>
      <c r="J20" s="160" t="s">
        <v>65</v>
      </c>
      <c r="K20" s="160" t="s">
        <v>1208</v>
      </c>
      <c r="L20" s="161">
        <v>0</v>
      </c>
      <c r="M20" s="161">
        <v>0</v>
      </c>
      <c r="N20" s="162"/>
      <c r="O20" s="161">
        <v>27062.068490000001</v>
      </c>
      <c r="P20" s="162">
        <v>0.78351078941641727</v>
      </c>
      <c r="Q20" s="162">
        <v>0.20072357026573381</v>
      </c>
    </row>
    <row r="21" spans="1:17" s="43" customFormat="1" ht="15.75" thickBot="1">
      <c r="A21" s="159">
        <v>11925</v>
      </c>
      <c r="B21" s="159">
        <v>11928</v>
      </c>
      <c r="C21" s="160" t="s">
        <v>1209</v>
      </c>
      <c r="D21" s="165">
        <v>12</v>
      </c>
      <c r="E21" s="160" t="s">
        <v>792</v>
      </c>
      <c r="F21" s="160" t="s">
        <v>218</v>
      </c>
      <c r="G21" s="160" t="s">
        <v>53</v>
      </c>
      <c r="H21" s="160" t="s">
        <v>62</v>
      </c>
      <c r="I21" s="160" t="s">
        <v>1207</v>
      </c>
      <c r="J21" s="160" t="s">
        <v>65</v>
      </c>
      <c r="K21" s="160" t="s">
        <v>1210</v>
      </c>
      <c r="L21" s="161">
        <v>675.57214999999997</v>
      </c>
      <c r="M21" s="161">
        <v>1</v>
      </c>
      <c r="N21" s="162"/>
      <c r="O21" s="161">
        <v>2486.7810800000002</v>
      </c>
      <c r="P21" s="162">
        <v>7.1998184758736858E-2</v>
      </c>
      <c r="Q21" s="162">
        <v>1.8444841976189879E-2</v>
      </c>
    </row>
    <row r="22" spans="1:17" ht="15.75" thickBot="1">
      <c r="A22" s="159">
        <v>11925</v>
      </c>
      <c r="B22" s="159">
        <v>11928</v>
      </c>
      <c r="C22" s="160" t="s">
        <v>1209</v>
      </c>
      <c r="D22" s="165">
        <v>12</v>
      </c>
      <c r="E22" s="160" t="s">
        <v>792</v>
      </c>
      <c r="F22" s="160" t="s">
        <v>218</v>
      </c>
      <c r="G22" s="160" t="s">
        <v>53</v>
      </c>
      <c r="H22" s="160" t="s">
        <v>62</v>
      </c>
      <c r="I22" s="160" t="s">
        <v>1207</v>
      </c>
      <c r="J22" s="160" t="s">
        <v>65</v>
      </c>
      <c r="K22" s="160" t="s">
        <v>1211</v>
      </c>
      <c r="L22" s="161">
        <v>147.40971999999999</v>
      </c>
      <c r="M22" s="161">
        <v>1</v>
      </c>
      <c r="N22" s="162"/>
      <c r="O22" s="161">
        <v>586.55802000000006</v>
      </c>
      <c r="P22" s="162">
        <v>1.6982239826144593E-2</v>
      </c>
      <c r="Q22" s="162">
        <v>4.3505920467944142E-3</v>
      </c>
    </row>
    <row r="23" spans="1:17" ht="15.75" thickBot="1">
      <c r="A23" s="159">
        <v>11925</v>
      </c>
      <c r="B23" s="159">
        <v>11931</v>
      </c>
      <c r="C23" s="160" t="s">
        <v>1209</v>
      </c>
      <c r="D23" s="165">
        <v>12</v>
      </c>
      <c r="E23" s="160" t="s">
        <v>792</v>
      </c>
      <c r="F23" s="160" t="s">
        <v>213</v>
      </c>
      <c r="G23" s="160" t="s">
        <v>53</v>
      </c>
      <c r="H23" s="160" t="s">
        <v>62</v>
      </c>
      <c r="I23" s="160" t="s">
        <v>1207</v>
      </c>
      <c r="J23" s="160" t="s">
        <v>65</v>
      </c>
      <c r="K23" s="160" t="s">
        <v>1208</v>
      </c>
      <c r="L23" s="161">
        <v>0</v>
      </c>
      <c r="M23" s="161">
        <v>0</v>
      </c>
      <c r="N23" s="162"/>
      <c r="O23" s="161">
        <v>1192.0468499999999</v>
      </c>
      <c r="P23" s="162">
        <v>0.98490000253816612</v>
      </c>
      <c r="Q23" s="162">
        <v>4.5870246415476365E-2</v>
      </c>
    </row>
    <row r="24" spans="1:17" ht="15.75" thickBot="1">
      <c r="A24" s="159">
        <v>11925</v>
      </c>
      <c r="B24" s="159">
        <v>11931</v>
      </c>
      <c r="C24" s="160" t="s">
        <v>1209</v>
      </c>
      <c r="D24" s="165">
        <v>12</v>
      </c>
      <c r="E24" s="160" t="s">
        <v>792</v>
      </c>
      <c r="F24" s="160" t="s">
        <v>218</v>
      </c>
      <c r="G24" s="160" t="s">
        <v>53</v>
      </c>
      <c r="H24" s="160" t="s">
        <v>62</v>
      </c>
      <c r="I24" s="160" t="s">
        <v>1207</v>
      </c>
      <c r="J24" s="160" t="s">
        <v>65</v>
      </c>
      <c r="K24" s="160" t="s">
        <v>1210</v>
      </c>
      <c r="L24" s="161">
        <v>4.9649200000000002</v>
      </c>
      <c r="M24" s="161">
        <v>3.681</v>
      </c>
      <c r="N24" s="162"/>
      <c r="O24" s="161">
        <v>18.275870000000001</v>
      </c>
      <c r="P24" s="162">
        <v>1.5099997461833983E-2</v>
      </c>
      <c r="Q24" s="162">
        <v>7.0325982603553893E-4</v>
      </c>
    </row>
    <row r="25" spans="1:17" ht="15.75" thickBot="1">
      <c r="A25" s="159">
        <v>11925</v>
      </c>
      <c r="B25" s="159">
        <v>11934</v>
      </c>
      <c r="C25" s="160" t="s">
        <v>1209</v>
      </c>
      <c r="D25" s="165">
        <v>12</v>
      </c>
      <c r="E25" s="160" t="s">
        <v>792</v>
      </c>
      <c r="F25" s="160" t="s">
        <v>213</v>
      </c>
      <c r="G25" s="160" t="s">
        <v>53</v>
      </c>
      <c r="H25" s="160" t="s">
        <v>62</v>
      </c>
      <c r="I25" s="160" t="s">
        <v>1207</v>
      </c>
      <c r="J25" s="160" t="s">
        <v>65</v>
      </c>
      <c r="K25" s="160" t="s">
        <v>1208</v>
      </c>
      <c r="L25" s="161">
        <v>0</v>
      </c>
      <c r="M25" s="161">
        <v>0</v>
      </c>
      <c r="N25" s="162"/>
      <c r="O25" s="161">
        <v>1517.7032099999999</v>
      </c>
      <c r="P25" s="162">
        <v>0.9621223678485693</v>
      </c>
      <c r="Q25" s="162">
        <v>5.381832147969786E-2</v>
      </c>
    </row>
    <row r="26" spans="1:17" ht="15.75" thickBot="1">
      <c r="A26" s="159">
        <v>11925</v>
      </c>
      <c r="B26" s="159">
        <v>11934</v>
      </c>
      <c r="C26" s="160" t="s">
        <v>1209</v>
      </c>
      <c r="D26" s="165">
        <v>12</v>
      </c>
      <c r="E26" s="160" t="s">
        <v>792</v>
      </c>
      <c r="F26" s="160" t="s">
        <v>218</v>
      </c>
      <c r="G26" s="160" t="s">
        <v>53</v>
      </c>
      <c r="H26" s="160" t="s">
        <v>62</v>
      </c>
      <c r="I26" s="160" t="s">
        <v>1207</v>
      </c>
      <c r="J26" s="160" t="s">
        <v>65</v>
      </c>
      <c r="K26" s="160" t="s">
        <v>1210</v>
      </c>
      <c r="L26" s="161">
        <v>1.6138300000000001</v>
      </c>
      <c r="M26" s="161">
        <v>3.681</v>
      </c>
      <c r="N26" s="162"/>
      <c r="O26" s="161">
        <v>5.9405099999999997</v>
      </c>
      <c r="P26" s="162">
        <v>3.7658861823373917E-3</v>
      </c>
      <c r="Q26" s="162">
        <v>2.1065269864808413E-4</v>
      </c>
    </row>
    <row r="27" spans="1:17" ht="15.75" thickBot="1">
      <c r="A27" s="159">
        <v>11925</v>
      </c>
      <c r="B27" s="159">
        <v>11934</v>
      </c>
      <c r="C27" s="160" t="s">
        <v>1209</v>
      </c>
      <c r="D27" s="165">
        <v>12</v>
      </c>
      <c r="E27" s="160" t="s">
        <v>792</v>
      </c>
      <c r="F27" s="160" t="s">
        <v>218</v>
      </c>
      <c r="G27" s="160" t="s">
        <v>53</v>
      </c>
      <c r="H27" s="160" t="s">
        <v>62</v>
      </c>
      <c r="I27" s="160" t="s">
        <v>1207</v>
      </c>
      <c r="J27" s="160" t="s">
        <v>65</v>
      </c>
      <c r="K27" s="160" t="s">
        <v>1211</v>
      </c>
      <c r="L27" s="161">
        <v>13.52308</v>
      </c>
      <c r="M27" s="161">
        <v>3.9790999999999999</v>
      </c>
      <c r="N27" s="162"/>
      <c r="O27" s="161">
        <v>53.809690000000003</v>
      </c>
      <c r="P27" s="162">
        <v>3.4111745969093318E-2</v>
      </c>
      <c r="Q27" s="162">
        <v>1.9081116624526896E-3</v>
      </c>
    </row>
    <row r="28" spans="1:17" ht="15.75" thickBot="1">
      <c r="A28" s="159">
        <v>11939</v>
      </c>
      <c r="B28" s="159">
        <v>11942</v>
      </c>
      <c r="C28" s="160" t="s">
        <v>1209</v>
      </c>
      <c r="D28" s="165">
        <v>12</v>
      </c>
      <c r="E28" s="160" t="s">
        <v>792</v>
      </c>
      <c r="F28" s="160" t="s">
        <v>213</v>
      </c>
      <c r="G28" s="160" t="s">
        <v>53</v>
      </c>
      <c r="H28" s="160" t="s">
        <v>62</v>
      </c>
      <c r="I28" s="160" t="s">
        <v>1207</v>
      </c>
      <c r="J28" s="160" t="s">
        <v>65</v>
      </c>
      <c r="K28" s="160" t="s">
        <v>1208</v>
      </c>
      <c r="L28" s="161">
        <v>0</v>
      </c>
      <c r="M28" s="161">
        <v>0</v>
      </c>
      <c r="N28" s="162"/>
      <c r="O28" s="161">
        <v>7921.5891600000004</v>
      </c>
      <c r="P28" s="162">
        <v>8.9565963241158481E-2</v>
      </c>
      <c r="Q28" s="162">
        <v>2.3389950875235103E-2</v>
      </c>
    </row>
    <row r="29" spans="1:17" ht="15.75" thickBot="1">
      <c r="A29" s="159">
        <v>11939</v>
      </c>
      <c r="B29" s="159">
        <v>11942</v>
      </c>
      <c r="C29" s="160" t="s">
        <v>1209</v>
      </c>
      <c r="D29" s="165">
        <v>12</v>
      </c>
      <c r="E29" s="160" t="s">
        <v>792</v>
      </c>
      <c r="F29" s="160" t="s">
        <v>218</v>
      </c>
      <c r="G29" s="160" t="s">
        <v>53</v>
      </c>
      <c r="H29" s="160" t="s">
        <v>62</v>
      </c>
      <c r="I29" s="160" t="s">
        <v>1207</v>
      </c>
      <c r="J29" s="160" t="s">
        <v>65</v>
      </c>
      <c r="K29" s="160" t="s">
        <v>1210</v>
      </c>
      <c r="L29" s="161">
        <v>1.0000000000000001E-5</v>
      </c>
      <c r="M29" s="161">
        <v>3.681</v>
      </c>
      <c r="N29" s="162"/>
      <c r="O29" s="161">
        <v>4.0000000000000003E-5</v>
      </c>
      <c r="P29" s="162">
        <v>4.5226260252637735E-10</v>
      </c>
      <c r="Q29" s="162">
        <v>1.181073666043802E-10</v>
      </c>
    </row>
    <row r="30" spans="1:17" ht="15.75" thickBot="1">
      <c r="A30" s="159">
        <v>11939</v>
      </c>
      <c r="B30" s="159">
        <v>11942</v>
      </c>
      <c r="C30" s="160" t="s">
        <v>1209</v>
      </c>
      <c r="D30" s="165">
        <v>12</v>
      </c>
      <c r="E30" s="160" t="s">
        <v>792</v>
      </c>
      <c r="F30" s="160" t="s">
        <v>213</v>
      </c>
      <c r="G30" s="160" t="s">
        <v>53</v>
      </c>
      <c r="H30" s="160" t="s">
        <v>62</v>
      </c>
      <c r="I30" s="160" t="s">
        <v>1207</v>
      </c>
      <c r="J30" s="160" t="s">
        <v>65</v>
      </c>
      <c r="K30" s="160" t="s">
        <v>1208</v>
      </c>
      <c r="L30" s="161">
        <v>0</v>
      </c>
      <c r="M30" s="161">
        <v>0</v>
      </c>
      <c r="N30" s="162"/>
      <c r="O30" s="161">
        <v>73020.97997</v>
      </c>
      <c r="P30" s="162">
        <v>0.82561646100646668</v>
      </c>
      <c r="Q30" s="162">
        <v>0.21560789127819729</v>
      </c>
    </row>
    <row r="31" spans="1:17" ht="15.75" thickBot="1">
      <c r="A31" s="159">
        <v>11939</v>
      </c>
      <c r="B31" s="159">
        <v>11942</v>
      </c>
      <c r="C31" s="160" t="s">
        <v>1209</v>
      </c>
      <c r="D31" s="165">
        <v>12</v>
      </c>
      <c r="E31" s="160" t="s">
        <v>792</v>
      </c>
      <c r="F31" s="160" t="s">
        <v>218</v>
      </c>
      <c r="G31" s="160" t="s">
        <v>53</v>
      </c>
      <c r="H31" s="160" t="s">
        <v>62</v>
      </c>
      <c r="I31" s="160" t="s">
        <v>1207</v>
      </c>
      <c r="J31" s="160" t="s">
        <v>65</v>
      </c>
      <c r="K31" s="160" t="s">
        <v>1210</v>
      </c>
      <c r="L31" s="161">
        <v>1738.05728</v>
      </c>
      <c r="M31" s="161">
        <v>1</v>
      </c>
      <c r="N31" s="162"/>
      <c r="O31" s="161">
        <v>6397.7888499999999</v>
      </c>
      <c r="P31" s="162">
        <v>7.2337015892880968E-2</v>
      </c>
      <c r="Q31" s="162">
        <v>1.8890649829109148E-2</v>
      </c>
    </row>
    <row r="32" spans="1:17" ht="15.75" thickBot="1">
      <c r="A32" s="159">
        <v>11939</v>
      </c>
      <c r="B32" s="159">
        <v>11942</v>
      </c>
      <c r="C32" s="160" t="s">
        <v>1209</v>
      </c>
      <c r="D32" s="165">
        <v>12</v>
      </c>
      <c r="E32" s="160" t="s">
        <v>792</v>
      </c>
      <c r="F32" s="160" t="s">
        <v>218</v>
      </c>
      <c r="G32" s="160" t="s">
        <v>53</v>
      </c>
      <c r="H32" s="160" t="s">
        <v>62</v>
      </c>
      <c r="I32" s="160" t="s">
        <v>1207</v>
      </c>
      <c r="J32" s="160" t="s">
        <v>65</v>
      </c>
      <c r="K32" s="160" t="s">
        <v>1211</v>
      </c>
      <c r="L32" s="161">
        <v>277.40769999999998</v>
      </c>
      <c r="M32" s="161">
        <v>1</v>
      </c>
      <c r="N32" s="162"/>
      <c r="O32" s="161">
        <v>1103.8329799999999</v>
      </c>
      <c r="P32" s="162">
        <v>1.2480559407231164E-2</v>
      </c>
      <c r="Q32" s="162">
        <v>3.2592701609716361E-3</v>
      </c>
    </row>
    <row r="33" spans="1:17" ht="15.75" thickBot="1">
      <c r="A33" s="159">
        <v>11939</v>
      </c>
      <c r="B33" s="159">
        <v>11943</v>
      </c>
      <c r="C33" s="160" t="s">
        <v>1209</v>
      </c>
      <c r="D33" s="165">
        <v>12</v>
      </c>
      <c r="E33" s="160" t="s">
        <v>792</v>
      </c>
      <c r="F33" s="160" t="s">
        <v>213</v>
      </c>
      <c r="G33" s="160" t="s">
        <v>53</v>
      </c>
      <c r="H33" s="160" t="s">
        <v>62</v>
      </c>
      <c r="I33" s="160" t="s">
        <v>1207</v>
      </c>
      <c r="J33" s="160" t="s">
        <v>65</v>
      </c>
      <c r="K33" s="160" t="s">
        <v>1208</v>
      </c>
      <c r="L33" s="161">
        <v>0</v>
      </c>
      <c r="M33" s="161">
        <v>0</v>
      </c>
      <c r="N33" s="162"/>
      <c r="O33" s="161">
        <v>666.36870999999996</v>
      </c>
      <c r="P33" s="162">
        <v>0.90575247792158653</v>
      </c>
      <c r="Q33" s="162">
        <v>4.4030562231604016E-2</v>
      </c>
    </row>
    <row r="34" spans="1:17" ht="15.75" thickBot="1">
      <c r="A34" s="159">
        <v>11939</v>
      </c>
      <c r="B34" s="159">
        <v>11943</v>
      </c>
      <c r="C34" s="160" t="s">
        <v>1209</v>
      </c>
      <c r="D34" s="165">
        <v>12</v>
      </c>
      <c r="E34" s="160" t="s">
        <v>792</v>
      </c>
      <c r="F34" s="160" t="s">
        <v>218</v>
      </c>
      <c r="G34" s="160" t="s">
        <v>53</v>
      </c>
      <c r="H34" s="160" t="s">
        <v>62</v>
      </c>
      <c r="I34" s="160" t="s">
        <v>1207</v>
      </c>
      <c r="J34" s="160" t="s">
        <v>65</v>
      </c>
      <c r="K34" s="160" t="s">
        <v>1210</v>
      </c>
      <c r="L34" s="161">
        <v>18.83689</v>
      </c>
      <c r="M34" s="161">
        <v>3.681</v>
      </c>
      <c r="N34" s="162"/>
      <c r="O34" s="161">
        <v>69.338589999999996</v>
      </c>
      <c r="P34" s="162">
        <v>9.4247522078413526E-2</v>
      </c>
      <c r="Q34" s="162">
        <v>4.5815733185411364E-3</v>
      </c>
    </row>
    <row r="35" spans="1:17" ht="15.75" thickBot="1">
      <c r="A35" s="159">
        <v>11939</v>
      </c>
      <c r="B35" s="159">
        <v>11944</v>
      </c>
      <c r="C35" s="160" t="s">
        <v>1209</v>
      </c>
      <c r="D35" s="165">
        <v>12</v>
      </c>
      <c r="E35" s="160" t="s">
        <v>792</v>
      </c>
      <c r="F35" s="160" t="s">
        <v>213</v>
      </c>
      <c r="G35" s="160" t="s">
        <v>53</v>
      </c>
      <c r="H35" s="160" t="s">
        <v>62</v>
      </c>
      <c r="I35" s="160" t="s">
        <v>1207</v>
      </c>
      <c r="J35" s="160" t="s">
        <v>65</v>
      </c>
      <c r="K35" s="160" t="s">
        <v>1208</v>
      </c>
      <c r="L35" s="161">
        <v>0</v>
      </c>
      <c r="M35" s="161">
        <v>0</v>
      </c>
      <c r="N35" s="162"/>
      <c r="O35" s="161">
        <v>848.45853</v>
      </c>
      <c r="P35" s="162">
        <v>0.77606824956106335</v>
      </c>
      <c r="Q35" s="162">
        <v>2.2783569306569405E-2</v>
      </c>
    </row>
    <row r="36" spans="1:17" ht="15.75" thickBot="1">
      <c r="A36" s="159">
        <v>11939</v>
      </c>
      <c r="B36" s="159">
        <v>11944</v>
      </c>
      <c r="C36" s="160" t="s">
        <v>1209</v>
      </c>
      <c r="D36" s="165">
        <v>12</v>
      </c>
      <c r="E36" s="160" t="s">
        <v>792</v>
      </c>
      <c r="F36" s="160" t="s">
        <v>218</v>
      </c>
      <c r="G36" s="160" t="s">
        <v>53</v>
      </c>
      <c r="H36" s="160" t="s">
        <v>62</v>
      </c>
      <c r="I36" s="160" t="s">
        <v>1207</v>
      </c>
      <c r="J36" s="160" t="s">
        <v>65</v>
      </c>
      <c r="K36" s="160" t="s">
        <v>1210</v>
      </c>
      <c r="L36" s="161">
        <v>66.508970000000005</v>
      </c>
      <c r="M36" s="161">
        <v>3.681</v>
      </c>
      <c r="N36" s="162"/>
      <c r="O36" s="161">
        <v>244.81952000000001</v>
      </c>
      <c r="P36" s="162">
        <v>0.22393157664969171</v>
      </c>
      <c r="Q36" s="162">
        <v>6.5741132940475653E-3</v>
      </c>
    </row>
    <row r="37" spans="1:17" ht="15.75" thickBot="1">
      <c r="A37" s="159">
        <v>11939</v>
      </c>
      <c r="B37" s="159">
        <v>11944</v>
      </c>
      <c r="C37" s="160" t="s">
        <v>1209</v>
      </c>
      <c r="D37" s="165">
        <v>12</v>
      </c>
      <c r="E37" s="160" t="s">
        <v>792</v>
      </c>
      <c r="F37" s="160" t="s">
        <v>218</v>
      </c>
      <c r="G37" s="160" t="s">
        <v>53</v>
      </c>
      <c r="H37" s="160" t="s">
        <v>62</v>
      </c>
      <c r="I37" s="160" t="s">
        <v>1207</v>
      </c>
      <c r="J37" s="160" t="s">
        <v>65</v>
      </c>
      <c r="K37" s="160" t="s">
        <v>1212</v>
      </c>
      <c r="L37" s="161">
        <v>8.0000000000000007E-5</v>
      </c>
      <c r="M37" s="161">
        <v>2.3961999999999999</v>
      </c>
      <c r="N37" s="162"/>
      <c r="O37" s="161">
        <v>1.9000000000000001E-4</v>
      </c>
      <c r="P37" s="162">
        <v>1.7378924508732564E-7</v>
      </c>
      <c r="Q37" s="162">
        <v>5.1020503833560229E-9</v>
      </c>
    </row>
    <row r="38" spans="1:17" ht="15.75" thickBot="1">
      <c r="A38" s="159">
        <v>11939</v>
      </c>
      <c r="B38" s="159">
        <v>11949</v>
      </c>
      <c r="C38" s="160" t="s">
        <v>1209</v>
      </c>
      <c r="D38" s="165">
        <v>12</v>
      </c>
      <c r="E38" s="160" t="s">
        <v>792</v>
      </c>
      <c r="F38" s="160" t="s">
        <v>213</v>
      </c>
      <c r="G38" s="160" t="s">
        <v>53</v>
      </c>
      <c r="H38" s="160" t="s">
        <v>62</v>
      </c>
      <c r="I38" s="160" t="s">
        <v>1207</v>
      </c>
      <c r="J38" s="160" t="s">
        <v>65</v>
      </c>
      <c r="K38" s="160" t="s">
        <v>1208</v>
      </c>
      <c r="L38" s="161">
        <v>0</v>
      </c>
      <c r="M38" s="161">
        <v>0</v>
      </c>
      <c r="N38" s="162"/>
      <c r="O38" s="161">
        <v>310.56069000000002</v>
      </c>
      <c r="P38" s="162">
        <v>0.94284314544598302</v>
      </c>
      <c r="Q38" s="162">
        <v>4.6205170736326025E-2</v>
      </c>
    </row>
    <row r="39" spans="1:17" ht="15.75" thickBot="1">
      <c r="A39" s="159">
        <v>11939</v>
      </c>
      <c r="B39" s="159">
        <v>11949</v>
      </c>
      <c r="C39" s="160" t="s">
        <v>1209</v>
      </c>
      <c r="D39" s="165">
        <v>12</v>
      </c>
      <c r="E39" s="160" t="s">
        <v>792</v>
      </c>
      <c r="F39" s="160" t="s">
        <v>218</v>
      </c>
      <c r="G39" s="160" t="s">
        <v>53</v>
      </c>
      <c r="H39" s="160" t="s">
        <v>62</v>
      </c>
      <c r="I39" s="160" t="s">
        <v>1207</v>
      </c>
      <c r="J39" s="160" t="s">
        <v>65</v>
      </c>
      <c r="K39" s="160" t="s">
        <v>1210</v>
      </c>
      <c r="L39" s="161">
        <v>1.0810599999999999</v>
      </c>
      <c r="M39" s="161">
        <v>3.681</v>
      </c>
      <c r="N39" s="162"/>
      <c r="O39" s="161">
        <v>3.9793799999999999</v>
      </c>
      <c r="P39" s="162">
        <v>1.2081152821127605E-2</v>
      </c>
      <c r="Q39" s="162">
        <v>5.9205153210060502E-4</v>
      </c>
    </row>
    <row r="40" spans="1:17" ht="15.75" thickBot="1">
      <c r="A40" s="159">
        <v>11939</v>
      </c>
      <c r="B40" s="159">
        <v>11949</v>
      </c>
      <c r="C40" s="160" t="s">
        <v>1209</v>
      </c>
      <c r="D40" s="165">
        <v>12</v>
      </c>
      <c r="E40" s="160" t="s">
        <v>792</v>
      </c>
      <c r="F40" s="160" t="s">
        <v>218</v>
      </c>
      <c r="G40" s="160" t="s">
        <v>53</v>
      </c>
      <c r="H40" s="160" t="s">
        <v>62</v>
      </c>
      <c r="I40" s="160" t="s">
        <v>1207</v>
      </c>
      <c r="J40" s="160" t="s">
        <v>65</v>
      </c>
      <c r="K40" s="160" t="s">
        <v>1211</v>
      </c>
      <c r="L40" s="161">
        <v>3.7313399999999999</v>
      </c>
      <c r="M40" s="161">
        <v>3.9790999999999999</v>
      </c>
      <c r="N40" s="162"/>
      <c r="O40" s="161">
        <v>14.84737</v>
      </c>
      <c r="P40" s="162">
        <v>4.5075701732889384E-2</v>
      </c>
      <c r="Q40" s="162">
        <v>2.2089893792913871E-3</v>
      </c>
    </row>
    <row r="41" spans="1:17" ht="15.75" thickBot="1">
      <c r="A41" s="159">
        <v>11939</v>
      </c>
      <c r="B41" s="159">
        <v>11979</v>
      </c>
      <c r="C41" s="160" t="s">
        <v>1209</v>
      </c>
      <c r="D41" s="165">
        <v>12</v>
      </c>
      <c r="E41" s="160" t="s">
        <v>792</v>
      </c>
      <c r="F41" s="160" t="s">
        <v>213</v>
      </c>
      <c r="G41" s="160" t="s">
        <v>53</v>
      </c>
      <c r="H41" s="160" t="s">
        <v>62</v>
      </c>
      <c r="I41" s="160" t="s">
        <v>1207</v>
      </c>
      <c r="J41" s="160" t="s">
        <v>65</v>
      </c>
      <c r="K41" s="160" t="s">
        <v>1208</v>
      </c>
      <c r="L41" s="161">
        <v>0</v>
      </c>
      <c r="M41" s="161">
        <v>0</v>
      </c>
      <c r="N41" s="162"/>
      <c r="O41" s="161">
        <v>1720.3189400000001</v>
      </c>
      <c r="P41" s="162">
        <v>0.93281625274555691</v>
      </c>
      <c r="Q41" s="162">
        <v>2.7390778020357071E-2</v>
      </c>
    </row>
    <row r="42" spans="1:17" ht="15.75" thickBot="1">
      <c r="A42" s="159">
        <v>11939</v>
      </c>
      <c r="B42" s="159">
        <v>11979</v>
      </c>
      <c r="C42" s="160" t="s">
        <v>1209</v>
      </c>
      <c r="D42" s="165">
        <v>12</v>
      </c>
      <c r="E42" s="160" t="s">
        <v>792</v>
      </c>
      <c r="F42" s="160" t="s">
        <v>218</v>
      </c>
      <c r="G42" s="160" t="s">
        <v>53</v>
      </c>
      <c r="H42" s="160" t="s">
        <v>62</v>
      </c>
      <c r="I42" s="160" t="s">
        <v>1207</v>
      </c>
      <c r="J42" s="160" t="s">
        <v>65</v>
      </c>
      <c r="K42" s="160" t="s">
        <v>1210</v>
      </c>
      <c r="L42" s="161">
        <v>33.659779999999998</v>
      </c>
      <c r="M42" s="161">
        <v>3.681</v>
      </c>
      <c r="N42" s="162"/>
      <c r="O42" s="161">
        <v>123.90165</v>
      </c>
      <c r="P42" s="162">
        <v>6.7183747254443135E-2</v>
      </c>
      <c r="Q42" s="162">
        <v>1.9727519779012457E-3</v>
      </c>
    </row>
    <row r="43" spans="1:17" ht="15.75" thickBot="1">
      <c r="A43" s="159">
        <v>11939</v>
      </c>
      <c r="B43" s="159">
        <v>11980</v>
      </c>
      <c r="C43" s="160" t="s">
        <v>1209</v>
      </c>
      <c r="D43" s="165">
        <v>12</v>
      </c>
      <c r="E43" s="160" t="s">
        <v>792</v>
      </c>
      <c r="F43" s="160" t="s">
        <v>213</v>
      </c>
      <c r="G43" s="160" t="s">
        <v>53</v>
      </c>
      <c r="H43" s="160" t="s">
        <v>62</v>
      </c>
      <c r="I43" s="160" t="s">
        <v>1207</v>
      </c>
      <c r="J43" s="160" t="s">
        <v>65</v>
      </c>
      <c r="K43" s="160" t="s">
        <v>1208</v>
      </c>
      <c r="L43" s="161">
        <v>0</v>
      </c>
      <c r="M43" s="161">
        <v>0</v>
      </c>
      <c r="N43" s="162"/>
      <c r="O43" s="161">
        <v>101.08176</v>
      </c>
      <c r="P43" s="162">
        <v>0.95120107276448584</v>
      </c>
      <c r="Q43" s="162">
        <v>1.8423872446468492E-2</v>
      </c>
    </row>
    <row r="44" spans="1:17" ht="15.75" thickBot="1">
      <c r="A44" s="159">
        <v>11939</v>
      </c>
      <c r="B44" s="159">
        <v>11980</v>
      </c>
      <c r="C44" s="160" t="s">
        <v>1209</v>
      </c>
      <c r="D44" s="165">
        <v>12</v>
      </c>
      <c r="E44" s="160" t="s">
        <v>792</v>
      </c>
      <c r="F44" s="160" t="s">
        <v>218</v>
      </c>
      <c r="G44" s="160" t="s">
        <v>53</v>
      </c>
      <c r="H44" s="160" t="s">
        <v>62</v>
      </c>
      <c r="I44" s="160" t="s">
        <v>1207</v>
      </c>
      <c r="J44" s="160" t="s">
        <v>65</v>
      </c>
      <c r="K44" s="160" t="s">
        <v>1210</v>
      </c>
      <c r="L44" s="161">
        <v>1.4084700000000001</v>
      </c>
      <c r="M44" s="161">
        <v>3.681</v>
      </c>
      <c r="N44" s="162"/>
      <c r="O44" s="161">
        <v>5.1845800000000004</v>
      </c>
      <c r="P44" s="162">
        <v>4.8788011386359902E-2</v>
      </c>
      <c r="Q44" s="162">
        <v>9.4497801194312018E-4</v>
      </c>
    </row>
    <row r="45" spans="1:17" ht="15.75" thickBot="1">
      <c r="A45" s="159">
        <v>11939</v>
      </c>
      <c r="B45" s="159">
        <v>11980</v>
      </c>
      <c r="C45" s="160" t="s">
        <v>1209</v>
      </c>
      <c r="D45" s="165">
        <v>12</v>
      </c>
      <c r="E45" s="160" t="s">
        <v>792</v>
      </c>
      <c r="F45" s="160" t="s">
        <v>218</v>
      </c>
      <c r="G45" s="160" t="s">
        <v>53</v>
      </c>
      <c r="H45" s="160" t="s">
        <v>62</v>
      </c>
      <c r="I45" s="160" t="s">
        <v>1207</v>
      </c>
      <c r="J45" s="160" t="s">
        <v>65</v>
      </c>
      <c r="K45" s="160" t="s">
        <v>1213</v>
      </c>
      <c r="L45" s="161">
        <v>2.5000000000000001E-4</v>
      </c>
      <c r="M45" s="161">
        <v>4.6535000000000002</v>
      </c>
      <c r="N45" s="162"/>
      <c r="O45" s="161">
        <v>1.16E-3</v>
      </c>
      <c r="P45" s="162">
        <v>1.0915849154256947E-5</v>
      </c>
      <c r="Q45" s="162">
        <v>2.1142975783072484E-7</v>
      </c>
    </row>
    <row r="46" spans="1:17" ht="15.75" thickBot="1">
      <c r="A46" s="159">
        <v>11939</v>
      </c>
      <c r="B46" s="159">
        <v>11981</v>
      </c>
      <c r="C46" s="160" t="s">
        <v>1209</v>
      </c>
      <c r="D46" s="165">
        <v>12</v>
      </c>
      <c r="E46" s="160" t="s">
        <v>792</v>
      </c>
      <c r="F46" s="160" t="s">
        <v>213</v>
      </c>
      <c r="G46" s="160" t="s">
        <v>53</v>
      </c>
      <c r="H46" s="160" t="s">
        <v>62</v>
      </c>
      <c r="I46" s="160" t="s">
        <v>1207</v>
      </c>
      <c r="J46" s="160" t="s">
        <v>65</v>
      </c>
      <c r="K46" s="160" t="s">
        <v>1208</v>
      </c>
      <c r="L46" s="161">
        <v>0</v>
      </c>
      <c r="M46" s="161">
        <v>0</v>
      </c>
      <c r="N46" s="162"/>
      <c r="O46" s="161">
        <v>93.080340000000007</v>
      </c>
      <c r="P46" s="162">
        <v>0.93369149453088296</v>
      </c>
      <c r="Q46" s="162">
        <v>1.8008179673042728E-2</v>
      </c>
    </row>
    <row r="47" spans="1:17" ht="15.75" thickBot="1">
      <c r="A47" s="159">
        <v>11939</v>
      </c>
      <c r="B47" s="159">
        <v>11981</v>
      </c>
      <c r="C47" s="160" t="s">
        <v>1209</v>
      </c>
      <c r="D47" s="165">
        <v>12</v>
      </c>
      <c r="E47" s="160" t="s">
        <v>792</v>
      </c>
      <c r="F47" s="160" t="s">
        <v>218</v>
      </c>
      <c r="G47" s="160" t="s">
        <v>53</v>
      </c>
      <c r="H47" s="160" t="s">
        <v>62</v>
      </c>
      <c r="I47" s="160" t="s">
        <v>1207</v>
      </c>
      <c r="J47" s="160" t="s">
        <v>65</v>
      </c>
      <c r="K47" s="160" t="s">
        <v>1210</v>
      </c>
      <c r="L47" s="161">
        <v>1.7958000000000001</v>
      </c>
      <c r="M47" s="161">
        <v>3.681</v>
      </c>
      <c r="N47" s="162"/>
      <c r="O47" s="161">
        <v>6.6103399999999999</v>
      </c>
      <c r="P47" s="162">
        <v>6.6308505469117068E-2</v>
      </c>
      <c r="Q47" s="162">
        <v>1.2788972453248585E-3</v>
      </c>
    </row>
    <row r="48" spans="1:17" ht="15.75" thickBot="1">
      <c r="A48" s="159">
        <v>11342</v>
      </c>
      <c r="B48" s="159">
        <v>11343</v>
      </c>
      <c r="C48" s="160" t="s">
        <v>1206</v>
      </c>
      <c r="D48" s="165">
        <v>10</v>
      </c>
      <c r="E48" s="160" t="s">
        <v>792</v>
      </c>
      <c r="F48" s="160" t="s">
        <v>213</v>
      </c>
      <c r="G48" s="160" t="s">
        <v>53</v>
      </c>
      <c r="H48" s="160" t="s">
        <v>62</v>
      </c>
      <c r="I48" s="160" t="s">
        <v>1207</v>
      </c>
      <c r="J48" s="160" t="s">
        <v>65</v>
      </c>
      <c r="K48" s="160" t="s">
        <v>1208</v>
      </c>
      <c r="L48" s="161">
        <v>0</v>
      </c>
      <c r="M48" s="161">
        <v>0</v>
      </c>
      <c r="N48" s="162"/>
      <c r="O48" s="161">
        <v>11115.97126</v>
      </c>
      <c r="P48" s="162">
        <v>0.89423147490151189</v>
      </c>
      <c r="Q48" s="162">
        <v>2.6754254774079517E-2</v>
      </c>
    </row>
    <row r="49" spans="1:17" ht="15.75" thickBot="1">
      <c r="A49" s="159">
        <v>11342</v>
      </c>
      <c r="B49" s="159">
        <v>11343</v>
      </c>
      <c r="C49" s="160" t="s">
        <v>1206</v>
      </c>
      <c r="D49" s="165">
        <v>10</v>
      </c>
      <c r="E49" s="160" t="s">
        <v>792</v>
      </c>
      <c r="F49" s="160" t="s">
        <v>218</v>
      </c>
      <c r="G49" s="160" t="s">
        <v>53</v>
      </c>
      <c r="H49" s="160" t="s">
        <v>62</v>
      </c>
      <c r="I49" s="160" t="s">
        <v>1207</v>
      </c>
      <c r="J49" s="160" t="s">
        <v>65</v>
      </c>
      <c r="K49" s="160" t="s">
        <v>1210</v>
      </c>
      <c r="L49" s="161">
        <v>357.18079</v>
      </c>
      <c r="M49" s="161">
        <v>3.681</v>
      </c>
      <c r="N49" s="162"/>
      <c r="O49" s="161">
        <v>1314.7824900000001</v>
      </c>
      <c r="P49" s="162">
        <v>0.10576852509848809</v>
      </c>
      <c r="Q49" s="162">
        <v>3.1644581375031961E-3</v>
      </c>
    </row>
    <row r="50" spans="1:17" ht="15.75" thickBot="1">
      <c r="A50" s="159">
        <v>11342</v>
      </c>
      <c r="B50" s="159">
        <v>11344</v>
      </c>
      <c r="C50" s="160" t="s">
        <v>1206</v>
      </c>
      <c r="D50" s="165">
        <v>10</v>
      </c>
      <c r="E50" s="160" t="s">
        <v>792</v>
      </c>
      <c r="F50" s="160" t="s">
        <v>213</v>
      </c>
      <c r="G50" s="160" t="s">
        <v>53</v>
      </c>
      <c r="H50" s="160" t="s">
        <v>62</v>
      </c>
      <c r="I50" s="160" t="s">
        <v>1207</v>
      </c>
      <c r="J50" s="160" t="s">
        <v>65</v>
      </c>
      <c r="K50" s="160" t="s">
        <v>1208</v>
      </c>
      <c r="L50" s="161">
        <v>0</v>
      </c>
      <c r="M50" s="161">
        <v>0</v>
      </c>
      <c r="N50" s="162"/>
      <c r="O50" s="161">
        <v>109.57062000000001</v>
      </c>
      <c r="P50" s="162">
        <v>0.92282810471955223</v>
      </c>
      <c r="Q50" s="162">
        <v>3.9112570252036238E-2</v>
      </c>
    </row>
    <row r="51" spans="1:17" ht="15.75" thickBot="1">
      <c r="A51" s="159">
        <v>11342</v>
      </c>
      <c r="B51" s="159">
        <v>11344</v>
      </c>
      <c r="C51" s="160" t="s">
        <v>1206</v>
      </c>
      <c r="D51" s="165">
        <v>10</v>
      </c>
      <c r="E51" s="160" t="s">
        <v>792</v>
      </c>
      <c r="F51" s="160" t="s">
        <v>218</v>
      </c>
      <c r="G51" s="160" t="s">
        <v>53</v>
      </c>
      <c r="H51" s="160" t="s">
        <v>62</v>
      </c>
      <c r="I51" s="160" t="s">
        <v>1207</v>
      </c>
      <c r="J51" s="160" t="s">
        <v>65</v>
      </c>
      <c r="K51" s="160" t="s">
        <v>1210</v>
      </c>
      <c r="L51" s="161">
        <v>2.4892400000000001</v>
      </c>
      <c r="M51" s="161">
        <v>3.681</v>
      </c>
      <c r="N51" s="162"/>
      <c r="O51" s="161">
        <v>9.1628900000000009</v>
      </c>
      <c r="P51" s="162">
        <v>7.717189528044778E-2</v>
      </c>
      <c r="Q51" s="162">
        <v>3.2708054297464081E-3</v>
      </c>
    </row>
    <row r="52" spans="1:17" ht="15.75" thickBot="1">
      <c r="A52" s="159">
        <v>11342</v>
      </c>
      <c r="B52" s="159">
        <v>11345</v>
      </c>
      <c r="C52" s="160" t="s">
        <v>1206</v>
      </c>
      <c r="D52" s="165">
        <v>10</v>
      </c>
      <c r="E52" s="160" t="s">
        <v>792</v>
      </c>
      <c r="F52" s="160" t="s">
        <v>213</v>
      </c>
      <c r="G52" s="160" t="s">
        <v>53</v>
      </c>
      <c r="H52" s="160" t="s">
        <v>62</v>
      </c>
      <c r="I52" s="160" t="s">
        <v>1207</v>
      </c>
      <c r="J52" s="160" t="s">
        <v>65</v>
      </c>
      <c r="K52" s="160" t="s">
        <v>1208</v>
      </c>
      <c r="L52" s="161">
        <v>0</v>
      </c>
      <c r="M52" s="161">
        <v>0</v>
      </c>
      <c r="N52" s="162"/>
      <c r="O52" s="161">
        <v>280.55989</v>
      </c>
      <c r="P52" s="162">
        <v>0.87390261806761982</v>
      </c>
      <c r="Q52" s="162">
        <v>2.1472293456433172E-2</v>
      </c>
    </row>
    <row r="53" spans="1:17" ht="15.75" thickBot="1">
      <c r="A53" s="159">
        <v>11342</v>
      </c>
      <c r="B53" s="159">
        <v>11345</v>
      </c>
      <c r="C53" s="160" t="s">
        <v>1206</v>
      </c>
      <c r="D53" s="165">
        <v>10</v>
      </c>
      <c r="E53" s="160" t="s">
        <v>792</v>
      </c>
      <c r="F53" s="160" t="s">
        <v>218</v>
      </c>
      <c r="G53" s="160" t="s">
        <v>53</v>
      </c>
      <c r="H53" s="160" t="s">
        <v>62</v>
      </c>
      <c r="I53" s="160" t="s">
        <v>1207</v>
      </c>
      <c r="J53" s="160" t="s">
        <v>65</v>
      </c>
      <c r="K53" s="160" t="s">
        <v>1210</v>
      </c>
      <c r="L53" s="161">
        <v>10.9977</v>
      </c>
      <c r="M53" s="161">
        <v>3.681</v>
      </c>
      <c r="N53" s="162"/>
      <c r="O53" s="161">
        <v>40.482529999999997</v>
      </c>
      <c r="P53" s="162">
        <v>0.12609710159567342</v>
      </c>
      <c r="Q53" s="162">
        <v>3.0982788167576614E-3</v>
      </c>
    </row>
    <row r="54" spans="1:17" ht="15.75" thickBot="1">
      <c r="A54" s="159">
        <v>11342</v>
      </c>
      <c r="B54" s="159">
        <v>11345</v>
      </c>
      <c r="C54" s="160" t="s">
        <v>1206</v>
      </c>
      <c r="D54" s="165">
        <v>10</v>
      </c>
      <c r="E54" s="160" t="s">
        <v>792</v>
      </c>
      <c r="F54" s="160" t="s">
        <v>218</v>
      </c>
      <c r="G54" s="160" t="s">
        <v>53</v>
      </c>
      <c r="H54" s="160" t="s">
        <v>62</v>
      </c>
      <c r="I54" s="160" t="s">
        <v>1207</v>
      </c>
      <c r="J54" s="160" t="s">
        <v>65</v>
      </c>
      <c r="K54" s="160" t="s">
        <v>1213</v>
      </c>
      <c r="L54" s="161">
        <v>2.0000000000000002E-5</v>
      </c>
      <c r="M54" s="161">
        <v>4.6535000000000002</v>
      </c>
      <c r="N54" s="162"/>
      <c r="O54" s="161">
        <v>9.0000000000000006E-5</v>
      </c>
      <c r="P54" s="162">
        <v>2.8033670681181755E-7</v>
      </c>
      <c r="Q54" s="162">
        <v>6.8880352465171906E-9</v>
      </c>
    </row>
    <row r="55" spans="1:17" ht="15.75" thickBot="1">
      <c r="A55" s="159">
        <v>7891</v>
      </c>
      <c r="B55" s="159">
        <v>7894</v>
      </c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</row>
    <row r="56" spans="1:17" ht="15.75" thickBot="1">
      <c r="A56" s="159">
        <v>7891</v>
      </c>
      <c r="B56" s="159">
        <v>7898</v>
      </c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</row>
    <row r="57" spans="1:17" ht="15.75" thickBot="1">
      <c r="A57" s="159">
        <v>7891</v>
      </c>
      <c r="B57" s="159">
        <v>7899</v>
      </c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</row>
    <row r="58" spans="1:17" ht="15.75" thickBot="1">
      <c r="A58" s="159">
        <v>7891</v>
      </c>
      <c r="B58" s="159">
        <v>7901</v>
      </c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</row>
    <row r="59" spans="1:17" ht="15.75" thickBot="1">
      <c r="A59" s="159">
        <v>7891</v>
      </c>
      <c r="B59" s="159">
        <v>7902</v>
      </c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</row>
    <row r="60" spans="1:17" ht="15.75" thickBot="1">
      <c r="A60" s="159">
        <v>11925</v>
      </c>
      <c r="B60" s="159">
        <v>11927</v>
      </c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</row>
    <row r="61" spans="1:17" ht="15.75" thickBot="1">
      <c r="A61" s="159">
        <v>11925</v>
      </c>
      <c r="B61" s="159">
        <v>11929</v>
      </c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</row>
    <row r="62" spans="1:17" ht="15.75" thickBot="1">
      <c r="A62" s="159">
        <v>11925</v>
      </c>
      <c r="B62" s="159">
        <v>11930</v>
      </c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</row>
    <row r="63" spans="1:17" ht="15.75" thickBot="1">
      <c r="A63" s="159">
        <v>11925</v>
      </c>
      <c r="B63" s="159">
        <v>11932</v>
      </c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</row>
    <row r="64" spans="1:17" ht="15.75" thickBot="1">
      <c r="A64" s="159">
        <v>11925</v>
      </c>
      <c r="B64" s="159">
        <v>11933</v>
      </c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</row>
    <row r="65" spans="1:17" ht="15.75" thickBot="1">
      <c r="A65" s="159">
        <v>11925</v>
      </c>
      <c r="B65" s="159">
        <v>11935</v>
      </c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</row>
    <row r="66" spans="1:17" ht="15.75" thickBot="1">
      <c r="A66" s="159">
        <v>11925</v>
      </c>
      <c r="B66" s="159">
        <v>11936</v>
      </c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</row>
    <row r="67" spans="1:17" ht="15.75" thickBot="1">
      <c r="A67" s="159">
        <v>11925</v>
      </c>
      <c r="B67" s="159">
        <v>11937</v>
      </c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</row>
    <row r="68" spans="1:17" ht="15.75" thickBot="1">
      <c r="A68" s="159">
        <v>11939</v>
      </c>
      <c r="B68" s="159">
        <v>11945</v>
      </c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</row>
    <row r="69" spans="1:17" ht="15.75" thickBot="1">
      <c r="A69" s="159">
        <v>11939</v>
      </c>
      <c r="B69" s="159">
        <v>11946</v>
      </c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</row>
    <row r="70" spans="1:17" ht="15.75" thickBot="1">
      <c r="A70" s="159">
        <v>11939</v>
      </c>
      <c r="B70" s="159">
        <v>11947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</row>
    <row r="71" spans="1:17" ht="15.75" thickBot="1">
      <c r="A71" s="159">
        <v>11939</v>
      </c>
      <c r="B71" s="159">
        <v>11948</v>
      </c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</row>
    <row r="72" spans="1:17" ht="15.75" thickBot="1">
      <c r="A72" s="159">
        <v>11939</v>
      </c>
      <c r="B72" s="159">
        <v>11950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9"/>
  <sheetViews>
    <sheetView rightToLeft="1" topLeftCell="A5" workbookViewId="0">
      <selection activeCell="A2" sqref="A2:B39"/>
    </sheetView>
  </sheetViews>
  <sheetFormatPr defaultColWidth="9" defaultRowHeight="14.25"/>
  <cols>
    <col min="1" max="30" width="11.5703125" style="4" customWidth="1"/>
    <col min="31" max="16384" width="9" style="4"/>
  </cols>
  <sheetData>
    <row r="1" spans="1:26" ht="66.75" customHeight="1">
      <c r="A1" s="20" t="s">
        <v>667</v>
      </c>
      <c r="B1" s="20" t="s">
        <v>0</v>
      </c>
      <c r="C1" s="20" t="s">
        <v>740</v>
      </c>
      <c r="D1" s="20" t="s">
        <v>1163</v>
      </c>
      <c r="E1" s="20" t="s">
        <v>29</v>
      </c>
      <c r="F1" s="20" t="s">
        <v>1</v>
      </c>
      <c r="G1" s="20" t="s">
        <v>620</v>
      </c>
      <c r="H1" s="20" t="s">
        <v>621</v>
      </c>
      <c r="I1" s="20" t="s">
        <v>5</v>
      </c>
      <c r="J1" s="20" t="s">
        <v>6</v>
      </c>
      <c r="K1" s="20" t="s">
        <v>8</v>
      </c>
      <c r="L1" s="20" t="s">
        <v>396</v>
      </c>
      <c r="M1" s="20" t="s">
        <v>13</v>
      </c>
      <c r="N1" s="20" t="s">
        <v>421</v>
      </c>
      <c r="O1" s="20" t="s">
        <v>14</v>
      </c>
      <c r="P1" s="20" t="s">
        <v>637</v>
      </c>
      <c r="Q1" s="20" t="s">
        <v>955</v>
      </c>
      <c r="R1" s="20" t="s">
        <v>789</v>
      </c>
      <c r="S1" s="20" t="s">
        <v>11</v>
      </c>
      <c r="T1" s="20" t="s">
        <v>15</v>
      </c>
      <c r="U1" s="20" t="s">
        <v>1171</v>
      </c>
      <c r="V1" s="20" t="s">
        <v>1172</v>
      </c>
      <c r="W1" s="20" t="s">
        <v>26</v>
      </c>
      <c r="X1" s="20" t="s">
        <v>18</v>
      </c>
      <c r="Y1" s="20" t="s">
        <v>19</v>
      </c>
      <c r="Z1" s="20" t="s">
        <v>30</v>
      </c>
    </row>
    <row r="2" spans="1:26" ht="15.75" thickBot="1">
      <c r="A2" s="159">
        <v>7891</v>
      </c>
      <c r="B2" s="159">
        <v>7892</v>
      </c>
      <c r="C2" s="19"/>
      <c r="D2" s="19"/>
      <c r="E2" s="19"/>
      <c r="F2"/>
      <c r="G2"/>
      <c r="H2"/>
      <c r="I2"/>
      <c r="J2"/>
      <c r="K2"/>
      <c r="L2"/>
      <c r="M2"/>
      <c r="N2"/>
      <c r="O2"/>
      <c r="P2"/>
      <c r="Q2" s="19"/>
      <c r="R2"/>
      <c r="S2"/>
      <c r="T2"/>
    </row>
    <row r="3" spans="1:26" ht="15.75" thickBot="1">
      <c r="A3" s="159">
        <v>7891</v>
      </c>
      <c r="B3" s="159">
        <v>7893</v>
      </c>
      <c r="C3" s="19"/>
      <c r="D3" s="19"/>
      <c r="E3" s="19"/>
      <c r="F3"/>
      <c r="G3"/>
      <c r="H3"/>
      <c r="I3"/>
      <c r="J3"/>
      <c r="K3"/>
      <c r="L3"/>
      <c r="M3"/>
      <c r="N3"/>
      <c r="O3"/>
      <c r="P3"/>
      <c r="Q3" s="19"/>
      <c r="R3"/>
      <c r="S3"/>
      <c r="T3"/>
    </row>
    <row r="4" spans="1:26" ht="15" thickBot="1">
      <c r="A4" s="159">
        <v>7891</v>
      </c>
      <c r="B4" s="159">
        <v>7894</v>
      </c>
    </row>
    <row r="5" spans="1:26" ht="15.75" thickBot="1">
      <c r="A5" s="159">
        <v>7891</v>
      </c>
      <c r="B5" s="159">
        <v>7895</v>
      </c>
      <c r="C5" s="19"/>
      <c r="D5" s="19"/>
      <c r="E5" s="19"/>
      <c r="F5"/>
      <c r="G5"/>
      <c r="H5"/>
      <c r="I5"/>
      <c r="J5"/>
      <c r="K5"/>
      <c r="L5"/>
      <c r="M5"/>
      <c r="N5"/>
      <c r="O5"/>
      <c r="P5"/>
      <c r="Q5" s="19"/>
      <c r="R5"/>
      <c r="S5"/>
      <c r="T5"/>
    </row>
    <row r="6" spans="1:26" ht="15.75" thickBot="1">
      <c r="A6" s="159">
        <v>7891</v>
      </c>
      <c r="B6" s="159">
        <v>7896</v>
      </c>
      <c r="C6" s="19"/>
      <c r="D6" s="19"/>
      <c r="E6" s="19"/>
      <c r="F6"/>
      <c r="G6"/>
      <c r="H6"/>
      <c r="I6"/>
      <c r="J6"/>
      <c r="K6"/>
      <c r="L6"/>
      <c r="M6"/>
      <c r="N6"/>
      <c r="O6"/>
      <c r="P6"/>
      <c r="Q6" s="19"/>
      <c r="R6"/>
      <c r="S6"/>
      <c r="T6"/>
    </row>
    <row r="7" spans="1:26" ht="15.75" thickBot="1">
      <c r="A7" s="159">
        <v>7891</v>
      </c>
      <c r="B7" s="159">
        <v>7897</v>
      </c>
      <c r="C7" s="19"/>
      <c r="D7" s="19"/>
      <c r="E7" s="19"/>
      <c r="F7"/>
      <c r="G7"/>
      <c r="H7"/>
      <c r="I7"/>
      <c r="J7"/>
      <c r="K7"/>
      <c r="L7"/>
      <c r="M7"/>
      <c r="N7"/>
      <c r="O7"/>
      <c r="P7"/>
      <c r="Q7" s="19"/>
      <c r="R7"/>
      <c r="S7"/>
      <c r="T7"/>
    </row>
    <row r="8" spans="1:26" ht="15" thickBot="1">
      <c r="A8" s="159">
        <v>7891</v>
      </c>
      <c r="B8" s="159">
        <v>7898</v>
      </c>
    </row>
    <row r="9" spans="1:26" ht="15" thickBot="1">
      <c r="A9" s="159">
        <v>7891</v>
      </c>
      <c r="B9" s="159">
        <v>7899</v>
      </c>
    </row>
    <row r="10" spans="1:26" ht="15.75" thickBot="1">
      <c r="A10" s="159">
        <v>7891</v>
      </c>
      <c r="B10" s="159">
        <v>7900</v>
      </c>
      <c r="C10" s="19"/>
      <c r="D10" s="19"/>
      <c r="E10" s="19"/>
      <c r="F10"/>
      <c r="G10"/>
      <c r="H10"/>
      <c r="I10"/>
      <c r="J10"/>
      <c r="K10"/>
      <c r="L10"/>
      <c r="M10"/>
      <c r="N10"/>
      <c r="O10"/>
      <c r="P10"/>
      <c r="Q10" s="19"/>
      <c r="R10"/>
      <c r="S10"/>
      <c r="T10"/>
    </row>
    <row r="11" spans="1:26" ht="15" thickBot="1">
      <c r="A11" s="159">
        <v>7891</v>
      </c>
      <c r="B11" s="159">
        <v>7901</v>
      </c>
    </row>
    <row r="12" spans="1:26" ht="15" thickBot="1">
      <c r="A12" s="159">
        <v>7891</v>
      </c>
      <c r="B12" s="159">
        <v>7902</v>
      </c>
    </row>
    <row r="13" spans="1:26" ht="15.75" thickBot="1">
      <c r="A13" s="159">
        <v>11925</v>
      </c>
      <c r="B13" s="159">
        <v>11926</v>
      </c>
      <c r="C13" s="19"/>
      <c r="D13" s="19"/>
      <c r="E13" s="19"/>
      <c r="F13"/>
      <c r="G13"/>
      <c r="H13"/>
      <c r="I13"/>
      <c r="J13"/>
      <c r="K13"/>
      <c r="L13"/>
      <c r="M13"/>
      <c r="N13"/>
      <c r="O13"/>
      <c r="P13"/>
      <c r="Q13" s="19"/>
      <c r="R13"/>
      <c r="S13"/>
      <c r="T13"/>
    </row>
    <row r="14" spans="1:26" ht="15" thickBot="1">
      <c r="A14" s="159">
        <v>11925</v>
      </c>
      <c r="B14" s="159">
        <v>11927</v>
      </c>
    </row>
    <row r="15" spans="1:26" ht="15.75" thickBot="1">
      <c r="A15" s="159">
        <v>11925</v>
      </c>
      <c r="B15" s="159">
        <v>11928</v>
      </c>
      <c r="C15" s="19"/>
      <c r="D15" s="19"/>
      <c r="E15" s="19"/>
      <c r="F15"/>
      <c r="G15"/>
      <c r="H15"/>
      <c r="I15"/>
      <c r="J15"/>
      <c r="K15"/>
      <c r="L15"/>
      <c r="M15"/>
      <c r="N15"/>
      <c r="O15"/>
      <c r="P15"/>
      <c r="Q15" s="19"/>
      <c r="R15"/>
      <c r="S15"/>
      <c r="T15"/>
    </row>
    <row r="16" spans="1:26" ht="15" thickBot="1">
      <c r="A16" s="159">
        <v>11925</v>
      </c>
      <c r="B16" s="159">
        <v>11929</v>
      </c>
    </row>
    <row r="17" spans="1:6" ht="15" thickBot="1">
      <c r="A17" s="159">
        <v>11925</v>
      </c>
      <c r="B17" s="159">
        <v>11930</v>
      </c>
    </row>
    <row r="18" spans="1:6" ht="15" thickBot="1">
      <c r="A18" s="159">
        <v>11925</v>
      </c>
      <c r="B18" s="159">
        <v>11931</v>
      </c>
      <c r="F18" s="19"/>
    </row>
    <row r="19" spans="1:6" ht="15" thickBot="1">
      <c r="A19" s="159">
        <v>11925</v>
      </c>
      <c r="B19" s="159">
        <v>11932</v>
      </c>
    </row>
    <row r="20" spans="1:6" ht="15" thickBot="1">
      <c r="A20" s="159">
        <v>11925</v>
      </c>
      <c r="B20" s="159">
        <v>11933</v>
      </c>
    </row>
    <row r="21" spans="1:6" ht="15" thickBot="1">
      <c r="A21" s="159">
        <v>11925</v>
      </c>
      <c r="B21" s="159">
        <v>11934</v>
      </c>
      <c r="F21" s="19"/>
    </row>
    <row r="22" spans="1:6" ht="15" thickBot="1">
      <c r="A22" s="159">
        <v>11925</v>
      </c>
      <c r="B22" s="159">
        <v>11935</v>
      </c>
    </row>
    <row r="23" spans="1:6" ht="15" thickBot="1">
      <c r="A23" s="159">
        <v>11925</v>
      </c>
      <c r="B23" s="159">
        <v>11936</v>
      </c>
    </row>
    <row r="24" spans="1:6" ht="15" thickBot="1">
      <c r="A24" s="159">
        <v>11925</v>
      </c>
      <c r="B24" s="159">
        <v>11937</v>
      </c>
    </row>
    <row r="25" spans="1:6" ht="15" thickBot="1">
      <c r="A25" s="159">
        <v>11939</v>
      </c>
      <c r="B25" s="159">
        <v>11942</v>
      </c>
    </row>
    <row r="26" spans="1:6" ht="15" thickBot="1">
      <c r="A26" s="159">
        <v>11939</v>
      </c>
      <c r="B26" s="159">
        <v>11943</v>
      </c>
    </row>
    <row r="27" spans="1:6" ht="15" thickBot="1">
      <c r="A27" s="159">
        <v>11939</v>
      </c>
      <c r="B27" s="159">
        <v>11944</v>
      </c>
    </row>
    <row r="28" spans="1:6" ht="15" thickBot="1">
      <c r="A28" s="159">
        <v>11939</v>
      </c>
      <c r="B28" s="159">
        <v>11945</v>
      </c>
    </row>
    <row r="29" spans="1:6" ht="15" thickBot="1">
      <c r="A29" s="159">
        <v>11939</v>
      </c>
      <c r="B29" s="159">
        <v>11946</v>
      </c>
    </row>
    <row r="30" spans="1:6" ht="15" thickBot="1">
      <c r="A30" s="159">
        <v>11939</v>
      </c>
      <c r="B30" s="159">
        <v>11947</v>
      </c>
    </row>
    <row r="31" spans="1:6" ht="15" thickBot="1">
      <c r="A31" s="159">
        <v>11939</v>
      </c>
      <c r="B31" s="159">
        <v>11948</v>
      </c>
    </row>
    <row r="32" spans="1:6" ht="15" thickBot="1">
      <c r="A32" s="159">
        <v>11939</v>
      </c>
      <c r="B32" s="159">
        <v>11949</v>
      </c>
    </row>
    <row r="33" spans="1:2" ht="15" thickBot="1">
      <c r="A33" s="159">
        <v>11939</v>
      </c>
      <c r="B33" s="159">
        <v>11950</v>
      </c>
    </row>
    <row r="34" spans="1:2" ht="15" thickBot="1">
      <c r="A34" s="159">
        <v>11939</v>
      </c>
      <c r="B34" s="159">
        <v>11979</v>
      </c>
    </row>
    <row r="35" spans="1:2" ht="15" thickBot="1">
      <c r="A35" s="159">
        <v>11939</v>
      </c>
      <c r="B35" s="159">
        <v>11980</v>
      </c>
    </row>
    <row r="36" spans="1:2" ht="15" thickBot="1">
      <c r="A36" s="159">
        <v>11939</v>
      </c>
      <c r="B36" s="159">
        <v>11981</v>
      </c>
    </row>
    <row r="37" spans="1:2" ht="15" thickBot="1">
      <c r="A37" s="159">
        <v>11342</v>
      </c>
      <c r="B37" s="159">
        <v>11343</v>
      </c>
    </row>
    <row r="38" spans="1:2" ht="15" thickBot="1">
      <c r="A38" s="159">
        <v>11342</v>
      </c>
      <c r="B38" s="159">
        <v>11344</v>
      </c>
    </row>
    <row r="39" spans="1:2" ht="1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3">
    <dataValidation type="list" allowBlank="1" showInputMessage="1" showErrorMessage="1" sqref="C2:C3 C10 C5:C7 C13 C15">
      <formula1>Stock_Exchange_Gov_Bonds</formula1>
    </dataValidation>
    <dataValidation type="list" allowBlank="1" showInputMessage="1" showErrorMessage="1" sqref="E2:E3 E10 E5:E7 E13 E15">
      <formula1>Rating_Agency</formula1>
    </dataValidation>
    <dataValidation type="list" allowBlank="1" showInputMessage="1" showErrorMessage="1" sqref="Q2:Q3 Q10 Q5:Q7 Q13 Q15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workbookViewId="0">
      <selection activeCell="A2" sqref="A2:B39"/>
    </sheetView>
  </sheetViews>
  <sheetFormatPr defaultColWidth="11.5703125" defaultRowHeight="14.25"/>
  <cols>
    <col min="1" max="3" width="11.5703125" style="4"/>
    <col min="4" max="6" width="11.5703125" style="4" customWidth="1"/>
    <col min="7" max="9" width="11.5703125" style="4"/>
    <col min="10" max="11" width="11.5703125" style="4" customWidth="1"/>
    <col min="12" max="30" width="11.5703125" style="4"/>
    <col min="31" max="31" width="11.5703125" style="4" customWidth="1"/>
    <col min="32" max="16384" width="11.5703125" style="4"/>
  </cols>
  <sheetData>
    <row r="1" spans="1:36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5</v>
      </c>
      <c r="M1" s="20" t="s">
        <v>9</v>
      </c>
      <c r="N1" s="20" t="s">
        <v>622</v>
      </c>
      <c r="O1" s="20" t="s">
        <v>6</v>
      </c>
      <c r="P1" s="20" t="s">
        <v>8</v>
      </c>
      <c r="Q1" s="20" t="s">
        <v>1164</v>
      </c>
      <c r="R1" s="20" t="s">
        <v>396</v>
      </c>
      <c r="S1" s="20" t="s">
        <v>13</v>
      </c>
      <c r="T1" s="20" t="s">
        <v>309</v>
      </c>
      <c r="U1" s="20" t="s">
        <v>421</v>
      </c>
      <c r="V1" s="20" t="s">
        <v>14</v>
      </c>
      <c r="W1" s="20" t="s">
        <v>637</v>
      </c>
      <c r="X1" s="20" t="s">
        <v>942</v>
      </c>
      <c r="Y1" s="20" t="s">
        <v>685</v>
      </c>
      <c r="Z1" s="20" t="s">
        <v>789</v>
      </c>
      <c r="AA1" s="20" t="s">
        <v>11</v>
      </c>
      <c r="AB1" s="20" t="s">
        <v>15</v>
      </c>
      <c r="AC1" s="20" t="s">
        <v>955</v>
      </c>
      <c r="AD1" s="20" t="s">
        <v>1171</v>
      </c>
      <c r="AE1" s="20" t="s">
        <v>1172</v>
      </c>
      <c r="AF1" s="20" t="s">
        <v>804</v>
      </c>
      <c r="AG1" s="20" t="s">
        <v>26</v>
      </c>
      <c r="AH1" s="20" t="s">
        <v>18</v>
      </c>
      <c r="AI1" s="20" t="s">
        <v>19</v>
      </c>
      <c r="AJ1" s="20" t="s">
        <v>30</v>
      </c>
    </row>
    <row r="2" spans="1:36" ht="15.75" thickBot="1">
      <c r="A2" s="159">
        <v>7891</v>
      </c>
      <c r="B2" s="159">
        <v>7892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/>
      <c r="P2" s="19"/>
      <c r="Q2" s="19"/>
      <c r="R2" s="19"/>
      <c r="S2" s="19"/>
      <c r="T2" s="21"/>
      <c r="U2" s="19"/>
      <c r="V2" s="19"/>
      <c r="X2" s="19"/>
      <c r="Y2" s="32"/>
      <c r="Z2" s="19"/>
      <c r="AA2" s="19"/>
      <c r="AB2" s="19"/>
      <c r="AC2" s="19"/>
      <c r="AD2" s="19"/>
      <c r="AE2" s="19"/>
      <c r="AF2"/>
      <c r="AG2" s="19"/>
    </row>
    <row r="3" spans="1:36" ht="15.75" thickBot="1">
      <c r="A3" s="159">
        <v>7891</v>
      </c>
      <c r="B3" s="159">
        <v>7893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/>
      <c r="P3" s="19"/>
      <c r="Q3" s="19"/>
      <c r="R3" s="19"/>
      <c r="S3" s="19"/>
      <c r="T3" s="21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G3" s="19"/>
    </row>
    <row r="4" spans="1:36" ht="15.75" thickBot="1">
      <c r="A4" s="159">
        <v>7891</v>
      </c>
      <c r="B4" s="159">
        <v>7894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/>
      <c r="P4" s="19"/>
      <c r="Q4" s="19"/>
      <c r="R4" s="19"/>
      <c r="S4" s="19"/>
      <c r="T4" s="21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G4" s="19"/>
    </row>
    <row r="5" spans="1:36" ht="15.75" thickBot="1">
      <c r="A5" s="159">
        <v>7891</v>
      </c>
      <c r="B5" s="159">
        <v>7895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/>
      <c r="P5" s="19"/>
      <c r="Q5" s="19"/>
      <c r="R5" s="19"/>
      <c r="S5" s="19"/>
      <c r="T5" s="21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G5" s="19"/>
    </row>
    <row r="6" spans="1:36" ht="15.75" thickBot="1">
      <c r="A6" s="159">
        <v>7891</v>
      </c>
      <c r="B6" s="159">
        <v>7896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/>
      <c r="P6" s="19"/>
      <c r="Q6" s="19"/>
      <c r="R6" s="19"/>
      <c r="S6" s="19"/>
      <c r="T6" s="21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G6" s="19"/>
    </row>
    <row r="7" spans="1:36" ht="15.75" thickBot="1">
      <c r="A7" s="159">
        <v>7891</v>
      </c>
      <c r="B7" s="159">
        <v>7897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/>
      <c r="P7" s="19"/>
      <c r="Q7" s="19"/>
      <c r="R7" s="19"/>
      <c r="S7" s="19"/>
      <c r="T7" s="21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G7"/>
    </row>
    <row r="8" spans="1:36" ht="15.75" thickBot="1">
      <c r="A8" s="159">
        <v>7891</v>
      </c>
      <c r="B8" s="159">
        <v>7898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/>
      <c r="P8" s="19"/>
      <c r="Q8" s="19"/>
      <c r="R8" s="19"/>
      <c r="S8" s="19"/>
      <c r="T8" s="21"/>
      <c r="U8" s="19"/>
      <c r="V8" s="19"/>
      <c r="W8" s="19"/>
      <c r="X8" s="19"/>
      <c r="Y8" s="19"/>
      <c r="Z8" s="19"/>
      <c r="AB8"/>
      <c r="AC8"/>
      <c r="AG8"/>
    </row>
    <row r="9" spans="1:36" ht="15.75" thickBot="1">
      <c r="A9" s="159">
        <v>7891</v>
      </c>
      <c r="B9" s="159">
        <v>7899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/>
      <c r="P9" s="19"/>
      <c r="Q9" s="19"/>
      <c r="R9" s="19"/>
      <c r="S9" s="19"/>
      <c r="T9" s="21"/>
      <c r="U9" s="19"/>
      <c r="V9" s="19"/>
      <c r="W9" s="19"/>
      <c r="X9" s="19"/>
      <c r="Y9" s="19"/>
      <c r="Z9" s="19"/>
      <c r="AB9" s="21"/>
      <c r="AC9" s="21"/>
      <c r="AD9" s="28"/>
      <c r="AG9" s="19"/>
    </row>
    <row r="10" spans="1:36" ht="15.75" thickBot="1">
      <c r="A10" s="159">
        <v>7891</v>
      </c>
      <c r="B10" s="159">
        <v>7900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/>
      <c r="P10" s="19"/>
      <c r="Q10" s="19"/>
      <c r="R10" s="19"/>
      <c r="S10" s="19"/>
      <c r="T10" s="21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G10" s="19"/>
    </row>
    <row r="11" spans="1:36" ht="15.75" thickBot="1">
      <c r="A11" s="159">
        <v>7891</v>
      </c>
      <c r="B11" s="159">
        <v>7901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/>
      <c r="P11" s="19"/>
      <c r="Q11" s="19"/>
      <c r="R11" s="19"/>
      <c r="S11" s="19"/>
      <c r="T11" s="21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G11" s="19"/>
    </row>
    <row r="12" spans="1:36" ht="15.75" thickBot="1">
      <c r="A12" s="159">
        <v>7891</v>
      </c>
      <c r="B12" s="159">
        <v>7902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/>
      <c r="P12" s="19"/>
      <c r="Q12" s="19"/>
      <c r="R12" s="19"/>
      <c r="S12" s="19"/>
      <c r="T12" s="21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G12" s="19"/>
    </row>
    <row r="13" spans="1:36" ht="15.75" thickBot="1">
      <c r="A13" s="159">
        <v>11925</v>
      </c>
      <c r="B13" s="159">
        <v>11926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/>
      <c r="P13" s="19"/>
      <c r="Q13" s="19"/>
      <c r="R13" s="19"/>
      <c r="S13" s="19"/>
      <c r="T13" s="21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G13" s="19"/>
    </row>
    <row r="14" spans="1:36" ht="15.75" thickBot="1">
      <c r="A14" s="159">
        <v>11925</v>
      </c>
      <c r="B14" s="159">
        <v>11927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/>
      <c r="P14" s="19"/>
      <c r="Q14" s="19"/>
      <c r="R14" s="19"/>
      <c r="S14" s="19"/>
      <c r="T14" s="21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G14" s="19"/>
    </row>
    <row r="15" spans="1:36" ht="15.75" thickBot="1">
      <c r="A15" s="159">
        <v>11925</v>
      </c>
      <c r="B15" s="159">
        <v>11928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/>
      <c r="P15" s="19"/>
      <c r="Q15" s="19"/>
      <c r="R15" s="19"/>
      <c r="S15" s="19"/>
      <c r="T15" s="21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G15" s="19"/>
    </row>
    <row r="16" spans="1:36" ht="15.75" thickBot="1">
      <c r="A16" s="159">
        <v>11925</v>
      </c>
      <c r="B16" s="159">
        <v>11929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/>
      <c r="P16" s="19"/>
      <c r="Q16" s="19"/>
      <c r="R16" s="19"/>
      <c r="S16" s="19"/>
      <c r="T16" s="21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G16" s="19"/>
    </row>
    <row r="17" spans="1:33" ht="15.75" thickBot="1">
      <c r="A17" s="159">
        <v>11925</v>
      </c>
      <c r="B17" s="159">
        <v>11930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/>
      <c r="P17" s="19"/>
      <c r="Q17" s="19"/>
      <c r="R17" s="19"/>
      <c r="S17" s="19"/>
      <c r="T17" s="21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G17" s="19"/>
    </row>
    <row r="18" spans="1:33" ht="15.75" thickBot="1">
      <c r="A18" s="159">
        <v>11925</v>
      </c>
      <c r="B18" s="159">
        <v>11931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/>
      <c r="P18" s="19"/>
      <c r="Q18" s="19"/>
      <c r="R18" s="19"/>
      <c r="S18" s="19"/>
      <c r="T18" s="21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G18" s="19"/>
    </row>
    <row r="19" spans="1:33" ht="15.75" thickBot="1">
      <c r="A19" s="159">
        <v>11925</v>
      </c>
      <c r="B19" s="159">
        <v>11932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/>
      <c r="P19" s="19"/>
      <c r="Q19" s="19"/>
      <c r="R19" s="19"/>
      <c r="S19" s="19"/>
      <c r="T19" s="21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G19" s="19"/>
    </row>
    <row r="20" spans="1:33" ht="15.75" thickBot="1">
      <c r="A20" s="159">
        <v>11925</v>
      </c>
      <c r="B20" s="159">
        <v>11933</v>
      </c>
      <c r="E20" s="19"/>
      <c r="H20" s="19"/>
      <c r="I20" s="19"/>
      <c r="J20" s="19"/>
      <c r="K20" s="19"/>
      <c r="L20" s="19"/>
      <c r="M20" s="19"/>
      <c r="N20" s="19"/>
      <c r="O20"/>
      <c r="P20" s="19"/>
      <c r="Q20" s="19"/>
      <c r="T20" s="21"/>
      <c r="X20" s="19"/>
      <c r="Y20" s="19"/>
      <c r="AG20" s="19"/>
    </row>
    <row r="21" spans="1:33" s="46" customFormat="1" ht="15.75" thickBot="1">
      <c r="A21" s="159">
        <v>11925</v>
      </c>
      <c r="B21" s="159">
        <v>11934</v>
      </c>
      <c r="T21" s="43"/>
      <c r="AG21" s="4"/>
    </row>
    <row r="22" spans="1:33" ht="15.75" thickBot="1">
      <c r="A22" s="159">
        <v>11925</v>
      </c>
      <c r="B22" s="159">
        <v>11935</v>
      </c>
      <c r="T22" s="2"/>
    </row>
    <row r="23" spans="1:33" ht="15.75" thickBot="1">
      <c r="A23" s="159">
        <v>11925</v>
      </c>
      <c r="B23" s="159">
        <v>11936</v>
      </c>
      <c r="T23" s="2"/>
    </row>
    <row r="24" spans="1:33" ht="15.75" thickBot="1">
      <c r="A24" s="159">
        <v>11925</v>
      </c>
      <c r="B24" s="159">
        <v>11937</v>
      </c>
      <c r="T24" s="2"/>
    </row>
    <row r="25" spans="1:33" ht="15.75" thickBot="1">
      <c r="A25" s="159">
        <v>11939</v>
      </c>
      <c r="B25" s="159">
        <v>11942</v>
      </c>
      <c r="T25"/>
    </row>
    <row r="26" spans="1:33" ht="15" thickBot="1">
      <c r="A26" s="159">
        <v>11939</v>
      </c>
      <c r="B26" s="159">
        <v>11943</v>
      </c>
    </row>
    <row r="27" spans="1:33" ht="15" thickBot="1">
      <c r="A27" s="159">
        <v>11939</v>
      </c>
      <c r="B27" s="159">
        <v>11944</v>
      </c>
    </row>
    <row r="28" spans="1:33" ht="15" thickBot="1">
      <c r="A28" s="159">
        <v>11939</v>
      </c>
      <c r="B28" s="159">
        <v>11945</v>
      </c>
    </row>
    <row r="29" spans="1:33" ht="15" thickBot="1">
      <c r="A29" s="159">
        <v>11939</v>
      </c>
      <c r="B29" s="159">
        <v>11946</v>
      </c>
    </row>
    <row r="30" spans="1:33" ht="15" thickBot="1">
      <c r="A30" s="159">
        <v>11939</v>
      </c>
      <c r="B30" s="159">
        <v>11947</v>
      </c>
    </row>
    <row r="31" spans="1:33" ht="15" thickBot="1">
      <c r="A31" s="159">
        <v>11939</v>
      </c>
      <c r="B31" s="159">
        <v>11948</v>
      </c>
    </row>
    <row r="32" spans="1:33" ht="15" thickBot="1">
      <c r="A32" s="159">
        <v>11939</v>
      </c>
      <c r="B32" s="159">
        <v>11949</v>
      </c>
    </row>
    <row r="33" spans="1:2" ht="15" thickBot="1">
      <c r="A33" s="159">
        <v>11939</v>
      </c>
      <c r="B33" s="159">
        <v>11950</v>
      </c>
    </row>
    <row r="34" spans="1:2" ht="15" thickBot="1">
      <c r="A34" s="159">
        <v>11939</v>
      </c>
      <c r="B34" s="159">
        <v>11979</v>
      </c>
    </row>
    <row r="35" spans="1:2" ht="15" thickBot="1">
      <c r="A35" s="159">
        <v>11939</v>
      </c>
      <c r="B35" s="159">
        <v>11980</v>
      </c>
    </row>
    <row r="36" spans="1:2" ht="15" thickBot="1">
      <c r="A36" s="159">
        <v>11939</v>
      </c>
      <c r="B36" s="159">
        <v>11981</v>
      </c>
    </row>
    <row r="37" spans="1:2" ht="15" thickBot="1">
      <c r="A37" s="159">
        <v>11342</v>
      </c>
      <c r="B37" s="159">
        <v>11343</v>
      </c>
    </row>
    <row r="38" spans="1:2" ht="15" thickBot="1">
      <c r="A38" s="159">
        <v>11342</v>
      </c>
      <c r="B38" s="159">
        <v>11344</v>
      </c>
    </row>
    <row r="39" spans="1:2" ht="15" thickBot="1">
      <c r="A39" s="159">
        <v>11342</v>
      </c>
      <c r="B39" s="159">
        <v>11345</v>
      </c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39"/>
  <sheetViews>
    <sheetView rightToLeft="1" workbookViewId="0">
      <selection activeCell="A2" sqref="A2:B39"/>
    </sheetView>
  </sheetViews>
  <sheetFormatPr defaultColWidth="11.5703125" defaultRowHeight="15"/>
  <cols>
    <col min="1" max="4" width="11.5703125" style="2"/>
    <col min="5" max="5" width="11.5703125" style="4" customWidth="1"/>
    <col min="6" max="8" width="11.5703125" style="2"/>
    <col min="9" max="10" width="11.5703125" style="2" customWidth="1"/>
    <col min="11" max="11" width="26.42578125" style="2" customWidth="1"/>
    <col min="12" max="23" width="11.5703125" style="2"/>
    <col min="24" max="25" width="11.5703125" style="4"/>
    <col min="26" max="16384" width="11.5703125" style="2"/>
  </cols>
  <sheetData>
    <row r="1" spans="1:36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625</v>
      </c>
      <c r="M1" s="20" t="s">
        <v>5</v>
      </c>
      <c r="N1" s="20" t="s">
        <v>9</v>
      </c>
      <c r="O1" s="20" t="s">
        <v>622</v>
      </c>
      <c r="P1" s="20" t="s">
        <v>6</v>
      </c>
      <c r="Q1" s="20" t="s">
        <v>8</v>
      </c>
      <c r="R1" s="20" t="s">
        <v>1164</v>
      </c>
      <c r="S1" s="20" t="s">
        <v>396</v>
      </c>
      <c r="T1" s="20" t="s">
        <v>13</v>
      </c>
      <c r="U1" s="20" t="s">
        <v>421</v>
      </c>
      <c r="V1" s="20" t="s">
        <v>14</v>
      </c>
      <c r="W1" s="20" t="s">
        <v>637</v>
      </c>
      <c r="X1" s="20" t="s">
        <v>942</v>
      </c>
      <c r="Y1" s="20" t="s">
        <v>685</v>
      </c>
      <c r="Z1" s="20" t="s">
        <v>789</v>
      </c>
      <c r="AA1" s="20" t="s">
        <v>11</v>
      </c>
      <c r="AB1" s="20" t="s">
        <v>15</v>
      </c>
      <c r="AC1" s="20" t="s">
        <v>955</v>
      </c>
      <c r="AD1" s="20" t="s">
        <v>1171</v>
      </c>
      <c r="AE1" s="20" t="s">
        <v>1172</v>
      </c>
      <c r="AF1" s="20" t="s">
        <v>804</v>
      </c>
      <c r="AG1" s="20" t="s">
        <v>26</v>
      </c>
      <c r="AH1" s="20" t="s">
        <v>18</v>
      </c>
      <c r="AI1" s="20" t="s">
        <v>19</v>
      </c>
      <c r="AJ1" s="20" t="s">
        <v>30</v>
      </c>
    </row>
    <row r="2" spans="1:36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19"/>
      <c r="I2" s="41"/>
      <c r="J2" s="19"/>
      <c r="K2" s="19"/>
      <c r="L2" s="21"/>
      <c r="M2" s="19"/>
      <c r="N2" s="21"/>
      <c r="O2" s="21"/>
      <c r="P2" s="21"/>
      <c r="Q2" s="21"/>
      <c r="R2" s="21"/>
      <c r="S2" s="19"/>
      <c r="T2" s="21"/>
      <c r="U2" s="21"/>
      <c r="V2" s="21"/>
      <c r="W2" s="21"/>
      <c r="X2" s="19"/>
      <c r="Y2" s="32"/>
      <c r="Z2" s="21"/>
      <c r="AA2" s="21"/>
      <c r="AB2" s="21"/>
      <c r="AC2" s="21"/>
      <c r="AD2" s="21"/>
      <c r="AE2" s="21"/>
      <c r="AF2" s="41"/>
      <c r="AG2" s="19"/>
    </row>
    <row r="3" spans="1:36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19"/>
      <c r="I3" s="22"/>
      <c r="J3" s="19"/>
      <c r="K3" s="19"/>
      <c r="L3" s="21"/>
      <c r="M3" s="19"/>
      <c r="N3" s="21"/>
      <c r="O3" s="21"/>
      <c r="P3" s="21"/>
      <c r="Q3" s="21"/>
      <c r="R3" s="21"/>
      <c r="S3" s="19"/>
      <c r="T3" s="21"/>
      <c r="U3" s="21"/>
      <c r="V3" s="21"/>
      <c r="W3" s="21"/>
      <c r="X3" s="19"/>
      <c r="Y3" s="19"/>
      <c r="Z3" s="21"/>
      <c r="AA3" s="21"/>
      <c r="AB3" s="21"/>
      <c r="AC3" s="21"/>
      <c r="AD3" s="21"/>
      <c r="AE3" s="21"/>
      <c r="AG3" s="19"/>
    </row>
    <row r="4" spans="1:36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19"/>
      <c r="I4" s="22"/>
      <c r="J4" s="19"/>
      <c r="K4" s="19"/>
      <c r="L4" s="21"/>
      <c r="M4" s="19"/>
      <c r="N4" s="21"/>
      <c r="O4" s="21"/>
      <c r="P4" s="21"/>
      <c r="Q4" s="21"/>
      <c r="R4" s="21"/>
      <c r="S4" s="19"/>
      <c r="T4" s="21"/>
      <c r="U4" s="21"/>
      <c r="V4" s="21"/>
      <c r="W4" s="21"/>
      <c r="X4" s="19"/>
      <c r="Y4" s="19"/>
      <c r="Z4" s="21"/>
      <c r="AA4" s="21"/>
      <c r="AB4" s="21"/>
      <c r="AC4" s="21"/>
      <c r="AD4" s="21"/>
      <c r="AE4" s="21"/>
      <c r="AG4" s="19"/>
    </row>
    <row r="5" spans="1:36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19"/>
      <c r="I5" s="22"/>
      <c r="J5" s="19"/>
      <c r="K5" s="19"/>
      <c r="L5" s="21"/>
      <c r="M5" s="19"/>
      <c r="N5" s="21"/>
      <c r="O5" s="21"/>
      <c r="P5" s="21"/>
      <c r="Q5" s="21"/>
      <c r="R5" s="21"/>
      <c r="S5" s="19"/>
      <c r="T5" s="21"/>
      <c r="U5" s="21"/>
      <c r="V5" s="21"/>
      <c r="W5" s="21"/>
      <c r="X5" s="19"/>
      <c r="Y5" s="19"/>
      <c r="Z5" s="21"/>
      <c r="AA5" s="21"/>
      <c r="AB5" s="21"/>
      <c r="AC5" s="21"/>
      <c r="AD5" s="21"/>
      <c r="AE5" s="21"/>
      <c r="AG5" s="19"/>
    </row>
    <row r="6" spans="1:36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19"/>
      <c r="I6" s="22"/>
      <c r="J6" s="19"/>
      <c r="K6" s="19"/>
      <c r="L6" s="21"/>
      <c r="M6" s="19"/>
      <c r="N6" s="21"/>
      <c r="O6" s="21"/>
      <c r="P6" s="21"/>
      <c r="Q6" s="21"/>
      <c r="R6" s="21"/>
      <c r="S6" s="19"/>
      <c r="T6" s="21"/>
      <c r="U6" s="21"/>
      <c r="V6" s="21"/>
      <c r="W6" s="21"/>
      <c r="X6" s="19"/>
      <c r="Y6" s="19"/>
      <c r="AC6" s="21"/>
    </row>
    <row r="7" spans="1:36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19"/>
      <c r="I7" s="22"/>
      <c r="J7" s="19"/>
      <c r="K7" s="19"/>
      <c r="L7" s="21"/>
      <c r="M7" s="19"/>
      <c r="N7" s="21"/>
      <c r="O7" s="21"/>
      <c r="P7" s="21"/>
      <c r="Q7" s="21"/>
      <c r="R7" s="21"/>
      <c r="S7" s="19"/>
      <c r="T7" s="21"/>
      <c r="U7" s="21"/>
      <c r="V7" s="21"/>
      <c r="W7" s="21"/>
      <c r="X7" s="19"/>
      <c r="Y7" s="19"/>
      <c r="AC7" s="21"/>
    </row>
    <row r="8" spans="1:36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19"/>
      <c r="I8" s="22"/>
      <c r="J8" s="19"/>
      <c r="K8" s="19"/>
      <c r="L8" s="21"/>
      <c r="M8" s="19"/>
      <c r="N8" s="21"/>
      <c r="O8" s="21"/>
      <c r="P8" s="21"/>
      <c r="Q8" s="21"/>
      <c r="R8" s="21"/>
      <c r="S8" s="19"/>
      <c r="T8" s="21"/>
      <c r="U8" s="21"/>
      <c r="V8" s="21"/>
      <c r="W8" s="21"/>
      <c r="X8" s="19"/>
      <c r="Y8" s="19"/>
      <c r="Z8" s="21"/>
      <c r="AA8" s="21"/>
      <c r="AB8" s="21"/>
      <c r="AC8" s="21"/>
      <c r="AD8" s="21"/>
      <c r="AE8" s="21"/>
      <c r="AG8" s="19"/>
    </row>
    <row r="9" spans="1:36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19"/>
      <c r="I9" s="22"/>
      <c r="J9" s="19"/>
      <c r="K9" s="19"/>
      <c r="L9" s="21"/>
      <c r="M9" s="19"/>
      <c r="N9" s="21"/>
      <c r="O9" s="21"/>
      <c r="P9" s="21"/>
      <c r="Q9" s="21"/>
      <c r="R9" s="21"/>
      <c r="S9" s="19"/>
      <c r="T9" s="21"/>
      <c r="U9" s="21"/>
      <c r="V9" s="21"/>
      <c r="W9" s="21"/>
      <c r="X9" s="19"/>
      <c r="Y9" s="19"/>
      <c r="Z9" s="21"/>
      <c r="AA9" s="21"/>
      <c r="AB9" s="21"/>
      <c r="AC9" s="21"/>
      <c r="AD9" s="21"/>
      <c r="AE9" s="21"/>
      <c r="AG9" s="19"/>
    </row>
    <row r="10" spans="1:36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19"/>
      <c r="I10" s="22"/>
      <c r="J10" s="19"/>
      <c r="K10" s="19"/>
      <c r="L10" s="21"/>
      <c r="M10" s="19"/>
      <c r="N10" s="21"/>
      <c r="O10" s="21"/>
      <c r="P10" s="21"/>
      <c r="Q10" s="21"/>
      <c r="R10" s="21"/>
      <c r="S10" s="19"/>
      <c r="T10" s="21"/>
      <c r="U10" s="21"/>
      <c r="V10" s="21"/>
      <c r="W10" s="21"/>
      <c r="X10" s="19"/>
      <c r="Y10" s="19"/>
      <c r="Z10" s="21"/>
      <c r="AA10" s="21"/>
      <c r="AB10" s="21"/>
      <c r="AC10" s="21"/>
      <c r="AD10" s="21"/>
      <c r="AE10" s="21"/>
      <c r="AG10" s="19"/>
    </row>
    <row r="11" spans="1:36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19"/>
      <c r="I11" s="22"/>
      <c r="J11" s="19"/>
      <c r="K11" s="19"/>
      <c r="L11" s="21"/>
      <c r="M11" s="19"/>
      <c r="N11" s="21"/>
      <c r="O11" s="21"/>
      <c r="P11" s="21"/>
      <c r="Q11" s="21"/>
      <c r="R11" s="21"/>
      <c r="S11" s="19"/>
      <c r="T11" s="21"/>
      <c r="U11" s="21"/>
      <c r="V11" s="21"/>
      <c r="W11" s="21"/>
      <c r="X11" s="19"/>
      <c r="Y11" s="19"/>
      <c r="Z11" s="21"/>
      <c r="AA11" s="21"/>
      <c r="AB11" s="21"/>
      <c r="AC11" s="21"/>
      <c r="AD11" s="21"/>
      <c r="AE11" s="21"/>
      <c r="AG11" s="19"/>
    </row>
    <row r="12" spans="1:36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19"/>
      <c r="I12" s="22"/>
      <c r="J12" s="19"/>
      <c r="K12" s="19"/>
      <c r="L12" s="21"/>
      <c r="M12" s="19"/>
      <c r="N12" s="21"/>
      <c r="O12" s="21"/>
      <c r="P12" s="21"/>
      <c r="Q12" s="21"/>
      <c r="R12" s="21"/>
      <c r="S12" s="19"/>
      <c r="T12" s="21"/>
      <c r="U12" s="21"/>
      <c r="V12" s="21"/>
      <c r="W12" s="21"/>
      <c r="X12" s="19"/>
      <c r="Y12" s="19"/>
      <c r="Z12" s="21"/>
      <c r="AA12" s="21"/>
      <c r="AB12" s="21"/>
      <c r="AC12" s="21"/>
      <c r="AD12" s="21"/>
      <c r="AE12" s="21"/>
      <c r="AG12" s="19"/>
    </row>
    <row r="13" spans="1:36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19"/>
      <c r="I13" s="22"/>
      <c r="J13" s="19"/>
      <c r="K13" s="19"/>
      <c r="L13" s="21"/>
      <c r="M13" s="19"/>
      <c r="N13" s="21"/>
      <c r="O13" s="21"/>
      <c r="P13" s="21"/>
      <c r="Q13" s="21"/>
      <c r="R13" s="21"/>
      <c r="S13" s="19"/>
      <c r="T13" s="21"/>
      <c r="U13" s="21"/>
      <c r="V13" s="21"/>
      <c r="W13" s="21"/>
      <c r="X13" s="19"/>
      <c r="Y13" s="19"/>
      <c r="Z13" s="21"/>
      <c r="AA13" s="21"/>
      <c r="AB13" s="21"/>
      <c r="AC13" s="21"/>
      <c r="AD13" s="21"/>
      <c r="AE13" s="21"/>
      <c r="AG13" s="19"/>
    </row>
    <row r="14" spans="1:36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19"/>
      <c r="I14" s="22"/>
      <c r="J14" s="19"/>
      <c r="K14" s="19"/>
      <c r="L14" s="21"/>
      <c r="M14" s="19"/>
      <c r="N14" s="21"/>
      <c r="O14" s="21"/>
      <c r="P14" s="21"/>
      <c r="Q14" s="21"/>
      <c r="R14" s="21"/>
      <c r="S14" s="19"/>
      <c r="T14" s="21"/>
      <c r="U14" s="21"/>
      <c r="V14" s="21"/>
      <c r="W14" s="21"/>
      <c r="X14" s="19"/>
      <c r="Y14" s="19"/>
      <c r="Z14" s="21"/>
      <c r="AA14" s="21"/>
      <c r="AB14" s="21"/>
      <c r="AC14" s="21"/>
      <c r="AD14" s="21"/>
      <c r="AE14" s="21"/>
      <c r="AG14" s="19"/>
    </row>
    <row r="15" spans="1:36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19"/>
      <c r="I15" s="22"/>
      <c r="J15" s="19"/>
      <c r="K15" s="19"/>
      <c r="L15" s="21"/>
      <c r="M15" s="19"/>
      <c r="N15" s="21"/>
      <c r="O15" s="21"/>
      <c r="P15" s="21"/>
      <c r="Q15" s="21"/>
      <c r="R15" s="21"/>
      <c r="S15" s="19"/>
      <c r="T15" s="21"/>
      <c r="U15" s="21"/>
      <c r="V15" s="21"/>
      <c r="W15" s="21"/>
      <c r="X15" s="19"/>
      <c r="Y15" s="19"/>
      <c r="Z15" s="21"/>
      <c r="AA15" s="21"/>
      <c r="AB15" s="21"/>
      <c r="AC15" s="21"/>
      <c r="AD15" s="21"/>
      <c r="AE15" s="21"/>
      <c r="AG15" s="19"/>
    </row>
    <row r="16" spans="1:36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19"/>
      <c r="I16" s="22"/>
      <c r="J16" s="19"/>
      <c r="K16" s="19"/>
      <c r="L16" s="21"/>
      <c r="M16" s="19"/>
      <c r="N16" s="21"/>
      <c r="O16" s="21"/>
      <c r="P16" s="21"/>
      <c r="Q16" s="21"/>
      <c r="R16" s="21"/>
      <c r="S16" s="19"/>
      <c r="T16" s="21"/>
      <c r="U16" s="21"/>
      <c r="V16" s="21"/>
      <c r="W16" s="21"/>
      <c r="X16" s="19"/>
      <c r="Y16" s="19"/>
      <c r="Z16" s="21"/>
      <c r="AA16" s="21"/>
      <c r="AB16" s="21"/>
      <c r="AC16" s="21"/>
      <c r="AD16" s="21"/>
      <c r="AE16" s="21"/>
      <c r="AG16" s="19"/>
    </row>
    <row r="17" spans="1:33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19"/>
      <c r="I17" s="22"/>
      <c r="J17" s="19"/>
      <c r="K17" s="19"/>
      <c r="L17" s="21"/>
      <c r="M17" s="19"/>
      <c r="N17" s="21"/>
      <c r="O17" s="21"/>
      <c r="P17" s="21"/>
      <c r="Q17" s="21"/>
      <c r="R17" s="21"/>
      <c r="S17" s="19"/>
      <c r="T17" s="21"/>
      <c r="U17" s="21"/>
      <c r="V17" s="21"/>
      <c r="W17" s="21"/>
      <c r="X17" s="19"/>
      <c r="Y17" s="19"/>
      <c r="Z17" s="21"/>
      <c r="AA17" s="21"/>
      <c r="AB17" s="21"/>
      <c r="AC17" s="21"/>
      <c r="AD17" s="21"/>
      <c r="AE17" s="21"/>
      <c r="AG17" s="19"/>
    </row>
    <row r="18" spans="1:33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19"/>
      <c r="I18" s="22"/>
      <c r="J18" s="19"/>
      <c r="K18" s="19"/>
      <c r="L18" s="21"/>
      <c r="M18" s="19"/>
      <c r="N18" s="21"/>
      <c r="O18" s="21"/>
      <c r="P18" s="21"/>
      <c r="Q18" s="21"/>
      <c r="R18" s="21"/>
      <c r="S18" s="19"/>
      <c r="T18" s="21"/>
      <c r="U18" s="21"/>
      <c r="V18" s="21"/>
      <c r="W18" s="21"/>
      <c r="X18" s="19"/>
      <c r="Y18" s="19"/>
      <c r="Z18" s="21"/>
      <c r="AA18" s="21"/>
      <c r="AB18" s="21"/>
      <c r="AC18" s="21"/>
      <c r="AD18" s="21"/>
      <c r="AE18" s="21"/>
      <c r="AG18" s="19"/>
    </row>
    <row r="19" spans="1:33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19"/>
      <c r="I19" s="22"/>
      <c r="J19" s="19"/>
      <c r="K19" s="19"/>
      <c r="L19" s="21"/>
      <c r="M19" s="19"/>
      <c r="N19" s="21"/>
      <c r="O19" s="21"/>
      <c r="P19" s="21"/>
      <c r="Q19" s="21"/>
      <c r="R19" s="21"/>
      <c r="S19" s="19"/>
      <c r="T19" s="21"/>
      <c r="U19" s="21"/>
      <c r="V19" s="21"/>
      <c r="W19" s="21"/>
      <c r="X19" s="19"/>
      <c r="Y19" s="19"/>
      <c r="Z19" s="21"/>
      <c r="AA19" s="21"/>
      <c r="AB19" s="21"/>
      <c r="AC19" s="21"/>
      <c r="AD19" s="21"/>
      <c r="AE19" s="21"/>
      <c r="AG19" s="19"/>
    </row>
    <row r="20" spans="1:33" ht="15.75" thickBot="1">
      <c r="A20" s="159">
        <v>11925</v>
      </c>
      <c r="B20" s="159">
        <v>11933</v>
      </c>
      <c r="E20" s="19"/>
      <c r="H20" s="19"/>
      <c r="I20" s="22"/>
      <c r="J20" s="19"/>
      <c r="K20" s="19"/>
      <c r="L20" s="21"/>
      <c r="M20" s="19"/>
      <c r="N20" s="21"/>
      <c r="O20" s="21"/>
      <c r="Q20" s="21"/>
      <c r="R20" s="21"/>
      <c r="X20" s="19"/>
      <c r="Y20" s="19"/>
    </row>
    <row r="21" spans="1:33" s="43" customFormat="1" ht="15.75" thickBot="1">
      <c r="A21" s="159">
        <v>11925</v>
      </c>
      <c r="B21" s="159">
        <v>11934</v>
      </c>
      <c r="E21" s="46"/>
      <c r="H21" s="46"/>
      <c r="L21"/>
      <c r="M21" s="46"/>
      <c r="X21" s="46"/>
      <c r="Y21" s="46"/>
    </row>
    <row r="22" spans="1:33" ht="15.75" thickBot="1">
      <c r="A22" s="159">
        <v>11925</v>
      </c>
      <c r="B22" s="159">
        <v>11935</v>
      </c>
      <c r="H22" s="4"/>
      <c r="L22"/>
      <c r="M22" s="4"/>
    </row>
    <row r="23" spans="1:33" ht="15.75" thickBot="1">
      <c r="A23" s="159">
        <v>11925</v>
      </c>
      <c r="B23" s="159">
        <v>11936</v>
      </c>
      <c r="H23" s="4"/>
      <c r="L23"/>
    </row>
    <row r="24" spans="1:33" ht="15.75" thickBot="1">
      <c r="A24" s="159">
        <v>11925</v>
      </c>
      <c r="B24" s="159">
        <v>11937</v>
      </c>
      <c r="L24"/>
    </row>
    <row r="25" spans="1:33" ht="15.75" thickBot="1">
      <c r="A25" s="159">
        <v>11939</v>
      </c>
      <c r="B25" s="159">
        <v>11942</v>
      </c>
      <c r="L25"/>
    </row>
    <row r="26" spans="1:33" ht="15.75" thickBot="1">
      <c r="A26" s="159">
        <v>11939</v>
      </c>
      <c r="B26" s="159">
        <v>11943</v>
      </c>
    </row>
    <row r="27" spans="1:33" ht="15.75" thickBot="1">
      <c r="A27" s="159">
        <v>11939</v>
      </c>
      <c r="B27" s="159">
        <v>11944</v>
      </c>
    </row>
    <row r="28" spans="1:33" ht="15.75" thickBot="1">
      <c r="A28" s="159">
        <v>11939</v>
      </c>
      <c r="B28" s="159">
        <v>11945</v>
      </c>
    </row>
    <row r="29" spans="1:33" ht="15.75" thickBot="1">
      <c r="A29" s="159">
        <v>11939</v>
      </c>
      <c r="B29" s="159">
        <v>11946</v>
      </c>
    </row>
    <row r="30" spans="1:33" ht="15.75" thickBot="1">
      <c r="A30" s="159">
        <v>11939</v>
      </c>
      <c r="B30" s="159">
        <v>11947</v>
      </c>
    </row>
    <row r="31" spans="1:33" ht="15.75" thickBot="1">
      <c r="A31" s="159">
        <v>11939</v>
      </c>
      <c r="B31" s="159">
        <v>11948</v>
      </c>
    </row>
    <row r="32" spans="1:33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85"/>
  <sheetViews>
    <sheetView rightToLeft="1" topLeftCell="I1" workbookViewId="0">
      <selection activeCell="W2" sqref="W2:X48"/>
    </sheetView>
  </sheetViews>
  <sheetFormatPr defaultColWidth="9" defaultRowHeight="15"/>
  <cols>
    <col min="1" max="11" width="11.5703125" style="4" customWidth="1"/>
    <col min="12" max="13" width="11.5703125" style="2"/>
    <col min="14" max="19" width="11.5703125" style="4" customWidth="1"/>
    <col min="20" max="20" width="11.5703125" style="2" customWidth="1"/>
    <col min="21" max="26" width="11.5703125" style="4" customWidth="1"/>
    <col min="27" max="16384" width="9" style="4"/>
  </cols>
  <sheetData>
    <row r="1" spans="1:24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625</v>
      </c>
      <c r="M1" s="20" t="s">
        <v>5</v>
      </c>
      <c r="N1" s="20" t="s">
        <v>9</v>
      </c>
      <c r="O1" s="20" t="s">
        <v>622</v>
      </c>
      <c r="P1" s="20" t="s">
        <v>396</v>
      </c>
      <c r="Q1" s="20" t="s">
        <v>789</v>
      </c>
      <c r="R1" s="20" t="s">
        <v>11</v>
      </c>
      <c r="S1" s="20" t="s">
        <v>15</v>
      </c>
      <c r="T1" s="20" t="s">
        <v>955</v>
      </c>
      <c r="U1" s="20" t="s">
        <v>1171</v>
      </c>
      <c r="V1" s="20" t="s">
        <v>18</v>
      </c>
      <c r="W1" s="20" t="s">
        <v>19</v>
      </c>
      <c r="X1" s="20" t="s">
        <v>30</v>
      </c>
    </row>
    <row r="2" spans="1:24" thickBot="1">
      <c r="A2" s="159">
        <v>11925</v>
      </c>
      <c r="B2" s="159">
        <v>11931</v>
      </c>
      <c r="C2" s="160" t="s">
        <v>1214</v>
      </c>
      <c r="D2" s="160" t="s">
        <v>1215</v>
      </c>
      <c r="E2" s="160" t="s">
        <v>2</v>
      </c>
      <c r="F2" s="160" t="s">
        <v>1216</v>
      </c>
      <c r="G2" s="166">
        <v>230011</v>
      </c>
      <c r="H2" s="160" t="s">
        <v>102</v>
      </c>
      <c r="I2" s="160" t="s">
        <v>73</v>
      </c>
      <c r="J2" s="160" t="s">
        <v>53</v>
      </c>
      <c r="K2" s="160" t="s">
        <v>53</v>
      </c>
      <c r="L2" s="160" t="s">
        <v>821</v>
      </c>
      <c r="M2" s="160" t="s">
        <v>311</v>
      </c>
      <c r="N2" s="160" t="s">
        <v>260</v>
      </c>
      <c r="O2" s="160" t="s">
        <v>62</v>
      </c>
      <c r="P2" s="160" t="s">
        <v>1208</v>
      </c>
      <c r="Q2" s="161">
        <v>105208</v>
      </c>
      <c r="R2" s="161">
        <v>1</v>
      </c>
      <c r="S2" s="161">
        <v>473</v>
      </c>
      <c r="T2" s="161">
        <v>0</v>
      </c>
      <c r="U2" s="161">
        <v>497.63384000000002</v>
      </c>
      <c r="V2" s="162">
        <v>3.80245569273511E-5</v>
      </c>
      <c r="W2" s="162">
        <v>2.0084472890307313E-2</v>
      </c>
      <c r="X2" s="162">
        <v>1.9149068566793111E-2</v>
      </c>
    </row>
    <row r="3" spans="1:24" thickBot="1">
      <c r="A3" s="159">
        <v>11925</v>
      </c>
      <c r="B3" s="159">
        <v>11931</v>
      </c>
      <c r="C3" s="160" t="s">
        <v>1217</v>
      </c>
      <c r="D3" s="160" t="s">
        <v>1218</v>
      </c>
      <c r="E3" s="160" t="s">
        <v>2</v>
      </c>
      <c r="F3" s="160" t="s">
        <v>1219</v>
      </c>
      <c r="G3" s="166">
        <v>232017</v>
      </c>
      <c r="H3" s="160" t="s">
        <v>102</v>
      </c>
      <c r="I3" s="160" t="s">
        <v>460</v>
      </c>
      <c r="J3" s="160" t="s">
        <v>53</v>
      </c>
      <c r="K3" s="160" t="s">
        <v>53</v>
      </c>
      <c r="L3" s="160" t="s">
        <v>821</v>
      </c>
      <c r="M3" s="160" t="s">
        <v>311</v>
      </c>
      <c r="N3" s="160" t="s">
        <v>267</v>
      </c>
      <c r="O3" s="160" t="s">
        <v>62</v>
      </c>
      <c r="P3" s="160" t="s">
        <v>1208</v>
      </c>
      <c r="Q3" s="161">
        <v>423045</v>
      </c>
      <c r="R3" s="161">
        <v>1</v>
      </c>
      <c r="S3" s="161">
        <v>179</v>
      </c>
      <c r="T3" s="161">
        <v>0</v>
      </c>
      <c r="U3" s="161">
        <v>757.25054999999998</v>
      </c>
      <c r="V3" s="162">
        <v>1.6330901999999999E-4</v>
      </c>
      <c r="W3" s="162">
        <v>3.0562588232836623E-2</v>
      </c>
      <c r="X3" s="162">
        <v>2.9139181339017849E-2</v>
      </c>
    </row>
    <row r="4" spans="1:24" thickBot="1">
      <c r="A4" s="159">
        <v>11925</v>
      </c>
      <c r="B4" s="159">
        <v>11931</v>
      </c>
      <c r="C4" s="160" t="s">
        <v>1220</v>
      </c>
      <c r="D4" s="160" t="s">
        <v>1221</v>
      </c>
      <c r="E4" s="160" t="s">
        <v>2</v>
      </c>
      <c r="F4" s="160" t="s">
        <v>1222</v>
      </c>
      <c r="G4" s="166">
        <v>256016</v>
      </c>
      <c r="H4" s="160" t="s">
        <v>102</v>
      </c>
      <c r="I4" s="160" t="s">
        <v>73</v>
      </c>
      <c r="J4" s="160" t="s">
        <v>53</v>
      </c>
      <c r="K4" s="160" t="s">
        <v>53</v>
      </c>
      <c r="L4" s="160" t="s">
        <v>821</v>
      </c>
      <c r="M4" s="160" t="s">
        <v>311</v>
      </c>
      <c r="N4" s="160" t="s">
        <v>252</v>
      </c>
      <c r="O4" s="160" t="s">
        <v>62</v>
      </c>
      <c r="P4" s="160" t="s">
        <v>1208</v>
      </c>
      <c r="Q4" s="161">
        <v>1962</v>
      </c>
      <c r="R4" s="161">
        <v>1</v>
      </c>
      <c r="S4" s="161">
        <v>30030</v>
      </c>
      <c r="T4" s="161">
        <v>0</v>
      </c>
      <c r="U4" s="161">
        <v>589.18859999999995</v>
      </c>
      <c r="V4" s="162">
        <v>1.2796208199999999E-4</v>
      </c>
      <c r="W4" s="162">
        <v>2.37796176883351E-2</v>
      </c>
      <c r="X4" s="162">
        <v>2.2672117515506657E-2</v>
      </c>
    </row>
    <row r="5" spans="1:24" thickBot="1">
      <c r="A5" s="159">
        <v>11925</v>
      </c>
      <c r="B5" s="159">
        <v>11931</v>
      </c>
      <c r="C5" s="160" t="s">
        <v>1223</v>
      </c>
      <c r="D5" s="160" t="s">
        <v>1224</v>
      </c>
      <c r="E5" s="160" t="s">
        <v>2</v>
      </c>
      <c r="F5" s="160" t="s">
        <v>1225</v>
      </c>
      <c r="G5" s="166">
        <v>273011</v>
      </c>
      <c r="H5" s="160" t="s">
        <v>102</v>
      </c>
      <c r="I5" s="160" t="s">
        <v>73</v>
      </c>
      <c r="J5" s="160" t="s">
        <v>53</v>
      </c>
      <c r="K5" s="160" t="s">
        <v>53</v>
      </c>
      <c r="L5" s="160" t="s">
        <v>821</v>
      </c>
      <c r="M5" s="160" t="s">
        <v>311</v>
      </c>
      <c r="N5" s="160" t="s">
        <v>253</v>
      </c>
      <c r="O5" s="160" t="s">
        <v>62</v>
      </c>
      <c r="P5" s="160" t="s">
        <v>1208</v>
      </c>
      <c r="Q5" s="161">
        <v>330</v>
      </c>
      <c r="R5" s="161">
        <v>1</v>
      </c>
      <c r="S5" s="161">
        <v>95150</v>
      </c>
      <c r="T5" s="161">
        <v>0</v>
      </c>
      <c r="U5" s="161">
        <v>313.995</v>
      </c>
      <c r="V5" s="162">
        <v>5.2107642831667599E-6</v>
      </c>
      <c r="W5" s="162">
        <v>1.2672819969783497E-2</v>
      </c>
      <c r="X5" s="162">
        <v>1.2082602309823227E-2</v>
      </c>
    </row>
    <row r="6" spans="1:24" thickBot="1">
      <c r="A6" s="159">
        <v>11925</v>
      </c>
      <c r="B6" s="159">
        <v>11931</v>
      </c>
      <c r="C6" s="160" t="s">
        <v>1226</v>
      </c>
      <c r="D6" s="160" t="s">
        <v>1227</v>
      </c>
      <c r="E6" s="160" t="s">
        <v>2</v>
      </c>
      <c r="F6" s="160" t="s">
        <v>1228</v>
      </c>
      <c r="G6" s="166">
        <v>323014</v>
      </c>
      <c r="H6" s="160" t="s">
        <v>102</v>
      </c>
      <c r="I6" s="160" t="s">
        <v>73</v>
      </c>
      <c r="J6" s="160" t="s">
        <v>53</v>
      </c>
      <c r="K6" s="160" t="s">
        <v>53</v>
      </c>
      <c r="L6" s="160" t="s">
        <v>821</v>
      </c>
      <c r="M6" s="160" t="s">
        <v>311</v>
      </c>
      <c r="N6" s="160" t="s">
        <v>651</v>
      </c>
      <c r="O6" s="160" t="s">
        <v>62</v>
      </c>
      <c r="P6" s="160" t="s">
        <v>1208</v>
      </c>
      <c r="Q6" s="161">
        <v>1893</v>
      </c>
      <c r="R6" s="161">
        <v>1</v>
      </c>
      <c r="S6" s="161">
        <v>26900</v>
      </c>
      <c r="T6" s="161">
        <v>4.7801799999999997</v>
      </c>
      <c r="U6" s="161">
        <v>513.99717999999996</v>
      </c>
      <c r="V6" s="162">
        <v>3.9834842596186303E-5</v>
      </c>
      <c r="W6" s="162">
        <v>2.0744896342669156E-2</v>
      </c>
      <c r="X6" s="162">
        <v>1.9778733783374337E-2</v>
      </c>
    </row>
    <row r="7" spans="1:24" thickBot="1">
      <c r="A7" s="159">
        <v>11925</v>
      </c>
      <c r="B7" s="159">
        <v>11931</v>
      </c>
      <c r="C7" s="160" t="s">
        <v>1229</v>
      </c>
      <c r="D7" s="160" t="s">
        <v>1230</v>
      </c>
      <c r="E7" s="160" t="s">
        <v>2</v>
      </c>
      <c r="F7" s="160" t="s">
        <v>1231</v>
      </c>
      <c r="G7" s="166">
        <v>394015</v>
      </c>
      <c r="H7" s="160" t="s">
        <v>102</v>
      </c>
      <c r="I7" s="160" t="s">
        <v>460</v>
      </c>
      <c r="J7" s="160" t="s">
        <v>53</v>
      </c>
      <c r="K7" s="160" t="s">
        <v>53</v>
      </c>
      <c r="L7" s="160" t="s">
        <v>821</v>
      </c>
      <c r="M7" s="160" t="s">
        <v>311</v>
      </c>
      <c r="N7" s="160" t="s">
        <v>267</v>
      </c>
      <c r="O7" s="160" t="s">
        <v>62</v>
      </c>
      <c r="P7" s="160" t="s">
        <v>1208</v>
      </c>
      <c r="Q7" s="161">
        <v>116729</v>
      </c>
      <c r="R7" s="161">
        <v>1</v>
      </c>
      <c r="S7" s="161">
        <v>302.8</v>
      </c>
      <c r="T7" s="161">
        <v>0</v>
      </c>
      <c r="U7" s="161">
        <v>353.45540999999997</v>
      </c>
      <c r="V7" s="162">
        <v>1.0386333E-4</v>
      </c>
      <c r="W7" s="162">
        <v>1.4265439826353964E-2</v>
      </c>
      <c r="X7" s="162">
        <v>1.3601048275563354E-2</v>
      </c>
    </row>
    <row r="8" spans="1:24" thickBot="1">
      <c r="A8" s="159">
        <v>11925</v>
      </c>
      <c r="B8" s="159">
        <v>11931</v>
      </c>
      <c r="C8" s="160" t="s">
        <v>1232</v>
      </c>
      <c r="D8" s="160" t="s">
        <v>1233</v>
      </c>
      <c r="E8" s="160" t="s">
        <v>2</v>
      </c>
      <c r="F8" s="160" t="s">
        <v>1234</v>
      </c>
      <c r="G8" s="166">
        <v>445015</v>
      </c>
      <c r="H8" s="160" t="s">
        <v>102</v>
      </c>
      <c r="I8" s="160" t="s">
        <v>73</v>
      </c>
      <c r="J8" s="160" t="s">
        <v>53</v>
      </c>
      <c r="K8" s="160" t="s">
        <v>53</v>
      </c>
      <c r="L8" s="160" t="s">
        <v>821</v>
      </c>
      <c r="M8" s="160" t="s">
        <v>311</v>
      </c>
      <c r="N8" s="160" t="s">
        <v>252</v>
      </c>
      <c r="O8" s="160" t="s">
        <v>62</v>
      </c>
      <c r="P8" s="160" t="s">
        <v>1208</v>
      </c>
      <c r="Q8" s="161">
        <v>7053</v>
      </c>
      <c r="R8" s="161">
        <v>1</v>
      </c>
      <c r="S8" s="161">
        <v>8160</v>
      </c>
      <c r="T8" s="161">
        <v>8.9573099999999997</v>
      </c>
      <c r="U8" s="161">
        <v>584.48211000000003</v>
      </c>
      <c r="V8" s="162">
        <v>1.11032265E-4</v>
      </c>
      <c r="W8" s="162">
        <v>2.3589664025188917E-2</v>
      </c>
      <c r="X8" s="162">
        <v>2.2491010660476613E-2</v>
      </c>
    </row>
    <row r="9" spans="1:24" thickBot="1">
      <c r="A9" s="159">
        <v>11925</v>
      </c>
      <c r="B9" s="159">
        <v>11931</v>
      </c>
      <c r="C9" s="160" t="s">
        <v>1235</v>
      </c>
      <c r="D9" s="160" t="s">
        <v>1236</v>
      </c>
      <c r="E9" s="160" t="s">
        <v>2</v>
      </c>
      <c r="F9" s="160" t="s">
        <v>1237</v>
      </c>
      <c r="G9" s="166">
        <v>475020</v>
      </c>
      <c r="H9" s="160" t="s">
        <v>102</v>
      </c>
      <c r="I9" s="160" t="s">
        <v>460</v>
      </c>
      <c r="J9" s="160" t="s">
        <v>53</v>
      </c>
      <c r="K9" s="160" t="s">
        <v>53</v>
      </c>
      <c r="L9" s="160" t="s">
        <v>821</v>
      </c>
      <c r="M9" s="160" t="s">
        <v>311</v>
      </c>
      <c r="N9" s="160" t="s">
        <v>267</v>
      </c>
      <c r="O9" s="160" t="s">
        <v>62</v>
      </c>
      <c r="P9" s="160" t="s">
        <v>1208</v>
      </c>
      <c r="Q9" s="161">
        <v>40344</v>
      </c>
      <c r="R9" s="161">
        <v>1</v>
      </c>
      <c r="S9" s="161">
        <v>935.3</v>
      </c>
      <c r="T9" s="161">
        <v>7.6246400000000003</v>
      </c>
      <c r="U9" s="161">
        <v>384.96206999999998</v>
      </c>
      <c r="V9" s="162">
        <v>3.4369990688760298E-5</v>
      </c>
      <c r="W9" s="162">
        <v>1.5537046794710718E-2</v>
      </c>
      <c r="X9" s="162">
        <v>1.4813432048842595E-2</v>
      </c>
    </row>
    <row r="10" spans="1:24" thickBot="1">
      <c r="A10" s="159">
        <v>11925</v>
      </c>
      <c r="B10" s="159">
        <v>11931</v>
      </c>
      <c r="C10" s="160" t="s">
        <v>1238</v>
      </c>
      <c r="D10" s="160" t="s">
        <v>1239</v>
      </c>
      <c r="E10" s="160" t="s">
        <v>2</v>
      </c>
      <c r="F10" s="160" t="s">
        <v>1240</v>
      </c>
      <c r="G10" s="166">
        <v>566018</v>
      </c>
      <c r="H10" s="160" t="s">
        <v>102</v>
      </c>
      <c r="I10" s="160" t="s">
        <v>73</v>
      </c>
      <c r="J10" s="160" t="s">
        <v>53</v>
      </c>
      <c r="K10" s="160" t="s">
        <v>53</v>
      </c>
      <c r="L10" s="160" t="s">
        <v>821</v>
      </c>
      <c r="M10" s="160" t="s">
        <v>311</v>
      </c>
      <c r="N10" s="160" t="s">
        <v>269</v>
      </c>
      <c r="O10" s="160" t="s">
        <v>62</v>
      </c>
      <c r="P10" s="160" t="s">
        <v>1208</v>
      </c>
      <c r="Q10" s="161">
        <v>4741</v>
      </c>
      <c r="R10" s="161">
        <v>1</v>
      </c>
      <c r="S10" s="161">
        <v>9800</v>
      </c>
      <c r="T10" s="161">
        <v>0</v>
      </c>
      <c r="U10" s="161">
        <v>464.61799999999999</v>
      </c>
      <c r="V10" s="162">
        <v>7.6530283223549798E-5</v>
      </c>
      <c r="W10" s="162">
        <v>1.8751955504771951E-2</v>
      </c>
      <c r="X10" s="162">
        <v>1.78786111880299E-2</v>
      </c>
    </row>
    <row r="11" spans="1:24" thickBot="1">
      <c r="A11" s="159">
        <v>11925</v>
      </c>
      <c r="B11" s="159">
        <v>11931</v>
      </c>
      <c r="C11" s="160" t="s">
        <v>1241</v>
      </c>
      <c r="D11" s="160" t="s">
        <v>1242</v>
      </c>
      <c r="E11" s="160" t="s">
        <v>2</v>
      </c>
      <c r="F11" s="160" t="s">
        <v>1243</v>
      </c>
      <c r="G11" s="166">
        <v>593038</v>
      </c>
      <c r="H11" s="160" t="s">
        <v>102</v>
      </c>
      <c r="I11" s="160" t="s">
        <v>73</v>
      </c>
      <c r="J11" s="160" t="s">
        <v>53</v>
      </c>
      <c r="K11" s="160" t="s">
        <v>53</v>
      </c>
      <c r="L11" s="160" t="s">
        <v>821</v>
      </c>
      <c r="M11" s="160" t="s">
        <v>311</v>
      </c>
      <c r="N11" s="160" t="s">
        <v>256</v>
      </c>
      <c r="O11" s="160" t="s">
        <v>62</v>
      </c>
      <c r="P11" s="160" t="s">
        <v>1208</v>
      </c>
      <c r="Q11" s="161">
        <v>3405</v>
      </c>
      <c r="R11" s="161">
        <v>1</v>
      </c>
      <c r="S11" s="161">
        <v>15440</v>
      </c>
      <c r="T11" s="161">
        <v>0</v>
      </c>
      <c r="U11" s="161">
        <v>525.73199999999997</v>
      </c>
      <c r="V11" s="162">
        <v>3.3937991054324297E-5</v>
      </c>
      <c r="W11" s="162">
        <v>2.121851299655796E-2</v>
      </c>
      <c r="X11" s="162">
        <v>2.0230292449077165E-2</v>
      </c>
    </row>
    <row r="12" spans="1:24" thickBot="1">
      <c r="A12" s="159">
        <v>11925</v>
      </c>
      <c r="B12" s="159">
        <v>11931</v>
      </c>
      <c r="C12" s="160" t="s">
        <v>1206</v>
      </c>
      <c r="D12" s="160" t="s">
        <v>1244</v>
      </c>
      <c r="E12" s="160" t="s">
        <v>2</v>
      </c>
      <c r="F12" s="160" t="s">
        <v>1245</v>
      </c>
      <c r="G12" s="166">
        <v>604611</v>
      </c>
      <c r="H12" s="160" t="s">
        <v>102</v>
      </c>
      <c r="I12" s="160" t="s">
        <v>73</v>
      </c>
      <c r="J12" s="160" t="s">
        <v>53</v>
      </c>
      <c r="K12" s="160" t="s">
        <v>53</v>
      </c>
      <c r="L12" s="160" t="s">
        <v>821</v>
      </c>
      <c r="M12" s="160" t="s">
        <v>311</v>
      </c>
      <c r="N12" s="160" t="s">
        <v>256</v>
      </c>
      <c r="O12" s="160" t="s">
        <v>62</v>
      </c>
      <c r="P12" s="160" t="s">
        <v>1208</v>
      </c>
      <c r="Q12" s="161">
        <v>18924</v>
      </c>
      <c r="R12" s="161">
        <v>1</v>
      </c>
      <c r="S12" s="161">
        <v>3100</v>
      </c>
      <c r="T12" s="161">
        <v>4.5362299999999998</v>
      </c>
      <c r="U12" s="161">
        <v>591.18023000000005</v>
      </c>
      <c r="V12" s="162">
        <v>1.2426650258760401E-5</v>
      </c>
      <c r="W12" s="162">
        <v>2.3859999759503179E-2</v>
      </c>
      <c r="X12" s="162">
        <v>2.2748755911781486E-2</v>
      </c>
    </row>
    <row r="13" spans="1:24" thickBot="1">
      <c r="A13" s="159">
        <v>11925</v>
      </c>
      <c r="B13" s="159">
        <v>11931</v>
      </c>
      <c r="C13" s="160" t="s">
        <v>1246</v>
      </c>
      <c r="D13" s="160" t="s">
        <v>1247</v>
      </c>
      <c r="E13" s="160" t="s">
        <v>2</v>
      </c>
      <c r="F13" s="160" t="s">
        <v>1248</v>
      </c>
      <c r="G13" s="166">
        <v>613034</v>
      </c>
      <c r="H13" s="160" t="s">
        <v>102</v>
      </c>
      <c r="I13" s="160" t="s">
        <v>73</v>
      </c>
      <c r="J13" s="160" t="s">
        <v>53</v>
      </c>
      <c r="K13" s="160" t="s">
        <v>53</v>
      </c>
      <c r="L13" s="160" t="s">
        <v>821</v>
      </c>
      <c r="M13" s="160" t="s">
        <v>311</v>
      </c>
      <c r="N13" s="160" t="s">
        <v>651</v>
      </c>
      <c r="O13" s="160" t="s">
        <v>62</v>
      </c>
      <c r="P13" s="160" t="s">
        <v>1208</v>
      </c>
      <c r="Q13" s="161">
        <v>908</v>
      </c>
      <c r="R13" s="161">
        <v>1</v>
      </c>
      <c r="S13" s="161">
        <v>75000</v>
      </c>
      <c r="T13" s="161">
        <v>0</v>
      </c>
      <c r="U13" s="161">
        <v>681</v>
      </c>
      <c r="V13" s="162">
        <v>1.7354915799999999E-4</v>
      </c>
      <c r="W13" s="162">
        <v>2.7485120461862644E-2</v>
      </c>
      <c r="X13" s="162">
        <v>2.6205042032483375E-2</v>
      </c>
    </row>
    <row r="14" spans="1:24" thickBot="1">
      <c r="A14" s="159">
        <v>11925</v>
      </c>
      <c r="B14" s="159">
        <v>11931</v>
      </c>
      <c r="C14" s="160" t="s">
        <v>1249</v>
      </c>
      <c r="D14" s="160" t="s">
        <v>1250</v>
      </c>
      <c r="E14" s="160" t="s">
        <v>2</v>
      </c>
      <c r="F14" s="160" t="s">
        <v>1251</v>
      </c>
      <c r="G14" s="166">
        <v>642017</v>
      </c>
      <c r="H14" s="160" t="s">
        <v>102</v>
      </c>
      <c r="I14" s="160" t="s">
        <v>73</v>
      </c>
      <c r="J14" s="160" t="s">
        <v>53</v>
      </c>
      <c r="K14" s="160" t="s">
        <v>53</v>
      </c>
      <c r="L14" s="160" t="s">
        <v>821</v>
      </c>
      <c r="M14" s="160" t="s">
        <v>311</v>
      </c>
      <c r="N14" s="160" t="s">
        <v>708</v>
      </c>
      <c r="O14" s="160" t="s">
        <v>62</v>
      </c>
      <c r="P14" s="160" t="s">
        <v>1208</v>
      </c>
      <c r="Q14" s="161">
        <v>7731</v>
      </c>
      <c r="R14" s="161">
        <v>1</v>
      </c>
      <c r="S14" s="161">
        <v>6252</v>
      </c>
      <c r="T14" s="161">
        <v>0</v>
      </c>
      <c r="U14" s="161">
        <v>483.34212000000002</v>
      </c>
      <c r="V14" s="162">
        <v>1.2496395200000001E-4</v>
      </c>
      <c r="W14" s="162">
        <v>1.950765990086941E-2</v>
      </c>
      <c r="X14" s="162">
        <v>1.859911978071898E-2</v>
      </c>
    </row>
    <row r="15" spans="1:24" thickBot="1">
      <c r="A15" s="159">
        <v>11925</v>
      </c>
      <c r="B15" s="159">
        <v>11931</v>
      </c>
      <c r="C15" s="160" t="s">
        <v>1252</v>
      </c>
      <c r="D15" s="160" t="s">
        <v>1253</v>
      </c>
      <c r="E15" s="160" t="s">
        <v>2</v>
      </c>
      <c r="F15" s="160" t="s">
        <v>1254</v>
      </c>
      <c r="G15" s="166">
        <v>643015</v>
      </c>
      <c r="H15" s="160" t="s">
        <v>102</v>
      </c>
      <c r="I15" s="160" t="s">
        <v>73</v>
      </c>
      <c r="J15" s="160" t="s">
        <v>53</v>
      </c>
      <c r="K15" s="160" t="s">
        <v>53</v>
      </c>
      <c r="L15" s="160" t="s">
        <v>821</v>
      </c>
      <c r="M15" s="160" t="s">
        <v>311</v>
      </c>
      <c r="N15" s="160" t="s">
        <v>267</v>
      </c>
      <c r="O15" s="160" t="s">
        <v>62</v>
      </c>
      <c r="P15" s="160" t="s">
        <v>1208</v>
      </c>
      <c r="Q15" s="161">
        <v>16623</v>
      </c>
      <c r="R15" s="161">
        <v>1</v>
      </c>
      <c r="S15" s="161">
        <v>2099</v>
      </c>
      <c r="T15" s="161">
        <v>0</v>
      </c>
      <c r="U15" s="161">
        <v>348.91676999999999</v>
      </c>
      <c r="V15" s="162">
        <v>1.7652691299999999E-4</v>
      </c>
      <c r="W15" s="162">
        <v>1.4082260579462587E-2</v>
      </c>
      <c r="X15" s="162">
        <v>1.3426400328470388E-2</v>
      </c>
    </row>
    <row r="16" spans="1:24" thickBot="1">
      <c r="A16" s="159">
        <v>11925</v>
      </c>
      <c r="B16" s="159">
        <v>11931</v>
      </c>
      <c r="C16" s="160" t="s">
        <v>1209</v>
      </c>
      <c r="D16" s="160" t="s">
        <v>1255</v>
      </c>
      <c r="E16" s="160" t="s">
        <v>2</v>
      </c>
      <c r="F16" s="160" t="s">
        <v>1256</v>
      </c>
      <c r="G16" s="166">
        <v>662577</v>
      </c>
      <c r="H16" s="160" t="s">
        <v>102</v>
      </c>
      <c r="I16" s="160" t="s">
        <v>73</v>
      </c>
      <c r="J16" s="160" t="s">
        <v>53</v>
      </c>
      <c r="K16" s="160" t="s">
        <v>53</v>
      </c>
      <c r="L16" s="160" t="s">
        <v>821</v>
      </c>
      <c r="M16" s="160" t="s">
        <v>311</v>
      </c>
      <c r="N16" s="160" t="s">
        <v>256</v>
      </c>
      <c r="O16" s="160" t="s">
        <v>62</v>
      </c>
      <c r="P16" s="160" t="s">
        <v>1208</v>
      </c>
      <c r="Q16" s="161">
        <v>17334</v>
      </c>
      <c r="R16" s="161">
        <v>1</v>
      </c>
      <c r="S16" s="161">
        <v>3500</v>
      </c>
      <c r="T16" s="161">
        <v>4.5626600000000002</v>
      </c>
      <c r="U16" s="161">
        <v>611.25265999999999</v>
      </c>
      <c r="V16" s="162">
        <v>1.29621130037086E-5</v>
      </c>
      <c r="W16" s="162">
        <v>2.467012186891919E-2</v>
      </c>
      <c r="X16" s="162">
        <v>2.3521147794078223E-2</v>
      </c>
    </row>
    <row r="17" spans="1:24" thickBot="1">
      <c r="A17" s="159">
        <v>11925</v>
      </c>
      <c r="B17" s="159">
        <v>11931</v>
      </c>
      <c r="C17" s="160" t="s">
        <v>1257</v>
      </c>
      <c r="D17" s="160" t="s">
        <v>1258</v>
      </c>
      <c r="E17" s="160" t="s">
        <v>2</v>
      </c>
      <c r="F17" s="160" t="s">
        <v>1259</v>
      </c>
      <c r="G17" s="166">
        <v>691212</v>
      </c>
      <c r="H17" s="160" t="s">
        <v>102</v>
      </c>
      <c r="I17" s="160" t="s">
        <v>73</v>
      </c>
      <c r="J17" s="160" t="s">
        <v>53</v>
      </c>
      <c r="K17" s="160" t="s">
        <v>53</v>
      </c>
      <c r="L17" s="160" t="s">
        <v>821</v>
      </c>
      <c r="M17" s="160" t="s">
        <v>311</v>
      </c>
      <c r="N17" s="160" t="s">
        <v>256</v>
      </c>
      <c r="O17" s="160" t="s">
        <v>62</v>
      </c>
      <c r="P17" s="160" t="s">
        <v>1208</v>
      </c>
      <c r="Q17" s="161">
        <v>28670</v>
      </c>
      <c r="R17" s="161">
        <v>1</v>
      </c>
      <c r="S17" s="161">
        <v>1946</v>
      </c>
      <c r="T17" s="161">
        <v>4.2599</v>
      </c>
      <c r="U17" s="161">
        <v>562.17809999999997</v>
      </c>
      <c r="V17" s="162">
        <v>2.3176829639501101E-5</v>
      </c>
      <c r="W17" s="162">
        <v>2.2689475476536068E-2</v>
      </c>
      <c r="X17" s="162">
        <v>2.1632747048812982E-2</v>
      </c>
    </row>
    <row r="18" spans="1:24" thickBot="1">
      <c r="A18" s="159">
        <v>11925</v>
      </c>
      <c r="B18" s="159">
        <v>11931</v>
      </c>
      <c r="C18" s="160" t="s">
        <v>1260</v>
      </c>
      <c r="D18" s="160" t="s">
        <v>1261</v>
      </c>
      <c r="E18" s="160" t="s">
        <v>2</v>
      </c>
      <c r="F18" s="160" t="s">
        <v>1262</v>
      </c>
      <c r="G18" s="166">
        <v>695437</v>
      </c>
      <c r="H18" s="160" t="s">
        <v>102</v>
      </c>
      <c r="I18" s="160" t="s">
        <v>73</v>
      </c>
      <c r="J18" s="160" t="s">
        <v>53</v>
      </c>
      <c r="K18" s="160" t="s">
        <v>53</v>
      </c>
      <c r="L18" s="160" t="s">
        <v>821</v>
      </c>
      <c r="M18" s="160" t="s">
        <v>311</v>
      </c>
      <c r="N18" s="160" t="s">
        <v>256</v>
      </c>
      <c r="O18" s="160" t="s">
        <v>62</v>
      </c>
      <c r="P18" s="160" t="s">
        <v>1208</v>
      </c>
      <c r="Q18" s="161">
        <v>3853</v>
      </c>
      <c r="R18" s="161">
        <v>1</v>
      </c>
      <c r="S18" s="161">
        <v>14000</v>
      </c>
      <c r="T18" s="161">
        <v>0</v>
      </c>
      <c r="U18" s="161">
        <v>539.41999999999996</v>
      </c>
      <c r="V18" s="162">
        <v>1.49238546820772E-5</v>
      </c>
      <c r="W18" s="162">
        <v>2.1770959881847202E-2</v>
      </c>
      <c r="X18" s="162">
        <v>2.0757009945906287E-2</v>
      </c>
    </row>
    <row r="19" spans="1:24" thickBot="1">
      <c r="A19" s="159">
        <v>11925</v>
      </c>
      <c r="B19" s="159">
        <v>11931</v>
      </c>
      <c r="C19" s="160" t="s">
        <v>1263</v>
      </c>
      <c r="D19" s="160" t="s">
        <v>1264</v>
      </c>
      <c r="E19" s="160" t="s">
        <v>2</v>
      </c>
      <c r="F19" s="160" t="s">
        <v>1265</v>
      </c>
      <c r="G19" s="166">
        <v>731018</v>
      </c>
      <c r="H19" s="160" t="s">
        <v>102</v>
      </c>
      <c r="I19" s="160" t="s">
        <v>73</v>
      </c>
      <c r="J19" s="160" t="s">
        <v>53</v>
      </c>
      <c r="K19" s="160" t="s">
        <v>53</v>
      </c>
      <c r="L19" s="160" t="s">
        <v>821</v>
      </c>
      <c r="M19" s="160" t="s">
        <v>311</v>
      </c>
      <c r="N19" s="160" t="s">
        <v>252</v>
      </c>
      <c r="O19" s="160" t="s">
        <v>62</v>
      </c>
      <c r="P19" s="160" t="s">
        <v>1208</v>
      </c>
      <c r="Q19" s="161">
        <v>1236</v>
      </c>
      <c r="R19" s="161">
        <v>1</v>
      </c>
      <c r="S19" s="161">
        <v>9743</v>
      </c>
      <c r="T19" s="161">
        <v>0</v>
      </c>
      <c r="U19" s="161">
        <v>120.42348</v>
      </c>
      <c r="V19" s="162">
        <v>1.9308390900000001E-4</v>
      </c>
      <c r="W19" s="162">
        <v>4.8602846611405385E-3</v>
      </c>
      <c r="X19" s="162">
        <v>4.633924163139385E-3</v>
      </c>
    </row>
    <row r="20" spans="1:24" thickBot="1">
      <c r="A20" s="159">
        <v>11925</v>
      </c>
      <c r="B20" s="159">
        <v>11931</v>
      </c>
      <c r="C20" s="160" t="s">
        <v>1266</v>
      </c>
      <c r="D20" s="160" t="s">
        <v>1267</v>
      </c>
      <c r="E20" s="160" t="s">
        <v>2</v>
      </c>
      <c r="F20" s="160" t="s">
        <v>1268</v>
      </c>
      <c r="G20" s="166">
        <v>746016</v>
      </c>
      <c r="H20" s="160" t="s">
        <v>102</v>
      </c>
      <c r="I20" s="160" t="s">
        <v>73</v>
      </c>
      <c r="J20" s="160" t="s">
        <v>53</v>
      </c>
      <c r="K20" s="160" t="s">
        <v>53</v>
      </c>
      <c r="L20" s="160" t="s">
        <v>821</v>
      </c>
      <c r="M20" s="160" t="s">
        <v>311</v>
      </c>
      <c r="N20" s="160" t="s">
        <v>261</v>
      </c>
      <c r="O20" s="160" t="s">
        <v>62</v>
      </c>
      <c r="P20" s="160" t="s">
        <v>1208</v>
      </c>
      <c r="Q20" s="161">
        <v>6472</v>
      </c>
      <c r="R20" s="161">
        <v>1</v>
      </c>
      <c r="S20" s="161">
        <v>6910</v>
      </c>
      <c r="T20" s="161">
        <v>0</v>
      </c>
      <c r="U20" s="161">
        <v>447.21519999999998</v>
      </c>
      <c r="V20" s="162">
        <v>5.5523346142937599E-5</v>
      </c>
      <c r="W20" s="162">
        <v>1.804957950716005E-2</v>
      </c>
      <c r="X20" s="162">
        <v>1.7208947303326665E-2</v>
      </c>
    </row>
    <row r="21" spans="1:24" s="46" customFormat="1" thickBot="1">
      <c r="A21" s="159">
        <v>11925</v>
      </c>
      <c r="B21" s="159">
        <v>11931</v>
      </c>
      <c r="C21" s="160" t="s">
        <v>1269</v>
      </c>
      <c r="D21" s="160" t="s">
        <v>1270</v>
      </c>
      <c r="E21" s="160" t="s">
        <v>2</v>
      </c>
      <c r="F21" s="160" t="s">
        <v>1271</v>
      </c>
      <c r="G21" s="166">
        <v>763011</v>
      </c>
      <c r="H21" s="160" t="s">
        <v>102</v>
      </c>
      <c r="I21" s="160" t="s">
        <v>73</v>
      </c>
      <c r="J21" s="160" t="s">
        <v>53</v>
      </c>
      <c r="K21" s="160" t="s">
        <v>53</v>
      </c>
      <c r="L21" s="160" t="s">
        <v>821</v>
      </c>
      <c r="M21" s="160" t="s">
        <v>311</v>
      </c>
      <c r="N21" s="160" t="s">
        <v>256</v>
      </c>
      <c r="O21" s="160" t="s">
        <v>62</v>
      </c>
      <c r="P21" s="160" t="s">
        <v>1208</v>
      </c>
      <c r="Q21" s="161">
        <v>3380</v>
      </c>
      <c r="R21" s="161">
        <v>1</v>
      </c>
      <c r="S21" s="161">
        <v>16750</v>
      </c>
      <c r="T21" s="161">
        <v>0</v>
      </c>
      <c r="U21" s="161">
        <v>566.15</v>
      </c>
      <c r="V21" s="162">
        <v>9.5338457164262E-5</v>
      </c>
      <c r="W21" s="162">
        <v>2.284978112993177E-2</v>
      </c>
      <c r="X21" s="162">
        <v>2.178558670585971E-2</v>
      </c>
    </row>
    <row r="22" spans="1:24" thickBot="1">
      <c r="A22" s="159">
        <v>11925</v>
      </c>
      <c r="B22" s="159">
        <v>11931</v>
      </c>
      <c r="C22" s="160" t="s">
        <v>1272</v>
      </c>
      <c r="D22" s="160" t="s">
        <v>1273</v>
      </c>
      <c r="E22" s="160" t="s">
        <v>2</v>
      </c>
      <c r="F22" s="160" t="s">
        <v>1274</v>
      </c>
      <c r="G22" s="166">
        <v>767012</v>
      </c>
      <c r="H22" s="160" t="s">
        <v>102</v>
      </c>
      <c r="I22" s="160" t="s">
        <v>73</v>
      </c>
      <c r="J22" s="160" t="s">
        <v>53</v>
      </c>
      <c r="K22" s="160" t="s">
        <v>53</v>
      </c>
      <c r="L22" s="160" t="s">
        <v>821</v>
      </c>
      <c r="M22" s="160" t="s">
        <v>311</v>
      </c>
      <c r="N22" s="160" t="s">
        <v>269</v>
      </c>
      <c r="O22" s="160" t="s">
        <v>62</v>
      </c>
      <c r="P22" s="160" t="s">
        <v>1208</v>
      </c>
      <c r="Q22" s="161">
        <v>22762</v>
      </c>
      <c r="R22" s="161">
        <v>1</v>
      </c>
      <c r="S22" s="161">
        <v>3810</v>
      </c>
      <c r="T22" s="161">
        <v>0</v>
      </c>
      <c r="U22" s="161">
        <v>867.23220000000003</v>
      </c>
      <c r="V22" s="162">
        <v>8.98241850019893E-5</v>
      </c>
      <c r="W22" s="162">
        <v>3.5001441241418733E-2</v>
      </c>
      <c r="X22" s="162">
        <v>3.3371301399299606E-2</v>
      </c>
    </row>
    <row r="23" spans="1:24" thickBot="1">
      <c r="A23" s="159">
        <v>11925</v>
      </c>
      <c r="B23" s="159">
        <v>11931</v>
      </c>
      <c r="C23" s="160" t="s">
        <v>1275</v>
      </c>
      <c r="D23" s="160" t="s">
        <v>1276</v>
      </c>
      <c r="E23" s="160" t="s">
        <v>2</v>
      </c>
      <c r="F23" s="160" t="s">
        <v>1277</v>
      </c>
      <c r="G23" s="166">
        <v>1081124</v>
      </c>
      <c r="H23" s="160" t="s">
        <v>102</v>
      </c>
      <c r="I23" s="160" t="s">
        <v>73</v>
      </c>
      <c r="J23" s="160" t="s">
        <v>53</v>
      </c>
      <c r="K23" s="160" t="s">
        <v>53</v>
      </c>
      <c r="L23" s="160" t="s">
        <v>821</v>
      </c>
      <c r="M23" s="160" t="s">
        <v>311</v>
      </c>
      <c r="N23" s="160" t="s">
        <v>654</v>
      </c>
      <c r="O23" s="160" t="s">
        <v>62</v>
      </c>
      <c r="P23" s="160" t="s">
        <v>1208</v>
      </c>
      <c r="Q23" s="161">
        <v>667</v>
      </c>
      <c r="R23" s="161">
        <v>1</v>
      </c>
      <c r="S23" s="161">
        <v>77500</v>
      </c>
      <c r="T23" s="161">
        <v>0</v>
      </c>
      <c r="U23" s="161">
        <v>516.92499999999995</v>
      </c>
      <c r="V23" s="162">
        <v>1.49975789140786E-5</v>
      </c>
      <c r="W23" s="162">
        <v>2.0863062987883034E-2</v>
      </c>
      <c r="X23" s="162">
        <v>1.9891396993599805E-2</v>
      </c>
    </row>
    <row r="24" spans="1:24" thickBot="1">
      <c r="A24" s="159">
        <v>11925</v>
      </c>
      <c r="B24" s="159">
        <v>11931</v>
      </c>
      <c r="C24" s="160" t="s">
        <v>1278</v>
      </c>
      <c r="D24" s="160" t="s">
        <v>1279</v>
      </c>
      <c r="E24" s="160" t="s">
        <v>2</v>
      </c>
      <c r="F24" s="160" t="s">
        <v>1280</v>
      </c>
      <c r="G24" s="166">
        <v>1081165</v>
      </c>
      <c r="H24" s="160" t="s">
        <v>102</v>
      </c>
      <c r="I24" s="160" t="s">
        <v>73</v>
      </c>
      <c r="J24" s="160" t="s">
        <v>53</v>
      </c>
      <c r="K24" s="160" t="s">
        <v>53</v>
      </c>
      <c r="L24" s="160" t="s">
        <v>821</v>
      </c>
      <c r="M24" s="160" t="s">
        <v>311</v>
      </c>
      <c r="N24" s="160" t="s">
        <v>269</v>
      </c>
      <c r="O24" s="160" t="s">
        <v>62</v>
      </c>
      <c r="P24" s="160" t="s">
        <v>1208</v>
      </c>
      <c r="Q24" s="161">
        <v>116810</v>
      </c>
      <c r="R24" s="161">
        <v>1</v>
      </c>
      <c r="S24" s="161">
        <v>508.1</v>
      </c>
      <c r="T24" s="161">
        <v>0</v>
      </c>
      <c r="U24" s="161">
        <v>593.51161000000002</v>
      </c>
      <c r="V24" s="162">
        <v>1.10835076E-4</v>
      </c>
      <c r="W24" s="162">
        <v>2.3954094120945728E-2</v>
      </c>
      <c r="X24" s="162">
        <v>2.2838467968894098E-2</v>
      </c>
    </row>
    <row r="25" spans="1:24" thickBot="1">
      <c r="A25" s="159">
        <v>11925</v>
      </c>
      <c r="B25" s="159">
        <v>11931</v>
      </c>
      <c r="C25" s="160" t="s">
        <v>1281</v>
      </c>
      <c r="D25" s="160" t="s">
        <v>1282</v>
      </c>
      <c r="E25" s="160" t="s">
        <v>2</v>
      </c>
      <c r="F25" s="160" t="s">
        <v>1283</v>
      </c>
      <c r="G25" s="166">
        <v>1082379</v>
      </c>
      <c r="H25" s="160" t="s">
        <v>102</v>
      </c>
      <c r="I25" s="160" t="s">
        <v>73</v>
      </c>
      <c r="J25" s="160" t="s">
        <v>53</v>
      </c>
      <c r="K25" s="160" t="s">
        <v>53</v>
      </c>
      <c r="L25" s="160" t="s">
        <v>821</v>
      </c>
      <c r="M25" s="160" t="s">
        <v>311</v>
      </c>
      <c r="N25" s="160" t="s">
        <v>254</v>
      </c>
      <c r="O25" s="160" t="s">
        <v>62</v>
      </c>
      <c r="P25" s="160" t="s">
        <v>1208</v>
      </c>
      <c r="Q25" s="161">
        <v>3691</v>
      </c>
      <c r="R25" s="161">
        <v>1</v>
      </c>
      <c r="S25" s="161">
        <v>12310</v>
      </c>
      <c r="T25" s="161">
        <v>0</v>
      </c>
      <c r="U25" s="161">
        <v>454.3621</v>
      </c>
      <c r="V25" s="162">
        <v>3.3304833683637097E-5</v>
      </c>
      <c r="W25" s="162">
        <v>1.833802797621862E-2</v>
      </c>
      <c r="X25" s="162">
        <v>1.748396171581118E-2</v>
      </c>
    </row>
    <row r="26" spans="1:24" thickBot="1">
      <c r="A26" s="159">
        <v>11925</v>
      </c>
      <c r="B26" s="159">
        <v>11931</v>
      </c>
      <c r="C26" s="160" t="s">
        <v>1284</v>
      </c>
      <c r="D26" s="160" t="s">
        <v>1285</v>
      </c>
      <c r="E26" s="160" t="s">
        <v>2</v>
      </c>
      <c r="F26" s="160" t="s">
        <v>1286</v>
      </c>
      <c r="G26" s="166">
        <v>1082510</v>
      </c>
      <c r="H26" s="160" t="s">
        <v>102</v>
      </c>
      <c r="I26" s="160" t="s">
        <v>73</v>
      </c>
      <c r="J26" s="160" t="s">
        <v>53</v>
      </c>
      <c r="K26" s="160" t="s">
        <v>53</v>
      </c>
      <c r="L26" s="160" t="s">
        <v>821</v>
      </c>
      <c r="M26" s="160" t="s">
        <v>311</v>
      </c>
      <c r="N26" s="160" t="s">
        <v>646</v>
      </c>
      <c r="O26" s="160" t="s">
        <v>62</v>
      </c>
      <c r="P26" s="160" t="s">
        <v>1208</v>
      </c>
      <c r="Q26" s="161">
        <v>14357</v>
      </c>
      <c r="R26" s="161">
        <v>1</v>
      </c>
      <c r="S26" s="161">
        <v>2022</v>
      </c>
      <c r="T26" s="161">
        <v>0</v>
      </c>
      <c r="U26" s="161">
        <v>290.29854</v>
      </c>
      <c r="V26" s="162">
        <v>2.5180613E-4</v>
      </c>
      <c r="W26" s="162">
        <v>1.1716432219974818E-2</v>
      </c>
      <c r="X26" s="162">
        <v>1.117075689084957E-2</v>
      </c>
    </row>
    <row r="27" spans="1:24" thickBot="1">
      <c r="A27" s="159">
        <v>11925</v>
      </c>
      <c r="B27" s="159">
        <v>11931</v>
      </c>
      <c r="C27" s="160" t="s">
        <v>1287</v>
      </c>
      <c r="D27" s="160" t="s">
        <v>1288</v>
      </c>
      <c r="E27" s="160" t="s">
        <v>2</v>
      </c>
      <c r="F27" s="160" t="s">
        <v>1289</v>
      </c>
      <c r="G27" s="166">
        <v>1084557</v>
      </c>
      <c r="H27" s="160" t="s">
        <v>102</v>
      </c>
      <c r="I27" s="160" t="s">
        <v>73</v>
      </c>
      <c r="J27" s="160" t="s">
        <v>53</v>
      </c>
      <c r="K27" s="160" t="s">
        <v>53</v>
      </c>
      <c r="L27" s="160" t="s">
        <v>821</v>
      </c>
      <c r="M27" s="160" t="s">
        <v>311</v>
      </c>
      <c r="N27" s="160" t="s">
        <v>254</v>
      </c>
      <c r="O27" s="160" t="s">
        <v>62</v>
      </c>
      <c r="P27" s="160" t="s">
        <v>1208</v>
      </c>
      <c r="Q27" s="161">
        <v>1045</v>
      </c>
      <c r="R27" s="161">
        <v>1</v>
      </c>
      <c r="S27" s="161">
        <v>64720</v>
      </c>
      <c r="T27" s="161">
        <v>0</v>
      </c>
      <c r="U27" s="161">
        <v>676.32399999999996</v>
      </c>
      <c r="V27" s="162">
        <v>3.6017301263941898E-5</v>
      </c>
      <c r="W27" s="162">
        <v>2.7296397373346239E-2</v>
      </c>
      <c r="X27" s="162">
        <v>2.602510843990791E-2</v>
      </c>
    </row>
    <row r="28" spans="1:24" thickBot="1">
      <c r="A28" s="159">
        <v>11925</v>
      </c>
      <c r="B28" s="159">
        <v>11931</v>
      </c>
      <c r="C28" s="160" t="s">
        <v>1290</v>
      </c>
      <c r="D28" s="160" t="s">
        <v>1291</v>
      </c>
      <c r="E28" s="160" t="s">
        <v>2</v>
      </c>
      <c r="F28" s="160" t="s">
        <v>1292</v>
      </c>
      <c r="G28" s="166">
        <v>1084698</v>
      </c>
      <c r="H28" s="160" t="s">
        <v>102</v>
      </c>
      <c r="I28" s="160" t="s">
        <v>73</v>
      </c>
      <c r="J28" s="160" t="s">
        <v>53</v>
      </c>
      <c r="K28" s="160" t="s">
        <v>53</v>
      </c>
      <c r="L28" s="160" t="s">
        <v>821</v>
      </c>
      <c r="M28" s="160" t="s">
        <v>311</v>
      </c>
      <c r="N28" s="160" t="s">
        <v>252</v>
      </c>
      <c r="O28" s="160" t="s">
        <v>62</v>
      </c>
      <c r="P28" s="160" t="s">
        <v>1208</v>
      </c>
      <c r="Q28" s="161">
        <v>2791</v>
      </c>
      <c r="R28" s="161">
        <v>1</v>
      </c>
      <c r="S28" s="161">
        <v>23460</v>
      </c>
      <c r="T28" s="161">
        <v>0</v>
      </c>
      <c r="U28" s="161">
        <v>654.76859999999999</v>
      </c>
      <c r="V28" s="162">
        <v>1.21704064E-4</v>
      </c>
      <c r="W28" s="162">
        <v>2.642642268082989E-2</v>
      </c>
      <c r="X28" s="162">
        <v>2.5195651519163427E-2</v>
      </c>
    </row>
    <row r="29" spans="1:24" thickBot="1">
      <c r="A29" s="159">
        <v>11925</v>
      </c>
      <c r="B29" s="159">
        <v>11931</v>
      </c>
      <c r="C29" s="160" t="s">
        <v>1293</v>
      </c>
      <c r="D29" s="160" t="s">
        <v>1294</v>
      </c>
      <c r="E29" s="160" t="s">
        <v>2</v>
      </c>
      <c r="F29" s="160" t="s">
        <v>1295</v>
      </c>
      <c r="G29" s="166">
        <v>1087659</v>
      </c>
      <c r="H29" s="160" t="s">
        <v>102</v>
      </c>
      <c r="I29" s="160" t="s">
        <v>73</v>
      </c>
      <c r="J29" s="160" t="s">
        <v>53</v>
      </c>
      <c r="K29" s="160" t="s">
        <v>53</v>
      </c>
      <c r="L29" s="160" t="s">
        <v>821</v>
      </c>
      <c r="M29" s="160" t="s">
        <v>311</v>
      </c>
      <c r="N29" s="160" t="s">
        <v>253</v>
      </c>
      <c r="O29" s="160" t="s">
        <v>62</v>
      </c>
      <c r="P29" s="160" t="s">
        <v>1208</v>
      </c>
      <c r="Q29" s="161">
        <v>4611</v>
      </c>
      <c r="R29" s="161">
        <v>1</v>
      </c>
      <c r="S29" s="161">
        <v>11860</v>
      </c>
      <c r="T29" s="161">
        <v>0</v>
      </c>
      <c r="U29" s="161">
        <v>546.8646</v>
      </c>
      <c r="V29" s="162">
        <v>8.2733401043980301E-5</v>
      </c>
      <c r="W29" s="162">
        <v>2.2071423505621628E-2</v>
      </c>
      <c r="X29" s="162">
        <v>2.1043479925223506E-2</v>
      </c>
    </row>
    <row r="30" spans="1:24" thickBot="1">
      <c r="A30" s="159">
        <v>11925</v>
      </c>
      <c r="B30" s="159">
        <v>11931</v>
      </c>
      <c r="C30" s="160" t="s">
        <v>1296</v>
      </c>
      <c r="D30" s="160" t="s">
        <v>1297</v>
      </c>
      <c r="E30" s="160" t="s">
        <v>2</v>
      </c>
      <c r="F30" s="160" t="s">
        <v>1298</v>
      </c>
      <c r="G30" s="166">
        <v>1091065</v>
      </c>
      <c r="H30" s="160" t="s">
        <v>102</v>
      </c>
      <c r="I30" s="160" t="s">
        <v>73</v>
      </c>
      <c r="J30" s="160" t="s">
        <v>53</v>
      </c>
      <c r="K30" s="160" t="s">
        <v>53</v>
      </c>
      <c r="L30" s="160" t="s">
        <v>821</v>
      </c>
      <c r="M30" s="160" t="s">
        <v>311</v>
      </c>
      <c r="N30" s="160" t="s">
        <v>645</v>
      </c>
      <c r="O30" s="160" t="s">
        <v>62</v>
      </c>
      <c r="P30" s="160" t="s">
        <v>1208</v>
      </c>
      <c r="Q30" s="161">
        <v>7348</v>
      </c>
      <c r="R30" s="161">
        <v>1</v>
      </c>
      <c r="S30" s="161">
        <v>3622</v>
      </c>
      <c r="T30" s="161">
        <v>0</v>
      </c>
      <c r="U30" s="161">
        <v>266.14456000000001</v>
      </c>
      <c r="V30" s="162">
        <v>6.6957189916451302E-5</v>
      </c>
      <c r="W30" s="162">
        <v>1.0741578989529266E-2</v>
      </c>
      <c r="X30" s="162">
        <v>1.0241305993416732E-2</v>
      </c>
    </row>
    <row r="31" spans="1:24" thickBot="1">
      <c r="A31" s="159">
        <v>11925</v>
      </c>
      <c r="B31" s="159">
        <v>11931</v>
      </c>
      <c r="C31" s="160" t="s">
        <v>1299</v>
      </c>
      <c r="D31" s="160" t="s">
        <v>1300</v>
      </c>
      <c r="E31" s="160" t="s">
        <v>2</v>
      </c>
      <c r="F31" s="160" t="s">
        <v>1301</v>
      </c>
      <c r="G31" s="166">
        <v>1095264</v>
      </c>
      <c r="H31" s="160" t="s">
        <v>102</v>
      </c>
      <c r="I31" s="160" t="s">
        <v>73</v>
      </c>
      <c r="J31" s="160" t="s">
        <v>53</v>
      </c>
      <c r="K31" s="160" t="s">
        <v>53</v>
      </c>
      <c r="L31" s="160" t="s">
        <v>821</v>
      </c>
      <c r="M31" s="160" t="s">
        <v>311</v>
      </c>
      <c r="N31" s="160" t="s">
        <v>254</v>
      </c>
      <c r="O31" s="160" t="s">
        <v>62</v>
      </c>
      <c r="P31" s="160" t="s">
        <v>1208</v>
      </c>
      <c r="Q31" s="161">
        <v>3735</v>
      </c>
      <c r="R31" s="161">
        <v>1</v>
      </c>
      <c r="S31" s="161">
        <v>30800</v>
      </c>
      <c r="T31" s="161">
        <v>0</v>
      </c>
      <c r="U31" s="161">
        <v>1150.3800000000001</v>
      </c>
      <c r="V31" s="162">
        <v>8.4381068701710598E-5</v>
      </c>
      <c r="W31" s="162">
        <v>4.6429270010157932E-2</v>
      </c>
      <c r="X31" s="162">
        <v>4.4266896113550995E-2</v>
      </c>
    </row>
    <row r="32" spans="1:24" thickBot="1">
      <c r="A32" s="159">
        <v>11925</v>
      </c>
      <c r="B32" s="159">
        <v>11931</v>
      </c>
      <c r="C32" s="160" t="s">
        <v>1302</v>
      </c>
      <c r="D32" s="160" t="s">
        <v>1303</v>
      </c>
      <c r="E32" s="160" t="s">
        <v>2</v>
      </c>
      <c r="F32" s="160" t="s">
        <v>1304</v>
      </c>
      <c r="G32" s="166">
        <v>1095819</v>
      </c>
      <c r="H32" s="160" t="s">
        <v>102</v>
      </c>
      <c r="I32" s="160" t="s">
        <v>73</v>
      </c>
      <c r="J32" s="160" t="s">
        <v>53</v>
      </c>
      <c r="K32" s="160" t="s">
        <v>53</v>
      </c>
      <c r="L32" s="160" t="s">
        <v>821</v>
      </c>
      <c r="M32" s="160" t="s">
        <v>311</v>
      </c>
      <c r="N32" s="160" t="s">
        <v>253</v>
      </c>
      <c r="O32" s="160" t="s">
        <v>62</v>
      </c>
      <c r="P32" s="160" t="s">
        <v>1208</v>
      </c>
      <c r="Q32" s="161">
        <v>3445</v>
      </c>
      <c r="R32" s="161">
        <v>1</v>
      </c>
      <c r="S32" s="161">
        <v>8289</v>
      </c>
      <c r="T32" s="161">
        <v>0</v>
      </c>
      <c r="U32" s="161">
        <v>285.55605000000003</v>
      </c>
      <c r="V32" s="162">
        <v>7.17837783413609E-5</v>
      </c>
      <c r="W32" s="162">
        <v>1.1525025598918756E-2</v>
      </c>
      <c r="X32" s="162">
        <v>1.0988264747253928E-2</v>
      </c>
    </row>
    <row r="33" spans="1:24" thickBot="1">
      <c r="A33" s="159">
        <v>11925</v>
      </c>
      <c r="B33" s="159">
        <v>11931</v>
      </c>
      <c r="C33" s="160" t="s">
        <v>1305</v>
      </c>
      <c r="D33" s="160" t="s">
        <v>1306</v>
      </c>
      <c r="E33" s="160" t="s">
        <v>2</v>
      </c>
      <c r="F33" s="160" t="s">
        <v>1307</v>
      </c>
      <c r="G33" s="166">
        <v>1097278</v>
      </c>
      <c r="H33" s="160" t="s">
        <v>102</v>
      </c>
      <c r="I33" s="160" t="s">
        <v>73</v>
      </c>
      <c r="J33" s="160" t="s">
        <v>53</v>
      </c>
      <c r="K33" s="160" t="s">
        <v>53</v>
      </c>
      <c r="L33" s="160" t="s">
        <v>821</v>
      </c>
      <c r="M33" s="160" t="s">
        <v>311</v>
      </c>
      <c r="N33" s="160" t="s">
        <v>651</v>
      </c>
      <c r="O33" s="160" t="s">
        <v>62</v>
      </c>
      <c r="P33" s="160" t="s">
        <v>1208</v>
      </c>
      <c r="Q33" s="161">
        <v>27934</v>
      </c>
      <c r="R33" s="161">
        <v>1</v>
      </c>
      <c r="S33" s="161">
        <v>1749</v>
      </c>
      <c r="T33" s="161">
        <v>0</v>
      </c>
      <c r="U33" s="161">
        <v>488.56565999999998</v>
      </c>
      <c r="V33" s="162">
        <v>5.9336535959880198E-5</v>
      </c>
      <c r="W33" s="162">
        <v>1.9718481671996222E-2</v>
      </c>
      <c r="X33" s="162">
        <v>1.8800122842772368E-2</v>
      </c>
    </row>
    <row r="34" spans="1:24" thickBot="1">
      <c r="A34" s="159">
        <v>11925</v>
      </c>
      <c r="B34" s="159">
        <v>11931</v>
      </c>
      <c r="C34" s="160" t="s">
        <v>1308</v>
      </c>
      <c r="D34" s="160" t="s">
        <v>1309</v>
      </c>
      <c r="E34" s="160" t="s">
        <v>2</v>
      </c>
      <c r="F34" s="160" t="s">
        <v>1310</v>
      </c>
      <c r="G34" s="166">
        <v>1097948</v>
      </c>
      <c r="H34" s="160" t="s">
        <v>102</v>
      </c>
      <c r="I34" s="160" t="s">
        <v>73</v>
      </c>
      <c r="J34" s="160" t="s">
        <v>53</v>
      </c>
      <c r="K34" s="160" t="s">
        <v>53</v>
      </c>
      <c r="L34" s="160" t="s">
        <v>821</v>
      </c>
      <c r="M34" s="160" t="s">
        <v>311</v>
      </c>
      <c r="N34" s="160" t="s">
        <v>140</v>
      </c>
      <c r="O34" s="160" t="s">
        <v>62</v>
      </c>
      <c r="P34" s="160" t="s">
        <v>1208</v>
      </c>
      <c r="Q34" s="161">
        <v>1596</v>
      </c>
      <c r="R34" s="161">
        <v>1</v>
      </c>
      <c r="S34" s="161">
        <v>24770</v>
      </c>
      <c r="T34" s="161">
        <v>3.7869199999999998</v>
      </c>
      <c r="U34" s="161">
        <v>399.11612000000002</v>
      </c>
      <c r="V34" s="162">
        <v>1.2623051000000001E-4</v>
      </c>
      <c r="W34" s="162">
        <v>1.6108303430941596E-2</v>
      </c>
      <c r="X34" s="162">
        <v>1.5358083260560469E-2</v>
      </c>
    </row>
    <row r="35" spans="1:24" thickBot="1">
      <c r="A35" s="159">
        <v>11925</v>
      </c>
      <c r="B35" s="159">
        <v>11931</v>
      </c>
      <c r="C35" s="160" t="s">
        <v>1311</v>
      </c>
      <c r="D35" s="160" t="s">
        <v>1312</v>
      </c>
      <c r="E35" s="160" t="s">
        <v>2</v>
      </c>
      <c r="F35" s="160" t="s">
        <v>1313</v>
      </c>
      <c r="G35" s="166">
        <v>1100007</v>
      </c>
      <c r="H35" s="160" t="s">
        <v>102</v>
      </c>
      <c r="I35" s="160" t="s">
        <v>73</v>
      </c>
      <c r="J35" s="160" t="s">
        <v>53</v>
      </c>
      <c r="K35" s="160" t="s">
        <v>53</v>
      </c>
      <c r="L35" s="160" t="s">
        <v>821</v>
      </c>
      <c r="M35" s="160" t="s">
        <v>311</v>
      </c>
      <c r="N35" s="160" t="s">
        <v>156</v>
      </c>
      <c r="O35" s="160" t="s">
        <v>62</v>
      </c>
      <c r="P35" s="160" t="s">
        <v>1208</v>
      </c>
      <c r="Q35" s="161">
        <v>1304</v>
      </c>
      <c r="R35" s="161">
        <v>1</v>
      </c>
      <c r="S35" s="161">
        <v>39240</v>
      </c>
      <c r="T35" s="161">
        <v>0</v>
      </c>
      <c r="U35" s="161">
        <v>511.68959999999998</v>
      </c>
      <c r="V35" s="162">
        <v>1.22235889E-4</v>
      </c>
      <c r="W35" s="162">
        <v>2.0651762547844801E-2</v>
      </c>
      <c r="X35" s="162">
        <v>1.968993755592453E-2</v>
      </c>
    </row>
    <row r="36" spans="1:24" thickBot="1">
      <c r="A36" s="159">
        <v>11925</v>
      </c>
      <c r="B36" s="159">
        <v>11931</v>
      </c>
      <c r="C36" s="160" t="s">
        <v>1314</v>
      </c>
      <c r="D36" s="160" t="s">
        <v>1315</v>
      </c>
      <c r="E36" s="160" t="s">
        <v>2</v>
      </c>
      <c r="F36" s="160" t="s">
        <v>1316</v>
      </c>
      <c r="G36" s="166">
        <v>1104249</v>
      </c>
      <c r="H36" s="160" t="s">
        <v>102</v>
      </c>
      <c r="I36" s="160" t="s">
        <v>73</v>
      </c>
      <c r="J36" s="160" t="s">
        <v>53</v>
      </c>
      <c r="K36" s="160" t="s">
        <v>53</v>
      </c>
      <c r="L36" s="160" t="s">
        <v>821</v>
      </c>
      <c r="M36" s="160" t="s">
        <v>311</v>
      </c>
      <c r="N36" s="160" t="s">
        <v>650</v>
      </c>
      <c r="O36" s="160" t="s">
        <v>62</v>
      </c>
      <c r="P36" s="160" t="s">
        <v>1208</v>
      </c>
      <c r="Q36" s="161">
        <v>2337</v>
      </c>
      <c r="R36" s="161">
        <v>1</v>
      </c>
      <c r="S36" s="161">
        <v>22050</v>
      </c>
      <c r="T36" s="161">
        <v>0</v>
      </c>
      <c r="U36" s="161">
        <v>515.30849999999998</v>
      </c>
      <c r="V36" s="162">
        <v>1.69647992E-4</v>
      </c>
      <c r="W36" s="162">
        <v>2.0797821141735309E-2</v>
      </c>
      <c r="X36" s="162">
        <v>1.982919368898085E-2</v>
      </c>
    </row>
    <row r="37" spans="1:24" thickBot="1">
      <c r="A37" s="159">
        <v>11925</v>
      </c>
      <c r="B37" s="159">
        <v>11931</v>
      </c>
      <c r="C37" s="160" t="s">
        <v>1317</v>
      </c>
      <c r="D37" s="160" t="s">
        <v>1318</v>
      </c>
      <c r="E37" s="160" t="s">
        <v>2</v>
      </c>
      <c r="F37" s="160" t="s">
        <v>1319</v>
      </c>
      <c r="G37" s="166">
        <v>1109644</v>
      </c>
      <c r="H37" s="160" t="s">
        <v>102</v>
      </c>
      <c r="I37" s="160" t="s">
        <v>73</v>
      </c>
      <c r="J37" s="160" t="s">
        <v>53</v>
      </c>
      <c r="K37" s="160" t="s">
        <v>53</v>
      </c>
      <c r="L37" s="160" t="s">
        <v>821</v>
      </c>
      <c r="M37" s="160" t="s">
        <v>311</v>
      </c>
      <c r="N37" s="160" t="s">
        <v>651</v>
      </c>
      <c r="O37" s="160" t="s">
        <v>62</v>
      </c>
      <c r="P37" s="160" t="s">
        <v>1208</v>
      </c>
      <c r="Q37" s="161">
        <v>57601</v>
      </c>
      <c r="R37" s="161">
        <v>1</v>
      </c>
      <c r="S37" s="161">
        <v>774</v>
      </c>
      <c r="T37" s="161">
        <v>7.92014</v>
      </c>
      <c r="U37" s="161">
        <v>453.75188000000003</v>
      </c>
      <c r="V37" s="162">
        <v>2.6082640499999998E-4</v>
      </c>
      <c r="W37" s="162">
        <v>1.8313399532447348E-2</v>
      </c>
      <c r="X37" s="162">
        <v>1.7460480305019611E-2</v>
      </c>
    </row>
    <row r="38" spans="1:24" thickBot="1">
      <c r="A38" s="159">
        <v>11925</v>
      </c>
      <c r="B38" s="159">
        <v>11931</v>
      </c>
      <c r="C38" s="160" t="s">
        <v>1320</v>
      </c>
      <c r="D38" s="160" t="s">
        <v>1321</v>
      </c>
      <c r="E38" s="160" t="s">
        <v>2</v>
      </c>
      <c r="F38" s="160" t="s">
        <v>1322</v>
      </c>
      <c r="G38" s="166">
        <v>1119478</v>
      </c>
      <c r="H38" s="160" t="s">
        <v>102</v>
      </c>
      <c r="I38" s="160" t="s">
        <v>73</v>
      </c>
      <c r="J38" s="160" t="s">
        <v>53</v>
      </c>
      <c r="K38" s="160" t="s">
        <v>53</v>
      </c>
      <c r="L38" s="160" t="s">
        <v>821</v>
      </c>
      <c r="M38" s="160" t="s">
        <v>311</v>
      </c>
      <c r="N38" s="160" t="s">
        <v>651</v>
      </c>
      <c r="O38" s="160" t="s">
        <v>62</v>
      </c>
      <c r="P38" s="160" t="s">
        <v>1208</v>
      </c>
      <c r="Q38" s="161">
        <v>2116</v>
      </c>
      <c r="R38" s="161">
        <v>1</v>
      </c>
      <c r="S38" s="161">
        <v>26610</v>
      </c>
      <c r="T38" s="161">
        <v>0</v>
      </c>
      <c r="U38" s="161">
        <v>563.06759999999997</v>
      </c>
      <c r="V38" s="162">
        <v>1.7448271153390099E-5</v>
      </c>
      <c r="W38" s="162">
        <v>2.2725375644892642E-2</v>
      </c>
      <c r="X38" s="162">
        <v>2.1666975220454531E-2</v>
      </c>
    </row>
    <row r="39" spans="1:24" thickBot="1">
      <c r="A39" s="159">
        <v>11925</v>
      </c>
      <c r="B39" s="159">
        <v>11931</v>
      </c>
      <c r="C39" s="160" t="s">
        <v>1323</v>
      </c>
      <c r="D39" s="160" t="s">
        <v>1324</v>
      </c>
      <c r="E39" s="160" t="s">
        <v>2</v>
      </c>
      <c r="F39" s="160" t="s">
        <v>1325</v>
      </c>
      <c r="G39" s="166">
        <v>1131523</v>
      </c>
      <c r="H39" s="160" t="s">
        <v>102</v>
      </c>
      <c r="I39" s="160" t="s">
        <v>73</v>
      </c>
      <c r="J39" s="160" t="s">
        <v>53</v>
      </c>
      <c r="K39" s="160" t="s">
        <v>53</v>
      </c>
      <c r="L39" s="160" t="s">
        <v>821</v>
      </c>
      <c r="M39" s="160" t="s">
        <v>311</v>
      </c>
      <c r="N39" s="160" t="s">
        <v>651</v>
      </c>
      <c r="O39" s="160" t="s">
        <v>62</v>
      </c>
      <c r="P39" s="160" t="s">
        <v>1208</v>
      </c>
      <c r="Q39" s="161">
        <v>60697</v>
      </c>
      <c r="R39" s="161">
        <v>1</v>
      </c>
      <c r="S39" s="161">
        <v>962.6</v>
      </c>
      <c r="T39" s="161">
        <v>0</v>
      </c>
      <c r="U39" s="161">
        <v>584.26931999999999</v>
      </c>
      <c r="V39" s="162">
        <v>4.0332671800000003E-4</v>
      </c>
      <c r="W39" s="162">
        <v>2.3581075833143277E-2</v>
      </c>
      <c r="X39" s="162">
        <v>2.2482822450646815E-2</v>
      </c>
    </row>
    <row r="40" spans="1:24" thickBot="1">
      <c r="A40" s="159">
        <v>11925</v>
      </c>
      <c r="B40" s="159">
        <v>11931</v>
      </c>
      <c r="C40" s="160" t="s">
        <v>1326</v>
      </c>
      <c r="D40" s="160" t="s">
        <v>1327</v>
      </c>
      <c r="E40" s="160" t="s">
        <v>2</v>
      </c>
      <c r="F40" s="160" t="s">
        <v>1328</v>
      </c>
      <c r="G40" s="166">
        <v>1134402</v>
      </c>
      <c r="H40" s="160" t="s">
        <v>102</v>
      </c>
      <c r="I40" s="160" t="s">
        <v>73</v>
      </c>
      <c r="J40" s="160" t="s">
        <v>53</v>
      </c>
      <c r="K40" s="160" t="s">
        <v>314</v>
      </c>
      <c r="L40" s="160" t="s">
        <v>821</v>
      </c>
      <c r="M40" s="160" t="s">
        <v>311</v>
      </c>
      <c r="N40" s="160" t="s">
        <v>647</v>
      </c>
      <c r="O40" s="160" t="s">
        <v>62</v>
      </c>
      <c r="P40" s="160" t="s">
        <v>1208</v>
      </c>
      <c r="Q40" s="161">
        <v>2604</v>
      </c>
      <c r="R40" s="161">
        <v>1</v>
      </c>
      <c r="S40" s="161">
        <v>24060</v>
      </c>
      <c r="T40" s="161">
        <v>0</v>
      </c>
      <c r="U40" s="161">
        <v>626.52239999999995</v>
      </c>
      <c r="V40" s="162">
        <v>4.6420489990020298E-5</v>
      </c>
      <c r="W40" s="162">
        <v>2.5286407688774288E-2</v>
      </c>
      <c r="X40" s="162">
        <v>2.4108731022455743E-2</v>
      </c>
    </row>
    <row r="41" spans="1:24" thickBot="1">
      <c r="A41" s="159">
        <v>11925</v>
      </c>
      <c r="B41" s="159">
        <v>11931</v>
      </c>
      <c r="C41" s="160" t="s">
        <v>1329</v>
      </c>
      <c r="D41" s="160" t="s">
        <v>1330</v>
      </c>
      <c r="E41" s="160" t="s">
        <v>2</v>
      </c>
      <c r="F41" s="160" t="s">
        <v>1331</v>
      </c>
      <c r="G41" s="166">
        <v>1141969</v>
      </c>
      <c r="H41" s="160" t="s">
        <v>102</v>
      </c>
      <c r="I41" s="160" t="s">
        <v>460</v>
      </c>
      <c r="J41" s="160" t="s">
        <v>53</v>
      </c>
      <c r="K41" s="160" t="s">
        <v>53</v>
      </c>
      <c r="L41" s="160" t="s">
        <v>821</v>
      </c>
      <c r="M41" s="160" t="s">
        <v>311</v>
      </c>
      <c r="N41" s="160" t="s">
        <v>267</v>
      </c>
      <c r="O41" s="160" t="s">
        <v>62</v>
      </c>
      <c r="P41" s="160" t="s">
        <v>1208</v>
      </c>
      <c r="Q41" s="161">
        <v>17060</v>
      </c>
      <c r="R41" s="161">
        <v>1</v>
      </c>
      <c r="S41" s="161">
        <v>4170</v>
      </c>
      <c r="T41" s="161">
        <v>0</v>
      </c>
      <c r="U41" s="161">
        <v>711.40200000000004</v>
      </c>
      <c r="V41" s="162">
        <v>1.70954609E-4</v>
      </c>
      <c r="W41" s="162">
        <v>2.8712143416754786E-2</v>
      </c>
      <c r="X41" s="162">
        <v>2.7374918226127372E-2</v>
      </c>
    </row>
    <row r="42" spans="1:24" thickBot="1">
      <c r="A42" s="159">
        <v>11925</v>
      </c>
      <c r="B42" s="159">
        <v>11931</v>
      </c>
      <c r="C42" s="160" t="s">
        <v>1332</v>
      </c>
      <c r="D42" s="160" t="s">
        <v>1333</v>
      </c>
      <c r="E42" s="160" t="s">
        <v>2</v>
      </c>
      <c r="F42" s="160" t="s">
        <v>1334</v>
      </c>
      <c r="G42" s="166">
        <v>1157403</v>
      </c>
      <c r="H42" s="160" t="s">
        <v>102</v>
      </c>
      <c r="I42" s="160" t="s">
        <v>73</v>
      </c>
      <c r="J42" s="160" t="s">
        <v>53</v>
      </c>
      <c r="K42" s="160" t="s">
        <v>53</v>
      </c>
      <c r="L42" s="160" t="s">
        <v>821</v>
      </c>
      <c r="M42" s="160" t="s">
        <v>311</v>
      </c>
      <c r="N42" s="160" t="s">
        <v>257</v>
      </c>
      <c r="O42" s="160" t="s">
        <v>62</v>
      </c>
      <c r="P42" s="160" t="s">
        <v>1208</v>
      </c>
      <c r="Q42" s="161">
        <v>29380</v>
      </c>
      <c r="R42" s="161">
        <v>1</v>
      </c>
      <c r="S42" s="161">
        <v>1476</v>
      </c>
      <c r="T42" s="161">
        <v>6.7312599999999998</v>
      </c>
      <c r="U42" s="161">
        <v>440.38006000000001</v>
      </c>
      <c r="V42" s="162">
        <v>1.4665063599999999E-4</v>
      </c>
      <c r="W42" s="162">
        <v>1.7773713653601027E-2</v>
      </c>
      <c r="X42" s="162">
        <v>1.6945929489820193E-2</v>
      </c>
    </row>
    <row r="43" spans="1:24" thickBot="1">
      <c r="A43" s="159">
        <v>11925</v>
      </c>
      <c r="B43" s="159">
        <v>11931</v>
      </c>
      <c r="C43" s="160" t="s">
        <v>1335</v>
      </c>
      <c r="D43" s="160" t="s">
        <v>1336</v>
      </c>
      <c r="E43" s="160" t="s">
        <v>2</v>
      </c>
      <c r="F43" s="160" t="s">
        <v>1337</v>
      </c>
      <c r="G43" s="166">
        <v>1161264</v>
      </c>
      <c r="H43" s="160" t="s">
        <v>102</v>
      </c>
      <c r="I43" s="160" t="s">
        <v>73</v>
      </c>
      <c r="J43" s="160" t="s">
        <v>53</v>
      </c>
      <c r="K43" s="160" t="s">
        <v>53</v>
      </c>
      <c r="L43" s="160" t="s">
        <v>821</v>
      </c>
      <c r="M43" s="160" t="s">
        <v>311</v>
      </c>
      <c r="N43" s="160" t="s">
        <v>650</v>
      </c>
      <c r="O43" s="160" t="s">
        <v>62</v>
      </c>
      <c r="P43" s="160" t="s">
        <v>1208</v>
      </c>
      <c r="Q43" s="161">
        <v>3165</v>
      </c>
      <c r="R43" s="161">
        <v>1</v>
      </c>
      <c r="S43" s="161">
        <v>18180</v>
      </c>
      <c r="T43" s="161">
        <v>0</v>
      </c>
      <c r="U43" s="161">
        <v>575.39700000000005</v>
      </c>
      <c r="V43" s="162">
        <v>2.18458764E-4</v>
      </c>
      <c r="W43" s="162">
        <v>2.3222989513060763E-2</v>
      </c>
      <c r="X43" s="162">
        <v>2.2141413466027663E-2</v>
      </c>
    </row>
    <row r="44" spans="1:24" thickBot="1">
      <c r="A44" s="159">
        <v>11925</v>
      </c>
      <c r="B44" s="159">
        <v>11931</v>
      </c>
      <c r="C44" s="160" t="s">
        <v>1338</v>
      </c>
      <c r="D44" s="160" t="s">
        <v>1339</v>
      </c>
      <c r="E44" s="160" t="s">
        <v>2</v>
      </c>
      <c r="F44" s="160" t="s">
        <v>1340</v>
      </c>
      <c r="G44" s="166">
        <v>1166974</v>
      </c>
      <c r="H44" s="160" t="s">
        <v>102</v>
      </c>
      <c r="I44" s="160" t="s">
        <v>73</v>
      </c>
      <c r="J44" s="160" t="s">
        <v>53</v>
      </c>
      <c r="K44" s="160" t="s">
        <v>53</v>
      </c>
      <c r="L44" s="160" t="s">
        <v>821</v>
      </c>
      <c r="M44" s="160" t="s">
        <v>311</v>
      </c>
      <c r="N44" s="160" t="s">
        <v>647</v>
      </c>
      <c r="O44" s="160" t="s">
        <v>62</v>
      </c>
      <c r="P44" s="160" t="s">
        <v>1208</v>
      </c>
      <c r="Q44" s="161">
        <v>150280</v>
      </c>
      <c r="R44" s="161">
        <v>1</v>
      </c>
      <c r="S44" s="161">
        <v>305</v>
      </c>
      <c r="T44" s="161">
        <v>0</v>
      </c>
      <c r="U44" s="161">
        <v>458.35399999999998</v>
      </c>
      <c r="V44" s="162">
        <v>2.11489695E-4</v>
      </c>
      <c r="W44" s="162">
        <v>1.849914082845314E-2</v>
      </c>
      <c r="X44" s="162">
        <v>1.7637570977616573E-2</v>
      </c>
    </row>
    <row r="45" spans="1:24" thickBot="1">
      <c r="A45" s="159">
        <v>11925</v>
      </c>
      <c r="B45" s="159">
        <v>11931</v>
      </c>
      <c r="C45" s="160" t="s">
        <v>1341</v>
      </c>
      <c r="D45" s="160" t="s">
        <v>1342</v>
      </c>
      <c r="E45" s="160" t="s">
        <v>2</v>
      </c>
      <c r="F45" s="160" t="s">
        <v>1343</v>
      </c>
      <c r="G45" s="166">
        <v>1173137</v>
      </c>
      <c r="H45" s="160" t="s">
        <v>102</v>
      </c>
      <c r="I45" s="160" t="s">
        <v>73</v>
      </c>
      <c r="J45" s="160" t="s">
        <v>53</v>
      </c>
      <c r="K45" s="160" t="s">
        <v>53</v>
      </c>
      <c r="L45" s="160" t="s">
        <v>821</v>
      </c>
      <c r="M45" s="160" t="s">
        <v>311</v>
      </c>
      <c r="N45" s="160" t="s">
        <v>140</v>
      </c>
      <c r="O45" s="160" t="s">
        <v>62</v>
      </c>
      <c r="P45" s="160" t="s">
        <v>1208</v>
      </c>
      <c r="Q45" s="161">
        <v>3024</v>
      </c>
      <c r="R45" s="161">
        <v>1</v>
      </c>
      <c r="S45" s="161">
        <v>9455</v>
      </c>
      <c r="T45" s="161">
        <v>0</v>
      </c>
      <c r="U45" s="161">
        <v>285.91919999999999</v>
      </c>
      <c r="V45" s="162">
        <v>9.6514933212400305E-5</v>
      </c>
      <c r="W45" s="162">
        <v>1.1539682311834651E-2</v>
      </c>
      <c r="X45" s="162">
        <v>1.1002238845659354E-2</v>
      </c>
    </row>
    <row r="46" spans="1:24" thickBot="1">
      <c r="A46" s="159">
        <v>11925</v>
      </c>
      <c r="B46" s="159">
        <v>11931</v>
      </c>
      <c r="C46" s="160" t="s">
        <v>1344</v>
      </c>
      <c r="D46" s="160" t="s">
        <v>1345</v>
      </c>
      <c r="E46" s="160" t="s">
        <v>2</v>
      </c>
      <c r="F46" s="160" t="s">
        <v>1346</v>
      </c>
      <c r="G46" s="166">
        <v>1173491</v>
      </c>
      <c r="H46" s="160" t="s">
        <v>102</v>
      </c>
      <c r="I46" s="160" t="s">
        <v>73</v>
      </c>
      <c r="J46" s="160" t="s">
        <v>53</v>
      </c>
      <c r="K46" s="160" t="s">
        <v>53</v>
      </c>
      <c r="L46" s="160" t="s">
        <v>821</v>
      </c>
      <c r="M46" s="160" t="s">
        <v>311</v>
      </c>
      <c r="N46" s="160" t="s">
        <v>75</v>
      </c>
      <c r="O46" s="160" t="s">
        <v>62</v>
      </c>
      <c r="P46" s="160" t="s">
        <v>1208</v>
      </c>
      <c r="Q46" s="161">
        <v>15013</v>
      </c>
      <c r="R46" s="161">
        <v>1</v>
      </c>
      <c r="S46" s="161">
        <v>3409</v>
      </c>
      <c r="T46" s="161">
        <v>0</v>
      </c>
      <c r="U46" s="161">
        <v>511.79316999999998</v>
      </c>
      <c r="V46" s="162">
        <v>5.4717853999999995E-4</v>
      </c>
      <c r="W46" s="162">
        <v>2.0655942627031638E-2</v>
      </c>
      <c r="X46" s="162">
        <v>1.9693922954167269E-2</v>
      </c>
    </row>
    <row r="47" spans="1:24" thickBot="1">
      <c r="A47" s="159">
        <v>11925</v>
      </c>
      <c r="B47" s="159">
        <v>11931</v>
      </c>
      <c r="C47" s="160" t="s">
        <v>1347</v>
      </c>
      <c r="D47" s="160" t="s">
        <v>1348</v>
      </c>
      <c r="E47" s="160" t="s">
        <v>2</v>
      </c>
      <c r="F47" s="160" t="s">
        <v>1349</v>
      </c>
      <c r="G47" s="166">
        <v>1202977</v>
      </c>
      <c r="H47" s="160" t="s">
        <v>102</v>
      </c>
      <c r="I47" s="160" t="s">
        <v>73</v>
      </c>
      <c r="J47" s="160" t="s">
        <v>53</v>
      </c>
      <c r="K47" s="160" t="s">
        <v>53</v>
      </c>
      <c r="L47" s="160" t="s">
        <v>821</v>
      </c>
      <c r="M47" s="160" t="s">
        <v>311</v>
      </c>
      <c r="N47" s="160" t="s">
        <v>651</v>
      </c>
      <c r="O47" s="160" t="s">
        <v>62</v>
      </c>
      <c r="P47" s="160" t="s">
        <v>1208</v>
      </c>
      <c r="Q47" s="161">
        <v>1236</v>
      </c>
      <c r="R47" s="161">
        <v>1</v>
      </c>
      <c r="S47" s="161">
        <v>31420</v>
      </c>
      <c r="T47" s="161">
        <v>0</v>
      </c>
      <c r="U47" s="161">
        <v>388.35120000000001</v>
      </c>
      <c r="V47" s="162">
        <v>1.9308390900000001E-4</v>
      </c>
      <c r="W47" s="162">
        <v>1.5673831884741429E-2</v>
      </c>
      <c r="X47" s="162">
        <v>1.4943846577629014E-2</v>
      </c>
    </row>
    <row r="48" spans="1:24" thickBot="1">
      <c r="A48" s="159">
        <v>11925</v>
      </c>
      <c r="B48" s="159">
        <v>11931</v>
      </c>
      <c r="C48" s="160" t="s">
        <v>1350</v>
      </c>
      <c r="D48" s="160" t="s">
        <v>1351</v>
      </c>
      <c r="E48" s="160" t="s">
        <v>2</v>
      </c>
      <c r="F48" s="160" t="s">
        <v>1352</v>
      </c>
      <c r="G48" s="166">
        <v>2590248</v>
      </c>
      <c r="H48" s="160" t="s">
        <v>102</v>
      </c>
      <c r="I48" s="160" t="s">
        <v>73</v>
      </c>
      <c r="J48" s="160" t="s">
        <v>53</v>
      </c>
      <c r="K48" s="160" t="s">
        <v>53</v>
      </c>
      <c r="L48" s="160" t="s">
        <v>821</v>
      </c>
      <c r="M48" s="160" t="s">
        <v>311</v>
      </c>
      <c r="N48" s="160" t="s">
        <v>156</v>
      </c>
      <c r="O48" s="160" t="s">
        <v>62</v>
      </c>
      <c r="P48" s="160" t="s">
        <v>1208</v>
      </c>
      <c r="Q48" s="161">
        <v>738856</v>
      </c>
      <c r="R48" s="161">
        <v>1</v>
      </c>
      <c r="S48" s="161">
        <v>122</v>
      </c>
      <c r="T48" s="161">
        <v>122.98997</v>
      </c>
      <c r="U48" s="161">
        <v>1024.39429</v>
      </c>
      <c r="V48" s="162">
        <v>2.35601202E-4</v>
      </c>
      <c r="W48" s="162">
        <v>4.134449406915456E-2</v>
      </c>
      <c r="X48" s="162">
        <v>3.9418936016572634E-2</v>
      </c>
    </row>
    <row r="49" spans="1:24" ht="15.75" thickBot="1">
      <c r="A49" s="159">
        <v>7891</v>
      </c>
      <c r="B49" s="159">
        <v>7892</v>
      </c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</row>
    <row r="50" spans="1:24" ht="15.75" thickBot="1">
      <c r="A50" s="159">
        <v>7891</v>
      </c>
      <c r="B50" s="159">
        <v>7893</v>
      </c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</row>
    <row r="51" spans="1:24" ht="15.75" thickBot="1">
      <c r="A51" s="159">
        <v>7891</v>
      </c>
      <c r="B51" s="159">
        <v>7894</v>
      </c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</row>
    <row r="52" spans="1:24" ht="15.75" thickBot="1">
      <c r="A52" s="159">
        <v>7891</v>
      </c>
      <c r="B52" s="159">
        <v>7895</v>
      </c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</row>
    <row r="53" spans="1:24" ht="15.75" thickBot="1">
      <c r="A53" s="159">
        <v>7891</v>
      </c>
      <c r="B53" s="159">
        <v>7896</v>
      </c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</row>
    <row r="54" spans="1:24" ht="15.75" thickBot="1">
      <c r="A54" s="159">
        <v>7891</v>
      </c>
      <c r="B54" s="159">
        <v>7897</v>
      </c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</row>
    <row r="55" spans="1:24" ht="15.75" thickBot="1">
      <c r="A55" s="159">
        <v>7891</v>
      </c>
      <c r="B55" s="159">
        <v>7898</v>
      </c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</row>
    <row r="56" spans="1:24" ht="15.75" thickBot="1">
      <c r="A56" s="159">
        <v>7891</v>
      </c>
      <c r="B56" s="159">
        <v>7899</v>
      </c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 spans="1:24" ht="15.75" thickBot="1">
      <c r="A57" s="159">
        <v>7891</v>
      </c>
      <c r="B57" s="159">
        <v>7900</v>
      </c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</row>
    <row r="58" spans="1:24" ht="15.75" thickBot="1">
      <c r="A58" s="159">
        <v>7891</v>
      </c>
      <c r="B58" s="159">
        <v>7901</v>
      </c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</row>
    <row r="59" spans="1:24" ht="15.75" thickBot="1">
      <c r="A59" s="159">
        <v>7891</v>
      </c>
      <c r="B59" s="159">
        <v>7902</v>
      </c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</row>
    <row r="60" spans="1:24" ht="15.75" thickBot="1">
      <c r="A60" s="159">
        <v>11925</v>
      </c>
      <c r="B60" s="159">
        <v>11926</v>
      </c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</row>
    <row r="61" spans="1:24" ht="15.75" thickBot="1">
      <c r="A61" s="159">
        <v>11925</v>
      </c>
      <c r="B61" s="159">
        <v>11927</v>
      </c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</row>
    <row r="62" spans="1:24" ht="15.75" thickBot="1">
      <c r="A62" s="159">
        <v>11925</v>
      </c>
      <c r="B62" s="159">
        <v>11928</v>
      </c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</row>
    <row r="63" spans="1:24" ht="15.75" thickBot="1">
      <c r="A63" s="159">
        <v>11925</v>
      </c>
      <c r="B63" s="159">
        <v>11929</v>
      </c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</row>
    <row r="64" spans="1:24" ht="15.75" thickBot="1">
      <c r="A64" s="159">
        <v>11925</v>
      </c>
      <c r="B64" s="159">
        <v>11930</v>
      </c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</row>
    <row r="65" spans="1:24" ht="15.75" thickBot="1">
      <c r="A65" s="159">
        <v>11925</v>
      </c>
      <c r="B65" s="159">
        <v>11932</v>
      </c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</row>
    <row r="66" spans="1:24" ht="15.75" thickBot="1">
      <c r="A66" s="159">
        <v>11925</v>
      </c>
      <c r="B66" s="159">
        <v>11933</v>
      </c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</row>
    <row r="67" spans="1:24" ht="15.75" thickBot="1">
      <c r="A67" s="159">
        <v>11925</v>
      </c>
      <c r="B67" s="159">
        <v>11934</v>
      </c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</row>
    <row r="68" spans="1:24" ht="15.75" thickBot="1">
      <c r="A68" s="159">
        <v>11925</v>
      </c>
      <c r="B68" s="159">
        <v>11935</v>
      </c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</row>
    <row r="69" spans="1:24" ht="15.75" thickBot="1">
      <c r="A69" s="159">
        <v>11925</v>
      </c>
      <c r="B69" s="159">
        <v>11936</v>
      </c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 spans="1:24" ht="15.75" thickBot="1">
      <c r="A70" s="159">
        <v>11925</v>
      </c>
      <c r="B70" s="159">
        <v>11937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</row>
    <row r="71" spans="1:24" ht="15.75" thickBot="1">
      <c r="A71" s="159">
        <v>11939</v>
      </c>
      <c r="B71" s="159">
        <v>11942</v>
      </c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</row>
    <row r="72" spans="1:24" ht="15.75" thickBot="1">
      <c r="A72" s="159">
        <v>11939</v>
      </c>
      <c r="B72" s="159">
        <v>11943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</row>
    <row r="73" spans="1:24" ht="15.75" thickBot="1">
      <c r="A73" s="159">
        <v>11939</v>
      </c>
      <c r="B73" s="159">
        <v>11944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</row>
    <row r="74" spans="1:24" ht="15.75" thickBot="1">
      <c r="A74" s="159">
        <v>11939</v>
      </c>
      <c r="B74" s="159">
        <v>11945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</row>
    <row r="75" spans="1:24" ht="15.75" thickBot="1">
      <c r="A75" s="159">
        <v>11939</v>
      </c>
      <c r="B75" s="159">
        <v>11946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</row>
    <row r="76" spans="1:24" ht="15.75" thickBot="1">
      <c r="A76" s="159">
        <v>11939</v>
      </c>
      <c r="B76" s="159">
        <v>11947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</row>
    <row r="77" spans="1:24" ht="15.75" thickBot="1">
      <c r="A77" s="159">
        <v>11939</v>
      </c>
      <c r="B77" s="159">
        <v>11948</v>
      </c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</row>
    <row r="78" spans="1:24" ht="15.75" thickBot="1">
      <c r="A78" s="159">
        <v>11939</v>
      </c>
      <c r="B78" s="159">
        <v>11949</v>
      </c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</row>
    <row r="79" spans="1:24" ht="15.75" thickBot="1">
      <c r="A79" s="159">
        <v>11939</v>
      </c>
      <c r="B79" s="159">
        <v>11950</v>
      </c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</row>
    <row r="80" spans="1:24" ht="15.75" thickBot="1">
      <c r="A80" s="159">
        <v>11939</v>
      </c>
      <c r="B80" s="159">
        <v>11979</v>
      </c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</row>
    <row r="81" spans="1:24" ht="15.75" thickBot="1">
      <c r="A81" s="159">
        <v>11939</v>
      </c>
      <c r="B81" s="159">
        <v>11980</v>
      </c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</row>
    <row r="82" spans="1:24" ht="15.75" thickBot="1">
      <c r="A82" s="159">
        <v>11939</v>
      </c>
      <c r="B82" s="159">
        <v>11981</v>
      </c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 spans="1:24" ht="15.75" thickBot="1">
      <c r="A83" s="159">
        <v>11942</v>
      </c>
      <c r="B83" s="159">
        <v>11343</v>
      </c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</row>
    <row r="84" spans="1:24" ht="15.75" thickBot="1">
      <c r="A84" s="159">
        <v>11942</v>
      </c>
      <c r="B84" s="159">
        <v>11344</v>
      </c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</row>
    <row r="85" spans="1:24" ht="15.75" thickBot="1">
      <c r="A85" s="159">
        <v>11942</v>
      </c>
      <c r="B85" s="159">
        <v>11345</v>
      </c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168"/>
  <sheetViews>
    <sheetView rightToLeft="1" workbookViewId="0">
      <selection sqref="A1:XFD1048576"/>
    </sheetView>
  </sheetViews>
  <sheetFormatPr defaultColWidth="9" defaultRowHeight="15"/>
  <cols>
    <col min="1" max="2" width="11.5703125" style="11" customWidth="1"/>
    <col min="3" max="3" width="20.7109375" style="11" bestFit="1" customWidth="1"/>
    <col min="4" max="4" width="11.5703125" style="11" customWidth="1"/>
    <col min="5" max="5" width="11.5703125" style="4" customWidth="1"/>
    <col min="6" max="6" width="28" style="11" bestFit="1" customWidth="1"/>
    <col min="7" max="11" width="11.5703125" style="11" customWidth="1"/>
    <col min="12" max="12" width="9" style="11"/>
    <col min="13" max="15" width="11.5703125" style="11" customWidth="1"/>
    <col min="16" max="16" width="11.5703125" style="4" customWidth="1"/>
    <col min="17" max="24" width="11.5703125" style="11" customWidth="1"/>
    <col min="25" max="16384" width="9" style="11"/>
  </cols>
  <sheetData>
    <row r="1" spans="1:23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5</v>
      </c>
      <c r="M1" s="20" t="s">
        <v>300</v>
      </c>
      <c r="N1" s="20" t="s">
        <v>622</v>
      </c>
      <c r="O1" s="20" t="s">
        <v>396</v>
      </c>
      <c r="P1" s="20" t="s">
        <v>789</v>
      </c>
      <c r="Q1" s="20" t="s">
        <v>11</v>
      </c>
      <c r="R1" s="20" t="s">
        <v>15</v>
      </c>
      <c r="S1" s="20" t="s">
        <v>955</v>
      </c>
      <c r="T1" s="20" t="s">
        <v>1171</v>
      </c>
      <c r="U1" s="20" t="s">
        <v>18</v>
      </c>
      <c r="V1" s="20" t="s">
        <v>19</v>
      </c>
      <c r="W1" s="20" t="s">
        <v>30</v>
      </c>
    </row>
    <row r="2" spans="1:23" ht="15.75" thickBot="1">
      <c r="A2" s="159">
        <v>7891</v>
      </c>
      <c r="B2" s="159">
        <v>7892</v>
      </c>
      <c r="C2" s="164" t="s">
        <v>1353</v>
      </c>
      <c r="D2" s="164" t="s">
        <v>1354</v>
      </c>
      <c r="E2" s="164" t="s">
        <v>2</v>
      </c>
      <c r="F2" s="164" t="s">
        <v>1355</v>
      </c>
      <c r="G2" s="165">
        <v>1143700</v>
      </c>
      <c r="H2" s="164" t="s">
        <v>102</v>
      </c>
      <c r="I2" s="164" t="s">
        <v>234</v>
      </c>
      <c r="J2" s="164" t="s">
        <v>53</v>
      </c>
      <c r="K2" s="164" t="s">
        <v>53</v>
      </c>
      <c r="L2" s="164" t="s">
        <v>311</v>
      </c>
      <c r="M2" s="164" t="s">
        <v>1080</v>
      </c>
      <c r="N2" s="164" t="s">
        <v>62</v>
      </c>
      <c r="O2" s="164" t="s">
        <v>1208</v>
      </c>
      <c r="P2" s="167">
        <v>28527</v>
      </c>
      <c r="Q2" s="167">
        <v>1</v>
      </c>
      <c r="R2" s="167">
        <v>1986</v>
      </c>
      <c r="S2" s="161">
        <v>0</v>
      </c>
      <c r="T2" s="167">
        <v>566.54621999999995</v>
      </c>
      <c r="U2" s="168">
        <v>1.11252891E-4</v>
      </c>
      <c r="V2" s="168">
        <v>0.25001085461658618</v>
      </c>
      <c r="W2" s="168">
        <v>0.24166424069497527</v>
      </c>
    </row>
    <row r="3" spans="1:23" ht="15.75" thickBot="1">
      <c r="A3" s="159">
        <v>7891</v>
      </c>
      <c r="B3" s="159">
        <v>7892</v>
      </c>
      <c r="C3" s="164" t="s">
        <v>1356</v>
      </c>
      <c r="D3" s="164" t="s">
        <v>1357</v>
      </c>
      <c r="E3" s="164" t="s">
        <v>2</v>
      </c>
      <c r="F3" s="164" t="s">
        <v>1358</v>
      </c>
      <c r="G3" s="165">
        <v>1146570</v>
      </c>
      <c r="H3" s="164" t="s">
        <v>102</v>
      </c>
      <c r="I3" s="164" t="s">
        <v>234</v>
      </c>
      <c r="J3" s="164" t="s">
        <v>53</v>
      </c>
      <c r="K3" s="164" t="s">
        <v>53</v>
      </c>
      <c r="L3" s="164" t="s">
        <v>311</v>
      </c>
      <c r="M3" s="164" t="s">
        <v>1080</v>
      </c>
      <c r="N3" s="164" t="s">
        <v>62</v>
      </c>
      <c r="O3" s="164" t="s">
        <v>1208</v>
      </c>
      <c r="P3" s="167">
        <v>2871</v>
      </c>
      <c r="Q3" s="167">
        <v>1</v>
      </c>
      <c r="R3" s="167">
        <v>19770</v>
      </c>
      <c r="S3" s="161">
        <v>0</v>
      </c>
      <c r="T3" s="167">
        <v>567.59670000000006</v>
      </c>
      <c r="U3" s="168">
        <v>8.9844816315543294E-5</v>
      </c>
      <c r="V3" s="168">
        <v>0.25047442032982603</v>
      </c>
      <c r="W3" s="168">
        <v>0.24211233026402276</v>
      </c>
    </row>
    <row r="4" spans="1:23" ht="15.75" thickBot="1">
      <c r="A4" s="159">
        <v>7891</v>
      </c>
      <c r="B4" s="159">
        <v>7892</v>
      </c>
      <c r="C4" s="164" t="s">
        <v>1359</v>
      </c>
      <c r="D4" s="164" t="s">
        <v>1360</v>
      </c>
      <c r="E4" s="164" t="s">
        <v>2</v>
      </c>
      <c r="F4" s="164" t="s">
        <v>1361</v>
      </c>
      <c r="G4" s="165">
        <v>1148907</v>
      </c>
      <c r="H4" s="164" t="s">
        <v>102</v>
      </c>
      <c r="I4" s="164" t="s">
        <v>234</v>
      </c>
      <c r="J4" s="164" t="s">
        <v>53</v>
      </c>
      <c r="K4" s="164" t="s">
        <v>53</v>
      </c>
      <c r="L4" s="164" t="s">
        <v>311</v>
      </c>
      <c r="M4" s="164" t="s">
        <v>1080</v>
      </c>
      <c r="N4" s="164" t="s">
        <v>62</v>
      </c>
      <c r="O4" s="164" t="s">
        <v>1208</v>
      </c>
      <c r="P4" s="167">
        <v>28376</v>
      </c>
      <c r="Q4" s="167">
        <v>1</v>
      </c>
      <c r="R4" s="167">
        <v>1990</v>
      </c>
      <c r="S4" s="161">
        <v>0</v>
      </c>
      <c r="T4" s="167">
        <v>564.68240000000003</v>
      </c>
      <c r="U4" s="168">
        <v>3.33080807E-4</v>
      </c>
      <c r="V4" s="168">
        <v>0.24918837056391441</v>
      </c>
      <c r="W4" s="168">
        <v>0.24086921527746902</v>
      </c>
    </row>
    <row r="5" spans="1:23" ht="15.75" thickBot="1">
      <c r="A5" s="159">
        <v>7891</v>
      </c>
      <c r="B5" s="159">
        <v>7892</v>
      </c>
      <c r="C5" s="164" t="s">
        <v>1362</v>
      </c>
      <c r="D5" s="164" t="s">
        <v>1363</v>
      </c>
      <c r="E5" s="164" t="s">
        <v>2</v>
      </c>
      <c r="F5" s="164" t="s">
        <v>1364</v>
      </c>
      <c r="G5" s="165">
        <v>1150184</v>
      </c>
      <c r="H5" s="164" t="s">
        <v>102</v>
      </c>
      <c r="I5" s="164" t="s">
        <v>234</v>
      </c>
      <c r="J5" s="164" t="s">
        <v>53</v>
      </c>
      <c r="K5" s="164" t="s">
        <v>53</v>
      </c>
      <c r="L5" s="164" t="s">
        <v>311</v>
      </c>
      <c r="M5" s="164" t="s">
        <v>1080</v>
      </c>
      <c r="N5" s="164" t="s">
        <v>62</v>
      </c>
      <c r="O5" s="164" t="s">
        <v>1208</v>
      </c>
      <c r="P5" s="167">
        <v>20909</v>
      </c>
      <c r="Q5" s="167">
        <v>1</v>
      </c>
      <c r="R5" s="167">
        <v>2713</v>
      </c>
      <c r="S5" s="161">
        <v>0</v>
      </c>
      <c r="T5" s="167">
        <v>567.26116999999999</v>
      </c>
      <c r="U5" s="168">
        <v>2.987E-4</v>
      </c>
      <c r="V5" s="168">
        <v>0.25032635448967355</v>
      </c>
      <c r="W5" s="168">
        <v>0.24196920760285595</v>
      </c>
    </row>
    <row r="6" spans="1:23" ht="15.75" thickBot="1">
      <c r="A6" s="159">
        <v>7891</v>
      </c>
      <c r="B6" s="159">
        <v>7893</v>
      </c>
      <c r="C6" s="164" t="s">
        <v>1353</v>
      </c>
      <c r="D6" s="164" t="s">
        <v>1354</v>
      </c>
      <c r="E6" s="164" t="s">
        <v>2</v>
      </c>
      <c r="F6" s="164" t="s">
        <v>1365</v>
      </c>
      <c r="G6" s="165">
        <v>1145101</v>
      </c>
      <c r="H6" s="164" t="s">
        <v>102</v>
      </c>
      <c r="I6" s="164" t="s">
        <v>236</v>
      </c>
      <c r="J6" s="164" t="s">
        <v>53</v>
      </c>
      <c r="K6" s="164" t="s">
        <v>53</v>
      </c>
      <c r="L6" s="164" t="s">
        <v>311</v>
      </c>
      <c r="M6" s="164" t="s">
        <v>997</v>
      </c>
      <c r="N6" s="164" t="s">
        <v>62</v>
      </c>
      <c r="O6" s="164" t="s">
        <v>1208</v>
      </c>
      <c r="P6" s="167">
        <v>70478</v>
      </c>
      <c r="Q6" s="167">
        <v>1</v>
      </c>
      <c r="R6" s="167">
        <v>358.93</v>
      </c>
      <c r="S6" s="161">
        <v>0</v>
      </c>
      <c r="T6" s="167">
        <v>252.96669</v>
      </c>
      <c r="U6" s="168">
        <v>5.1756730146763502E-5</v>
      </c>
      <c r="V6" s="168">
        <v>0.25071446678766368</v>
      </c>
      <c r="W6" s="168">
        <v>0.23555748653288111</v>
      </c>
    </row>
    <row r="7" spans="1:23" ht="15.75" thickBot="1">
      <c r="A7" s="159">
        <v>7891</v>
      </c>
      <c r="B7" s="159">
        <v>7893</v>
      </c>
      <c r="C7" s="164" t="s">
        <v>1356</v>
      </c>
      <c r="D7" s="164" t="s">
        <v>1357</v>
      </c>
      <c r="E7" s="164" t="s">
        <v>2</v>
      </c>
      <c r="F7" s="164" t="s">
        <v>1366</v>
      </c>
      <c r="G7" s="165">
        <v>1146232</v>
      </c>
      <c r="H7" s="164" t="s">
        <v>102</v>
      </c>
      <c r="I7" s="164" t="s">
        <v>236</v>
      </c>
      <c r="J7" s="164" t="s">
        <v>53</v>
      </c>
      <c r="K7" s="164" t="s">
        <v>53</v>
      </c>
      <c r="L7" s="164" t="s">
        <v>311</v>
      </c>
      <c r="M7" s="164" t="s">
        <v>997</v>
      </c>
      <c r="N7" s="164" t="s">
        <v>62</v>
      </c>
      <c r="O7" s="164" t="s">
        <v>1208</v>
      </c>
      <c r="P7" s="167">
        <v>7097</v>
      </c>
      <c r="Q7" s="167">
        <v>1</v>
      </c>
      <c r="R7" s="167">
        <v>3568.71</v>
      </c>
      <c r="S7" s="161">
        <v>0</v>
      </c>
      <c r="T7" s="167">
        <v>253.27135000000001</v>
      </c>
      <c r="U7" s="168">
        <v>5.06928571428571E-5</v>
      </c>
      <c r="V7" s="168">
        <v>0.25101641432649396</v>
      </c>
      <c r="W7" s="168">
        <v>0.23584117978849162</v>
      </c>
    </row>
    <row r="8" spans="1:23" ht="15.75" thickBot="1">
      <c r="A8" s="159">
        <v>7891</v>
      </c>
      <c r="B8" s="159">
        <v>7893</v>
      </c>
      <c r="C8" s="164" t="s">
        <v>1367</v>
      </c>
      <c r="D8" s="164" t="s">
        <v>1368</v>
      </c>
      <c r="E8" s="164" t="s">
        <v>2</v>
      </c>
      <c r="F8" s="164" t="s">
        <v>1369</v>
      </c>
      <c r="G8" s="165">
        <v>1148006</v>
      </c>
      <c r="H8" s="164" t="s">
        <v>102</v>
      </c>
      <c r="I8" s="164" t="s">
        <v>236</v>
      </c>
      <c r="J8" s="164" t="s">
        <v>53</v>
      </c>
      <c r="K8" s="164" t="s">
        <v>53</v>
      </c>
      <c r="L8" s="164" t="s">
        <v>311</v>
      </c>
      <c r="M8" s="164" t="s">
        <v>997</v>
      </c>
      <c r="N8" s="164" t="s">
        <v>62</v>
      </c>
      <c r="O8" s="164" t="s">
        <v>1208</v>
      </c>
      <c r="P8" s="167">
        <v>69981</v>
      </c>
      <c r="Q8" s="167">
        <v>1</v>
      </c>
      <c r="R8" s="167">
        <v>359.31</v>
      </c>
      <c r="S8" s="161">
        <v>0</v>
      </c>
      <c r="T8" s="167">
        <v>251.44873000000001</v>
      </c>
      <c r="U8" s="168">
        <v>5.0905967349073601E-5</v>
      </c>
      <c r="V8" s="168">
        <v>0.24921002155020971</v>
      </c>
      <c r="W8" s="168">
        <v>0.2341439927552717</v>
      </c>
    </row>
    <row r="9" spans="1:23" ht="15.75" thickBot="1">
      <c r="A9" s="159">
        <v>7891</v>
      </c>
      <c r="B9" s="159">
        <v>7893</v>
      </c>
      <c r="C9" s="164" t="s">
        <v>1359</v>
      </c>
      <c r="D9" s="164" t="s">
        <v>1360</v>
      </c>
      <c r="E9" s="164" t="s">
        <v>2</v>
      </c>
      <c r="F9" s="164" t="s">
        <v>1370</v>
      </c>
      <c r="G9" s="165">
        <v>1150473</v>
      </c>
      <c r="H9" s="164" t="s">
        <v>102</v>
      </c>
      <c r="I9" s="164" t="s">
        <v>236</v>
      </c>
      <c r="J9" s="164" t="s">
        <v>53</v>
      </c>
      <c r="K9" s="164" t="s">
        <v>53</v>
      </c>
      <c r="L9" s="164" t="s">
        <v>311</v>
      </c>
      <c r="M9" s="164" t="s">
        <v>997</v>
      </c>
      <c r="N9" s="164" t="s">
        <v>62</v>
      </c>
      <c r="O9" s="164" t="s">
        <v>1208</v>
      </c>
      <c r="P9" s="167">
        <v>70222</v>
      </c>
      <c r="Q9" s="167">
        <v>1</v>
      </c>
      <c r="R9" s="167">
        <v>357.86</v>
      </c>
      <c r="S9" s="161">
        <v>0</v>
      </c>
      <c r="T9" s="167">
        <v>251.29644999999999</v>
      </c>
      <c r="U9" s="168">
        <v>2.2729029999999999E-4</v>
      </c>
      <c r="V9" s="168">
        <v>0.24905909733563258</v>
      </c>
      <c r="W9" s="168">
        <v>0.23400219268645936</v>
      </c>
    </row>
    <row r="10" spans="1:23" ht="15.75" thickBot="1">
      <c r="A10" s="159">
        <v>7891</v>
      </c>
      <c r="B10" s="159">
        <v>7896</v>
      </c>
      <c r="C10" s="164" t="s">
        <v>1607</v>
      </c>
      <c r="D10" s="164"/>
      <c r="E10" s="164"/>
      <c r="F10" s="164" t="s">
        <v>1371</v>
      </c>
      <c r="G10" s="164" t="s">
        <v>1372</v>
      </c>
      <c r="H10" s="164" t="s">
        <v>76</v>
      </c>
      <c r="I10" s="164" t="s">
        <v>235</v>
      </c>
      <c r="J10" s="164" t="s">
        <v>61</v>
      </c>
      <c r="K10" s="164" t="s">
        <v>314</v>
      </c>
      <c r="L10" s="164" t="s">
        <v>102</v>
      </c>
      <c r="M10" s="164" t="s">
        <v>775</v>
      </c>
      <c r="N10" s="164" t="s">
        <v>62</v>
      </c>
      <c r="O10" s="164" t="s">
        <v>1211</v>
      </c>
      <c r="P10" s="167">
        <v>7678</v>
      </c>
      <c r="Q10" s="167">
        <v>3.9790999999999999</v>
      </c>
      <c r="R10" s="167">
        <v>9464.01</v>
      </c>
      <c r="S10" s="161">
        <v>0</v>
      </c>
      <c r="T10" s="167">
        <v>2891.39984</v>
      </c>
      <c r="U10" s="168">
        <v>2.6296599960592775E-4</v>
      </c>
      <c r="V10" s="168">
        <v>0.20180088236878863</v>
      </c>
      <c r="W10" s="168">
        <v>0.19712520087806637</v>
      </c>
    </row>
    <row r="11" spans="1:23" ht="15.75" thickBot="1">
      <c r="A11" s="159">
        <v>7891</v>
      </c>
      <c r="B11" s="159">
        <v>7896</v>
      </c>
      <c r="C11" s="164" t="s">
        <v>1608</v>
      </c>
      <c r="D11" s="164"/>
      <c r="E11" s="164"/>
      <c r="F11" s="164" t="s">
        <v>1373</v>
      </c>
      <c r="G11" s="164" t="s">
        <v>1374</v>
      </c>
      <c r="H11" s="164" t="s">
        <v>76</v>
      </c>
      <c r="I11" s="164" t="s">
        <v>235</v>
      </c>
      <c r="J11" s="164" t="s">
        <v>61</v>
      </c>
      <c r="K11" s="164" t="s">
        <v>314</v>
      </c>
      <c r="L11" s="164" t="s">
        <v>494</v>
      </c>
      <c r="M11" s="164" t="s">
        <v>775</v>
      </c>
      <c r="N11" s="164" t="s">
        <v>62</v>
      </c>
      <c r="O11" s="164" t="s">
        <v>1210</v>
      </c>
      <c r="P11" s="167">
        <v>761</v>
      </c>
      <c r="Q11" s="167">
        <v>3.681</v>
      </c>
      <c r="R11" s="167">
        <v>102524</v>
      </c>
      <c r="S11" s="161">
        <v>0</v>
      </c>
      <c r="T11" s="167">
        <v>2871.9443200000001</v>
      </c>
      <c r="U11" s="168">
        <v>3.9896759140643731E-5</v>
      </c>
      <c r="V11" s="168">
        <v>0.20044301375143975</v>
      </c>
      <c r="W11" s="168">
        <v>0.19579879377409862</v>
      </c>
    </row>
    <row r="12" spans="1:23" ht="15.75" thickBot="1">
      <c r="A12" s="159">
        <v>7891</v>
      </c>
      <c r="B12" s="159">
        <v>7896</v>
      </c>
      <c r="C12" s="164" t="s">
        <v>1609</v>
      </c>
      <c r="D12" s="164"/>
      <c r="E12" s="164"/>
      <c r="F12" s="164" t="s">
        <v>1375</v>
      </c>
      <c r="G12" s="164" t="s">
        <v>1376</v>
      </c>
      <c r="H12" s="164" t="s">
        <v>76</v>
      </c>
      <c r="I12" s="164" t="s">
        <v>235</v>
      </c>
      <c r="J12" s="164" t="s">
        <v>61</v>
      </c>
      <c r="K12" s="164" t="s">
        <v>314</v>
      </c>
      <c r="L12" s="164" t="s">
        <v>494</v>
      </c>
      <c r="M12" s="164" t="s">
        <v>775</v>
      </c>
      <c r="N12" s="164" t="s">
        <v>62</v>
      </c>
      <c r="O12" s="164" t="s">
        <v>1210</v>
      </c>
      <c r="P12" s="167">
        <v>1415</v>
      </c>
      <c r="Q12" s="167">
        <v>3.681</v>
      </c>
      <c r="R12" s="167">
        <v>55249</v>
      </c>
      <c r="S12" s="161">
        <v>0</v>
      </c>
      <c r="T12" s="167">
        <v>2877.7076999999999</v>
      </c>
      <c r="U12" s="168">
        <v>1.0214037649289259E-5</v>
      </c>
      <c r="V12" s="168">
        <v>0.20084526014895859</v>
      </c>
      <c r="W12" s="168">
        <v>0.19619172021219256</v>
      </c>
    </row>
    <row r="13" spans="1:23" ht="15.75" thickBot="1">
      <c r="A13" s="159">
        <v>7891</v>
      </c>
      <c r="B13" s="159">
        <v>7896</v>
      </c>
      <c r="C13" s="164" t="s">
        <v>1610</v>
      </c>
      <c r="D13" s="164"/>
      <c r="E13" s="164"/>
      <c r="F13" s="164" t="s">
        <v>1377</v>
      </c>
      <c r="G13" s="164" t="s">
        <v>1378</v>
      </c>
      <c r="H13" s="164" t="s">
        <v>76</v>
      </c>
      <c r="I13" s="164" t="s">
        <v>235</v>
      </c>
      <c r="J13" s="164" t="s">
        <v>61</v>
      </c>
      <c r="K13" s="164" t="s">
        <v>314</v>
      </c>
      <c r="L13" s="164" t="s">
        <v>494</v>
      </c>
      <c r="M13" s="164" t="s">
        <v>775</v>
      </c>
      <c r="N13" s="164" t="s">
        <v>62</v>
      </c>
      <c r="O13" s="164" t="s">
        <v>1210</v>
      </c>
      <c r="P13" s="167">
        <v>7584</v>
      </c>
      <c r="Q13" s="167">
        <v>3.681</v>
      </c>
      <c r="R13" s="167">
        <v>10345</v>
      </c>
      <c r="S13" s="161">
        <v>0</v>
      </c>
      <c r="T13" s="167">
        <v>2887.9830299999999</v>
      </c>
      <c r="U13" s="168">
        <v>1.5373260078992287E-4</v>
      </c>
      <c r="V13" s="168">
        <v>0.20156241127829894</v>
      </c>
      <c r="W13" s="168">
        <v>0.1968922551096208</v>
      </c>
    </row>
    <row r="14" spans="1:23" ht="15.75" thickBot="1">
      <c r="A14" s="159">
        <v>7891</v>
      </c>
      <c r="B14" s="159">
        <v>7896</v>
      </c>
      <c r="C14" s="164" t="s">
        <v>1610</v>
      </c>
      <c r="D14" s="164"/>
      <c r="E14" s="164"/>
      <c r="F14" s="164" t="s">
        <v>1379</v>
      </c>
      <c r="G14" s="164" t="s">
        <v>1380</v>
      </c>
      <c r="H14" s="164" t="s">
        <v>76</v>
      </c>
      <c r="I14" s="164" t="s">
        <v>235</v>
      </c>
      <c r="J14" s="164" t="s">
        <v>61</v>
      </c>
      <c r="K14" s="164" t="s">
        <v>204</v>
      </c>
      <c r="L14" s="164" t="s">
        <v>488</v>
      </c>
      <c r="M14" s="164" t="s">
        <v>775</v>
      </c>
      <c r="N14" s="164" t="s">
        <v>62</v>
      </c>
      <c r="O14" s="164" t="s">
        <v>1211</v>
      </c>
      <c r="P14" s="167">
        <v>14112</v>
      </c>
      <c r="Q14" s="167">
        <v>3.9790999999999999</v>
      </c>
      <c r="R14" s="167">
        <v>4984.5</v>
      </c>
      <c r="S14" s="161">
        <v>0</v>
      </c>
      <c r="T14" s="167">
        <v>2798.9492399999999</v>
      </c>
      <c r="U14" s="168">
        <v>2.546452916677433E-4</v>
      </c>
      <c r="V14" s="168">
        <v>0.19534843245251418</v>
      </c>
      <c r="W14" s="168">
        <v>0.19082225278898512</v>
      </c>
    </row>
    <row r="15" spans="1:23" ht="15.75" thickBot="1">
      <c r="A15" s="159">
        <v>7891</v>
      </c>
      <c r="B15" s="159">
        <v>7897</v>
      </c>
      <c r="C15" s="164" t="s">
        <v>1356</v>
      </c>
      <c r="D15" s="164" t="s">
        <v>1357</v>
      </c>
      <c r="E15" s="164" t="s">
        <v>2</v>
      </c>
      <c r="F15" s="164" t="s">
        <v>1381</v>
      </c>
      <c r="G15" s="165">
        <v>1146133</v>
      </c>
      <c r="H15" s="164" t="s">
        <v>102</v>
      </c>
      <c r="I15" s="164" t="s">
        <v>236</v>
      </c>
      <c r="J15" s="164" t="s">
        <v>53</v>
      </c>
      <c r="K15" s="164" t="s">
        <v>53</v>
      </c>
      <c r="L15" s="164" t="s">
        <v>311</v>
      </c>
      <c r="M15" s="164" t="s">
        <v>1026</v>
      </c>
      <c r="N15" s="164" t="s">
        <v>62</v>
      </c>
      <c r="O15" s="164" t="s">
        <v>1208</v>
      </c>
      <c r="P15" s="167">
        <v>187113</v>
      </c>
      <c r="Q15" s="167">
        <v>1</v>
      </c>
      <c r="R15" s="167">
        <v>2474.14</v>
      </c>
      <c r="S15" s="161">
        <v>0</v>
      </c>
      <c r="T15" s="167">
        <v>4629.4375799999998</v>
      </c>
      <c r="U15" s="168">
        <v>0</v>
      </c>
      <c r="V15" s="168">
        <v>1</v>
      </c>
      <c r="W15" s="168">
        <v>4.868918314373865E-2</v>
      </c>
    </row>
    <row r="16" spans="1:23" ht="15.75" thickBot="1">
      <c r="A16" s="159">
        <v>7891</v>
      </c>
      <c r="B16" s="159">
        <v>7900</v>
      </c>
      <c r="C16" s="164" t="s">
        <v>1356</v>
      </c>
      <c r="D16" s="164" t="s">
        <v>1357</v>
      </c>
      <c r="E16" s="164" t="s">
        <v>2</v>
      </c>
      <c r="F16" s="164" t="s">
        <v>1382</v>
      </c>
      <c r="G16" s="165">
        <v>1146414</v>
      </c>
      <c r="H16" s="164" t="s">
        <v>102</v>
      </c>
      <c r="I16" s="164" t="s">
        <v>236</v>
      </c>
      <c r="J16" s="164" t="s">
        <v>53</v>
      </c>
      <c r="K16" s="164" t="s">
        <v>53</v>
      </c>
      <c r="L16" s="164" t="s">
        <v>311</v>
      </c>
      <c r="M16" s="164" t="s">
        <v>1002</v>
      </c>
      <c r="N16" s="164" t="s">
        <v>62</v>
      </c>
      <c r="O16" s="164" t="s">
        <v>1208</v>
      </c>
      <c r="P16" s="167">
        <v>18875</v>
      </c>
      <c r="Q16" s="167">
        <v>1</v>
      </c>
      <c r="R16" s="167">
        <v>3844.3</v>
      </c>
      <c r="S16" s="161">
        <v>0</v>
      </c>
      <c r="T16" s="167">
        <v>725.61162000000002</v>
      </c>
      <c r="U16" s="168">
        <v>0</v>
      </c>
      <c r="V16" s="168">
        <v>0.15209518143456172</v>
      </c>
      <c r="W16" s="168">
        <v>6.1441212952866003E-2</v>
      </c>
    </row>
    <row r="17" spans="1:23" ht="15.75" thickBot="1">
      <c r="A17" s="159">
        <v>7891</v>
      </c>
      <c r="B17" s="159">
        <v>7900</v>
      </c>
      <c r="C17" s="164" t="s">
        <v>1356</v>
      </c>
      <c r="D17" s="164" t="s">
        <v>1357</v>
      </c>
      <c r="E17" s="164" t="s">
        <v>2</v>
      </c>
      <c r="F17" s="164" t="s">
        <v>1383</v>
      </c>
      <c r="G17" s="165">
        <v>1146604</v>
      </c>
      <c r="H17" s="164" t="s">
        <v>102</v>
      </c>
      <c r="I17" s="164" t="s">
        <v>235</v>
      </c>
      <c r="J17" s="164" t="s">
        <v>53</v>
      </c>
      <c r="K17" s="164" t="s">
        <v>314</v>
      </c>
      <c r="L17" s="164" t="s">
        <v>311</v>
      </c>
      <c r="M17" s="164" t="s">
        <v>1129</v>
      </c>
      <c r="N17" s="164" t="s">
        <v>62</v>
      </c>
      <c r="O17" s="164" t="s">
        <v>1208</v>
      </c>
      <c r="P17" s="167">
        <v>7982</v>
      </c>
      <c r="Q17" s="167">
        <v>1</v>
      </c>
      <c r="R17" s="167">
        <v>5107</v>
      </c>
      <c r="S17" s="161">
        <v>0</v>
      </c>
      <c r="T17" s="167">
        <v>407.64073999999999</v>
      </c>
      <c r="U17" s="168">
        <v>0</v>
      </c>
      <c r="V17" s="168">
        <v>8.5445423697072267E-2</v>
      </c>
      <c r="W17" s="168">
        <v>3.451700720366617E-2</v>
      </c>
    </row>
    <row r="18" spans="1:23" ht="15.75" thickBot="1">
      <c r="A18" s="159">
        <v>7891</v>
      </c>
      <c r="B18" s="159">
        <v>7900</v>
      </c>
      <c r="C18" s="164" t="s">
        <v>1362</v>
      </c>
      <c r="D18" s="164" t="s">
        <v>1363</v>
      </c>
      <c r="E18" s="164" t="s">
        <v>2</v>
      </c>
      <c r="F18" s="164" t="s">
        <v>1384</v>
      </c>
      <c r="G18" s="165">
        <v>1150572</v>
      </c>
      <c r="H18" s="164" t="s">
        <v>102</v>
      </c>
      <c r="I18" s="164" t="s">
        <v>235</v>
      </c>
      <c r="J18" s="164" t="s">
        <v>53</v>
      </c>
      <c r="K18" s="164" t="s">
        <v>314</v>
      </c>
      <c r="L18" s="164" t="s">
        <v>311</v>
      </c>
      <c r="M18" s="164" t="s">
        <v>1129</v>
      </c>
      <c r="N18" s="164" t="s">
        <v>62</v>
      </c>
      <c r="O18" s="164" t="s">
        <v>1208</v>
      </c>
      <c r="P18" s="167">
        <v>12030</v>
      </c>
      <c r="Q18" s="167">
        <v>1</v>
      </c>
      <c r="R18" s="167">
        <v>6781</v>
      </c>
      <c r="S18" s="161">
        <v>0</v>
      </c>
      <c r="T18" s="167">
        <v>815.75429999999994</v>
      </c>
      <c r="U18" s="168">
        <v>0</v>
      </c>
      <c r="V18" s="168">
        <v>0.17098995501825601</v>
      </c>
      <c r="W18" s="168">
        <v>6.9074050472780646E-2</v>
      </c>
    </row>
    <row r="19" spans="1:23" ht="15.75" thickBot="1">
      <c r="A19" s="159">
        <v>7891</v>
      </c>
      <c r="B19" s="159">
        <v>7900</v>
      </c>
      <c r="C19" s="164" t="s">
        <v>1362</v>
      </c>
      <c r="D19" s="164" t="s">
        <v>1363</v>
      </c>
      <c r="E19" s="164" t="s">
        <v>2</v>
      </c>
      <c r="F19" s="164" t="s">
        <v>1385</v>
      </c>
      <c r="G19" s="165">
        <v>1150614</v>
      </c>
      <c r="H19" s="164" t="s">
        <v>102</v>
      </c>
      <c r="I19" s="164" t="s">
        <v>235</v>
      </c>
      <c r="J19" s="164" t="s">
        <v>53</v>
      </c>
      <c r="K19" s="164" t="s">
        <v>314</v>
      </c>
      <c r="L19" s="164" t="s">
        <v>311</v>
      </c>
      <c r="M19" s="164" t="s">
        <v>1127</v>
      </c>
      <c r="N19" s="164" t="s">
        <v>62</v>
      </c>
      <c r="O19" s="164" t="s">
        <v>1208</v>
      </c>
      <c r="P19" s="167">
        <v>8143</v>
      </c>
      <c r="Q19" s="167">
        <v>1</v>
      </c>
      <c r="R19" s="167">
        <v>7475</v>
      </c>
      <c r="S19" s="161">
        <v>0</v>
      </c>
      <c r="T19" s="167">
        <v>608.68925000000002</v>
      </c>
      <c r="U19" s="168">
        <v>0</v>
      </c>
      <c r="V19" s="168">
        <v>0.12758712700330971</v>
      </c>
      <c r="W19" s="168">
        <v>5.1540803372705488E-2</v>
      </c>
    </row>
    <row r="20" spans="1:23" ht="15.75" thickBot="1">
      <c r="A20" s="159">
        <v>7891</v>
      </c>
      <c r="B20" s="159">
        <v>7900</v>
      </c>
      <c r="C20" s="164" t="s">
        <v>1608</v>
      </c>
      <c r="D20" s="164"/>
      <c r="E20" s="164"/>
      <c r="F20" s="164" t="s">
        <v>1386</v>
      </c>
      <c r="G20" s="164" t="s">
        <v>1387</v>
      </c>
      <c r="H20" s="164" t="s">
        <v>76</v>
      </c>
      <c r="I20" s="164" t="s">
        <v>235</v>
      </c>
      <c r="J20" s="164" t="s">
        <v>61</v>
      </c>
      <c r="K20" s="164" t="s">
        <v>314</v>
      </c>
      <c r="L20" s="164" t="s">
        <v>479</v>
      </c>
      <c r="M20" s="164" t="s">
        <v>775</v>
      </c>
      <c r="N20" s="164" t="s">
        <v>62</v>
      </c>
      <c r="O20" s="164" t="s">
        <v>1210</v>
      </c>
      <c r="P20" s="167">
        <v>254</v>
      </c>
      <c r="Q20" s="167">
        <v>3.681</v>
      </c>
      <c r="R20" s="167">
        <v>44401</v>
      </c>
      <c r="S20" s="161">
        <v>0</v>
      </c>
      <c r="T20" s="167">
        <v>415.58899000000002</v>
      </c>
      <c r="U20" s="168">
        <v>1.5421052407900194E-5</v>
      </c>
      <c r="V20" s="168">
        <v>8.7111453419470131E-2</v>
      </c>
      <c r="W20" s="168">
        <v>3.5190025809477117E-2</v>
      </c>
    </row>
    <row r="21" spans="1:23" s="40" customFormat="1" ht="15.75" thickBot="1">
      <c r="A21" s="159">
        <v>7891</v>
      </c>
      <c r="B21" s="159">
        <v>7900</v>
      </c>
      <c r="C21" s="164" t="s">
        <v>1609</v>
      </c>
      <c r="D21" s="164"/>
      <c r="E21" s="164"/>
      <c r="F21" s="164" t="s">
        <v>1388</v>
      </c>
      <c r="G21" s="164" t="s">
        <v>1389</v>
      </c>
      <c r="H21" s="164" t="s">
        <v>76</v>
      </c>
      <c r="I21" s="164" t="s">
        <v>237</v>
      </c>
      <c r="J21" s="164" t="s">
        <v>61</v>
      </c>
      <c r="K21" s="164" t="s">
        <v>314</v>
      </c>
      <c r="L21" s="164" t="s">
        <v>476</v>
      </c>
      <c r="M21" s="164" t="s">
        <v>776</v>
      </c>
      <c r="N21" s="164" t="s">
        <v>62</v>
      </c>
      <c r="O21" s="164" t="s">
        <v>1210</v>
      </c>
      <c r="P21" s="167">
        <v>6912</v>
      </c>
      <c r="Q21" s="167">
        <v>3.681</v>
      </c>
      <c r="R21" s="167">
        <v>4255</v>
      </c>
      <c r="S21" s="161">
        <v>0</v>
      </c>
      <c r="T21" s="167">
        <v>1082.6027099999999</v>
      </c>
      <c r="U21" s="168">
        <v>5.6403228771495896E-5</v>
      </c>
      <c r="V21" s="168">
        <v>0.22692395085817146</v>
      </c>
      <c r="W21" s="168">
        <v>9.1669457620400061E-2</v>
      </c>
    </row>
    <row r="22" spans="1:23" ht="15.75" thickBot="1">
      <c r="A22" s="159">
        <v>7891</v>
      </c>
      <c r="B22" s="159">
        <v>7900</v>
      </c>
      <c r="C22" s="164" t="s">
        <v>1609</v>
      </c>
      <c r="D22" s="164"/>
      <c r="E22" s="164"/>
      <c r="F22" s="164" t="s">
        <v>1390</v>
      </c>
      <c r="G22" s="164" t="s">
        <v>1391</v>
      </c>
      <c r="H22" s="164" t="s">
        <v>76</v>
      </c>
      <c r="I22" s="164" t="s">
        <v>235</v>
      </c>
      <c r="J22" s="164" t="s">
        <v>61</v>
      </c>
      <c r="K22" s="164" t="s">
        <v>314</v>
      </c>
      <c r="L22" s="164" t="s">
        <v>476</v>
      </c>
      <c r="M22" s="164" t="s">
        <v>775</v>
      </c>
      <c r="N22" s="164" t="s">
        <v>62</v>
      </c>
      <c r="O22" s="164" t="s">
        <v>1210</v>
      </c>
      <c r="P22" s="167">
        <v>2187</v>
      </c>
      <c r="Q22" s="167">
        <v>3.681</v>
      </c>
      <c r="R22" s="167">
        <v>6630</v>
      </c>
      <c r="S22" s="161">
        <v>0</v>
      </c>
      <c r="T22" s="167">
        <v>533.73801000000003</v>
      </c>
      <c r="U22" s="168">
        <v>2.5875577728176807E-5</v>
      </c>
      <c r="V22" s="168">
        <v>0.11187662550039086</v>
      </c>
      <c r="W22" s="168">
        <v>4.5194302061272014E-2</v>
      </c>
    </row>
    <row r="23" spans="1:23" ht="15.75" thickBot="1">
      <c r="A23" s="159">
        <v>7891</v>
      </c>
      <c r="B23" s="159">
        <v>7900</v>
      </c>
      <c r="C23" s="164" t="s">
        <v>1608</v>
      </c>
      <c r="D23" s="164"/>
      <c r="E23" s="164"/>
      <c r="F23" s="164" t="s">
        <v>1373</v>
      </c>
      <c r="G23" s="164" t="s">
        <v>1374</v>
      </c>
      <c r="H23" s="164" t="s">
        <v>76</v>
      </c>
      <c r="I23" s="164" t="s">
        <v>235</v>
      </c>
      <c r="J23" s="164" t="s">
        <v>61</v>
      </c>
      <c r="K23" s="164" t="s">
        <v>314</v>
      </c>
      <c r="L23" s="164" t="s">
        <v>494</v>
      </c>
      <c r="M23" s="164" t="s">
        <v>775</v>
      </c>
      <c r="N23" s="164" t="s">
        <v>62</v>
      </c>
      <c r="O23" s="164" t="s">
        <v>1210</v>
      </c>
      <c r="P23" s="167">
        <v>48</v>
      </c>
      <c r="Q23" s="167">
        <v>3.681</v>
      </c>
      <c r="R23" s="167">
        <v>102524</v>
      </c>
      <c r="S23" s="161">
        <v>0</v>
      </c>
      <c r="T23" s="167">
        <v>181.14760999999999</v>
      </c>
      <c r="U23" s="168">
        <v>3.9896759140643731E-5</v>
      </c>
      <c r="V23" s="168">
        <v>3.7970283068767867E-2</v>
      </c>
      <c r="W23" s="168">
        <v>1.5338686116841291E-2</v>
      </c>
    </row>
    <row r="24" spans="1:23" ht="15.75" thickBot="1">
      <c r="A24" s="159">
        <v>11925</v>
      </c>
      <c r="B24" s="159">
        <v>11926</v>
      </c>
      <c r="C24" s="164" t="s">
        <v>1353</v>
      </c>
      <c r="D24" s="164" t="s">
        <v>1354</v>
      </c>
      <c r="E24" s="164" t="s">
        <v>2</v>
      </c>
      <c r="F24" s="164" t="s">
        <v>1392</v>
      </c>
      <c r="G24" s="165">
        <v>1145184</v>
      </c>
      <c r="H24" s="164" t="s">
        <v>102</v>
      </c>
      <c r="I24" s="164" t="s">
        <v>236</v>
      </c>
      <c r="J24" s="164" t="s">
        <v>53</v>
      </c>
      <c r="K24" s="164" t="s">
        <v>53</v>
      </c>
      <c r="L24" s="164" t="s">
        <v>311</v>
      </c>
      <c r="M24" s="164" t="s">
        <v>1002</v>
      </c>
      <c r="N24" s="164" t="s">
        <v>62</v>
      </c>
      <c r="O24" s="164" t="s">
        <v>1208</v>
      </c>
      <c r="P24" s="167">
        <v>489012</v>
      </c>
      <c r="Q24" s="167">
        <v>1</v>
      </c>
      <c r="R24" s="167">
        <v>386.95</v>
      </c>
      <c r="S24" s="161">
        <v>0</v>
      </c>
      <c r="T24" s="167">
        <v>1892.2319299999999</v>
      </c>
      <c r="U24" s="168">
        <v>0</v>
      </c>
      <c r="V24" s="168">
        <v>0.17521338205190606</v>
      </c>
      <c r="W24" s="168">
        <v>7.2283122469313538E-2</v>
      </c>
    </row>
    <row r="25" spans="1:23" ht="15.75" thickBot="1">
      <c r="A25" s="159">
        <v>11925</v>
      </c>
      <c r="B25" s="159">
        <v>11926</v>
      </c>
      <c r="C25" s="164" t="s">
        <v>1356</v>
      </c>
      <c r="D25" s="164" t="s">
        <v>1357</v>
      </c>
      <c r="E25" s="164" t="s">
        <v>2</v>
      </c>
      <c r="F25" s="164" t="s">
        <v>1382</v>
      </c>
      <c r="G25" s="165">
        <v>1146414</v>
      </c>
      <c r="H25" s="164" t="s">
        <v>102</v>
      </c>
      <c r="I25" s="164" t="s">
        <v>236</v>
      </c>
      <c r="J25" s="164" t="s">
        <v>53</v>
      </c>
      <c r="K25" s="164" t="s">
        <v>53</v>
      </c>
      <c r="L25" s="164" t="s">
        <v>311</v>
      </c>
      <c r="M25" s="164" t="s">
        <v>1002</v>
      </c>
      <c r="N25" s="164" t="s">
        <v>62</v>
      </c>
      <c r="O25" s="164" t="s">
        <v>1208</v>
      </c>
      <c r="P25" s="167">
        <v>46301</v>
      </c>
      <c r="Q25" s="167">
        <v>1</v>
      </c>
      <c r="R25" s="167">
        <v>3844.3</v>
      </c>
      <c r="S25" s="161">
        <v>0</v>
      </c>
      <c r="T25" s="167">
        <v>1779.9493399999999</v>
      </c>
      <c r="U25" s="168">
        <v>0</v>
      </c>
      <c r="V25" s="168">
        <v>0.16481644707393667</v>
      </c>
      <c r="W25" s="168">
        <v>6.7993935675947401E-2</v>
      </c>
    </row>
    <row r="26" spans="1:23" ht="15.75" thickBot="1">
      <c r="A26" s="159">
        <v>11925</v>
      </c>
      <c r="B26" s="159">
        <v>11926</v>
      </c>
      <c r="C26" s="164" t="s">
        <v>1362</v>
      </c>
      <c r="D26" s="164" t="s">
        <v>1363</v>
      </c>
      <c r="E26" s="164" t="s">
        <v>2</v>
      </c>
      <c r="F26" s="164" t="s">
        <v>1384</v>
      </c>
      <c r="G26" s="165">
        <v>1150572</v>
      </c>
      <c r="H26" s="164" t="s">
        <v>102</v>
      </c>
      <c r="I26" s="164" t="s">
        <v>235</v>
      </c>
      <c r="J26" s="164" t="s">
        <v>53</v>
      </c>
      <c r="K26" s="164" t="s">
        <v>314</v>
      </c>
      <c r="L26" s="164" t="s">
        <v>311</v>
      </c>
      <c r="M26" s="164" t="s">
        <v>1129</v>
      </c>
      <c r="N26" s="164" t="s">
        <v>62</v>
      </c>
      <c r="O26" s="164" t="s">
        <v>1208</v>
      </c>
      <c r="P26" s="167">
        <v>29247</v>
      </c>
      <c r="Q26" s="167">
        <v>1</v>
      </c>
      <c r="R26" s="167">
        <v>6781</v>
      </c>
      <c r="S26" s="161">
        <v>0</v>
      </c>
      <c r="T26" s="167">
        <v>1983.2390700000001</v>
      </c>
      <c r="U26" s="168">
        <v>0</v>
      </c>
      <c r="V26" s="168">
        <v>0.18364029237799454</v>
      </c>
      <c r="W26" s="168">
        <v>7.5759588615935403E-2</v>
      </c>
    </row>
    <row r="27" spans="1:23" ht="15.75" thickBot="1">
      <c r="A27" s="159">
        <v>11925</v>
      </c>
      <c r="B27" s="159">
        <v>11926</v>
      </c>
      <c r="C27" s="164" t="s">
        <v>1362</v>
      </c>
      <c r="D27" s="164" t="s">
        <v>1363</v>
      </c>
      <c r="E27" s="164" t="s">
        <v>2</v>
      </c>
      <c r="F27" s="164" t="s">
        <v>1385</v>
      </c>
      <c r="G27" s="165">
        <v>1150614</v>
      </c>
      <c r="H27" s="164" t="s">
        <v>102</v>
      </c>
      <c r="I27" s="164" t="s">
        <v>235</v>
      </c>
      <c r="J27" s="164" t="s">
        <v>53</v>
      </c>
      <c r="K27" s="164" t="s">
        <v>314</v>
      </c>
      <c r="L27" s="164" t="s">
        <v>311</v>
      </c>
      <c r="M27" s="164" t="s">
        <v>1127</v>
      </c>
      <c r="N27" s="164" t="s">
        <v>62</v>
      </c>
      <c r="O27" s="164" t="s">
        <v>1208</v>
      </c>
      <c r="P27" s="167">
        <v>7298</v>
      </c>
      <c r="Q27" s="167">
        <v>1</v>
      </c>
      <c r="R27" s="167">
        <v>7475</v>
      </c>
      <c r="S27" s="161">
        <v>0</v>
      </c>
      <c r="T27" s="167">
        <v>545.52549999999997</v>
      </c>
      <c r="U27" s="168">
        <v>0</v>
      </c>
      <c r="V27" s="168">
        <v>5.0513558266907101E-2</v>
      </c>
      <c r="W27" s="168">
        <v>2.0839034529257467E-2</v>
      </c>
    </row>
    <row r="28" spans="1:23" ht="15.75" thickBot="1">
      <c r="A28" s="159">
        <v>11925</v>
      </c>
      <c r="B28" s="159">
        <v>11926</v>
      </c>
      <c r="C28" s="164" t="s">
        <v>1362</v>
      </c>
      <c r="D28" s="164" t="s">
        <v>1363</v>
      </c>
      <c r="E28" s="164" t="s">
        <v>2</v>
      </c>
      <c r="F28" s="164" t="s">
        <v>1393</v>
      </c>
      <c r="G28" s="165">
        <v>1193069</v>
      </c>
      <c r="H28" s="164" t="s">
        <v>102</v>
      </c>
      <c r="I28" s="164" t="s">
        <v>236</v>
      </c>
      <c r="J28" s="164" t="s">
        <v>53</v>
      </c>
      <c r="K28" s="164" t="s">
        <v>53</v>
      </c>
      <c r="L28" s="164" t="s">
        <v>311</v>
      </c>
      <c r="M28" s="164" t="s">
        <v>1032</v>
      </c>
      <c r="N28" s="164" t="s">
        <v>62</v>
      </c>
      <c r="O28" s="164" t="s">
        <v>1208</v>
      </c>
      <c r="P28" s="167">
        <v>52966</v>
      </c>
      <c r="Q28" s="167">
        <v>1</v>
      </c>
      <c r="R28" s="167">
        <v>360.17</v>
      </c>
      <c r="S28" s="161">
        <v>0</v>
      </c>
      <c r="T28" s="167">
        <v>190.76764</v>
      </c>
      <c r="U28" s="168">
        <v>0</v>
      </c>
      <c r="V28" s="168">
        <v>1.7664348043456003E-2</v>
      </c>
      <c r="W28" s="168">
        <v>7.2873100103019164E-3</v>
      </c>
    </row>
    <row r="29" spans="1:23" ht="15.75" thickBot="1">
      <c r="A29" s="159">
        <v>11925</v>
      </c>
      <c r="B29" s="159">
        <v>11926</v>
      </c>
      <c r="C29" s="164" t="s">
        <v>1608</v>
      </c>
      <c r="D29" s="164"/>
      <c r="E29" s="164"/>
      <c r="F29" s="164" t="s">
        <v>1386</v>
      </c>
      <c r="G29" s="164" t="s">
        <v>1387</v>
      </c>
      <c r="H29" s="164" t="s">
        <v>76</v>
      </c>
      <c r="I29" s="164" t="s">
        <v>235</v>
      </c>
      <c r="J29" s="164" t="s">
        <v>61</v>
      </c>
      <c r="K29" s="164" t="s">
        <v>314</v>
      </c>
      <c r="L29" s="164" t="s">
        <v>479</v>
      </c>
      <c r="M29" s="164" t="s">
        <v>775</v>
      </c>
      <c r="N29" s="164" t="s">
        <v>62</v>
      </c>
      <c r="O29" s="164" t="s">
        <v>1210</v>
      </c>
      <c r="P29" s="167">
        <v>739</v>
      </c>
      <c r="Q29" s="167">
        <v>3.681</v>
      </c>
      <c r="R29" s="167">
        <v>44401</v>
      </c>
      <c r="S29" s="161">
        <v>0</v>
      </c>
      <c r="T29" s="167">
        <v>1208.9921300000001</v>
      </c>
      <c r="U29" s="168">
        <v>1.5421052407900194E-5</v>
      </c>
      <c r="V29" s="168">
        <v>0.11194801050177697</v>
      </c>
      <c r="W29" s="168">
        <v>4.6183411669427986E-2</v>
      </c>
    </row>
    <row r="30" spans="1:23" ht="15.75" thickBot="1">
      <c r="A30" s="159">
        <v>11925</v>
      </c>
      <c r="B30" s="159">
        <v>11926</v>
      </c>
      <c r="C30" s="164" t="s">
        <v>1609</v>
      </c>
      <c r="D30" s="164"/>
      <c r="E30" s="164"/>
      <c r="F30" s="164" t="s">
        <v>1388</v>
      </c>
      <c r="G30" s="164" t="s">
        <v>1389</v>
      </c>
      <c r="H30" s="164" t="s">
        <v>76</v>
      </c>
      <c r="I30" s="164" t="s">
        <v>237</v>
      </c>
      <c r="J30" s="164" t="s">
        <v>61</v>
      </c>
      <c r="K30" s="164" t="s">
        <v>314</v>
      </c>
      <c r="L30" s="164" t="s">
        <v>476</v>
      </c>
      <c r="M30" s="164" t="s">
        <v>776</v>
      </c>
      <c r="N30" s="164" t="s">
        <v>62</v>
      </c>
      <c r="O30" s="164" t="s">
        <v>1210</v>
      </c>
      <c r="P30" s="167">
        <v>7854</v>
      </c>
      <c r="Q30" s="167">
        <v>3.681</v>
      </c>
      <c r="R30" s="167">
        <v>4255</v>
      </c>
      <c r="S30" s="161">
        <v>0</v>
      </c>
      <c r="T30" s="167">
        <v>1230.14492</v>
      </c>
      <c r="U30" s="168">
        <v>5.6403228771495896E-5</v>
      </c>
      <c r="V30" s="168">
        <v>0.11390667731051944</v>
      </c>
      <c r="W30" s="168">
        <v>4.699144671306963E-2</v>
      </c>
    </row>
    <row r="31" spans="1:23" ht="15.75" thickBot="1">
      <c r="A31" s="159">
        <v>11925</v>
      </c>
      <c r="B31" s="159">
        <v>11926</v>
      </c>
      <c r="C31" s="164" t="s">
        <v>1609</v>
      </c>
      <c r="D31" s="164"/>
      <c r="E31" s="164"/>
      <c r="F31" s="164" t="s">
        <v>1390</v>
      </c>
      <c r="G31" s="164" t="s">
        <v>1391</v>
      </c>
      <c r="H31" s="164" t="s">
        <v>76</v>
      </c>
      <c r="I31" s="164" t="s">
        <v>235</v>
      </c>
      <c r="J31" s="164" t="s">
        <v>61</v>
      </c>
      <c r="K31" s="164" t="s">
        <v>314</v>
      </c>
      <c r="L31" s="164" t="s">
        <v>476</v>
      </c>
      <c r="M31" s="164" t="s">
        <v>775</v>
      </c>
      <c r="N31" s="164" t="s">
        <v>62</v>
      </c>
      <c r="O31" s="164" t="s">
        <v>1210</v>
      </c>
      <c r="P31" s="167">
        <v>1866</v>
      </c>
      <c r="Q31" s="167">
        <v>3.681</v>
      </c>
      <c r="R31" s="167">
        <v>6630</v>
      </c>
      <c r="S31" s="161">
        <v>0</v>
      </c>
      <c r="T31" s="167">
        <v>455.39785999999998</v>
      </c>
      <c r="U31" s="168">
        <v>2.5875577728176807E-5</v>
      </c>
      <c r="V31" s="168">
        <v>4.2168086250294078E-2</v>
      </c>
      <c r="W31" s="168">
        <v>1.7396165218839372E-2</v>
      </c>
    </row>
    <row r="32" spans="1:23" ht="15.75" thickBot="1">
      <c r="A32" s="159">
        <v>11925</v>
      </c>
      <c r="B32" s="159">
        <v>11926</v>
      </c>
      <c r="C32" s="164" t="s">
        <v>1608</v>
      </c>
      <c r="D32" s="164"/>
      <c r="E32" s="164"/>
      <c r="F32" s="164" t="s">
        <v>1373</v>
      </c>
      <c r="G32" s="164" t="s">
        <v>1374</v>
      </c>
      <c r="H32" s="164" t="s">
        <v>76</v>
      </c>
      <c r="I32" s="164" t="s">
        <v>235</v>
      </c>
      <c r="J32" s="164" t="s">
        <v>61</v>
      </c>
      <c r="K32" s="164" t="s">
        <v>314</v>
      </c>
      <c r="L32" s="164" t="s">
        <v>494</v>
      </c>
      <c r="M32" s="164" t="s">
        <v>775</v>
      </c>
      <c r="N32" s="164" t="s">
        <v>62</v>
      </c>
      <c r="O32" s="164" t="s">
        <v>1210</v>
      </c>
      <c r="P32" s="167">
        <v>401</v>
      </c>
      <c r="Q32" s="167">
        <v>3.681</v>
      </c>
      <c r="R32" s="167">
        <v>102524</v>
      </c>
      <c r="S32" s="161">
        <v>0</v>
      </c>
      <c r="T32" s="167">
        <v>1513.33728</v>
      </c>
      <c r="U32" s="168">
        <v>3.9896759140643731E-5</v>
      </c>
      <c r="V32" s="168">
        <v>0.14012919812320909</v>
      </c>
      <c r="W32" s="168">
        <v>5.7809374323166518E-2</v>
      </c>
    </row>
    <row r="33" spans="1:23" ht="15.75" thickBot="1">
      <c r="A33" s="159">
        <v>11925</v>
      </c>
      <c r="B33" s="159">
        <v>11928</v>
      </c>
      <c r="C33" s="164" t="s">
        <v>1356</v>
      </c>
      <c r="D33" s="164" t="s">
        <v>1357</v>
      </c>
      <c r="E33" s="164" t="s">
        <v>2</v>
      </c>
      <c r="F33" s="164" t="s">
        <v>1381</v>
      </c>
      <c r="G33" s="165">
        <v>1146133</v>
      </c>
      <c r="H33" s="164" t="s">
        <v>102</v>
      </c>
      <c r="I33" s="164" t="s">
        <v>236</v>
      </c>
      <c r="J33" s="164" t="s">
        <v>53</v>
      </c>
      <c r="K33" s="164" t="s">
        <v>53</v>
      </c>
      <c r="L33" s="164" t="s">
        <v>311</v>
      </c>
      <c r="M33" s="164" t="s">
        <v>1026</v>
      </c>
      <c r="N33" s="164" t="s">
        <v>62</v>
      </c>
      <c r="O33" s="164" t="s">
        <v>1208</v>
      </c>
      <c r="P33" s="167">
        <v>258815</v>
      </c>
      <c r="Q33" s="167">
        <v>1</v>
      </c>
      <c r="R33" s="167">
        <v>2474.14</v>
      </c>
      <c r="S33" s="161">
        <v>0</v>
      </c>
      <c r="T33" s="167">
        <v>6403.4454400000004</v>
      </c>
      <c r="U33" s="168">
        <v>0</v>
      </c>
      <c r="V33" s="168">
        <v>1</v>
      </c>
      <c r="W33" s="168">
        <v>4.7495350593528593E-2</v>
      </c>
    </row>
    <row r="34" spans="1:23" ht="15.75" thickBot="1">
      <c r="A34" s="159">
        <v>11925</v>
      </c>
      <c r="B34" s="159">
        <v>11934</v>
      </c>
      <c r="C34" s="164" t="s">
        <v>1607</v>
      </c>
      <c r="D34" s="164"/>
      <c r="E34" s="164"/>
      <c r="F34" s="164" t="s">
        <v>1371</v>
      </c>
      <c r="G34" s="164" t="s">
        <v>1372</v>
      </c>
      <c r="H34" s="164" t="s">
        <v>76</v>
      </c>
      <c r="I34" s="164" t="s">
        <v>235</v>
      </c>
      <c r="J34" s="164" t="s">
        <v>61</v>
      </c>
      <c r="K34" s="164" t="s">
        <v>314</v>
      </c>
      <c r="L34" s="164" t="s">
        <v>102</v>
      </c>
      <c r="M34" s="164" t="s">
        <v>775</v>
      </c>
      <c r="N34" s="164" t="s">
        <v>62</v>
      </c>
      <c r="O34" s="164" t="s">
        <v>1211</v>
      </c>
      <c r="P34" s="167">
        <v>14235</v>
      </c>
      <c r="Q34" s="167">
        <v>3.9790999999999999</v>
      </c>
      <c r="R34" s="167">
        <v>9464.01</v>
      </c>
      <c r="S34" s="161">
        <v>0</v>
      </c>
      <c r="T34" s="167">
        <v>5360.6507799999999</v>
      </c>
      <c r="U34" s="168">
        <v>2.6296599960592775E-4</v>
      </c>
      <c r="V34" s="168">
        <v>0.20135382053504128</v>
      </c>
      <c r="W34" s="168">
        <v>0.19009067459139992</v>
      </c>
    </row>
    <row r="35" spans="1:23" ht="15.75" thickBot="1">
      <c r="A35" s="159">
        <v>11925</v>
      </c>
      <c r="B35" s="159">
        <v>11934</v>
      </c>
      <c r="C35" s="164" t="s">
        <v>1608</v>
      </c>
      <c r="D35" s="164"/>
      <c r="E35" s="164"/>
      <c r="F35" s="164" t="s">
        <v>1373</v>
      </c>
      <c r="G35" s="164" t="s">
        <v>1374</v>
      </c>
      <c r="H35" s="164" t="s">
        <v>76</v>
      </c>
      <c r="I35" s="164" t="s">
        <v>235</v>
      </c>
      <c r="J35" s="164" t="s">
        <v>61</v>
      </c>
      <c r="K35" s="164" t="s">
        <v>314</v>
      </c>
      <c r="L35" s="164" t="s">
        <v>494</v>
      </c>
      <c r="M35" s="164" t="s">
        <v>775</v>
      </c>
      <c r="N35" s="164" t="s">
        <v>62</v>
      </c>
      <c r="O35" s="164" t="s">
        <v>1210</v>
      </c>
      <c r="P35" s="167">
        <v>1420</v>
      </c>
      <c r="Q35" s="167">
        <v>3.681</v>
      </c>
      <c r="R35" s="167">
        <v>102524</v>
      </c>
      <c r="S35" s="161">
        <v>0</v>
      </c>
      <c r="T35" s="167">
        <v>5358.9499800000003</v>
      </c>
      <c r="U35" s="168">
        <v>3.9896759140643731E-5</v>
      </c>
      <c r="V35" s="168">
        <v>0.20128993601951872</v>
      </c>
      <c r="W35" s="168">
        <v>0.19003036358950606</v>
      </c>
    </row>
    <row r="36" spans="1:23" ht="15.75" thickBot="1">
      <c r="A36" s="159">
        <v>11925</v>
      </c>
      <c r="B36" s="159">
        <v>11934</v>
      </c>
      <c r="C36" s="164" t="s">
        <v>1609</v>
      </c>
      <c r="D36" s="164"/>
      <c r="E36" s="164"/>
      <c r="F36" s="164" t="s">
        <v>1375</v>
      </c>
      <c r="G36" s="164" t="s">
        <v>1376</v>
      </c>
      <c r="H36" s="164" t="s">
        <v>76</v>
      </c>
      <c r="I36" s="164" t="s">
        <v>235</v>
      </c>
      <c r="J36" s="164" t="s">
        <v>61</v>
      </c>
      <c r="K36" s="164" t="s">
        <v>314</v>
      </c>
      <c r="L36" s="164" t="s">
        <v>494</v>
      </c>
      <c r="M36" s="164" t="s">
        <v>775</v>
      </c>
      <c r="N36" s="164" t="s">
        <v>62</v>
      </c>
      <c r="O36" s="164" t="s">
        <v>1210</v>
      </c>
      <c r="P36" s="167">
        <v>2623</v>
      </c>
      <c r="Q36" s="167">
        <v>3.681</v>
      </c>
      <c r="R36" s="167">
        <v>55249</v>
      </c>
      <c r="S36" s="161">
        <v>0</v>
      </c>
      <c r="T36" s="167">
        <v>5334.4362499999997</v>
      </c>
      <c r="U36" s="168">
        <v>1.0214037649289259E-5</v>
      </c>
      <c r="V36" s="168">
        <v>0.20036916475617136</v>
      </c>
      <c r="W36" s="168">
        <v>0.1891610975873563</v>
      </c>
    </row>
    <row r="37" spans="1:23" ht="15.75" thickBot="1">
      <c r="A37" s="159">
        <v>11925</v>
      </c>
      <c r="B37" s="159">
        <v>11934</v>
      </c>
      <c r="C37" s="164" t="s">
        <v>1610</v>
      </c>
      <c r="D37" s="164"/>
      <c r="E37" s="164"/>
      <c r="F37" s="164" t="s">
        <v>1377</v>
      </c>
      <c r="G37" s="164" t="s">
        <v>1378</v>
      </c>
      <c r="H37" s="164" t="s">
        <v>76</v>
      </c>
      <c r="I37" s="164" t="s">
        <v>235</v>
      </c>
      <c r="J37" s="164" t="s">
        <v>61</v>
      </c>
      <c r="K37" s="164" t="s">
        <v>314</v>
      </c>
      <c r="L37" s="164" t="s">
        <v>494</v>
      </c>
      <c r="M37" s="164" t="s">
        <v>775</v>
      </c>
      <c r="N37" s="164" t="s">
        <v>62</v>
      </c>
      <c r="O37" s="164" t="s">
        <v>1210</v>
      </c>
      <c r="P37" s="167">
        <v>14094</v>
      </c>
      <c r="Q37" s="167">
        <v>3.681</v>
      </c>
      <c r="R37" s="167">
        <v>10345</v>
      </c>
      <c r="S37" s="161">
        <v>0</v>
      </c>
      <c r="T37" s="167">
        <v>5366.9874499999996</v>
      </c>
      <c r="U37" s="168">
        <v>1.5373260078992287E-4</v>
      </c>
      <c r="V37" s="168">
        <v>0.20159183505348929</v>
      </c>
      <c r="W37" s="168">
        <v>0.19031537527129816</v>
      </c>
    </row>
    <row r="38" spans="1:23" ht="15.75" thickBot="1">
      <c r="A38" s="159">
        <v>11925</v>
      </c>
      <c r="B38" s="159">
        <v>11934</v>
      </c>
      <c r="C38" s="164" t="s">
        <v>1610</v>
      </c>
      <c r="D38" s="164"/>
      <c r="E38" s="164"/>
      <c r="F38" s="164" t="s">
        <v>1379</v>
      </c>
      <c r="G38" s="164" t="s">
        <v>1380</v>
      </c>
      <c r="H38" s="164" t="s">
        <v>76</v>
      </c>
      <c r="I38" s="164" t="s">
        <v>235</v>
      </c>
      <c r="J38" s="164" t="s">
        <v>61</v>
      </c>
      <c r="K38" s="164" t="s">
        <v>204</v>
      </c>
      <c r="L38" s="164" t="s">
        <v>488</v>
      </c>
      <c r="M38" s="164" t="s">
        <v>775</v>
      </c>
      <c r="N38" s="164" t="s">
        <v>62</v>
      </c>
      <c r="O38" s="164" t="s">
        <v>1211</v>
      </c>
      <c r="P38" s="167">
        <v>26228</v>
      </c>
      <c r="Q38" s="167">
        <v>3.9790999999999999</v>
      </c>
      <c r="R38" s="167">
        <v>4984.5</v>
      </c>
      <c r="S38" s="161">
        <v>0</v>
      </c>
      <c r="T38" s="167">
        <v>5202.0153499999997</v>
      </c>
      <c r="U38" s="168">
        <v>2.546452916677433E-4</v>
      </c>
      <c r="V38" s="168">
        <v>0.19539524363577923</v>
      </c>
      <c r="W38" s="168">
        <v>0.18446540311964088</v>
      </c>
    </row>
    <row r="39" spans="1:23" ht="15.75" thickBot="1">
      <c r="A39" s="159">
        <v>11939</v>
      </c>
      <c r="B39" s="159">
        <v>11942</v>
      </c>
      <c r="C39" s="164" t="s">
        <v>1356</v>
      </c>
      <c r="D39" s="164" t="s">
        <v>1357</v>
      </c>
      <c r="E39" s="164" t="s">
        <v>2</v>
      </c>
      <c r="F39" s="164" t="s">
        <v>1381</v>
      </c>
      <c r="G39" s="165">
        <v>1146133</v>
      </c>
      <c r="H39" s="164" t="s">
        <v>102</v>
      </c>
      <c r="I39" s="164" t="s">
        <v>236</v>
      </c>
      <c r="J39" s="164" t="s">
        <v>53</v>
      </c>
      <c r="K39" s="164" t="s">
        <v>53</v>
      </c>
      <c r="L39" s="164" t="s">
        <v>311</v>
      </c>
      <c r="M39" s="164" t="s">
        <v>1026</v>
      </c>
      <c r="N39" s="164" t="s">
        <v>62</v>
      </c>
      <c r="O39" s="164" t="s">
        <v>1208</v>
      </c>
      <c r="P39" s="167">
        <v>692844</v>
      </c>
      <c r="Q39" s="167">
        <v>1</v>
      </c>
      <c r="R39" s="167">
        <v>2474.14</v>
      </c>
      <c r="S39" s="161">
        <v>0</v>
      </c>
      <c r="T39" s="167">
        <v>17141.930540000001</v>
      </c>
      <c r="U39" s="168">
        <v>0</v>
      </c>
      <c r="V39" s="168">
        <v>1</v>
      </c>
      <c r="W39" s="168">
        <v>5.0614706864865022E-2</v>
      </c>
    </row>
    <row r="40" spans="1:23" ht="15.75" thickBot="1">
      <c r="A40" s="159">
        <v>11939</v>
      </c>
      <c r="B40" s="159">
        <v>11943</v>
      </c>
      <c r="C40" s="164" t="s">
        <v>1353</v>
      </c>
      <c r="D40" s="164" t="s">
        <v>1354</v>
      </c>
      <c r="E40" s="164" t="s">
        <v>2</v>
      </c>
      <c r="F40" s="164" t="s">
        <v>1394</v>
      </c>
      <c r="G40" s="165">
        <v>1143734</v>
      </c>
      <c r="H40" s="164" t="s">
        <v>102</v>
      </c>
      <c r="I40" s="164" t="s">
        <v>235</v>
      </c>
      <c r="J40" s="164" t="s">
        <v>53</v>
      </c>
      <c r="K40" s="164" t="s">
        <v>314</v>
      </c>
      <c r="L40" s="164" t="s">
        <v>311</v>
      </c>
      <c r="M40" s="164" t="s">
        <v>1129</v>
      </c>
      <c r="N40" s="164" t="s">
        <v>62</v>
      </c>
      <c r="O40" s="164" t="s">
        <v>1208</v>
      </c>
      <c r="P40" s="167">
        <v>7500</v>
      </c>
      <c r="Q40" s="167">
        <v>1</v>
      </c>
      <c r="R40" s="167">
        <v>15170</v>
      </c>
      <c r="S40" s="161">
        <v>0</v>
      </c>
      <c r="T40" s="167">
        <v>1137.75</v>
      </c>
      <c r="U40" s="168">
        <v>0</v>
      </c>
      <c r="V40" s="168">
        <v>0.17850375521303333</v>
      </c>
      <c r="W40" s="168">
        <v>7.5177257616143883E-2</v>
      </c>
    </row>
    <row r="41" spans="1:23" ht="15.75" thickBot="1">
      <c r="A41" s="159">
        <v>11939</v>
      </c>
      <c r="B41" s="159">
        <v>11943</v>
      </c>
      <c r="C41" s="164" t="s">
        <v>1359</v>
      </c>
      <c r="D41" s="164" t="s">
        <v>1360</v>
      </c>
      <c r="E41" s="164" t="s">
        <v>2</v>
      </c>
      <c r="F41" s="164" t="s">
        <v>1395</v>
      </c>
      <c r="G41" s="165">
        <v>1149020</v>
      </c>
      <c r="H41" s="164" t="s">
        <v>102</v>
      </c>
      <c r="I41" s="164" t="s">
        <v>235</v>
      </c>
      <c r="J41" s="164" t="s">
        <v>53</v>
      </c>
      <c r="K41" s="164" t="s">
        <v>314</v>
      </c>
      <c r="L41" s="164" t="s">
        <v>311</v>
      </c>
      <c r="M41" s="164" t="s">
        <v>1125</v>
      </c>
      <c r="N41" s="164" t="s">
        <v>62</v>
      </c>
      <c r="O41" s="164" t="s">
        <v>1208</v>
      </c>
      <c r="P41" s="167">
        <v>8767</v>
      </c>
      <c r="Q41" s="167">
        <v>1</v>
      </c>
      <c r="R41" s="167">
        <v>2237</v>
      </c>
      <c r="S41" s="161">
        <v>0</v>
      </c>
      <c r="T41" s="167">
        <v>196.11779000000001</v>
      </c>
      <c r="U41" s="168">
        <v>0</v>
      </c>
      <c r="V41" s="168">
        <v>3.0769292005344825E-2</v>
      </c>
      <c r="W41" s="168">
        <v>1.2958556468414683E-2</v>
      </c>
    </row>
    <row r="42" spans="1:23" ht="15.75" thickBot="1">
      <c r="A42" s="159">
        <v>11939</v>
      </c>
      <c r="B42" s="159">
        <v>11943</v>
      </c>
      <c r="C42" s="164" t="s">
        <v>1359</v>
      </c>
      <c r="D42" s="164" t="s">
        <v>1360</v>
      </c>
      <c r="E42" s="164" t="s">
        <v>2</v>
      </c>
      <c r="F42" s="164" t="s">
        <v>1396</v>
      </c>
      <c r="G42" s="165">
        <v>1149137</v>
      </c>
      <c r="H42" s="164" t="s">
        <v>102</v>
      </c>
      <c r="I42" s="164" t="s">
        <v>235</v>
      </c>
      <c r="J42" s="164" t="s">
        <v>53</v>
      </c>
      <c r="K42" s="164" t="s">
        <v>314</v>
      </c>
      <c r="L42" s="164" t="s">
        <v>311</v>
      </c>
      <c r="M42" s="164" t="s">
        <v>1129</v>
      </c>
      <c r="N42" s="164" t="s">
        <v>62</v>
      </c>
      <c r="O42" s="164" t="s">
        <v>1208</v>
      </c>
      <c r="P42" s="167">
        <v>19311</v>
      </c>
      <c r="Q42" s="167">
        <v>1</v>
      </c>
      <c r="R42" s="167">
        <v>5178</v>
      </c>
      <c r="S42" s="161">
        <v>0</v>
      </c>
      <c r="T42" s="167">
        <v>999.92358000000002</v>
      </c>
      <c r="U42" s="168">
        <v>0</v>
      </c>
      <c r="V42" s="168">
        <v>0.1568799067950428</v>
      </c>
      <c r="W42" s="168">
        <v>6.6070325264879673E-2</v>
      </c>
    </row>
    <row r="43" spans="1:23" ht="15.75" thickBot="1">
      <c r="A43" s="159">
        <v>11939</v>
      </c>
      <c r="B43" s="159">
        <v>11943</v>
      </c>
      <c r="C43" s="164" t="s">
        <v>1359</v>
      </c>
      <c r="D43" s="164" t="s">
        <v>1360</v>
      </c>
      <c r="E43" s="164" t="s">
        <v>2</v>
      </c>
      <c r="F43" s="164" t="s">
        <v>1397</v>
      </c>
      <c r="G43" s="165">
        <v>1149897</v>
      </c>
      <c r="H43" s="164" t="s">
        <v>102</v>
      </c>
      <c r="I43" s="164" t="s">
        <v>235</v>
      </c>
      <c r="J43" s="164" t="s">
        <v>53</v>
      </c>
      <c r="K43" s="164" t="s">
        <v>314</v>
      </c>
      <c r="L43" s="164" t="s">
        <v>311</v>
      </c>
      <c r="M43" s="164" t="s">
        <v>1139</v>
      </c>
      <c r="N43" s="164" t="s">
        <v>62</v>
      </c>
      <c r="O43" s="164" t="s">
        <v>1208</v>
      </c>
      <c r="P43" s="167">
        <v>65898</v>
      </c>
      <c r="Q43" s="167">
        <v>1</v>
      </c>
      <c r="R43" s="167">
        <v>490.6</v>
      </c>
      <c r="S43" s="161">
        <v>0</v>
      </c>
      <c r="T43" s="167">
        <v>323.29559</v>
      </c>
      <c r="U43" s="168">
        <v>0</v>
      </c>
      <c r="V43" s="168">
        <v>5.0722458236706819E-2</v>
      </c>
      <c r="W43" s="168">
        <v>2.1361877262661595E-2</v>
      </c>
    </row>
    <row r="44" spans="1:23" ht="15.75" thickBot="1">
      <c r="A44" s="159">
        <v>11939</v>
      </c>
      <c r="B44" s="159">
        <v>11943</v>
      </c>
      <c r="C44" s="164" t="s">
        <v>1362</v>
      </c>
      <c r="D44" s="164" t="s">
        <v>1363</v>
      </c>
      <c r="E44" s="164" t="s">
        <v>2</v>
      </c>
      <c r="F44" s="164" t="s">
        <v>1384</v>
      </c>
      <c r="G44" s="165">
        <v>1150572</v>
      </c>
      <c r="H44" s="164" t="s">
        <v>102</v>
      </c>
      <c r="I44" s="164" t="s">
        <v>235</v>
      </c>
      <c r="J44" s="164" t="s">
        <v>53</v>
      </c>
      <c r="K44" s="164" t="s">
        <v>314</v>
      </c>
      <c r="L44" s="164" t="s">
        <v>311</v>
      </c>
      <c r="M44" s="164" t="s">
        <v>1129</v>
      </c>
      <c r="N44" s="164" t="s">
        <v>62</v>
      </c>
      <c r="O44" s="164" t="s">
        <v>1208</v>
      </c>
      <c r="P44" s="167">
        <v>10370</v>
      </c>
      <c r="Q44" s="167">
        <v>1</v>
      </c>
      <c r="R44" s="167">
        <v>6781</v>
      </c>
      <c r="S44" s="161">
        <v>0</v>
      </c>
      <c r="T44" s="167">
        <v>703.18970000000002</v>
      </c>
      <c r="U44" s="168">
        <v>0</v>
      </c>
      <c r="V44" s="168">
        <v>0.11032476561382232</v>
      </c>
      <c r="W44" s="168">
        <v>4.6463522944336567E-2</v>
      </c>
    </row>
    <row r="45" spans="1:23" ht="15.75" thickBot="1">
      <c r="A45" s="159">
        <v>11939</v>
      </c>
      <c r="B45" s="159">
        <v>11943</v>
      </c>
      <c r="C45" s="164" t="s">
        <v>1398</v>
      </c>
      <c r="D45" s="164" t="s">
        <v>1399</v>
      </c>
      <c r="E45" s="164" t="s">
        <v>2</v>
      </c>
      <c r="F45" s="164" t="s">
        <v>1400</v>
      </c>
      <c r="G45" s="165">
        <v>1165828</v>
      </c>
      <c r="H45" s="164" t="s">
        <v>102</v>
      </c>
      <c r="I45" s="164" t="s">
        <v>235</v>
      </c>
      <c r="J45" s="164" t="s">
        <v>53</v>
      </c>
      <c r="K45" s="164" t="s">
        <v>314</v>
      </c>
      <c r="L45" s="164" t="s">
        <v>311</v>
      </c>
      <c r="M45" s="164" t="s">
        <v>1129</v>
      </c>
      <c r="N45" s="164" t="s">
        <v>62</v>
      </c>
      <c r="O45" s="164" t="s">
        <v>1208</v>
      </c>
      <c r="P45" s="167">
        <v>15830</v>
      </c>
      <c r="Q45" s="167">
        <v>1</v>
      </c>
      <c r="R45" s="167">
        <v>8318</v>
      </c>
      <c r="S45" s="161">
        <v>0</v>
      </c>
      <c r="T45" s="167">
        <v>1316.7393999999999</v>
      </c>
      <c r="U45" s="168">
        <v>0</v>
      </c>
      <c r="V45" s="168">
        <v>0.20658574162773574</v>
      </c>
      <c r="W45" s="168">
        <v>8.7004049296529745E-2</v>
      </c>
    </row>
    <row r="46" spans="1:23" ht="15.75" thickBot="1">
      <c r="A46" s="159">
        <v>11939</v>
      </c>
      <c r="B46" s="159">
        <v>11943</v>
      </c>
      <c r="C46" s="164" t="s">
        <v>1608</v>
      </c>
      <c r="D46" s="164"/>
      <c r="E46" s="164"/>
      <c r="F46" s="164" t="s">
        <v>1386</v>
      </c>
      <c r="G46" s="164" t="s">
        <v>1387</v>
      </c>
      <c r="H46" s="164" t="s">
        <v>76</v>
      </c>
      <c r="I46" s="164" t="s">
        <v>235</v>
      </c>
      <c r="J46" s="164" t="s">
        <v>61</v>
      </c>
      <c r="K46" s="164" t="s">
        <v>314</v>
      </c>
      <c r="L46" s="164" t="s">
        <v>479</v>
      </c>
      <c r="M46" s="164" t="s">
        <v>775</v>
      </c>
      <c r="N46" s="164" t="s">
        <v>62</v>
      </c>
      <c r="O46" s="164" t="s">
        <v>1210</v>
      </c>
      <c r="P46" s="167">
        <v>318</v>
      </c>
      <c r="Q46" s="167">
        <v>3.681</v>
      </c>
      <c r="R46" s="167">
        <v>44401</v>
      </c>
      <c r="S46" s="161">
        <v>0</v>
      </c>
      <c r="T46" s="167">
        <v>520.24291000000005</v>
      </c>
      <c r="U46" s="168">
        <v>1.5421052407900194E-5</v>
      </c>
      <c r="V46" s="168">
        <v>8.1621896776933531E-2</v>
      </c>
      <c r="W46" s="168">
        <v>3.4375245236688515E-2</v>
      </c>
    </row>
    <row r="47" spans="1:23" ht="15.75" thickBot="1">
      <c r="A47" s="159">
        <v>11939</v>
      </c>
      <c r="B47" s="159">
        <v>11943</v>
      </c>
      <c r="C47" s="164" t="s">
        <v>1609</v>
      </c>
      <c r="D47" s="164"/>
      <c r="E47" s="164"/>
      <c r="F47" s="164" t="s">
        <v>1401</v>
      </c>
      <c r="G47" s="164" t="s">
        <v>1402</v>
      </c>
      <c r="H47" s="164" t="s">
        <v>76</v>
      </c>
      <c r="I47" s="164" t="s">
        <v>235</v>
      </c>
      <c r="J47" s="164" t="s">
        <v>61</v>
      </c>
      <c r="K47" s="164" t="s">
        <v>314</v>
      </c>
      <c r="L47" s="164" t="s">
        <v>476</v>
      </c>
      <c r="M47" s="164" t="s">
        <v>775</v>
      </c>
      <c r="N47" s="164" t="s">
        <v>62</v>
      </c>
      <c r="O47" s="164" t="s">
        <v>1210</v>
      </c>
      <c r="P47" s="167">
        <v>255</v>
      </c>
      <c r="Q47" s="167">
        <v>3.681</v>
      </c>
      <c r="R47" s="167">
        <v>52573</v>
      </c>
      <c r="S47" s="161">
        <v>0</v>
      </c>
      <c r="T47" s="167">
        <v>493.47908999999999</v>
      </c>
      <c r="U47" s="168">
        <v>1.6145619047727588E-5</v>
      </c>
      <c r="V47" s="168">
        <v>7.7422870300250871E-2</v>
      </c>
      <c r="W47" s="168">
        <v>3.2606815800580315E-2</v>
      </c>
    </row>
    <row r="48" spans="1:23" ht="15.75" thickBot="1">
      <c r="A48" s="159">
        <v>11939</v>
      </c>
      <c r="B48" s="159">
        <v>11943</v>
      </c>
      <c r="C48" s="164" t="s">
        <v>1608</v>
      </c>
      <c r="D48" s="164"/>
      <c r="E48" s="164"/>
      <c r="F48" s="164" t="s">
        <v>1373</v>
      </c>
      <c r="G48" s="164" t="s">
        <v>1374</v>
      </c>
      <c r="H48" s="164" t="s">
        <v>76</v>
      </c>
      <c r="I48" s="164" t="s">
        <v>235</v>
      </c>
      <c r="J48" s="164" t="s">
        <v>61</v>
      </c>
      <c r="K48" s="164" t="s">
        <v>314</v>
      </c>
      <c r="L48" s="164" t="s">
        <v>494</v>
      </c>
      <c r="M48" s="164" t="s">
        <v>775</v>
      </c>
      <c r="N48" s="164" t="s">
        <v>62</v>
      </c>
      <c r="O48" s="164" t="s">
        <v>1210</v>
      </c>
      <c r="P48" s="167">
        <v>181</v>
      </c>
      <c r="Q48" s="167">
        <v>3.681</v>
      </c>
      <c r="R48" s="167">
        <v>102524</v>
      </c>
      <c r="S48" s="161">
        <v>0</v>
      </c>
      <c r="T48" s="167">
        <v>683.07743000000005</v>
      </c>
      <c r="U48" s="168">
        <v>3.9896759140643731E-5</v>
      </c>
      <c r="V48" s="168">
        <v>0.10716931343112979</v>
      </c>
      <c r="W48" s="168">
        <v>4.5134597167113592E-2</v>
      </c>
    </row>
    <row r="49" spans="1:23" ht="15.75" thickBot="1">
      <c r="A49" s="159">
        <v>11939</v>
      </c>
      <c r="B49" s="159">
        <v>11944</v>
      </c>
      <c r="C49" s="164" t="s">
        <v>1609</v>
      </c>
      <c r="D49" s="164"/>
      <c r="E49" s="164"/>
      <c r="F49" s="164" t="s">
        <v>1401</v>
      </c>
      <c r="G49" s="164" t="s">
        <v>1402</v>
      </c>
      <c r="H49" s="164" t="s">
        <v>76</v>
      </c>
      <c r="I49" s="164" t="s">
        <v>235</v>
      </c>
      <c r="J49" s="164" t="s">
        <v>61</v>
      </c>
      <c r="K49" s="164" t="s">
        <v>314</v>
      </c>
      <c r="L49" s="164" t="s">
        <v>476</v>
      </c>
      <c r="M49" s="164" t="s">
        <v>775</v>
      </c>
      <c r="N49" s="164" t="s">
        <v>62</v>
      </c>
      <c r="O49" s="164" t="s">
        <v>1210</v>
      </c>
      <c r="P49" s="167">
        <v>966</v>
      </c>
      <c r="Q49" s="167">
        <v>3.681</v>
      </c>
      <c r="R49" s="167">
        <v>52573</v>
      </c>
      <c r="S49" s="161">
        <v>0</v>
      </c>
      <c r="T49" s="167">
        <v>1869.4149199999999</v>
      </c>
      <c r="U49" s="168">
        <v>1.6145619047727588E-5</v>
      </c>
      <c r="V49" s="168">
        <v>5.8973205585838274E-2</v>
      </c>
      <c r="W49" s="168">
        <v>5.0199205838091933E-2</v>
      </c>
    </row>
    <row r="50" spans="1:23" ht="15.75" thickBot="1">
      <c r="A50" s="159">
        <v>11939</v>
      </c>
      <c r="B50" s="159">
        <v>11944</v>
      </c>
      <c r="C50" s="164" t="s">
        <v>1609</v>
      </c>
      <c r="D50" s="164"/>
      <c r="E50" s="164"/>
      <c r="F50" s="164" t="s">
        <v>1403</v>
      </c>
      <c r="G50" s="164" t="s">
        <v>1404</v>
      </c>
      <c r="H50" s="164" t="s">
        <v>76</v>
      </c>
      <c r="I50" s="164" t="s">
        <v>237</v>
      </c>
      <c r="J50" s="164" t="s">
        <v>61</v>
      </c>
      <c r="K50" s="164" t="s">
        <v>314</v>
      </c>
      <c r="L50" s="164" t="s">
        <v>494</v>
      </c>
      <c r="M50" s="164" t="s">
        <v>776</v>
      </c>
      <c r="N50" s="164" t="s">
        <v>62</v>
      </c>
      <c r="O50" s="164" t="s">
        <v>1210</v>
      </c>
      <c r="P50" s="167">
        <v>1360</v>
      </c>
      <c r="Q50" s="167">
        <v>3.681</v>
      </c>
      <c r="R50" s="167">
        <v>8770</v>
      </c>
      <c r="S50" s="161">
        <v>0</v>
      </c>
      <c r="T50" s="167">
        <v>439.04023000000001</v>
      </c>
      <c r="U50" s="168">
        <v>5.4702311228960625E-5</v>
      </c>
      <c r="V50" s="168">
        <v>1.385011399408523E-2</v>
      </c>
      <c r="W50" s="168">
        <v>1.1789501967264296E-2</v>
      </c>
    </row>
    <row r="51" spans="1:23" ht="15.75" thickBot="1">
      <c r="A51" s="159">
        <v>11939</v>
      </c>
      <c r="B51" s="159">
        <v>11944</v>
      </c>
      <c r="C51" s="164" t="s">
        <v>1608</v>
      </c>
      <c r="D51" s="164"/>
      <c r="E51" s="164"/>
      <c r="F51" s="164" t="s">
        <v>1405</v>
      </c>
      <c r="G51" s="164" t="s">
        <v>1406</v>
      </c>
      <c r="H51" s="164" t="s">
        <v>76</v>
      </c>
      <c r="I51" s="164" t="s">
        <v>235</v>
      </c>
      <c r="J51" s="164" t="s">
        <v>61</v>
      </c>
      <c r="K51" s="164" t="s">
        <v>314</v>
      </c>
      <c r="L51" s="164" t="s">
        <v>476</v>
      </c>
      <c r="M51" s="164" t="s">
        <v>775</v>
      </c>
      <c r="N51" s="164" t="s">
        <v>62</v>
      </c>
      <c r="O51" s="164" t="s">
        <v>1210</v>
      </c>
      <c r="P51" s="167">
        <v>8233</v>
      </c>
      <c r="Q51" s="167">
        <v>3.681</v>
      </c>
      <c r="R51" s="167">
        <v>6587</v>
      </c>
      <c r="S51" s="161">
        <v>0</v>
      </c>
      <c r="T51" s="167">
        <v>1996.23468</v>
      </c>
      <c r="U51" s="168">
        <v>1.1202601518116469E-4</v>
      </c>
      <c r="V51" s="168">
        <v>6.2973905322859028E-2</v>
      </c>
      <c r="W51" s="168">
        <v>5.3604683759803089E-2</v>
      </c>
    </row>
    <row r="52" spans="1:23" ht="15.75" thickBot="1">
      <c r="A52" s="159">
        <v>11939</v>
      </c>
      <c r="B52" s="159">
        <v>11944</v>
      </c>
      <c r="C52" s="164" t="s">
        <v>1611</v>
      </c>
      <c r="D52" s="164"/>
      <c r="E52" s="164"/>
      <c r="F52" s="164" t="s">
        <v>1407</v>
      </c>
      <c r="G52" s="164" t="s">
        <v>1408</v>
      </c>
      <c r="H52" s="164" t="s">
        <v>76</v>
      </c>
      <c r="I52" s="164" t="s">
        <v>237</v>
      </c>
      <c r="J52" s="164" t="s">
        <v>61</v>
      </c>
      <c r="K52" s="164" t="s">
        <v>314</v>
      </c>
      <c r="L52" s="164" t="s">
        <v>476</v>
      </c>
      <c r="M52" s="164" t="s">
        <v>776</v>
      </c>
      <c r="N52" s="164" t="s">
        <v>62</v>
      </c>
      <c r="O52" s="164" t="s">
        <v>1210</v>
      </c>
      <c r="P52" s="167">
        <v>23437</v>
      </c>
      <c r="Q52" s="167">
        <v>3.681</v>
      </c>
      <c r="R52" s="167">
        <v>2346</v>
      </c>
      <c r="S52" s="161">
        <v>0</v>
      </c>
      <c r="T52" s="167">
        <v>2023.9316699999999</v>
      </c>
      <c r="U52" s="168">
        <v>4.2217575068601895E-5</v>
      </c>
      <c r="V52" s="168">
        <v>6.3847644088878344E-2</v>
      </c>
      <c r="W52" s="168">
        <v>5.4348428172683656E-2</v>
      </c>
    </row>
    <row r="53" spans="1:23" ht="15.75" thickBot="1">
      <c r="A53" s="159">
        <v>11939</v>
      </c>
      <c r="B53" s="159">
        <v>11944</v>
      </c>
      <c r="C53" s="164" t="s">
        <v>1609</v>
      </c>
      <c r="D53" s="164"/>
      <c r="E53" s="164"/>
      <c r="F53" s="164" t="s">
        <v>1409</v>
      </c>
      <c r="G53" s="164" t="s">
        <v>1410</v>
      </c>
      <c r="H53" s="164" t="s">
        <v>76</v>
      </c>
      <c r="I53" s="164" t="s">
        <v>237</v>
      </c>
      <c r="J53" s="164" t="s">
        <v>61</v>
      </c>
      <c r="K53" s="164" t="s">
        <v>314</v>
      </c>
      <c r="L53" s="164" t="s">
        <v>494</v>
      </c>
      <c r="M53" s="164" t="s">
        <v>776</v>
      </c>
      <c r="N53" s="164" t="s">
        <v>62</v>
      </c>
      <c r="O53" s="164" t="s">
        <v>1210</v>
      </c>
      <c r="P53" s="167">
        <v>539</v>
      </c>
      <c r="Q53" s="167">
        <v>3.681</v>
      </c>
      <c r="R53" s="167">
        <v>13026</v>
      </c>
      <c r="S53" s="161">
        <v>0</v>
      </c>
      <c r="T53" s="167">
        <v>258.44353000000001</v>
      </c>
      <c r="U53" s="168">
        <v>1.531361110689679E-5</v>
      </c>
      <c r="V53" s="168">
        <v>8.1529484246438792E-3</v>
      </c>
      <c r="W53" s="168">
        <v>6.9399574279599141E-3</v>
      </c>
    </row>
    <row r="54" spans="1:23" ht="15.75" thickBot="1">
      <c r="A54" s="159">
        <v>11939</v>
      </c>
      <c r="B54" s="159">
        <v>11944</v>
      </c>
      <c r="C54" s="164" t="s">
        <v>1609</v>
      </c>
      <c r="D54" s="164"/>
      <c r="E54" s="164"/>
      <c r="F54" s="164" t="s">
        <v>1411</v>
      </c>
      <c r="G54" s="164" t="s">
        <v>1412</v>
      </c>
      <c r="H54" s="164" t="s">
        <v>76</v>
      </c>
      <c r="I54" s="164" t="s">
        <v>235</v>
      </c>
      <c r="J54" s="164" t="s">
        <v>61</v>
      </c>
      <c r="K54" s="164" t="s">
        <v>166</v>
      </c>
      <c r="L54" s="164" t="s">
        <v>494</v>
      </c>
      <c r="M54" s="164" t="s">
        <v>775</v>
      </c>
      <c r="N54" s="164" t="s">
        <v>62</v>
      </c>
      <c r="O54" s="164" t="s">
        <v>1210</v>
      </c>
      <c r="P54" s="167">
        <v>9055</v>
      </c>
      <c r="Q54" s="167">
        <v>3.681</v>
      </c>
      <c r="R54" s="167">
        <v>5608</v>
      </c>
      <c r="S54" s="161">
        <v>0</v>
      </c>
      <c r="T54" s="167">
        <v>1869.2280000000001</v>
      </c>
      <c r="U54" s="168">
        <v>8.7351283354829504E-3</v>
      </c>
      <c r="V54" s="168">
        <v>5.8967308943273712E-2</v>
      </c>
      <c r="W54" s="168">
        <v>5.0194186494630588E-2</v>
      </c>
    </row>
    <row r="55" spans="1:23" ht="15.75" thickBot="1">
      <c r="A55" s="159">
        <v>11939</v>
      </c>
      <c r="B55" s="159">
        <v>11944</v>
      </c>
      <c r="C55" s="164" t="s">
        <v>1609</v>
      </c>
      <c r="D55" s="164"/>
      <c r="E55" s="164"/>
      <c r="F55" s="164" t="s">
        <v>1413</v>
      </c>
      <c r="G55" s="164" t="s">
        <v>1414</v>
      </c>
      <c r="H55" s="164" t="s">
        <v>76</v>
      </c>
      <c r="I55" s="164" t="s">
        <v>237</v>
      </c>
      <c r="J55" s="164" t="s">
        <v>61</v>
      </c>
      <c r="K55" s="164" t="s">
        <v>314</v>
      </c>
      <c r="L55" s="164" t="s">
        <v>494</v>
      </c>
      <c r="M55" s="164" t="s">
        <v>776</v>
      </c>
      <c r="N55" s="164" t="s">
        <v>62</v>
      </c>
      <c r="O55" s="164" t="s">
        <v>1210</v>
      </c>
      <c r="P55" s="167">
        <v>7151</v>
      </c>
      <c r="Q55" s="167">
        <v>3.681</v>
      </c>
      <c r="R55" s="167">
        <v>8942</v>
      </c>
      <c r="S55" s="161">
        <v>0</v>
      </c>
      <c r="T55" s="167">
        <v>2353.78755</v>
      </c>
      <c r="U55" s="168">
        <v>8.9044123598373771E-4</v>
      </c>
      <c r="V55" s="168">
        <v>7.4253391051108439E-2</v>
      </c>
      <c r="W55" s="168">
        <v>6.3206014062190174E-2</v>
      </c>
    </row>
    <row r="56" spans="1:23" ht="15.75" thickBot="1">
      <c r="A56" s="159">
        <v>11939</v>
      </c>
      <c r="B56" s="159">
        <v>11944</v>
      </c>
      <c r="C56" s="164" t="s">
        <v>1609</v>
      </c>
      <c r="D56" s="164"/>
      <c r="E56" s="164"/>
      <c r="F56" s="164" t="s">
        <v>1415</v>
      </c>
      <c r="G56" s="164" t="s">
        <v>1416</v>
      </c>
      <c r="H56" s="164" t="s">
        <v>76</v>
      </c>
      <c r="I56" s="164" t="s">
        <v>235</v>
      </c>
      <c r="J56" s="164" t="s">
        <v>61</v>
      </c>
      <c r="K56" s="164" t="s">
        <v>1417</v>
      </c>
      <c r="L56" s="164" t="s">
        <v>494</v>
      </c>
      <c r="M56" s="164" t="s">
        <v>775</v>
      </c>
      <c r="N56" s="164" t="s">
        <v>62</v>
      </c>
      <c r="O56" s="164" t="s">
        <v>1210</v>
      </c>
      <c r="P56" s="167">
        <v>18924</v>
      </c>
      <c r="Q56" s="167">
        <v>3.681</v>
      </c>
      <c r="R56" s="167">
        <v>3259</v>
      </c>
      <c r="S56" s="161">
        <v>0</v>
      </c>
      <c r="T56" s="167">
        <v>2270.1947599999999</v>
      </c>
      <c r="U56" s="168">
        <v>1.6688242743207064E-2</v>
      </c>
      <c r="V56" s="168">
        <v>7.1616344166854501E-2</v>
      </c>
      <c r="W56" s="168">
        <v>6.0961305502899119E-2</v>
      </c>
    </row>
    <row r="57" spans="1:23" ht="15.75" thickBot="1">
      <c r="A57" s="159">
        <v>11939</v>
      </c>
      <c r="B57" s="159">
        <v>11944</v>
      </c>
      <c r="C57" s="164" t="s">
        <v>1609</v>
      </c>
      <c r="D57" s="164"/>
      <c r="E57" s="164"/>
      <c r="F57" s="164" t="s">
        <v>1375</v>
      </c>
      <c r="G57" s="164" t="s">
        <v>1376</v>
      </c>
      <c r="H57" s="164" t="s">
        <v>76</v>
      </c>
      <c r="I57" s="164" t="s">
        <v>235</v>
      </c>
      <c r="J57" s="164" t="s">
        <v>61</v>
      </c>
      <c r="K57" s="164" t="s">
        <v>314</v>
      </c>
      <c r="L57" s="164" t="s">
        <v>494</v>
      </c>
      <c r="M57" s="164" t="s">
        <v>775</v>
      </c>
      <c r="N57" s="164" t="s">
        <v>62</v>
      </c>
      <c r="O57" s="164" t="s">
        <v>1210</v>
      </c>
      <c r="P57" s="167">
        <v>851</v>
      </c>
      <c r="Q57" s="167">
        <v>3.681</v>
      </c>
      <c r="R57" s="167">
        <v>55249</v>
      </c>
      <c r="S57" s="161">
        <v>0</v>
      </c>
      <c r="T57" s="167">
        <v>1730.6920500000001</v>
      </c>
      <c r="U57" s="168">
        <v>1.0214037649289259E-5</v>
      </c>
      <c r="V57" s="168">
        <v>5.4597006249648368E-2</v>
      </c>
      <c r="W57" s="168">
        <v>4.6474094932493264E-2</v>
      </c>
    </row>
    <row r="58" spans="1:23" ht="15.75" thickBot="1">
      <c r="A58" s="159">
        <v>11939</v>
      </c>
      <c r="B58" s="159">
        <v>11944</v>
      </c>
      <c r="C58" s="164" t="s">
        <v>1609</v>
      </c>
      <c r="D58" s="164"/>
      <c r="E58" s="164"/>
      <c r="F58" s="164" t="s">
        <v>1418</v>
      </c>
      <c r="G58" s="164" t="s">
        <v>1419</v>
      </c>
      <c r="H58" s="164" t="s">
        <v>76</v>
      </c>
      <c r="I58" s="164" t="s">
        <v>237</v>
      </c>
      <c r="J58" s="164" t="s">
        <v>61</v>
      </c>
      <c r="K58" s="164" t="s">
        <v>314</v>
      </c>
      <c r="L58" s="164" t="s">
        <v>494</v>
      </c>
      <c r="M58" s="164" t="s">
        <v>776</v>
      </c>
      <c r="N58" s="164" t="s">
        <v>62</v>
      </c>
      <c r="O58" s="164" t="s">
        <v>1210</v>
      </c>
      <c r="P58" s="167">
        <v>591</v>
      </c>
      <c r="Q58" s="167">
        <v>3.681</v>
      </c>
      <c r="R58" s="167">
        <v>10215</v>
      </c>
      <c r="S58" s="161">
        <v>0</v>
      </c>
      <c r="T58" s="167">
        <v>222.22435999999999</v>
      </c>
      <c r="U58" s="168">
        <v>5.228760482956983E-4</v>
      </c>
      <c r="V58" s="168">
        <v>7.0103660392639502E-3</v>
      </c>
      <c r="W58" s="168">
        <v>5.9673677954160355E-3</v>
      </c>
    </row>
    <row r="59" spans="1:23" ht="15.75" thickBot="1">
      <c r="A59" s="159">
        <v>11939</v>
      </c>
      <c r="B59" s="159">
        <v>11944</v>
      </c>
      <c r="C59" s="164" t="s">
        <v>1609</v>
      </c>
      <c r="D59" s="164"/>
      <c r="E59" s="164"/>
      <c r="F59" s="164" t="s">
        <v>1420</v>
      </c>
      <c r="G59" s="164" t="s">
        <v>1421</v>
      </c>
      <c r="H59" s="164" t="s">
        <v>76</v>
      </c>
      <c r="I59" s="164" t="s">
        <v>235</v>
      </c>
      <c r="J59" s="164" t="s">
        <v>61</v>
      </c>
      <c r="K59" s="164" t="s">
        <v>314</v>
      </c>
      <c r="L59" s="164" t="s">
        <v>494</v>
      </c>
      <c r="M59" s="164" t="s">
        <v>775</v>
      </c>
      <c r="N59" s="164" t="s">
        <v>62</v>
      </c>
      <c r="O59" s="164" t="s">
        <v>1210</v>
      </c>
      <c r="P59" s="167">
        <v>6909</v>
      </c>
      <c r="Q59" s="167">
        <v>3.681</v>
      </c>
      <c r="R59" s="167">
        <v>9004</v>
      </c>
      <c r="S59" s="161">
        <v>0</v>
      </c>
      <c r="T59" s="167">
        <v>2289.8998900000001</v>
      </c>
      <c r="U59" s="168">
        <v>2.8941991142803988E-4</v>
      </c>
      <c r="V59" s="168">
        <v>7.2237968970504662E-2</v>
      </c>
      <c r="W59" s="168">
        <v>6.1490445324323233E-2</v>
      </c>
    </row>
    <row r="60" spans="1:23" ht="15.75" thickBot="1">
      <c r="A60" s="159">
        <v>11939</v>
      </c>
      <c r="B60" s="159">
        <v>11944</v>
      </c>
      <c r="C60" s="164" t="s">
        <v>1609</v>
      </c>
      <c r="D60" s="164"/>
      <c r="E60" s="164"/>
      <c r="F60" s="164" t="s">
        <v>1422</v>
      </c>
      <c r="G60" s="164" t="s">
        <v>1423</v>
      </c>
      <c r="H60" s="164" t="s">
        <v>76</v>
      </c>
      <c r="I60" s="164" t="s">
        <v>235</v>
      </c>
      <c r="J60" s="164" t="s">
        <v>61</v>
      </c>
      <c r="K60" s="164" t="s">
        <v>316</v>
      </c>
      <c r="L60" s="164" t="s">
        <v>494</v>
      </c>
      <c r="M60" s="164" t="s">
        <v>775</v>
      </c>
      <c r="N60" s="164" t="s">
        <v>62</v>
      </c>
      <c r="O60" s="164" t="s">
        <v>1210</v>
      </c>
      <c r="P60" s="167">
        <v>762</v>
      </c>
      <c r="Q60" s="167">
        <v>3.681</v>
      </c>
      <c r="R60" s="167">
        <v>17109</v>
      </c>
      <c r="S60" s="161">
        <v>0</v>
      </c>
      <c r="T60" s="167">
        <v>479.89409999999998</v>
      </c>
      <c r="U60" s="168">
        <v>4.9470596449841976E-5</v>
      </c>
      <c r="V60" s="168">
        <v>1.5138904218615539E-2</v>
      </c>
      <c r="W60" s="168">
        <v>1.288654672039628E-2</v>
      </c>
    </row>
    <row r="61" spans="1:23" ht="15.75" thickBot="1">
      <c r="A61" s="159">
        <v>11939</v>
      </c>
      <c r="B61" s="159">
        <v>11944</v>
      </c>
      <c r="C61" s="164" t="s">
        <v>1609</v>
      </c>
      <c r="D61" s="164"/>
      <c r="E61" s="164"/>
      <c r="F61" s="164" t="s">
        <v>1424</v>
      </c>
      <c r="G61" s="164" t="s">
        <v>1425</v>
      </c>
      <c r="H61" s="164" t="s">
        <v>76</v>
      </c>
      <c r="I61" s="164" t="s">
        <v>237</v>
      </c>
      <c r="J61" s="164" t="s">
        <v>61</v>
      </c>
      <c r="K61" s="164" t="s">
        <v>314</v>
      </c>
      <c r="L61" s="164" t="s">
        <v>476</v>
      </c>
      <c r="M61" s="164" t="s">
        <v>776</v>
      </c>
      <c r="N61" s="164" t="s">
        <v>62</v>
      </c>
      <c r="O61" s="164" t="s">
        <v>1210</v>
      </c>
      <c r="P61" s="167">
        <v>14741</v>
      </c>
      <c r="Q61" s="167">
        <v>3.681</v>
      </c>
      <c r="R61" s="167">
        <v>4448</v>
      </c>
      <c r="S61" s="161">
        <v>0</v>
      </c>
      <c r="T61" s="167">
        <v>2413.5569</v>
      </c>
      <c r="U61" s="168">
        <f>+T61/9700000</f>
        <v>2.4882029896907218E-4</v>
      </c>
      <c r="V61" s="168">
        <v>7.6138895508985519E-2</v>
      </c>
      <c r="W61" s="168">
        <v>6.4810994246824072E-2</v>
      </c>
    </row>
    <row r="62" spans="1:23" ht="15.75" thickBot="1">
      <c r="A62" s="159">
        <v>11939</v>
      </c>
      <c r="B62" s="159">
        <v>11944</v>
      </c>
      <c r="C62" s="164" t="s">
        <v>1609</v>
      </c>
      <c r="D62" s="164"/>
      <c r="E62" s="164"/>
      <c r="F62" s="164" t="s">
        <v>1426</v>
      </c>
      <c r="G62" s="164" t="s">
        <v>1427</v>
      </c>
      <c r="H62" s="164" t="s">
        <v>76</v>
      </c>
      <c r="I62" s="164" t="s">
        <v>237</v>
      </c>
      <c r="J62" s="164" t="s">
        <v>61</v>
      </c>
      <c r="K62" s="164" t="s">
        <v>314</v>
      </c>
      <c r="L62" s="164" t="s">
        <v>494</v>
      </c>
      <c r="M62" s="164" t="s">
        <v>776</v>
      </c>
      <c r="N62" s="164" t="s">
        <v>62</v>
      </c>
      <c r="O62" s="164" t="s">
        <v>1210</v>
      </c>
      <c r="P62" s="167">
        <v>5652</v>
      </c>
      <c r="Q62" s="167">
        <v>3.681</v>
      </c>
      <c r="R62" s="167">
        <v>9423</v>
      </c>
      <c r="S62" s="161">
        <v>0</v>
      </c>
      <c r="T62" s="167">
        <v>1960.4562800000001</v>
      </c>
      <c r="U62" s="168">
        <v>1.5218047397971029E-4</v>
      </c>
      <c r="V62" s="168">
        <v>6.184522761939213E-2</v>
      </c>
      <c r="W62" s="168">
        <v>5.2643930078561697E-2</v>
      </c>
    </row>
    <row r="63" spans="1:23" ht="15.75" thickBot="1">
      <c r="A63" s="159">
        <v>11939</v>
      </c>
      <c r="B63" s="159">
        <v>11944</v>
      </c>
      <c r="C63" s="164" t="s">
        <v>1609</v>
      </c>
      <c r="D63" s="164"/>
      <c r="E63" s="164"/>
      <c r="F63" s="164" t="s">
        <v>1428</v>
      </c>
      <c r="G63" s="164" t="s">
        <v>1429</v>
      </c>
      <c r="H63" s="164" t="s">
        <v>76</v>
      </c>
      <c r="I63" s="164" t="s">
        <v>235</v>
      </c>
      <c r="J63" s="164" t="s">
        <v>61</v>
      </c>
      <c r="K63" s="164" t="s">
        <v>313</v>
      </c>
      <c r="L63" s="164" t="s">
        <v>476</v>
      </c>
      <c r="M63" s="164" t="s">
        <v>775</v>
      </c>
      <c r="N63" s="164" t="s">
        <v>62</v>
      </c>
      <c r="O63" s="164" t="s">
        <v>1210</v>
      </c>
      <c r="P63" s="167">
        <v>79708</v>
      </c>
      <c r="Q63" s="167">
        <v>3.681</v>
      </c>
      <c r="R63" s="167">
        <v>864.8</v>
      </c>
      <c r="S63" s="161">
        <v>0</v>
      </c>
      <c r="T63" s="167">
        <v>2537.3677200000002</v>
      </c>
      <c r="U63" s="168">
        <v>5.9722697060755122E-4</v>
      </c>
      <c r="V63" s="168">
        <v>8.0044674190590998E-2</v>
      </c>
      <c r="W63" s="168">
        <v>6.8135673413374717E-2</v>
      </c>
    </row>
    <row r="64" spans="1:23" ht="15.75" thickBot="1">
      <c r="A64" s="159">
        <v>11939</v>
      </c>
      <c r="B64" s="159">
        <v>11944</v>
      </c>
      <c r="C64" s="164" t="s">
        <v>1609</v>
      </c>
      <c r="D64" s="164"/>
      <c r="E64" s="164"/>
      <c r="F64" s="164" t="s">
        <v>1430</v>
      </c>
      <c r="G64" s="164" t="s">
        <v>1431</v>
      </c>
      <c r="H64" s="164" t="s">
        <v>76</v>
      </c>
      <c r="I64" s="164" t="s">
        <v>237</v>
      </c>
      <c r="J64" s="164" t="s">
        <v>61</v>
      </c>
      <c r="K64" s="164" t="s">
        <v>314</v>
      </c>
      <c r="L64" s="164" t="s">
        <v>494</v>
      </c>
      <c r="M64" s="164" t="s">
        <v>130</v>
      </c>
      <c r="N64" s="164" t="s">
        <v>62</v>
      </c>
      <c r="O64" s="164" t="s">
        <v>1210</v>
      </c>
      <c r="P64" s="167">
        <v>92419</v>
      </c>
      <c r="Q64" s="167">
        <v>3.681</v>
      </c>
      <c r="R64" s="167">
        <v>409.35</v>
      </c>
      <c r="S64" s="161">
        <v>0</v>
      </c>
      <c r="T64" s="167">
        <v>1392.5855300000001</v>
      </c>
      <c r="U64" s="168">
        <v>5.5309450176642947E-4</v>
      </c>
      <c r="V64" s="168">
        <v>4.3930981762226207E-2</v>
      </c>
      <c r="W64" s="168">
        <v>3.7394955458908155E-2</v>
      </c>
    </row>
    <row r="65" spans="1:23" ht="15.75" thickBot="1">
      <c r="A65" s="159">
        <v>11939</v>
      </c>
      <c r="B65" s="159">
        <v>11944</v>
      </c>
      <c r="C65" s="164" t="s">
        <v>1609</v>
      </c>
      <c r="D65" s="164"/>
      <c r="E65" s="164"/>
      <c r="F65" s="164" t="s">
        <v>1432</v>
      </c>
      <c r="G65" s="164" t="s">
        <v>1433</v>
      </c>
      <c r="H65" s="164" t="s">
        <v>76</v>
      </c>
      <c r="I65" s="164" t="s">
        <v>235</v>
      </c>
      <c r="J65" s="164" t="s">
        <v>61</v>
      </c>
      <c r="K65" s="164" t="s">
        <v>314</v>
      </c>
      <c r="L65" s="164" t="s">
        <v>494</v>
      </c>
      <c r="M65" s="164" t="s">
        <v>775</v>
      </c>
      <c r="N65" s="164" t="s">
        <v>62</v>
      </c>
      <c r="O65" s="164" t="s">
        <v>1210</v>
      </c>
      <c r="P65" s="167">
        <v>765</v>
      </c>
      <c r="Q65" s="167">
        <v>3.681</v>
      </c>
      <c r="R65" s="167">
        <v>53187</v>
      </c>
      <c r="S65" s="161">
        <v>0</v>
      </c>
      <c r="T65" s="167">
        <v>1497.7273</v>
      </c>
      <c r="U65" s="168">
        <v>5.1170157831509041E-4</v>
      </c>
      <c r="V65" s="168">
        <v>4.7247820175963115E-2</v>
      </c>
      <c r="W65" s="168">
        <v>4.0218316553304108E-2</v>
      </c>
    </row>
    <row r="66" spans="1:23" ht="15.75" thickBot="1">
      <c r="A66" s="159">
        <v>11939</v>
      </c>
      <c r="B66" s="159">
        <v>11944</v>
      </c>
      <c r="C66" s="164" t="s">
        <v>1609</v>
      </c>
      <c r="D66" s="164"/>
      <c r="E66" s="164"/>
      <c r="F66" s="164" t="s">
        <v>1434</v>
      </c>
      <c r="G66" s="164" t="s">
        <v>1435</v>
      </c>
      <c r="H66" s="164" t="s">
        <v>76</v>
      </c>
      <c r="I66" s="164" t="s">
        <v>237</v>
      </c>
      <c r="J66" s="164" t="s">
        <v>61</v>
      </c>
      <c r="K66" s="164" t="s">
        <v>314</v>
      </c>
      <c r="L66" s="164" t="s">
        <v>494</v>
      </c>
      <c r="M66" s="164" t="s">
        <v>776</v>
      </c>
      <c r="N66" s="164" t="s">
        <v>62</v>
      </c>
      <c r="O66" s="164" t="s">
        <v>1210</v>
      </c>
      <c r="P66" s="167">
        <v>229</v>
      </c>
      <c r="Q66" s="167">
        <v>3.681</v>
      </c>
      <c r="R66" s="167">
        <v>12622</v>
      </c>
      <c r="S66" s="161">
        <v>0</v>
      </c>
      <c r="T66" s="167">
        <v>106.39702</v>
      </c>
      <c r="U66" s="168">
        <v>6.3021912251041429E-6</v>
      </c>
      <c r="V66" s="168">
        <v>3.3564369616674219E-3</v>
      </c>
      <c r="W66" s="168">
        <v>2.857068193047044E-3</v>
      </c>
    </row>
    <row r="67" spans="1:23" ht="15.75" thickBot="1">
      <c r="A67" s="159">
        <v>11939</v>
      </c>
      <c r="B67" s="159">
        <v>11944</v>
      </c>
      <c r="C67" s="164" t="s">
        <v>1609</v>
      </c>
      <c r="D67" s="164"/>
      <c r="E67" s="164"/>
      <c r="F67" s="164" t="s">
        <v>1436</v>
      </c>
      <c r="G67" s="164" t="s">
        <v>1437</v>
      </c>
      <c r="H67" s="164" t="s">
        <v>76</v>
      </c>
      <c r="I67" s="164" t="s">
        <v>237</v>
      </c>
      <c r="J67" s="164" t="s">
        <v>61</v>
      </c>
      <c r="K67" s="164" t="s">
        <v>314</v>
      </c>
      <c r="L67" s="164" t="s">
        <v>494</v>
      </c>
      <c r="M67" s="164" t="s">
        <v>776</v>
      </c>
      <c r="N67" s="164" t="s">
        <v>62</v>
      </c>
      <c r="O67" s="164" t="s">
        <v>1210</v>
      </c>
      <c r="P67" s="167">
        <v>1221</v>
      </c>
      <c r="Q67" s="167">
        <v>3.681</v>
      </c>
      <c r="R67" s="167">
        <v>17374</v>
      </c>
      <c r="S67" s="161">
        <v>0</v>
      </c>
      <c r="T67" s="167">
        <v>780.87459999999999</v>
      </c>
      <c r="U67" s="168">
        <v>5.1299516322447333E-5</v>
      </c>
      <c r="V67" s="168">
        <v>2.4633738518872648E-2</v>
      </c>
      <c r="W67" s="168">
        <v>2.0968745012015687E-2</v>
      </c>
    </row>
    <row r="68" spans="1:23" ht="15.75" thickBot="1">
      <c r="A68" s="159">
        <v>11939</v>
      </c>
      <c r="B68" s="159">
        <v>11944</v>
      </c>
      <c r="C68" s="164" t="s">
        <v>1609</v>
      </c>
      <c r="D68" s="164"/>
      <c r="E68" s="164"/>
      <c r="F68" s="164" t="s">
        <v>1438</v>
      </c>
      <c r="G68" s="164" t="s">
        <v>1439</v>
      </c>
      <c r="H68" s="164" t="s">
        <v>76</v>
      </c>
      <c r="I68" s="164" t="s">
        <v>235</v>
      </c>
      <c r="J68" s="164" t="s">
        <v>61</v>
      </c>
      <c r="K68" s="164" t="s">
        <v>315</v>
      </c>
      <c r="L68" s="164" t="s">
        <v>494</v>
      </c>
      <c r="M68" s="164" t="s">
        <v>775</v>
      </c>
      <c r="N68" s="164" t="s">
        <v>62</v>
      </c>
      <c r="O68" s="164" t="s">
        <v>1210</v>
      </c>
      <c r="P68" s="167">
        <v>31925</v>
      </c>
      <c r="Q68" s="167">
        <v>3.681</v>
      </c>
      <c r="R68" s="167">
        <v>710.3</v>
      </c>
      <c r="S68" s="161">
        <v>0</v>
      </c>
      <c r="T68" s="167">
        <v>834.71561999999994</v>
      </c>
      <c r="U68" s="168">
        <v>1.3734422347189332E-3</v>
      </c>
      <c r="V68" s="168">
        <v>2.6332225840997599E-2</v>
      </c>
      <c r="W68" s="168">
        <v>2.2414532363232945E-2</v>
      </c>
    </row>
    <row r="69" spans="1:23" ht="15.75" thickBot="1">
      <c r="A69" s="159">
        <v>11939</v>
      </c>
      <c r="B69" s="159">
        <v>11944</v>
      </c>
      <c r="C69" s="164" t="s">
        <v>1609</v>
      </c>
      <c r="D69" s="164"/>
      <c r="E69" s="164"/>
      <c r="F69" s="164" t="s">
        <v>1440</v>
      </c>
      <c r="G69" s="164" t="s">
        <v>1441</v>
      </c>
      <c r="H69" s="164" t="s">
        <v>76</v>
      </c>
      <c r="I69" s="164" t="s">
        <v>237</v>
      </c>
      <c r="J69" s="164" t="s">
        <v>61</v>
      </c>
      <c r="K69" s="164" t="s">
        <v>314</v>
      </c>
      <c r="L69" s="164" t="s">
        <v>494</v>
      </c>
      <c r="M69" s="164" t="s">
        <v>776</v>
      </c>
      <c r="N69" s="164" t="s">
        <v>62</v>
      </c>
      <c r="O69" s="164" t="s">
        <v>1210</v>
      </c>
      <c r="P69" s="167">
        <v>50395</v>
      </c>
      <c r="Q69" s="167">
        <v>3.681</v>
      </c>
      <c r="R69" s="167">
        <v>352.65</v>
      </c>
      <c r="S69" s="161">
        <v>0</v>
      </c>
      <c r="T69" s="167">
        <v>654.17984000000001</v>
      </c>
      <c r="U69" s="168">
        <v>2.5806752259018983E-4</v>
      </c>
      <c r="V69" s="168">
        <v>2.0636982074814503E-2</v>
      </c>
      <c r="W69" s="168">
        <v>1.7566623702398851E-2</v>
      </c>
    </row>
    <row r="70" spans="1:23" ht="15.75" thickBot="1">
      <c r="A70" s="159">
        <v>11939</v>
      </c>
      <c r="B70" s="159">
        <v>11944</v>
      </c>
      <c r="C70" s="164" t="s">
        <v>1610</v>
      </c>
      <c r="D70" s="164"/>
      <c r="E70" s="164"/>
      <c r="F70" s="164" t="s">
        <v>1442</v>
      </c>
      <c r="G70" s="164" t="s">
        <v>1443</v>
      </c>
      <c r="H70" s="164" t="s">
        <v>76</v>
      </c>
      <c r="I70" s="164" t="s">
        <v>235</v>
      </c>
      <c r="J70" s="164" t="s">
        <v>61</v>
      </c>
      <c r="K70" s="164" t="s">
        <v>166</v>
      </c>
      <c r="L70" s="164" t="s">
        <v>494</v>
      </c>
      <c r="M70" s="164" t="s">
        <v>775</v>
      </c>
      <c r="N70" s="164" t="s">
        <v>62</v>
      </c>
      <c r="O70" s="164" t="s">
        <v>1210</v>
      </c>
      <c r="P70" s="167">
        <v>20759</v>
      </c>
      <c r="Q70" s="167">
        <v>3.681</v>
      </c>
      <c r="R70" s="167">
        <v>2249</v>
      </c>
      <c r="S70" s="161">
        <v>0</v>
      </c>
      <c r="T70" s="167">
        <v>1718.5481400000001</v>
      </c>
      <c r="U70" s="168">
        <v>2.2081693436868419E-4</v>
      </c>
      <c r="V70" s="168">
        <v>5.4213910290916038E-2</v>
      </c>
      <c r="W70" s="168">
        <v>4.6147995771067263E-2</v>
      </c>
    </row>
    <row r="71" spans="1:23" ht="15.75" thickBot="1">
      <c r="A71" s="159">
        <v>11939</v>
      </c>
      <c r="B71" s="159">
        <v>11949</v>
      </c>
      <c r="C71" s="164" t="s">
        <v>1607</v>
      </c>
      <c r="D71" s="164"/>
      <c r="E71" s="164"/>
      <c r="F71" s="164" t="s">
        <v>1371</v>
      </c>
      <c r="G71" s="164" t="s">
        <v>1372</v>
      </c>
      <c r="H71" s="164" t="s">
        <v>76</v>
      </c>
      <c r="I71" s="164" t="s">
        <v>235</v>
      </c>
      <c r="J71" s="164" t="s">
        <v>61</v>
      </c>
      <c r="K71" s="164" t="s">
        <v>314</v>
      </c>
      <c r="L71" s="164" t="s">
        <v>102</v>
      </c>
      <c r="M71" s="164" t="s">
        <v>775</v>
      </c>
      <c r="N71" s="164" t="s">
        <v>62</v>
      </c>
      <c r="O71" s="164" t="s">
        <v>1211</v>
      </c>
      <c r="P71" s="167">
        <v>3362</v>
      </c>
      <c r="Q71" s="167">
        <v>3.9790999999999999</v>
      </c>
      <c r="R71" s="167">
        <v>9464.01</v>
      </c>
      <c r="S71" s="161">
        <v>0</v>
      </c>
      <c r="T71" s="167">
        <v>1266.0700999999999</v>
      </c>
      <c r="U71" s="168">
        <v>2.6296599960592775E-4</v>
      </c>
      <c r="V71" s="168">
        <v>0.19807249338479194</v>
      </c>
      <c r="W71" s="168">
        <v>0.18836571085238557</v>
      </c>
    </row>
    <row r="72" spans="1:23" ht="15.75" thickBot="1">
      <c r="A72" s="159">
        <v>11939</v>
      </c>
      <c r="B72" s="159">
        <v>11949</v>
      </c>
      <c r="C72" s="164" t="s">
        <v>1608</v>
      </c>
      <c r="D72" s="164"/>
      <c r="E72" s="164"/>
      <c r="F72" s="164" t="s">
        <v>1373</v>
      </c>
      <c r="G72" s="164" t="s">
        <v>1374</v>
      </c>
      <c r="H72" s="164" t="s">
        <v>76</v>
      </c>
      <c r="I72" s="164" t="s">
        <v>235</v>
      </c>
      <c r="J72" s="164" t="s">
        <v>61</v>
      </c>
      <c r="K72" s="164" t="s">
        <v>314</v>
      </c>
      <c r="L72" s="164" t="s">
        <v>494</v>
      </c>
      <c r="M72" s="164" t="s">
        <v>775</v>
      </c>
      <c r="N72" s="164" t="s">
        <v>62</v>
      </c>
      <c r="O72" s="164" t="s">
        <v>1210</v>
      </c>
      <c r="P72" s="167">
        <v>342</v>
      </c>
      <c r="Q72" s="167">
        <v>3.681</v>
      </c>
      <c r="R72" s="167">
        <v>102524</v>
      </c>
      <c r="S72" s="161">
        <v>0</v>
      </c>
      <c r="T72" s="167">
        <v>1290.67669</v>
      </c>
      <c r="U72" s="168">
        <v>3.9896759140643731E-5</v>
      </c>
      <c r="V72" s="168">
        <v>0.20192211327155596</v>
      </c>
      <c r="W72" s="168">
        <v>0.19202667545221558</v>
      </c>
    </row>
    <row r="73" spans="1:23" ht="15.75" thickBot="1">
      <c r="A73" s="159">
        <v>11939</v>
      </c>
      <c r="B73" s="159">
        <v>11949</v>
      </c>
      <c r="C73" s="164" t="s">
        <v>1609</v>
      </c>
      <c r="D73" s="164"/>
      <c r="E73" s="164"/>
      <c r="F73" s="164" t="s">
        <v>1375</v>
      </c>
      <c r="G73" s="164" t="s">
        <v>1376</v>
      </c>
      <c r="H73" s="164" t="s">
        <v>76</v>
      </c>
      <c r="I73" s="164" t="s">
        <v>235</v>
      </c>
      <c r="J73" s="164" t="s">
        <v>61</v>
      </c>
      <c r="K73" s="164" t="s">
        <v>314</v>
      </c>
      <c r="L73" s="164" t="s">
        <v>494</v>
      </c>
      <c r="M73" s="164" t="s">
        <v>775</v>
      </c>
      <c r="N73" s="164" t="s">
        <v>62</v>
      </c>
      <c r="O73" s="164" t="s">
        <v>1210</v>
      </c>
      <c r="P73" s="167">
        <v>635</v>
      </c>
      <c r="Q73" s="167">
        <v>3.681</v>
      </c>
      <c r="R73" s="167">
        <v>55249</v>
      </c>
      <c r="S73" s="161">
        <v>0</v>
      </c>
      <c r="T73" s="167">
        <v>1291.4094600000001</v>
      </c>
      <c r="U73" s="168">
        <v>1.0214037649289259E-5</v>
      </c>
      <c r="V73" s="168">
        <v>0.20203675272238697</v>
      </c>
      <c r="W73" s="168">
        <v>0.192135696857856</v>
      </c>
    </row>
    <row r="74" spans="1:23" ht="15.75" thickBot="1">
      <c r="A74" s="159">
        <v>11939</v>
      </c>
      <c r="B74" s="159">
        <v>11949</v>
      </c>
      <c r="C74" s="164" t="s">
        <v>1610</v>
      </c>
      <c r="D74" s="164"/>
      <c r="E74" s="164"/>
      <c r="F74" s="164" t="s">
        <v>1377</v>
      </c>
      <c r="G74" s="164" t="s">
        <v>1378</v>
      </c>
      <c r="H74" s="164" t="s">
        <v>76</v>
      </c>
      <c r="I74" s="164" t="s">
        <v>235</v>
      </c>
      <c r="J74" s="164" t="s">
        <v>61</v>
      </c>
      <c r="K74" s="164" t="s">
        <v>314</v>
      </c>
      <c r="L74" s="164" t="s">
        <v>494</v>
      </c>
      <c r="M74" s="164" t="s">
        <v>775</v>
      </c>
      <c r="N74" s="164" t="s">
        <v>62</v>
      </c>
      <c r="O74" s="164" t="s">
        <v>1210</v>
      </c>
      <c r="P74" s="167">
        <v>3391</v>
      </c>
      <c r="Q74" s="167">
        <v>3.681</v>
      </c>
      <c r="R74" s="167">
        <v>10345</v>
      </c>
      <c r="S74" s="161">
        <v>0</v>
      </c>
      <c r="T74" s="167">
        <v>1291.2909299999999</v>
      </c>
      <c r="U74" s="168">
        <v>1.5373260078992287E-4</v>
      </c>
      <c r="V74" s="168">
        <v>0.20201820909463608</v>
      </c>
      <c r="W74" s="168">
        <v>0.1921180619830514</v>
      </c>
    </row>
    <row r="75" spans="1:23" ht="15.75" thickBot="1">
      <c r="A75" s="159">
        <v>11939</v>
      </c>
      <c r="B75" s="159">
        <v>11949</v>
      </c>
      <c r="C75" s="164" t="s">
        <v>1610</v>
      </c>
      <c r="D75" s="164"/>
      <c r="E75" s="164"/>
      <c r="F75" s="164" t="s">
        <v>1379</v>
      </c>
      <c r="G75" s="164" t="s">
        <v>1380</v>
      </c>
      <c r="H75" s="164" t="s">
        <v>76</v>
      </c>
      <c r="I75" s="164" t="s">
        <v>235</v>
      </c>
      <c r="J75" s="164" t="s">
        <v>61</v>
      </c>
      <c r="K75" s="164" t="s">
        <v>204</v>
      </c>
      <c r="L75" s="164" t="s">
        <v>488</v>
      </c>
      <c r="M75" s="164" t="s">
        <v>775</v>
      </c>
      <c r="N75" s="164" t="s">
        <v>62</v>
      </c>
      <c r="O75" s="164" t="s">
        <v>1211</v>
      </c>
      <c r="P75" s="167">
        <v>6315</v>
      </c>
      <c r="Q75" s="167">
        <v>3.9790999999999999</v>
      </c>
      <c r="R75" s="167">
        <v>4984.5</v>
      </c>
      <c r="S75" s="161">
        <v>0</v>
      </c>
      <c r="T75" s="167">
        <v>1252.5059799999999</v>
      </c>
      <c r="U75" s="168">
        <v>2.546452916677433E-4</v>
      </c>
      <c r="V75" s="168">
        <v>0.195950431526629</v>
      </c>
      <c r="W75" s="168">
        <v>0.18634764320677333</v>
      </c>
    </row>
    <row r="76" spans="1:23" ht="15.75" thickBot="1">
      <c r="A76" s="159">
        <v>11939</v>
      </c>
      <c r="B76" s="159">
        <v>11979</v>
      </c>
      <c r="C76" s="164" t="s">
        <v>1356</v>
      </c>
      <c r="D76" s="164" t="s">
        <v>1357</v>
      </c>
      <c r="E76" s="164" t="s">
        <v>2</v>
      </c>
      <c r="F76" s="164" t="s">
        <v>1382</v>
      </c>
      <c r="G76" s="165">
        <v>1146414</v>
      </c>
      <c r="H76" s="164" t="s">
        <v>102</v>
      </c>
      <c r="I76" s="164" t="s">
        <v>236</v>
      </c>
      <c r="J76" s="164" t="s">
        <v>53</v>
      </c>
      <c r="K76" s="164" t="s">
        <v>53</v>
      </c>
      <c r="L76" s="164" t="s">
        <v>311</v>
      </c>
      <c r="M76" s="164" t="s">
        <v>1002</v>
      </c>
      <c r="N76" s="164" t="s">
        <v>62</v>
      </c>
      <c r="O76" s="164" t="s">
        <v>1208</v>
      </c>
      <c r="P76" s="167">
        <v>74260</v>
      </c>
      <c r="Q76" s="167">
        <v>1</v>
      </c>
      <c r="R76" s="167">
        <v>3844.3</v>
      </c>
      <c r="S76" s="161">
        <v>0</v>
      </c>
      <c r="T76" s="167">
        <v>2854.77718</v>
      </c>
      <c r="U76" s="168">
        <v>0</v>
      </c>
      <c r="V76" s="168">
        <v>9.3034889049907754E-2</v>
      </c>
      <c r="W76" s="168">
        <v>4.545352970127791E-2</v>
      </c>
    </row>
    <row r="77" spans="1:23" ht="15.75" thickBot="1">
      <c r="A77" s="159">
        <v>11939</v>
      </c>
      <c r="B77" s="159">
        <v>11979</v>
      </c>
      <c r="C77" s="164" t="s">
        <v>1356</v>
      </c>
      <c r="D77" s="164" t="s">
        <v>1357</v>
      </c>
      <c r="E77" s="164" t="s">
        <v>2</v>
      </c>
      <c r="F77" s="164" t="s">
        <v>1383</v>
      </c>
      <c r="G77" s="165">
        <v>1146604</v>
      </c>
      <c r="H77" s="164" t="s">
        <v>102</v>
      </c>
      <c r="I77" s="164" t="s">
        <v>235</v>
      </c>
      <c r="J77" s="164" t="s">
        <v>53</v>
      </c>
      <c r="K77" s="164" t="s">
        <v>314</v>
      </c>
      <c r="L77" s="164" t="s">
        <v>311</v>
      </c>
      <c r="M77" s="164" t="s">
        <v>1129</v>
      </c>
      <c r="N77" s="164" t="s">
        <v>62</v>
      </c>
      <c r="O77" s="164" t="s">
        <v>1208</v>
      </c>
      <c r="P77" s="167">
        <v>100500</v>
      </c>
      <c r="Q77" s="167">
        <v>1</v>
      </c>
      <c r="R77" s="167">
        <v>5107</v>
      </c>
      <c r="S77" s="161">
        <v>0</v>
      </c>
      <c r="T77" s="167">
        <v>5132.5349999999999</v>
      </c>
      <c r="U77" s="168">
        <v>0</v>
      </c>
      <c r="V77" s="168">
        <v>0.16726518189057693</v>
      </c>
      <c r="W77" s="168">
        <v>8.1719804158357612E-2</v>
      </c>
    </row>
    <row r="78" spans="1:23" ht="15.75" thickBot="1">
      <c r="A78" s="159">
        <v>11939</v>
      </c>
      <c r="B78" s="159">
        <v>11979</v>
      </c>
      <c r="C78" s="164" t="s">
        <v>1362</v>
      </c>
      <c r="D78" s="164" t="s">
        <v>1363</v>
      </c>
      <c r="E78" s="164" t="s">
        <v>2</v>
      </c>
      <c r="F78" s="164" t="s">
        <v>1444</v>
      </c>
      <c r="G78" s="165">
        <v>1150002</v>
      </c>
      <c r="H78" s="164" t="s">
        <v>102</v>
      </c>
      <c r="I78" s="164" t="s">
        <v>236</v>
      </c>
      <c r="J78" s="164" t="s">
        <v>53</v>
      </c>
      <c r="K78" s="164" t="s">
        <v>53</v>
      </c>
      <c r="L78" s="164" t="s">
        <v>311</v>
      </c>
      <c r="M78" s="164" t="s">
        <v>1002</v>
      </c>
      <c r="N78" s="164" t="s">
        <v>62</v>
      </c>
      <c r="O78" s="164" t="s">
        <v>1208</v>
      </c>
      <c r="P78" s="167">
        <v>289275</v>
      </c>
      <c r="Q78" s="167">
        <v>1</v>
      </c>
      <c r="R78" s="167">
        <v>447.56</v>
      </c>
      <c r="S78" s="161">
        <v>0</v>
      </c>
      <c r="T78" s="167">
        <v>1294.6791900000001</v>
      </c>
      <c r="U78" s="168">
        <v>0</v>
      </c>
      <c r="V78" s="168">
        <v>4.2192552063511468E-2</v>
      </c>
      <c r="W78" s="168">
        <v>2.0613776594743352E-2</v>
      </c>
    </row>
    <row r="79" spans="1:23" ht="15.75" thickBot="1">
      <c r="A79" s="159">
        <v>11939</v>
      </c>
      <c r="B79" s="159">
        <v>11979</v>
      </c>
      <c r="C79" s="164" t="s">
        <v>1362</v>
      </c>
      <c r="D79" s="164" t="s">
        <v>1363</v>
      </c>
      <c r="E79" s="164" t="s">
        <v>2</v>
      </c>
      <c r="F79" s="164" t="s">
        <v>1384</v>
      </c>
      <c r="G79" s="165">
        <v>1150572</v>
      </c>
      <c r="H79" s="164" t="s">
        <v>102</v>
      </c>
      <c r="I79" s="164" t="s">
        <v>235</v>
      </c>
      <c r="J79" s="164" t="s">
        <v>53</v>
      </c>
      <c r="K79" s="164" t="s">
        <v>314</v>
      </c>
      <c r="L79" s="164" t="s">
        <v>311</v>
      </c>
      <c r="M79" s="164" t="s">
        <v>1129</v>
      </c>
      <c r="N79" s="164" t="s">
        <v>62</v>
      </c>
      <c r="O79" s="164" t="s">
        <v>1208</v>
      </c>
      <c r="P79" s="167">
        <v>78250</v>
      </c>
      <c r="Q79" s="167">
        <v>1</v>
      </c>
      <c r="R79" s="167">
        <v>6781</v>
      </c>
      <c r="S79" s="161">
        <v>0</v>
      </c>
      <c r="T79" s="167">
        <v>5306.1324999999997</v>
      </c>
      <c r="U79" s="168">
        <v>0</v>
      </c>
      <c r="V79" s="168">
        <v>0.17292258459961826</v>
      </c>
      <c r="W79" s="168">
        <v>8.4483809411586369E-2</v>
      </c>
    </row>
    <row r="80" spans="1:23" ht="15.75" thickBot="1">
      <c r="A80" s="159">
        <v>11939</v>
      </c>
      <c r="B80" s="159">
        <v>11979</v>
      </c>
      <c r="C80" s="164" t="s">
        <v>1398</v>
      </c>
      <c r="D80" s="164" t="s">
        <v>1399</v>
      </c>
      <c r="E80" s="164" t="s">
        <v>2</v>
      </c>
      <c r="F80" s="164" t="s">
        <v>1400</v>
      </c>
      <c r="G80" s="165">
        <v>1165828</v>
      </c>
      <c r="H80" s="164" t="s">
        <v>102</v>
      </c>
      <c r="I80" s="164" t="s">
        <v>235</v>
      </c>
      <c r="J80" s="164" t="s">
        <v>53</v>
      </c>
      <c r="K80" s="164" t="s">
        <v>314</v>
      </c>
      <c r="L80" s="164" t="s">
        <v>311</v>
      </c>
      <c r="M80" s="164" t="s">
        <v>1129</v>
      </c>
      <c r="N80" s="164" t="s">
        <v>62</v>
      </c>
      <c r="O80" s="164" t="s">
        <v>1208</v>
      </c>
      <c r="P80" s="167">
        <v>45121</v>
      </c>
      <c r="Q80" s="167">
        <v>1</v>
      </c>
      <c r="R80" s="167">
        <v>8318</v>
      </c>
      <c r="S80" s="161">
        <v>0</v>
      </c>
      <c r="T80" s="167">
        <v>3753.1647800000001</v>
      </c>
      <c r="U80" s="168">
        <v>0</v>
      </c>
      <c r="V80" s="168">
        <v>0.12231261736978066</v>
      </c>
      <c r="W80" s="168">
        <v>5.9757583883138711E-2</v>
      </c>
    </row>
    <row r="81" spans="1:23" ht="15.75" thickBot="1">
      <c r="A81" s="159">
        <v>11939</v>
      </c>
      <c r="B81" s="159">
        <v>11979</v>
      </c>
      <c r="C81" s="164" t="s">
        <v>1398</v>
      </c>
      <c r="D81" s="164" t="s">
        <v>1399</v>
      </c>
      <c r="E81" s="164" t="s">
        <v>2</v>
      </c>
      <c r="F81" s="164" t="s">
        <v>1445</v>
      </c>
      <c r="G81" s="165">
        <v>1165844</v>
      </c>
      <c r="H81" s="164" t="s">
        <v>102</v>
      </c>
      <c r="I81" s="164" t="s">
        <v>235</v>
      </c>
      <c r="J81" s="164" t="s">
        <v>53</v>
      </c>
      <c r="K81" s="164" t="s">
        <v>314</v>
      </c>
      <c r="L81" s="164" t="s">
        <v>311</v>
      </c>
      <c r="M81" s="164" t="s">
        <v>1129</v>
      </c>
      <c r="N81" s="164" t="s">
        <v>62</v>
      </c>
      <c r="O81" s="164" t="s">
        <v>1208</v>
      </c>
      <c r="P81" s="167">
        <v>7035</v>
      </c>
      <c r="Q81" s="167">
        <v>1</v>
      </c>
      <c r="R81" s="167">
        <v>8713</v>
      </c>
      <c r="S81" s="161">
        <v>0</v>
      </c>
      <c r="T81" s="167">
        <v>612.95955000000004</v>
      </c>
      <c r="U81" s="168">
        <v>0</v>
      </c>
      <c r="V81" s="168">
        <v>1.9975858054999372E-2</v>
      </c>
      <c r="W81" s="168">
        <v>9.7594920215829054E-3</v>
      </c>
    </row>
    <row r="82" spans="1:23" ht="15.75" thickBot="1">
      <c r="A82" s="159">
        <v>11939</v>
      </c>
      <c r="B82" s="159">
        <v>11979</v>
      </c>
      <c r="C82" s="164" t="s">
        <v>1608</v>
      </c>
      <c r="D82" s="164"/>
      <c r="E82" s="164"/>
      <c r="F82" s="164" t="s">
        <v>1386</v>
      </c>
      <c r="G82" s="164" t="s">
        <v>1387</v>
      </c>
      <c r="H82" s="164" t="s">
        <v>76</v>
      </c>
      <c r="I82" s="164" t="s">
        <v>235</v>
      </c>
      <c r="J82" s="164" t="s">
        <v>61</v>
      </c>
      <c r="K82" s="164" t="s">
        <v>314</v>
      </c>
      <c r="L82" s="164" t="s">
        <v>479</v>
      </c>
      <c r="M82" s="164" t="s">
        <v>775</v>
      </c>
      <c r="N82" s="164" t="s">
        <v>62</v>
      </c>
      <c r="O82" s="164" t="s">
        <v>1210</v>
      </c>
      <c r="P82" s="167">
        <v>245</v>
      </c>
      <c r="Q82" s="167">
        <v>3.681</v>
      </c>
      <c r="R82" s="167">
        <v>44401</v>
      </c>
      <c r="S82" s="161">
        <v>0</v>
      </c>
      <c r="T82" s="167">
        <v>400.81607000000002</v>
      </c>
      <c r="U82" s="168">
        <v>1.5421052407900194E-5</v>
      </c>
      <c r="V82" s="168">
        <v>1.30622729028085E-2</v>
      </c>
      <c r="W82" s="168">
        <v>6.3817608148648884E-3</v>
      </c>
    </row>
    <row r="83" spans="1:23" ht="15.75" thickBot="1">
      <c r="A83" s="159">
        <v>11939</v>
      </c>
      <c r="B83" s="159">
        <v>11979</v>
      </c>
      <c r="C83" s="164" t="s">
        <v>1609</v>
      </c>
      <c r="D83" s="164"/>
      <c r="E83" s="164"/>
      <c r="F83" s="164" t="s">
        <v>1388</v>
      </c>
      <c r="G83" s="164" t="s">
        <v>1389</v>
      </c>
      <c r="H83" s="164" t="s">
        <v>76</v>
      </c>
      <c r="I83" s="164" t="s">
        <v>237</v>
      </c>
      <c r="J83" s="164" t="s">
        <v>61</v>
      </c>
      <c r="K83" s="164" t="s">
        <v>314</v>
      </c>
      <c r="L83" s="164" t="s">
        <v>476</v>
      </c>
      <c r="M83" s="164" t="s">
        <v>776</v>
      </c>
      <c r="N83" s="164" t="s">
        <v>62</v>
      </c>
      <c r="O83" s="164" t="s">
        <v>1210</v>
      </c>
      <c r="P83" s="167">
        <v>25678</v>
      </c>
      <c r="Q83" s="167">
        <v>3.681</v>
      </c>
      <c r="R83" s="167">
        <v>4255</v>
      </c>
      <c r="S83" s="161">
        <v>0</v>
      </c>
      <c r="T83" s="167">
        <v>4021.85655</v>
      </c>
      <c r="U83" s="168">
        <v>5.6403228771495896E-5</v>
      </c>
      <c r="V83" s="168">
        <v>0.13106906574890542</v>
      </c>
      <c r="W83" s="168">
        <v>6.4035672356643994E-2</v>
      </c>
    </row>
    <row r="84" spans="1:23" ht="15.75" thickBot="1">
      <c r="A84" s="159">
        <v>11939</v>
      </c>
      <c r="B84" s="159">
        <v>11979</v>
      </c>
      <c r="C84" s="164" t="s">
        <v>1609</v>
      </c>
      <c r="D84" s="164"/>
      <c r="E84" s="164"/>
      <c r="F84" s="164" t="s">
        <v>1390</v>
      </c>
      <c r="G84" s="164" t="s">
        <v>1391</v>
      </c>
      <c r="H84" s="164" t="s">
        <v>76</v>
      </c>
      <c r="I84" s="164" t="s">
        <v>235</v>
      </c>
      <c r="J84" s="164" t="s">
        <v>61</v>
      </c>
      <c r="K84" s="164" t="s">
        <v>314</v>
      </c>
      <c r="L84" s="164" t="s">
        <v>476</v>
      </c>
      <c r="M84" s="164" t="s">
        <v>775</v>
      </c>
      <c r="N84" s="164" t="s">
        <v>62</v>
      </c>
      <c r="O84" s="164" t="s">
        <v>1210</v>
      </c>
      <c r="P84" s="167">
        <v>9459</v>
      </c>
      <c r="Q84" s="167">
        <v>3.681</v>
      </c>
      <c r="R84" s="167">
        <v>6630</v>
      </c>
      <c r="S84" s="161">
        <v>0</v>
      </c>
      <c r="T84" s="167">
        <v>2308.4717900000001</v>
      </c>
      <c r="U84" s="168">
        <v>2.5875577728176807E-5</v>
      </c>
      <c r="V84" s="168">
        <v>7.5231236385843586E-2</v>
      </c>
      <c r="W84" s="168">
        <v>3.6755299785367901E-2</v>
      </c>
    </row>
    <row r="85" spans="1:23" ht="15.75" thickBot="1">
      <c r="A85" s="159">
        <v>11939</v>
      </c>
      <c r="B85" s="159">
        <v>11979</v>
      </c>
      <c r="C85" s="164" t="s">
        <v>1608</v>
      </c>
      <c r="D85" s="164"/>
      <c r="E85" s="164"/>
      <c r="F85" s="164" t="s">
        <v>1373</v>
      </c>
      <c r="G85" s="164" t="s">
        <v>1374</v>
      </c>
      <c r="H85" s="164" t="s">
        <v>76</v>
      </c>
      <c r="I85" s="164" t="s">
        <v>235</v>
      </c>
      <c r="J85" s="164" t="s">
        <v>61</v>
      </c>
      <c r="K85" s="164" t="s">
        <v>314</v>
      </c>
      <c r="L85" s="164" t="s">
        <v>494</v>
      </c>
      <c r="M85" s="164" t="s">
        <v>775</v>
      </c>
      <c r="N85" s="164" t="s">
        <v>62</v>
      </c>
      <c r="O85" s="164" t="s">
        <v>1210</v>
      </c>
      <c r="P85" s="167">
        <v>310</v>
      </c>
      <c r="Q85" s="167">
        <v>3.681</v>
      </c>
      <c r="R85" s="167">
        <v>102524</v>
      </c>
      <c r="S85" s="161">
        <v>0</v>
      </c>
      <c r="T85" s="167">
        <v>1169.9116200000001</v>
      </c>
      <c r="U85" s="168">
        <v>3.9896759140643731E-5</v>
      </c>
      <c r="V85" s="168">
        <v>3.8126477445394831E-2</v>
      </c>
      <c r="W85" s="168">
        <v>1.8627237509142539E-2</v>
      </c>
    </row>
    <row r="86" spans="1:23" ht="15.75" thickBot="1">
      <c r="A86" s="159">
        <v>11939</v>
      </c>
      <c r="B86" s="159">
        <v>11979</v>
      </c>
      <c r="C86" s="164" t="s">
        <v>1611</v>
      </c>
      <c r="D86" s="164"/>
      <c r="E86" s="164"/>
      <c r="F86" s="164" t="s">
        <v>1407</v>
      </c>
      <c r="G86" s="164" t="s">
        <v>1408</v>
      </c>
      <c r="H86" s="164" t="s">
        <v>76</v>
      </c>
      <c r="I86" s="164" t="s">
        <v>237</v>
      </c>
      <c r="J86" s="164" t="s">
        <v>61</v>
      </c>
      <c r="K86" s="164" t="s">
        <v>314</v>
      </c>
      <c r="L86" s="164" t="s">
        <v>476</v>
      </c>
      <c r="M86" s="164" t="s">
        <v>776</v>
      </c>
      <c r="N86" s="164" t="s">
        <v>62</v>
      </c>
      <c r="O86" s="164" t="s">
        <v>1210</v>
      </c>
      <c r="P86" s="167">
        <v>31097</v>
      </c>
      <c r="Q86" s="167">
        <v>3.681</v>
      </c>
      <c r="R86" s="167">
        <v>2346</v>
      </c>
      <c r="S86" s="161">
        <v>0</v>
      </c>
      <c r="T86" s="167">
        <v>2685.4206199999999</v>
      </c>
      <c r="U86" s="168">
        <v>4.2217575068601895E-5</v>
      </c>
      <c r="V86" s="168">
        <v>8.7515695159800344E-2</v>
      </c>
      <c r="W86" s="168">
        <v>4.2757048349249496E-2</v>
      </c>
    </row>
    <row r="87" spans="1:23" ht="15.75" thickBot="1">
      <c r="A87" s="159">
        <v>11939</v>
      </c>
      <c r="B87" s="159">
        <v>11979</v>
      </c>
      <c r="C87" s="164" t="s">
        <v>1608</v>
      </c>
      <c r="D87" s="164"/>
      <c r="E87" s="164"/>
      <c r="F87" s="164" t="s">
        <v>1446</v>
      </c>
      <c r="G87" s="164" t="s">
        <v>1447</v>
      </c>
      <c r="H87" s="164" t="s">
        <v>76</v>
      </c>
      <c r="I87" s="164" t="s">
        <v>235</v>
      </c>
      <c r="J87" s="164" t="s">
        <v>61</v>
      </c>
      <c r="K87" s="164" t="s">
        <v>314</v>
      </c>
      <c r="L87" s="164" t="s">
        <v>476</v>
      </c>
      <c r="M87" s="164" t="s">
        <v>775</v>
      </c>
      <c r="N87" s="164" t="s">
        <v>62</v>
      </c>
      <c r="O87" s="164" t="s">
        <v>1210</v>
      </c>
      <c r="P87" s="167">
        <v>8452</v>
      </c>
      <c r="Q87" s="167">
        <v>3.681</v>
      </c>
      <c r="R87" s="167">
        <v>3678</v>
      </c>
      <c r="S87" s="161">
        <v>0</v>
      </c>
      <c r="T87" s="167">
        <v>1144.2924499999999</v>
      </c>
      <c r="U87" s="168">
        <v>2.1659138160034174E-3</v>
      </c>
      <c r="V87" s="168">
        <v>3.7291569328852879E-2</v>
      </c>
      <c r="W87" s="168">
        <v>1.8219331171416702E-2</v>
      </c>
    </row>
    <row r="88" spans="1:23" ht="15.75" thickBot="1">
      <c r="A88" s="159">
        <v>11939</v>
      </c>
      <c r="B88" s="159">
        <v>11980</v>
      </c>
      <c r="C88" s="164" t="s">
        <v>1353</v>
      </c>
      <c r="D88" s="164" t="s">
        <v>1354</v>
      </c>
      <c r="E88" s="164" t="s">
        <v>2</v>
      </c>
      <c r="F88" s="164" t="s">
        <v>1448</v>
      </c>
      <c r="G88" s="165">
        <v>1144591</v>
      </c>
      <c r="H88" s="164" t="s">
        <v>102</v>
      </c>
      <c r="I88" s="164" t="s">
        <v>236</v>
      </c>
      <c r="J88" s="164" t="s">
        <v>53</v>
      </c>
      <c r="K88" s="164" t="s">
        <v>53</v>
      </c>
      <c r="L88" s="164" t="s">
        <v>311</v>
      </c>
      <c r="M88" s="164" t="s">
        <v>1026</v>
      </c>
      <c r="N88" s="164" t="s">
        <v>62</v>
      </c>
      <c r="O88" s="164" t="s">
        <v>1208</v>
      </c>
      <c r="P88" s="167">
        <v>11506</v>
      </c>
      <c r="Q88" s="167">
        <v>1</v>
      </c>
      <c r="R88" s="167">
        <v>2442</v>
      </c>
      <c r="S88" s="161">
        <v>0</v>
      </c>
      <c r="T88" s="167">
        <v>280.97651999999999</v>
      </c>
      <c r="U88" s="168">
        <v>0</v>
      </c>
      <c r="V88" s="168">
        <v>8.5598377218917054E-2</v>
      </c>
      <c r="W88" s="168">
        <v>5.1212756534241219E-2</v>
      </c>
    </row>
    <row r="89" spans="1:23" ht="15.75" thickBot="1">
      <c r="A89" s="159">
        <v>11939</v>
      </c>
      <c r="B89" s="159">
        <v>11980</v>
      </c>
      <c r="C89" s="164" t="s">
        <v>1356</v>
      </c>
      <c r="D89" s="164" t="s">
        <v>1357</v>
      </c>
      <c r="E89" s="164" t="s">
        <v>2</v>
      </c>
      <c r="F89" s="164" t="s">
        <v>1449</v>
      </c>
      <c r="G89" s="165">
        <v>1146166</v>
      </c>
      <c r="H89" s="164" t="s">
        <v>102</v>
      </c>
      <c r="I89" s="164" t="s">
        <v>236</v>
      </c>
      <c r="J89" s="164" t="s">
        <v>53</v>
      </c>
      <c r="K89" s="164" t="s">
        <v>53</v>
      </c>
      <c r="L89" s="164" t="s">
        <v>311</v>
      </c>
      <c r="M89" s="164" t="s">
        <v>1036</v>
      </c>
      <c r="N89" s="164" t="s">
        <v>62</v>
      </c>
      <c r="O89" s="164" t="s">
        <v>1208</v>
      </c>
      <c r="P89" s="167">
        <v>2232</v>
      </c>
      <c r="Q89" s="167">
        <v>1</v>
      </c>
      <c r="R89" s="167">
        <v>3292.81</v>
      </c>
      <c r="S89" s="161">
        <v>0</v>
      </c>
      <c r="T89" s="167">
        <v>73.495519999999999</v>
      </c>
      <c r="U89" s="168">
        <v>0</v>
      </c>
      <c r="V89" s="168">
        <v>2.2390117312508756E-2</v>
      </c>
      <c r="W89" s="168">
        <v>1.339581034072689E-2</v>
      </c>
    </row>
    <row r="90" spans="1:23" ht="15.75" thickBot="1">
      <c r="A90" s="159">
        <v>11939</v>
      </c>
      <c r="B90" s="159">
        <v>11980</v>
      </c>
      <c r="C90" s="164" t="s">
        <v>1359</v>
      </c>
      <c r="D90" s="164" t="s">
        <v>1360</v>
      </c>
      <c r="E90" s="164" t="s">
        <v>2</v>
      </c>
      <c r="F90" s="164" t="s">
        <v>1450</v>
      </c>
      <c r="G90" s="165">
        <v>1149103</v>
      </c>
      <c r="H90" s="164" t="s">
        <v>102</v>
      </c>
      <c r="I90" s="164" t="s">
        <v>235</v>
      </c>
      <c r="J90" s="164" t="s">
        <v>53</v>
      </c>
      <c r="K90" s="164" t="s">
        <v>314</v>
      </c>
      <c r="L90" s="164" t="s">
        <v>311</v>
      </c>
      <c r="M90" s="164" t="s">
        <v>1129</v>
      </c>
      <c r="N90" s="164" t="s">
        <v>62</v>
      </c>
      <c r="O90" s="164" t="s">
        <v>1208</v>
      </c>
      <c r="P90" s="167">
        <v>2607</v>
      </c>
      <c r="Q90" s="167">
        <v>1</v>
      </c>
      <c r="R90" s="167">
        <v>16150</v>
      </c>
      <c r="S90" s="161">
        <v>0</v>
      </c>
      <c r="T90" s="167">
        <v>421.03050000000002</v>
      </c>
      <c r="U90" s="168">
        <v>0</v>
      </c>
      <c r="V90" s="168">
        <v>0.12826526415683864</v>
      </c>
      <c r="W90" s="168">
        <v>7.6739979874438785E-2</v>
      </c>
    </row>
    <row r="91" spans="1:23" ht="15.75" thickBot="1">
      <c r="A91" s="159">
        <v>11939</v>
      </c>
      <c r="B91" s="159">
        <v>11980</v>
      </c>
      <c r="C91" s="164" t="s">
        <v>1359</v>
      </c>
      <c r="D91" s="164" t="s">
        <v>1360</v>
      </c>
      <c r="E91" s="164" t="s">
        <v>2</v>
      </c>
      <c r="F91" s="164" t="s">
        <v>1396</v>
      </c>
      <c r="G91" s="165">
        <v>1149137</v>
      </c>
      <c r="H91" s="164" t="s">
        <v>102</v>
      </c>
      <c r="I91" s="164" t="s">
        <v>235</v>
      </c>
      <c r="J91" s="164" t="s">
        <v>53</v>
      </c>
      <c r="K91" s="164" t="s">
        <v>314</v>
      </c>
      <c r="L91" s="164" t="s">
        <v>311</v>
      </c>
      <c r="M91" s="164" t="s">
        <v>1129</v>
      </c>
      <c r="N91" s="164" t="s">
        <v>62</v>
      </c>
      <c r="O91" s="164" t="s">
        <v>1208</v>
      </c>
      <c r="P91" s="167">
        <v>4285</v>
      </c>
      <c r="Q91" s="167">
        <v>1</v>
      </c>
      <c r="R91" s="167">
        <v>5178</v>
      </c>
      <c r="S91" s="161">
        <v>0</v>
      </c>
      <c r="T91" s="167">
        <v>221.87729999999999</v>
      </c>
      <c r="U91" s="168">
        <v>0</v>
      </c>
      <c r="V91" s="168">
        <v>6.7594035336884462E-2</v>
      </c>
      <c r="W91" s="168">
        <v>4.0440917075116448E-2</v>
      </c>
    </row>
    <row r="92" spans="1:23" ht="15.75" thickBot="1">
      <c r="A92" s="159">
        <v>11939</v>
      </c>
      <c r="B92" s="159">
        <v>11980</v>
      </c>
      <c r="C92" s="164" t="s">
        <v>1362</v>
      </c>
      <c r="D92" s="164" t="s">
        <v>1363</v>
      </c>
      <c r="E92" s="164" t="s">
        <v>2</v>
      </c>
      <c r="F92" s="164" t="s">
        <v>1385</v>
      </c>
      <c r="G92" s="165">
        <v>1150614</v>
      </c>
      <c r="H92" s="164" t="s">
        <v>102</v>
      </c>
      <c r="I92" s="164" t="s">
        <v>235</v>
      </c>
      <c r="J92" s="164" t="s">
        <v>53</v>
      </c>
      <c r="K92" s="164" t="s">
        <v>314</v>
      </c>
      <c r="L92" s="164" t="s">
        <v>311</v>
      </c>
      <c r="M92" s="164" t="s">
        <v>1127</v>
      </c>
      <c r="N92" s="164" t="s">
        <v>62</v>
      </c>
      <c r="O92" s="164" t="s">
        <v>1208</v>
      </c>
      <c r="P92" s="167">
        <v>3659</v>
      </c>
      <c r="Q92" s="167">
        <v>1</v>
      </c>
      <c r="R92" s="167">
        <v>7475</v>
      </c>
      <c r="S92" s="161">
        <v>0</v>
      </c>
      <c r="T92" s="167">
        <v>273.51024999999998</v>
      </c>
      <c r="U92" s="168">
        <v>0</v>
      </c>
      <c r="V92" s="168">
        <v>8.332380781404905E-2</v>
      </c>
      <c r="W92" s="168">
        <v>4.9851901656656039E-2</v>
      </c>
    </row>
    <row r="93" spans="1:23" ht="15.75" thickBot="1">
      <c r="A93" s="159">
        <v>11939</v>
      </c>
      <c r="B93" s="159">
        <v>11980</v>
      </c>
      <c r="C93" s="164" t="s">
        <v>1398</v>
      </c>
      <c r="D93" s="164" t="s">
        <v>1399</v>
      </c>
      <c r="E93" s="164" t="s">
        <v>2</v>
      </c>
      <c r="F93" s="164" t="s">
        <v>1451</v>
      </c>
      <c r="G93" s="165">
        <v>1165810</v>
      </c>
      <c r="H93" s="164" t="s">
        <v>102</v>
      </c>
      <c r="I93" s="164" t="s">
        <v>235</v>
      </c>
      <c r="J93" s="164" t="s">
        <v>53</v>
      </c>
      <c r="K93" s="164" t="s">
        <v>314</v>
      </c>
      <c r="L93" s="164" t="s">
        <v>311</v>
      </c>
      <c r="M93" s="164" t="s">
        <v>1125</v>
      </c>
      <c r="N93" s="164" t="s">
        <v>62</v>
      </c>
      <c r="O93" s="164" t="s">
        <v>1208</v>
      </c>
      <c r="P93" s="167">
        <v>1988</v>
      </c>
      <c r="Q93" s="167">
        <v>1</v>
      </c>
      <c r="R93" s="167">
        <v>9551</v>
      </c>
      <c r="S93" s="161">
        <v>0</v>
      </c>
      <c r="T93" s="167">
        <v>189.87388000000001</v>
      </c>
      <c r="U93" s="168">
        <v>0</v>
      </c>
      <c r="V93" s="168">
        <v>5.784432095699453E-2</v>
      </c>
      <c r="W93" s="168">
        <v>3.4607748678258714E-2</v>
      </c>
    </row>
    <row r="94" spans="1:23" ht="15.75" thickBot="1">
      <c r="A94" s="159">
        <v>11939</v>
      </c>
      <c r="B94" s="159">
        <v>11980</v>
      </c>
      <c r="C94" s="164" t="s">
        <v>1362</v>
      </c>
      <c r="D94" s="164" t="s">
        <v>1363</v>
      </c>
      <c r="E94" s="164" t="s">
        <v>2</v>
      </c>
      <c r="F94" s="164" t="s">
        <v>1452</v>
      </c>
      <c r="G94" s="165">
        <v>1193127</v>
      </c>
      <c r="H94" s="164" t="s">
        <v>102</v>
      </c>
      <c r="I94" s="164" t="s">
        <v>236</v>
      </c>
      <c r="J94" s="164" t="s">
        <v>53</v>
      </c>
      <c r="K94" s="164" t="s">
        <v>53</v>
      </c>
      <c r="L94" s="164" t="s">
        <v>311</v>
      </c>
      <c r="M94" s="164" t="s">
        <v>997</v>
      </c>
      <c r="N94" s="164" t="s">
        <v>62</v>
      </c>
      <c r="O94" s="164" t="s">
        <v>1208</v>
      </c>
      <c r="P94" s="167">
        <v>108616</v>
      </c>
      <c r="Q94" s="167">
        <v>1</v>
      </c>
      <c r="R94" s="167">
        <v>369.7</v>
      </c>
      <c r="S94" s="161">
        <v>0</v>
      </c>
      <c r="T94" s="167">
        <v>401.55335000000002</v>
      </c>
      <c r="U94" s="168">
        <v>0</v>
      </c>
      <c r="V94" s="168">
        <v>0.1223316280193798</v>
      </c>
      <c r="W94" s="168">
        <v>7.3189937540186462E-2</v>
      </c>
    </row>
    <row r="95" spans="1:23" ht="15.75" thickBot="1">
      <c r="A95" s="159">
        <v>11939</v>
      </c>
      <c r="B95" s="159">
        <v>11980</v>
      </c>
      <c r="C95" s="164" t="s">
        <v>1356</v>
      </c>
      <c r="D95" s="164" t="s">
        <v>1357</v>
      </c>
      <c r="E95" s="164" t="s">
        <v>2</v>
      </c>
      <c r="F95" s="164" t="s">
        <v>1453</v>
      </c>
      <c r="G95" s="165">
        <v>1193614</v>
      </c>
      <c r="H95" s="164" t="s">
        <v>102</v>
      </c>
      <c r="I95" s="164" t="s">
        <v>236</v>
      </c>
      <c r="J95" s="164" t="s">
        <v>53</v>
      </c>
      <c r="K95" s="164" t="s">
        <v>53</v>
      </c>
      <c r="L95" s="164" t="s">
        <v>311</v>
      </c>
      <c r="M95" s="164" t="s">
        <v>997</v>
      </c>
      <c r="N95" s="164" t="s">
        <v>62</v>
      </c>
      <c r="O95" s="164" t="s">
        <v>1208</v>
      </c>
      <c r="P95" s="167">
        <v>11556</v>
      </c>
      <c r="Q95" s="167">
        <v>1</v>
      </c>
      <c r="R95" s="167">
        <v>3686.77</v>
      </c>
      <c r="S95" s="161">
        <v>0</v>
      </c>
      <c r="T95" s="167">
        <v>426.04313999999999</v>
      </c>
      <c r="U95" s="168">
        <v>0</v>
      </c>
      <c r="V95" s="168">
        <v>0.12979234495911576</v>
      </c>
      <c r="W95" s="168">
        <v>7.7653618892794485E-2</v>
      </c>
    </row>
    <row r="96" spans="1:23" ht="15.75" thickBot="1">
      <c r="A96" s="159">
        <v>11939</v>
      </c>
      <c r="B96" s="159">
        <v>11980</v>
      </c>
      <c r="C96" s="164" t="s">
        <v>1611</v>
      </c>
      <c r="D96" s="164"/>
      <c r="E96" s="164"/>
      <c r="F96" s="164" t="s">
        <v>1454</v>
      </c>
      <c r="G96" s="164" t="s">
        <v>1455</v>
      </c>
      <c r="H96" s="164" t="s">
        <v>76</v>
      </c>
      <c r="I96" s="164" t="s">
        <v>235</v>
      </c>
      <c r="J96" s="164" t="s">
        <v>61</v>
      </c>
      <c r="K96" s="164" t="s">
        <v>314</v>
      </c>
      <c r="L96" s="164" t="s">
        <v>476</v>
      </c>
      <c r="M96" s="164" t="s">
        <v>775</v>
      </c>
      <c r="N96" s="164" t="s">
        <v>62</v>
      </c>
      <c r="O96" s="164" t="s">
        <v>1210</v>
      </c>
      <c r="P96" s="167">
        <v>84</v>
      </c>
      <c r="Q96" s="167">
        <v>3.681</v>
      </c>
      <c r="R96" s="167">
        <v>39776</v>
      </c>
      <c r="S96" s="161">
        <v>0</v>
      </c>
      <c r="T96" s="167">
        <v>123.2775</v>
      </c>
      <c r="U96" s="168">
        <v>1.0097019495673829E-6</v>
      </c>
      <c r="V96" s="168">
        <v>3.7555999154680428E-2</v>
      </c>
      <c r="W96" s="168">
        <v>2.2469424112911363E-2</v>
      </c>
    </row>
    <row r="97" spans="1:23" ht="15.75" thickBot="1">
      <c r="A97" s="159">
        <v>11939</v>
      </c>
      <c r="B97" s="159">
        <v>11980</v>
      </c>
      <c r="C97" s="164" t="s">
        <v>1609</v>
      </c>
      <c r="D97" s="164"/>
      <c r="E97" s="164"/>
      <c r="F97" s="164" t="s">
        <v>1388</v>
      </c>
      <c r="G97" s="164" t="s">
        <v>1389</v>
      </c>
      <c r="H97" s="164" t="s">
        <v>76</v>
      </c>
      <c r="I97" s="164" t="s">
        <v>237</v>
      </c>
      <c r="J97" s="164" t="s">
        <v>61</v>
      </c>
      <c r="K97" s="164" t="s">
        <v>314</v>
      </c>
      <c r="L97" s="164" t="s">
        <v>476</v>
      </c>
      <c r="M97" s="164" t="s">
        <v>776</v>
      </c>
      <c r="N97" s="164" t="s">
        <v>62</v>
      </c>
      <c r="O97" s="164" t="s">
        <v>1210</v>
      </c>
      <c r="P97" s="167">
        <v>793</v>
      </c>
      <c r="Q97" s="167">
        <v>3.681</v>
      </c>
      <c r="R97" s="167">
        <v>4255</v>
      </c>
      <c r="S97" s="161">
        <v>0</v>
      </c>
      <c r="T97" s="167">
        <v>124.20484999999999</v>
      </c>
      <c r="U97" s="168">
        <v>5.6403228771495896E-5</v>
      </c>
      <c r="V97" s="168">
        <v>3.7838512636995468E-2</v>
      </c>
      <c r="W97" s="168">
        <v>2.2638449445604742E-2</v>
      </c>
    </row>
    <row r="98" spans="1:23" ht="15.75" thickBot="1">
      <c r="A98" s="159">
        <v>11939</v>
      </c>
      <c r="B98" s="159">
        <v>11980</v>
      </c>
      <c r="C98" s="164" t="s">
        <v>1609</v>
      </c>
      <c r="D98" s="164"/>
      <c r="E98" s="164"/>
      <c r="F98" s="164" t="s">
        <v>1390</v>
      </c>
      <c r="G98" s="164" t="s">
        <v>1391</v>
      </c>
      <c r="H98" s="164" t="s">
        <v>76</v>
      </c>
      <c r="I98" s="164" t="s">
        <v>235</v>
      </c>
      <c r="J98" s="164" t="s">
        <v>61</v>
      </c>
      <c r="K98" s="164" t="s">
        <v>314</v>
      </c>
      <c r="L98" s="164" t="s">
        <v>476</v>
      </c>
      <c r="M98" s="164" t="s">
        <v>775</v>
      </c>
      <c r="N98" s="164" t="s">
        <v>62</v>
      </c>
      <c r="O98" s="164" t="s">
        <v>1210</v>
      </c>
      <c r="P98" s="167">
        <v>702</v>
      </c>
      <c r="Q98" s="167">
        <v>3.681</v>
      </c>
      <c r="R98" s="167">
        <v>6630</v>
      </c>
      <c r="S98" s="161">
        <v>0</v>
      </c>
      <c r="T98" s="167">
        <v>171.32330999999999</v>
      </c>
      <c r="U98" s="168">
        <v>2.5875577728176807E-5</v>
      </c>
      <c r="V98" s="168">
        <v>5.2192963724418909E-2</v>
      </c>
      <c r="W98" s="168">
        <v>3.1226591331084651E-2</v>
      </c>
    </row>
    <row r="99" spans="1:23" ht="15.75" thickBot="1">
      <c r="A99" s="159">
        <v>11939</v>
      </c>
      <c r="B99" s="159">
        <v>11980</v>
      </c>
      <c r="C99" s="164" t="s">
        <v>1608</v>
      </c>
      <c r="D99" s="164"/>
      <c r="E99" s="164"/>
      <c r="F99" s="164" t="s">
        <v>1373</v>
      </c>
      <c r="G99" s="164" t="s">
        <v>1374</v>
      </c>
      <c r="H99" s="164" t="s">
        <v>76</v>
      </c>
      <c r="I99" s="164" t="s">
        <v>235</v>
      </c>
      <c r="J99" s="164" t="s">
        <v>61</v>
      </c>
      <c r="K99" s="164" t="s">
        <v>314</v>
      </c>
      <c r="L99" s="164" t="s">
        <v>494</v>
      </c>
      <c r="M99" s="164" t="s">
        <v>775</v>
      </c>
      <c r="N99" s="164" t="s">
        <v>62</v>
      </c>
      <c r="O99" s="164" t="s">
        <v>1210</v>
      </c>
      <c r="P99" s="167">
        <v>70</v>
      </c>
      <c r="Q99" s="167">
        <v>3.681</v>
      </c>
      <c r="R99" s="167">
        <v>102524</v>
      </c>
      <c r="S99" s="161">
        <v>0</v>
      </c>
      <c r="T99" s="167">
        <v>264.17358999999999</v>
      </c>
      <c r="U99" s="168">
        <v>3.9896759140643731E-5</v>
      </c>
      <c r="V99" s="168">
        <v>8.0479431548570443E-2</v>
      </c>
      <c r="W99" s="168">
        <v>4.8150136343942405E-2</v>
      </c>
    </row>
    <row r="100" spans="1:23" ht="15.75" thickBot="1">
      <c r="A100" s="159">
        <v>11939</v>
      </c>
      <c r="B100" s="159">
        <v>11980</v>
      </c>
      <c r="C100" s="164" t="s">
        <v>1609</v>
      </c>
      <c r="D100" s="164"/>
      <c r="E100" s="164"/>
      <c r="F100" s="164" t="s">
        <v>1375</v>
      </c>
      <c r="G100" s="164" t="s">
        <v>1376</v>
      </c>
      <c r="H100" s="164" t="s">
        <v>76</v>
      </c>
      <c r="I100" s="164" t="s">
        <v>235</v>
      </c>
      <c r="J100" s="164" t="s">
        <v>61</v>
      </c>
      <c r="K100" s="164" t="s">
        <v>314</v>
      </c>
      <c r="L100" s="164" t="s">
        <v>494</v>
      </c>
      <c r="M100" s="164" t="s">
        <v>775</v>
      </c>
      <c r="N100" s="164" t="s">
        <v>62</v>
      </c>
      <c r="O100" s="164" t="s">
        <v>1210</v>
      </c>
      <c r="P100" s="167">
        <v>153</v>
      </c>
      <c r="Q100" s="167">
        <v>3.681</v>
      </c>
      <c r="R100" s="167">
        <v>55249</v>
      </c>
      <c r="S100" s="161">
        <v>0</v>
      </c>
      <c r="T100" s="167">
        <v>311.1585</v>
      </c>
      <c r="U100" s="168">
        <v>1.0214037649289259E-5</v>
      </c>
      <c r="V100" s="168">
        <v>9.4793197160646742E-2</v>
      </c>
      <c r="W100" s="168">
        <v>5.671393646721689E-2</v>
      </c>
    </row>
    <row r="101" spans="1:23" ht="15.75" thickBot="1">
      <c r="A101" s="159">
        <v>11939</v>
      </c>
      <c r="B101" s="159">
        <v>11981</v>
      </c>
      <c r="C101" s="164" t="s">
        <v>1353</v>
      </c>
      <c r="D101" s="164" t="s">
        <v>1354</v>
      </c>
      <c r="E101" s="164" t="s">
        <v>2</v>
      </c>
      <c r="F101" s="164" t="s">
        <v>1456</v>
      </c>
      <c r="G101" s="165">
        <v>1144013</v>
      </c>
      <c r="H101" s="164" t="s">
        <v>102</v>
      </c>
      <c r="I101" s="164" t="s">
        <v>236</v>
      </c>
      <c r="J101" s="164" t="s">
        <v>53</v>
      </c>
      <c r="K101" s="164" t="s">
        <v>53</v>
      </c>
      <c r="L101" s="164" t="s">
        <v>311</v>
      </c>
      <c r="M101" s="164" t="s">
        <v>983</v>
      </c>
      <c r="N101" s="164" t="s">
        <v>62</v>
      </c>
      <c r="O101" s="164" t="s">
        <v>1208</v>
      </c>
      <c r="P101" s="167">
        <v>8325</v>
      </c>
      <c r="Q101" s="167">
        <v>1</v>
      </c>
      <c r="R101" s="167">
        <v>3786.08</v>
      </c>
      <c r="S101" s="161">
        <v>0</v>
      </c>
      <c r="T101" s="167">
        <v>315.19116000000002</v>
      </c>
      <c r="U101" s="168">
        <v>0</v>
      </c>
      <c r="V101" s="168">
        <v>0.10892968724984588</v>
      </c>
      <c r="W101" s="168">
        <v>6.0979784137388818E-2</v>
      </c>
    </row>
    <row r="102" spans="1:23" ht="15.75" thickBot="1">
      <c r="A102" s="159">
        <v>11939</v>
      </c>
      <c r="B102" s="159">
        <v>11981</v>
      </c>
      <c r="C102" s="164" t="s">
        <v>1353</v>
      </c>
      <c r="D102" s="164" t="s">
        <v>1354</v>
      </c>
      <c r="E102" s="164" t="s">
        <v>2</v>
      </c>
      <c r="F102" s="164" t="s">
        <v>1457</v>
      </c>
      <c r="G102" s="165">
        <v>1144385</v>
      </c>
      <c r="H102" s="164" t="s">
        <v>102</v>
      </c>
      <c r="I102" s="164" t="s">
        <v>235</v>
      </c>
      <c r="J102" s="164" t="s">
        <v>53</v>
      </c>
      <c r="K102" s="164" t="s">
        <v>314</v>
      </c>
      <c r="L102" s="164" t="s">
        <v>311</v>
      </c>
      <c r="M102" s="164" t="s">
        <v>1125</v>
      </c>
      <c r="N102" s="164" t="s">
        <v>62</v>
      </c>
      <c r="O102" s="164" t="s">
        <v>1208</v>
      </c>
      <c r="P102" s="167">
        <v>1545</v>
      </c>
      <c r="Q102" s="167">
        <v>1</v>
      </c>
      <c r="R102" s="167">
        <v>22670</v>
      </c>
      <c r="S102" s="161">
        <v>0</v>
      </c>
      <c r="T102" s="167">
        <v>350.25150000000002</v>
      </c>
      <c r="U102" s="168">
        <v>0</v>
      </c>
      <c r="V102" s="168">
        <v>0.12104649874631443</v>
      </c>
      <c r="W102" s="168">
        <v>6.7762880354248003E-2</v>
      </c>
    </row>
    <row r="103" spans="1:23" ht="15.75" thickBot="1">
      <c r="A103" s="159">
        <v>11939</v>
      </c>
      <c r="B103" s="159">
        <v>11981</v>
      </c>
      <c r="C103" s="164" t="s">
        <v>1356</v>
      </c>
      <c r="D103" s="164" t="s">
        <v>1357</v>
      </c>
      <c r="E103" s="164" t="s">
        <v>2</v>
      </c>
      <c r="F103" s="164" t="s">
        <v>1449</v>
      </c>
      <c r="G103" s="165">
        <v>1146166</v>
      </c>
      <c r="H103" s="164" t="s">
        <v>102</v>
      </c>
      <c r="I103" s="164" t="s">
        <v>236</v>
      </c>
      <c r="J103" s="164" t="s">
        <v>53</v>
      </c>
      <c r="K103" s="164" t="s">
        <v>53</v>
      </c>
      <c r="L103" s="164" t="s">
        <v>311</v>
      </c>
      <c r="M103" s="164" t="s">
        <v>1036</v>
      </c>
      <c r="N103" s="164" t="s">
        <v>62</v>
      </c>
      <c r="O103" s="164" t="s">
        <v>1208</v>
      </c>
      <c r="P103" s="167">
        <v>6760</v>
      </c>
      <c r="Q103" s="167">
        <v>1</v>
      </c>
      <c r="R103" s="167">
        <v>3292.81</v>
      </c>
      <c r="S103" s="161">
        <v>0</v>
      </c>
      <c r="T103" s="167">
        <v>222.59396000000001</v>
      </c>
      <c r="U103" s="168">
        <v>0</v>
      </c>
      <c r="V103" s="168">
        <v>7.6928205875141625E-2</v>
      </c>
      <c r="W103" s="168">
        <v>4.3065077177566025E-2</v>
      </c>
    </row>
    <row r="104" spans="1:23" ht="15.75" thickBot="1">
      <c r="A104" s="159">
        <v>11939</v>
      </c>
      <c r="B104" s="159">
        <v>11981</v>
      </c>
      <c r="C104" s="164" t="s">
        <v>1356</v>
      </c>
      <c r="D104" s="164" t="s">
        <v>1357</v>
      </c>
      <c r="E104" s="164" t="s">
        <v>2</v>
      </c>
      <c r="F104" s="164" t="s">
        <v>1458</v>
      </c>
      <c r="G104" s="165">
        <v>1147081</v>
      </c>
      <c r="H104" s="164" t="s">
        <v>102</v>
      </c>
      <c r="I104" s="164" t="s">
        <v>236</v>
      </c>
      <c r="J104" s="164" t="s">
        <v>53</v>
      </c>
      <c r="K104" s="164" t="s">
        <v>53</v>
      </c>
      <c r="L104" s="164" t="s">
        <v>311</v>
      </c>
      <c r="M104" s="164" t="s">
        <v>983</v>
      </c>
      <c r="N104" s="164" t="s">
        <v>62</v>
      </c>
      <c r="O104" s="164" t="s">
        <v>1208</v>
      </c>
      <c r="P104" s="167">
        <v>5380</v>
      </c>
      <c r="Q104" s="167">
        <v>1</v>
      </c>
      <c r="R104" s="167">
        <v>3769.23</v>
      </c>
      <c r="S104" s="161">
        <v>0</v>
      </c>
      <c r="T104" s="167">
        <v>202.78457</v>
      </c>
      <c r="U104" s="168">
        <v>0</v>
      </c>
      <c r="V104" s="168">
        <v>7.0082104425753813E-2</v>
      </c>
      <c r="W104" s="168">
        <v>3.9232570180563475E-2</v>
      </c>
    </row>
    <row r="105" spans="1:23" ht="15.75" thickBot="1">
      <c r="A105" s="159">
        <v>11939</v>
      </c>
      <c r="B105" s="159">
        <v>11981</v>
      </c>
      <c r="C105" s="164" t="s">
        <v>1398</v>
      </c>
      <c r="D105" s="164" t="s">
        <v>1399</v>
      </c>
      <c r="E105" s="164" t="s">
        <v>2</v>
      </c>
      <c r="F105" s="164" t="s">
        <v>1445</v>
      </c>
      <c r="G105" s="165">
        <v>1165844</v>
      </c>
      <c r="H105" s="164" t="s">
        <v>102</v>
      </c>
      <c r="I105" s="164" t="s">
        <v>235</v>
      </c>
      <c r="J105" s="164" t="s">
        <v>53</v>
      </c>
      <c r="K105" s="164" t="s">
        <v>314</v>
      </c>
      <c r="L105" s="164" t="s">
        <v>311</v>
      </c>
      <c r="M105" s="164" t="s">
        <v>1129</v>
      </c>
      <c r="N105" s="164" t="s">
        <v>62</v>
      </c>
      <c r="O105" s="164" t="s">
        <v>1208</v>
      </c>
      <c r="P105" s="167">
        <v>4100</v>
      </c>
      <c r="Q105" s="167">
        <v>1</v>
      </c>
      <c r="R105" s="167">
        <v>8713</v>
      </c>
      <c r="S105" s="161">
        <v>0</v>
      </c>
      <c r="T105" s="167">
        <v>357.233</v>
      </c>
      <c r="U105" s="168">
        <v>0</v>
      </c>
      <c r="V105" s="168">
        <v>0.12345929678143318</v>
      </c>
      <c r="W105" s="168">
        <v>6.9113585630865462E-2</v>
      </c>
    </row>
    <row r="106" spans="1:23" ht="15.75" thickBot="1">
      <c r="A106" s="159">
        <v>11939</v>
      </c>
      <c r="B106" s="159">
        <v>11981</v>
      </c>
      <c r="C106" s="164" t="s">
        <v>1359</v>
      </c>
      <c r="D106" s="164" t="s">
        <v>1360</v>
      </c>
      <c r="E106" s="164" t="s">
        <v>2</v>
      </c>
      <c r="F106" s="164" t="s">
        <v>1459</v>
      </c>
      <c r="G106" s="165">
        <v>1169622</v>
      </c>
      <c r="H106" s="164" t="s">
        <v>102</v>
      </c>
      <c r="I106" s="164" t="s">
        <v>236</v>
      </c>
      <c r="J106" s="164" t="s">
        <v>53</v>
      </c>
      <c r="K106" s="164" t="s">
        <v>53</v>
      </c>
      <c r="L106" s="164" t="s">
        <v>311</v>
      </c>
      <c r="M106" s="164" t="s">
        <v>983</v>
      </c>
      <c r="N106" s="164" t="s">
        <v>62</v>
      </c>
      <c r="O106" s="164" t="s">
        <v>1208</v>
      </c>
      <c r="P106" s="167">
        <v>89230</v>
      </c>
      <c r="Q106" s="167">
        <v>1</v>
      </c>
      <c r="R106" s="167">
        <v>382.56</v>
      </c>
      <c r="S106" s="161">
        <v>0</v>
      </c>
      <c r="T106" s="167">
        <v>341.35829000000001</v>
      </c>
      <c r="U106" s="168">
        <v>0</v>
      </c>
      <c r="V106" s="168">
        <v>0.1179730160257102</v>
      </c>
      <c r="W106" s="168">
        <v>6.6042318057740482E-2</v>
      </c>
    </row>
    <row r="107" spans="1:23" ht="15.75" thickBot="1">
      <c r="A107" s="159">
        <v>11939</v>
      </c>
      <c r="B107" s="159">
        <v>11981</v>
      </c>
      <c r="C107" s="164" t="s">
        <v>1362</v>
      </c>
      <c r="D107" s="164" t="s">
        <v>1363</v>
      </c>
      <c r="E107" s="164" t="s">
        <v>2</v>
      </c>
      <c r="F107" s="164" t="s">
        <v>1460</v>
      </c>
      <c r="G107" s="165">
        <v>1193317</v>
      </c>
      <c r="H107" s="164" t="s">
        <v>102</v>
      </c>
      <c r="I107" s="164" t="s">
        <v>236</v>
      </c>
      <c r="J107" s="164" t="s">
        <v>53</v>
      </c>
      <c r="K107" s="164" t="s">
        <v>53</v>
      </c>
      <c r="L107" s="164" t="s">
        <v>311</v>
      </c>
      <c r="M107" s="164" t="s">
        <v>983</v>
      </c>
      <c r="N107" s="164" t="s">
        <v>62</v>
      </c>
      <c r="O107" s="164" t="s">
        <v>1208</v>
      </c>
      <c r="P107" s="167">
        <v>102600</v>
      </c>
      <c r="Q107" s="167">
        <v>1</v>
      </c>
      <c r="R107" s="167">
        <v>384.69</v>
      </c>
      <c r="S107" s="161">
        <v>0</v>
      </c>
      <c r="T107" s="167">
        <v>394.69193999999999</v>
      </c>
      <c r="U107" s="168">
        <v>0</v>
      </c>
      <c r="V107" s="168">
        <v>0.13640506156402016</v>
      </c>
      <c r="W107" s="168">
        <v>7.6360737090365144E-2</v>
      </c>
    </row>
    <row r="108" spans="1:23" ht="15.75" thickBot="1">
      <c r="A108" s="159">
        <v>11939</v>
      </c>
      <c r="B108" s="159">
        <v>11981</v>
      </c>
      <c r="C108" s="164" t="s">
        <v>1356</v>
      </c>
      <c r="D108" s="164" t="s">
        <v>1357</v>
      </c>
      <c r="E108" s="164" t="s">
        <v>2</v>
      </c>
      <c r="F108" s="164" t="s">
        <v>1453</v>
      </c>
      <c r="G108" s="165">
        <v>1193614</v>
      </c>
      <c r="H108" s="164" t="s">
        <v>102</v>
      </c>
      <c r="I108" s="164" t="s">
        <v>236</v>
      </c>
      <c r="J108" s="164" t="s">
        <v>53</v>
      </c>
      <c r="K108" s="164" t="s">
        <v>53</v>
      </c>
      <c r="L108" s="164" t="s">
        <v>311</v>
      </c>
      <c r="M108" s="164" t="s">
        <v>997</v>
      </c>
      <c r="N108" s="164" t="s">
        <v>62</v>
      </c>
      <c r="O108" s="164" t="s">
        <v>1208</v>
      </c>
      <c r="P108" s="167">
        <v>6140</v>
      </c>
      <c r="Q108" s="167">
        <v>1</v>
      </c>
      <c r="R108" s="167">
        <v>3686.77</v>
      </c>
      <c r="S108" s="161">
        <v>0</v>
      </c>
      <c r="T108" s="167">
        <v>226.36768000000001</v>
      </c>
      <c r="U108" s="168">
        <v>0</v>
      </c>
      <c r="V108" s="168">
        <v>7.8232398985660603E-2</v>
      </c>
      <c r="W108" s="168">
        <v>4.3795175797701646E-2</v>
      </c>
    </row>
    <row r="109" spans="1:23" ht="15.75" thickBot="1">
      <c r="A109" s="159">
        <v>11939</v>
      </c>
      <c r="B109" s="159">
        <v>11981</v>
      </c>
      <c r="C109" s="164" t="s">
        <v>1609</v>
      </c>
      <c r="D109" s="164"/>
      <c r="E109" s="164"/>
      <c r="F109" s="164" t="s">
        <v>1388</v>
      </c>
      <c r="G109" s="164" t="s">
        <v>1389</v>
      </c>
      <c r="H109" s="164" t="s">
        <v>76</v>
      </c>
      <c r="I109" s="164" t="s">
        <v>237</v>
      </c>
      <c r="J109" s="164" t="s">
        <v>61</v>
      </c>
      <c r="K109" s="164" t="s">
        <v>314</v>
      </c>
      <c r="L109" s="164" t="s">
        <v>476</v>
      </c>
      <c r="M109" s="164" t="s">
        <v>776</v>
      </c>
      <c r="N109" s="164" t="s">
        <v>62</v>
      </c>
      <c r="O109" s="164" t="s">
        <v>1210</v>
      </c>
      <c r="P109" s="167">
        <v>1102</v>
      </c>
      <c r="Q109" s="167">
        <v>3.681</v>
      </c>
      <c r="R109" s="167">
        <v>4255</v>
      </c>
      <c r="S109" s="161">
        <v>0</v>
      </c>
      <c r="T109" s="167">
        <v>172.60246000000001</v>
      </c>
      <c r="U109" s="168">
        <v>5.6403228771495896E-5</v>
      </c>
      <c r="V109" s="168">
        <v>5.9651203372436054E-2</v>
      </c>
      <c r="W109" s="168">
        <v>3.3393261258920739E-2</v>
      </c>
    </row>
    <row r="110" spans="1:23" ht="15.75" thickBot="1">
      <c r="A110" s="159">
        <v>11939</v>
      </c>
      <c r="B110" s="159">
        <v>11981</v>
      </c>
      <c r="C110" s="164" t="s">
        <v>1608</v>
      </c>
      <c r="D110" s="164"/>
      <c r="E110" s="164"/>
      <c r="F110" s="164" t="s">
        <v>1373</v>
      </c>
      <c r="G110" s="164" t="s">
        <v>1374</v>
      </c>
      <c r="H110" s="164" t="s">
        <v>76</v>
      </c>
      <c r="I110" s="164" t="s">
        <v>235</v>
      </c>
      <c r="J110" s="164" t="s">
        <v>61</v>
      </c>
      <c r="K110" s="164" t="s">
        <v>314</v>
      </c>
      <c r="L110" s="164" t="s">
        <v>494</v>
      </c>
      <c r="M110" s="164" t="s">
        <v>775</v>
      </c>
      <c r="N110" s="164" t="s">
        <v>62</v>
      </c>
      <c r="O110" s="164" t="s">
        <v>1210</v>
      </c>
      <c r="P110" s="167">
        <v>62</v>
      </c>
      <c r="Q110" s="167">
        <v>3.681</v>
      </c>
      <c r="R110" s="167">
        <v>102524</v>
      </c>
      <c r="S110" s="161">
        <v>0</v>
      </c>
      <c r="T110" s="167">
        <v>233.98231999999999</v>
      </c>
      <c r="U110" s="168">
        <v>3.9896759140643731E-5</v>
      </c>
      <c r="V110" s="168">
        <v>8.0864009446182925E-2</v>
      </c>
      <c r="W110" s="168">
        <v>4.5268374168759784E-2</v>
      </c>
    </row>
    <row r="111" spans="1:23" ht="15.75" thickBot="1">
      <c r="A111" s="159">
        <v>11939</v>
      </c>
      <c r="B111" s="159">
        <v>11981</v>
      </c>
      <c r="C111" s="164" t="s">
        <v>1610</v>
      </c>
      <c r="D111" s="164"/>
      <c r="E111" s="164"/>
      <c r="F111" s="164" t="s">
        <v>1461</v>
      </c>
      <c r="G111" s="164" t="s">
        <v>1462</v>
      </c>
      <c r="H111" s="164" t="s">
        <v>76</v>
      </c>
      <c r="I111" s="164" t="s">
        <v>235</v>
      </c>
      <c r="J111" s="164" t="s">
        <v>61</v>
      </c>
      <c r="K111" s="164" t="s">
        <v>313</v>
      </c>
      <c r="L111" s="164" t="s">
        <v>494</v>
      </c>
      <c r="M111" s="164" t="s">
        <v>775</v>
      </c>
      <c r="N111" s="164" t="s">
        <v>62</v>
      </c>
      <c r="O111" s="164" t="s">
        <v>1210</v>
      </c>
      <c r="P111" s="167">
        <v>82</v>
      </c>
      <c r="Q111" s="167">
        <v>3.681</v>
      </c>
      <c r="R111" s="167">
        <v>25335</v>
      </c>
      <c r="S111" s="161">
        <v>0</v>
      </c>
      <c r="T111" s="167">
        <v>76.471670000000003</v>
      </c>
      <c r="U111" s="168">
        <v>2.9093588539453601E-6</v>
      </c>
      <c r="V111" s="168">
        <v>2.6428517527501156E-2</v>
      </c>
      <c r="W111" s="168">
        <v>1.4794913439912566E-2</v>
      </c>
    </row>
    <row r="112" spans="1:23" ht="15.75" thickBot="1">
      <c r="A112" s="159">
        <v>11342</v>
      </c>
      <c r="B112" s="159">
        <v>11343</v>
      </c>
      <c r="C112" s="164" t="s">
        <v>1353</v>
      </c>
      <c r="D112" s="164" t="s">
        <v>1354</v>
      </c>
      <c r="E112" s="164" t="s">
        <v>2</v>
      </c>
      <c r="F112" s="164" t="s">
        <v>1392</v>
      </c>
      <c r="G112" s="165">
        <v>1145184</v>
      </c>
      <c r="H112" s="164" t="s">
        <v>102</v>
      </c>
      <c r="I112" s="164" t="s">
        <v>236</v>
      </c>
      <c r="J112" s="164" t="s">
        <v>53</v>
      </c>
      <c r="K112" s="164" t="s">
        <v>53</v>
      </c>
      <c r="L112" s="164" t="s">
        <v>311</v>
      </c>
      <c r="M112" s="164" t="s">
        <v>1002</v>
      </c>
      <c r="N112" s="164" t="s">
        <v>62</v>
      </c>
      <c r="O112" s="164" t="s">
        <v>1208</v>
      </c>
      <c r="P112" s="167">
        <v>1147518</v>
      </c>
      <c r="Q112" s="167">
        <v>1</v>
      </c>
      <c r="R112" s="167">
        <v>386.95</v>
      </c>
      <c r="S112" s="161">
        <v>0</v>
      </c>
      <c r="T112" s="167">
        <v>4440.3208999999997</v>
      </c>
      <c r="U112" s="168">
        <v>0</v>
      </c>
      <c r="V112" s="168">
        <v>2.9134592705684526E-2</v>
      </c>
      <c r="W112" s="168">
        <v>1.0687098217386903E-2</v>
      </c>
    </row>
    <row r="113" spans="1:23" ht="15.75" thickBot="1">
      <c r="A113" s="159">
        <v>11342</v>
      </c>
      <c r="B113" s="159">
        <v>11343</v>
      </c>
      <c r="C113" s="164" t="s">
        <v>1356</v>
      </c>
      <c r="D113" s="164" t="s">
        <v>1357</v>
      </c>
      <c r="E113" s="164" t="s">
        <v>2</v>
      </c>
      <c r="F113" s="164" t="s">
        <v>1449</v>
      </c>
      <c r="G113" s="165">
        <v>1146166</v>
      </c>
      <c r="H113" s="164" t="s">
        <v>102</v>
      </c>
      <c r="I113" s="164" t="s">
        <v>236</v>
      </c>
      <c r="J113" s="164" t="s">
        <v>53</v>
      </c>
      <c r="K113" s="164" t="s">
        <v>53</v>
      </c>
      <c r="L113" s="164" t="s">
        <v>311</v>
      </c>
      <c r="M113" s="164" t="s">
        <v>1036</v>
      </c>
      <c r="N113" s="164" t="s">
        <v>62</v>
      </c>
      <c r="O113" s="164" t="s">
        <v>1208</v>
      </c>
      <c r="P113" s="167">
        <v>852589</v>
      </c>
      <c r="Q113" s="167">
        <v>1</v>
      </c>
      <c r="R113" s="167">
        <v>3292.81</v>
      </c>
      <c r="S113" s="161">
        <v>0</v>
      </c>
      <c r="T113" s="167">
        <v>28074.135849999999</v>
      </c>
      <c r="U113" s="168">
        <v>0</v>
      </c>
      <c r="V113" s="168">
        <v>0.18420482032138857</v>
      </c>
      <c r="W113" s="168">
        <v>6.7569676596394818E-2</v>
      </c>
    </row>
    <row r="114" spans="1:23" ht="15.75" thickBot="1">
      <c r="A114" s="159">
        <v>11342</v>
      </c>
      <c r="B114" s="159">
        <v>11343</v>
      </c>
      <c r="C114" s="164" t="s">
        <v>1356</v>
      </c>
      <c r="D114" s="164" t="s">
        <v>1357</v>
      </c>
      <c r="E114" s="164" t="s">
        <v>2</v>
      </c>
      <c r="F114" s="164" t="s">
        <v>1382</v>
      </c>
      <c r="G114" s="165">
        <v>1146414</v>
      </c>
      <c r="H114" s="164" t="s">
        <v>102</v>
      </c>
      <c r="I114" s="164" t="s">
        <v>236</v>
      </c>
      <c r="J114" s="164" t="s">
        <v>53</v>
      </c>
      <c r="K114" s="164" t="s">
        <v>53</v>
      </c>
      <c r="L114" s="164" t="s">
        <v>311</v>
      </c>
      <c r="M114" s="164" t="s">
        <v>1002</v>
      </c>
      <c r="N114" s="164" t="s">
        <v>62</v>
      </c>
      <c r="O114" s="164" t="s">
        <v>1208</v>
      </c>
      <c r="P114" s="167">
        <v>699331</v>
      </c>
      <c r="Q114" s="167">
        <v>1</v>
      </c>
      <c r="R114" s="167">
        <v>3844.3</v>
      </c>
      <c r="S114" s="161">
        <v>0</v>
      </c>
      <c r="T114" s="167">
        <v>26884.38163</v>
      </c>
      <c r="U114" s="168">
        <v>0</v>
      </c>
      <c r="V114" s="168">
        <v>0.17639840150612471</v>
      </c>
      <c r="W114" s="168">
        <v>6.4706140268718459E-2</v>
      </c>
    </row>
    <row r="115" spans="1:23" ht="15.75" thickBot="1">
      <c r="A115" s="159">
        <v>11342</v>
      </c>
      <c r="B115" s="159">
        <v>11343</v>
      </c>
      <c r="C115" s="164" t="s">
        <v>1359</v>
      </c>
      <c r="D115" s="164" t="s">
        <v>1360</v>
      </c>
      <c r="E115" s="164" t="s">
        <v>2</v>
      </c>
      <c r="F115" s="164" t="s">
        <v>1396</v>
      </c>
      <c r="G115" s="165">
        <v>1149137</v>
      </c>
      <c r="H115" s="164" t="s">
        <v>102</v>
      </c>
      <c r="I115" s="164" t="s">
        <v>235</v>
      </c>
      <c r="J115" s="164" t="s">
        <v>53</v>
      </c>
      <c r="K115" s="164" t="s">
        <v>314</v>
      </c>
      <c r="L115" s="164" t="s">
        <v>311</v>
      </c>
      <c r="M115" s="164" t="s">
        <v>1129</v>
      </c>
      <c r="N115" s="164" t="s">
        <v>62</v>
      </c>
      <c r="O115" s="164" t="s">
        <v>1208</v>
      </c>
      <c r="P115" s="167">
        <v>165290</v>
      </c>
      <c r="Q115" s="167">
        <v>1</v>
      </c>
      <c r="R115" s="167">
        <v>5178</v>
      </c>
      <c r="S115" s="161">
        <v>0</v>
      </c>
      <c r="T115" s="167">
        <v>8558.7162000000008</v>
      </c>
      <c r="U115" s="168">
        <v>0</v>
      </c>
      <c r="V115" s="168">
        <v>5.6156912121046031E-2</v>
      </c>
      <c r="W115" s="168">
        <v>2.0599376194666567E-2</v>
      </c>
    </row>
    <row r="116" spans="1:23" ht="15.75" thickBot="1">
      <c r="A116" s="159">
        <v>11342</v>
      </c>
      <c r="B116" s="159">
        <v>11343</v>
      </c>
      <c r="C116" s="164" t="s">
        <v>1362</v>
      </c>
      <c r="D116" s="164" t="s">
        <v>1363</v>
      </c>
      <c r="E116" s="164" t="s">
        <v>2</v>
      </c>
      <c r="F116" s="164" t="s">
        <v>1463</v>
      </c>
      <c r="G116" s="165">
        <v>1150226</v>
      </c>
      <c r="H116" s="164" t="s">
        <v>102</v>
      </c>
      <c r="I116" s="164" t="s">
        <v>235</v>
      </c>
      <c r="J116" s="164" t="s">
        <v>53</v>
      </c>
      <c r="K116" s="164" t="s">
        <v>313</v>
      </c>
      <c r="L116" s="164" t="s">
        <v>311</v>
      </c>
      <c r="M116" s="164" t="s">
        <v>1123</v>
      </c>
      <c r="N116" s="164" t="s">
        <v>62</v>
      </c>
      <c r="O116" s="164" t="s">
        <v>1208</v>
      </c>
      <c r="P116" s="167">
        <v>149768</v>
      </c>
      <c r="Q116" s="167">
        <v>1</v>
      </c>
      <c r="R116" s="167">
        <v>4830</v>
      </c>
      <c r="S116" s="161">
        <v>0</v>
      </c>
      <c r="T116" s="167">
        <v>7233.7943999999998</v>
      </c>
      <c r="U116" s="168">
        <v>0</v>
      </c>
      <c r="V116" s="168">
        <v>4.7463608668612572E-2</v>
      </c>
      <c r="W116" s="168">
        <v>1.7410514460156103E-2</v>
      </c>
    </row>
    <row r="117" spans="1:23" ht="15.75" thickBot="1">
      <c r="A117" s="159">
        <v>11342</v>
      </c>
      <c r="B117" s="159">
        <v>11343</v>
      </c>
      <c r="C117" s="164" t="s">
        <v>1359</v>
      </c>
      <c r="D117" s="164" t="s">
        <v>1360</v>
      </c>
      <c r="E117" s="164" t="s">
        <v>2</v>
      </c>
      <c r="F117" s="164" t="s">
        <v>1464</v>
      </c>
      <c r="G117" s="165">
        <v>1150523</v>
      </c>
      <c r="H117" s="164" t="s">
        <v>102</v>
      </c>
      <c r="I117" s="164" t="s">
        <v>236</v>
      </c>
      <c r="J117" s="164" t="s">
        <v>53</v>
      </c>
      <c r="K117" s="164" t="s">
        <v>53</v>
      </c>
      <c r="L117" s="164" t="s">
        <v>311</v>
      </c>
      <c r="M117" s="164" t="s">
        <v>1002</v>
      </c>
      <c r="N117" s="164" t="s">
        <v>62</v>
      </c>
      <c r="O117" s="164" t="s">
        <v>1208</v>
      </c>
      <c r="P117" s="167">
        <v>2577926</v>
      </c>
      <c r="Q117" s="167">
        <v>1</v>
      </c>
      <c r="R117" s="167">
        <v>385.54</v>
      </c>
      <c r="S117" s="161">
        <v>0</v>
      </c>
      <c r="T117" s="167">
        <v>9938.9359000000004</v>
      </c>
      <c r="U117" s="168">
        <v>0</v>
      </c>
      <c r="V117" s="168">
        <v>6.5213045609925649E-2</v>
      </c>
      <c r="W117" s="168">
        <v>2.3921330582123628E-2</v>
      </c>
    </row>
    <row r="118" spans="1:23" ht="15.75" thickBot="1">
      <c r="A118" s="159">
        <v>11342</v>
      </c>
      <c r="B118" s="159">
        <v>11343</v>
      </c>
      <c r="C118" s="164" t="s">
        <v>1359</v>
      </c>
      <c r="D118" s="164" t="s">
        <v>1360</v>
      </c>
      <c r="E118" s="164" t="s">
        <v>2</v>
      </c>
      <c r="F118" s="164" t="s">
        <v>1465</v>
      </c>
      <c r="G118" s="165">
        <v>1150606</v>
      </c>
      <c r="H118" s="164" t="s">
        <v>102</v>
      </c>
      <c r="I118" s="164" t="s">
        <v>236</v>
      </c>
      <c r="J118" s="164" t="s">
        <v>53</v>
      </c>
      <c r="K118" s="164" t="s">
        <v>53</v>
      </c>
      <c r="L118" s="164" t="s">
        <v>311</v>
      </c>
      <c r="M118" s="164" t="s">
        <v>997</v>
      </c>
      <c r="N118" s="164" t="s">
        <v>62</v>
      </c>
      <c r="O118" s="164" t="s">
        <v>1208</v>
      </c>
      <c r="P118" s="167">
        <v>1402077</v>
      </c>
      <c r="Q118" s="167">
        <v>1</v>
      </c>
      <c r="R118" s="167">
        <v>370.3</v>
      </c>
      <c r="S118" s="161">
        <v>0</v>
      </c>
      <c r="T118" s="167">
        <v>5191.89113</v>
      </c>
      <c r="U118" s="168">
        <v>0</v>
      </c>
      <c r="V118" s="168">
        <v>3.4065923804021958E-2</v>
      </c>
      <c r="W118" s="168">
        <v>1.2496000106724241E-2</v>
      </c>
    </row>
    <row r="119" spans="1:23" ht="15.75" thickBot="1">
      <c r="A119" s="159">
        <v>11342</v>
      </c>
      <c r="B119" s="159">
        <v>11343</v>
      </c>
      <c r="C119" s="164" t="s">
        <v>1362</v>
      </c>
      <c r="D119" s="164" t="s">
        <v>1363</v>
      </c>
      <c r="E119" s="164" t="s">
        <v>2</v>
      </c>
      <c r="F119" s="164" t="s">
        <v>1393</v>
      </c>
      <c r="G119" s="165">
        <v>1193069</v>
      </c>
      <c r="H119" s="164" t="s">
        <v>102</v>
      </c>
      <c r="I119" s="164" t="s">
        <v>236</v>
      </c>
      <c r="J119" s="164" t="s">
        <v>53</v>
      </c>
      <c r="K119" s="164" t="s">
        <v>53</v>
      </c>
      <c r="L119" s="164" t="s">
        <v>311</v>
      </c>
      <c r="M119" s="164" t="s">
        <v>1032</v>
      </c>
      <c r="N119" s="164" t="s">
        <v>62</v>
      </c>
      <c r="O119" s="164" t="s">
        <v>1208</v>
      </c>
      <c r="P119" s="167">
        <v>6236100</v>
      </c>
      <c r="Q119" s="167">
        <v>1</v>
      </c>
      <c r="R119" s="167">
        <v>360.17</v>
      </c>
      <c r="S119" s="161">
        <v>0</v>
      </c>
      <c r="T119" s="167">
        <v>22460.561369999999</v>
      </c>
      <c r="U119" s="168">
        <v>0</v>
      </c>
      <c r="V119" s="168">
        <v>0.14737207562092677</v>
      </c>
      <c r="W119" s="168">
        <v>5.4058756289176342E-2</v>
      </c>
    </row>
    <row r="120" spans="1:23" ht="15.75" thickBot="1">
      <c r="A120" s="159">
        <v>11342</v>
      </c>
      <c r="B120" s="159">
        <v>11343</v>
      </c>
      <c r="C120" s="164" t="s">
        <v>1608</v>
      </c>
      <c r="D120" s="164"/>
      <c r="E120" s="164"/>
      <c r="F120" s="164" t="s">
        <v>1386</v>
      </c>
      <c r="G120" s="164" t="s">
        <v>1387</v>
      </c>
      <c r="H120" s="164" t="s">
        <v>76</v>
      </c>
      <c r="I120" s="164" t="s">
        <v>235</v>
      </c>
      <c r="J120" s="164" t="s">
        <v>61</v>
      </c>
      <c r="K120" s="164" t="s">
        <v>314</v>
      </c>
      <c r="L120" s="164" t="s">
        <v>479</v>
      </c>
      <c r="M120" s="164" t="s">
        <v>775</v>
      </c>
      <c r="N120" s="164" t="s">
        <v>62</v>
      </c>
      <c r="O120" s="164" t="s">
        <v>1210</v>
      </c>
      <c r="P120" s="167">
        <v>5026</v>
      </c>
      <c r="Q120" s="167">
        <v>3.681</v>
      </c>
      <c r="R120" s="167">
        <v>44401</v>
      </c>
      <c r="S120" s="161">
        <v>0</v>
      </c>
      <c r="T120" s="167">
        <v>8222.4553899999992</v>
      </c>
      <c r="U120" s="168">
        <v>1.5421052407900194E-5</v>
      </c>
      <c r="V120" s="168">
        <v>5.3950580199802763E-2</v>
      </c>
      <c r="W120" s="168">
        <v>1.9790053538926055E-2</v>
      </c>
    </row>
    <row r="121" spans="1:23" ht="15.75" thickBot="1">
      <c r="A121" s="159">
        <v>11342</v>
      </c>
      <c r="B121" s="159">
        <v>11343</v>
      </c>
      <c r="C121" s="164" t="s">
        <v>1609</v>
      </c>
      <c r="D121" s="164"/>
      <c r="E121" s="164"/>
      <c r="F121" s="164" t="s">
        <v>1388</v>
      </c>
      <c r="G121" s="164" t="s">
        <v>1389</v>
      </c>
      <c r="H121" s="164" t="s">
        <v>76</v>
      </c>
      <c r="I121" s="164" t="s">
        <v>237</v>
      </c>
      <c r="J121" s="164" t="s">
        <v>61</v>
      </c>
      <c r="K121" s="164" t="s">
        <v>314</v>
      </c>
      <c r="L121" s="164" t="s">
        <v>476</v>
      </c>
      <c r="M121" s="164" t="s">
        <v>776</v>
      </c>
      <c r="N121" s="164" t="s">
        <v>62</v>
      </c>
      <c r="O121" s="164" t="s">
        <v>1210</v>
      </c>
      <c r="P121" s="167">
        <v>113230</v>
      </c>
      <c r="Q121" s="167">
        <v>3.681</v>
      </c>
      <c r="R121" s="167">
        <v>4255</v>
      </c>
      <c r="S121" s="161">
        <v>0</v>
      </c>
      <c r="T121" s="167">
        <v>17734.824260000001</v>
      </c>
      <c r="U121" s="168">
        <v>5.6403228771495896E-5</v>
      </c>
      <c r="V121" s="168">
        <v>0.11636476127704937</v>
      </c>
      <c r="W121" s="168">
        <v>4.2684709732288946E-2</v>
      </c>
    </row>
    <row r="122" spans="1:23" ht="15.75" thickBot="1">
      <c r="A122" s="159">
        <v>11342</v>
      </c>
      <c r="B122" s="159">
        <v>11343</v>
      </c>
      <c r="C122" s="164" t="s">
        <v>1609</v>
      </c>
      <c r="D122" s="164"/>
      <c r="E122" s="164"/>
      <c r="F122" s="164" t="s">
        <v>1466</v>
      </c>
      <c r="G122" s="164" t="s">
        <v>1467</v>
      </c>
      <c r="H122" s="164" t="s">
        <v>76</v>
      </c>
      <c r="I122" s="164" t="s">
        <v>235</v>
      </c>
      <c r="J122" s="164" t="s">
        <v>61</v>
      </c>
      <c r="K122" s="164" t="s">
        <v>314</v>
      </c>
      <c r="L122" s="164" t="s">
        <v>479</v>
      </c>
      <c r="M122" s="164" t="s">
        <v>775</v>
      </c>
      <c r="N122" s="164" t="s">
        <v>62</v>
      </c>
      <c r="O122" s="164" t="s">
        <v>1210</v>
      </c>
      <c r="P122" s="167">
        <v>15201</v>
      </c>
      <c r="Q122" s="167">
        <v>3.681</v>
      </c>
      <c r="R122" s="167">
        <v>11496</v>
      </c>
      <c r="S122" s="161">
        <v>0</v>
      </c>
      <c r="T122" s="167">
        <v>6432.57312</v>
      </c>
      <c r="U122" s="168">
        <v>2.978878242364246E-4</v>
      </c>
      <c r="V122" s="168">
        <v>4.220649861156079E-2</v>
      </c>
      <c r="W122" s="168">
        <v>1.5482110926704174E-2</v>
      </c>
    </row>
    <row r="123" spans="1:23" ht="15.75" thickBot="1">
      <c r="A123" s="159">
        <v>11342</v>
      </c>
      <c r="B123" s="159">
        <v>11343</v>
      </c>
      <c r="C123" s="164" t="s">
        <v>1608</v>
      </c>
      <c r="D123" s="164"/>
      <c r="E123" s="164"/>
      <c r="F123" s="164" t="s">
        <v>1373</v>
      </c>
      <c r="G123" s="164" t="s">
        <v>1374</v>
      </c>
      <c r="H123" s="164" t="s">
        <v>76</v>
      </c>
      <c r="I123" s="164" t="s">
        <v>235</v>
      </c>
      <c r="J123" s="164" t="s">
        <v>61</v>
      </c>
      <c r="K123" s="164" t="s">
        <v>314</v>
      </c>
      <c r="L123" s="164" t="s">
        <v>494</v>
      </c>
      <c r="M123" s="164" t="s">
        <v>775</v>
      </c>
      <c r="N123" s="164" t="s">
        <v>62</v>
      </c>
      <c r="O123" s="164" t="s">
        <v>1210</v>
      </c>
      <c r="P123" s="167">
        <v>1917</v>
      </c>
      <c r="Q123" s="167">
        <v>3.681</v>
      </c>
      <c r="R123" s="167">
        <v>102524</v>
      </c>
      <c r="S123" s="161">
        <v>0</v>
      </c>
      <c r="T123" s="167">
        <v>7234.58248</v>
      </c>
      <c r="U123" s="168">
        <v>3.9896759140643731E-5</v>
      </c>
      <c r="V123" s="168">
        <v>4.7468779553856359E-2</v>
      </c>
      <c r="W123" s="168">
        <v>1.7412411234860644E-2</v>
      </c>
    </row>
    <row r="124" spans="1:23" ht="15.75" thickBot="1">
      <c r="A124" s="159">
        <v>11342</v>
      </c>
      <c r="B124" s="159">
        <v>11344</v>
      </c>
      <c r="C124" s="164" t="s">
        <v>1353</v>
      </c>
      <c r="D124" s="164" t="s">
        <v>1354</v>
      </c>
      <c r="E124" s="164" t="s">
        <v>2</v>
      </c>
      <c r="F124" s="164" t="s">
        <v>1365</v>
      </c>
      <c r="G124" s="165">
        <v>1145101</v>
      </c>
      <c r="H124" s="164" t="s">
        <v>102</v>
      </c>
      <c r="I124" s="164" t="s">
        <v>236</v>
      </c>
      <c r="J124" s="164" t="s">
        <v>53</v>
      </c>
      <c r="K124" s="164" t="s">
        <v>53</v>
      </c>
      <c r="L124" s="164" t="s">
        <v>311</v>
      </c>
      <c r="M124" s="164" t="s">
        <v>997</v>
      </c>
      <c r="N124" s="164" t="s">
        <v>62</v>
      </c>
      <c r="O124" s="164" t="s">
        <v>1208</v>
      </c>
      <c r="P124" s="167">
        <v>58596</v>
      </c>
      <c r="Q124" s="167">
        <v>1</v>
      </c>
      <c r="R124" s="167">
        <v>358.93</v>
      </c>
      <c r="S124" s="161">
        <v>0</v>
      </c>
      <c r="T124" s="167">
        <v>210.31862000000001</v>
      </c>
      <c r="U124" s="168">
        <v>0</v>
      </c>
      <c r="V124" s="168">
        <v>0.13244675960503502</v>
      </c>
      <c r="W124" s="168">
        <v>7.5075798604236368E-2</v>
      </c>
    </row>
    <row r="125" spans="1:23" ht="15.75" thickBot="1">
      <c r="A125" s="159">
        <v>11342</v>
      </c>
      <c r="B125" s="159">
        <v>11344</v>
      </c>
      <c r="C125" s="164" t="s">
        <v>1356</v>
      </c>
      <c r="D125" s="164" t="s">
        <v>1357</v>
      </c>
      <c r="E125" s="164" t="s">
        <v>2</v>
      </c>
      <c r="F125" s="164" t="s">
        <v>1449</v>
      </c>
      <c r="G125" s="165">
        <v>1146166</v>
      </c>
      <c r="H125" s="164" t="s">
        <v>102</v>
      </c>
      <c r="I125" s="164" t="s">
        <v>236</v>
      </c>
      <c r="J125" s="164" t="s">
        <v>53</v>
      </c>
      <c r="K125" s="164" t="s">
        <v>53</v>
      </c>
      <c r="L125" s="164" t="s">
        <v>311</v>
      </c>
      <c r="M125" s="164" t="s">
        <v>1036</v>
      </c>
      <c r="N125" s="164" t="s">
        <v>62</v>
      </c>
      <c r="O125" s="164" t="s">
        <v>1208</v>
      </c>
      <c r="P125" s="167">
        <v>1896</v>
      </c>
      <c r="Q125" s="167">
        <v>1</v>
      </c>
      <c r="R125" s="167">
        <v>3292.81</v>
      </c>
      <c r="S125" s="161">
        <v>0</v>
      </c>
      <c r="T125" s="167">
        <v>62.43168</v>
      </c>
      <c r="U125" s="168">
        <v>0</v>
      </c>
      <c r="V125" s="168">
        <v>3.9315937470008472E-2</v>
      </c>
      <c r="W125" s="168">
        <v>2.2285750230788562E-2</v>
      </c>
    </row>
    <row r="126" spans="1:23" ht="15.75" thickBot="1">
      <c r="A126" s="159">
        <v>11342</v>
      </c>
      <c r="B126" s="159">
        <v>11344</v>
      </c>
      <c r="C126" s="164" t="s">
        <v>1356</v>
      </c>
      <c r="D126" s="164" t="s">
        <v>1357</v>
      </c>
      <c r="E126" s="164" t="s">
        <v>2</v>
      </c>
      <c r="F126" s="164" t="s">
        <v>1383</v>
      </c>
      <c r="G126" s="165">
        <v>1146604</v>
      </c>
      <c r="H126" s="164" t="s">
        <v>102</v>
      </c>
      <c r="I126" s="164" t="s">
        <v>235</v>
      </c>
      <c r="J126" s="164" t="s">
        <v>53</v>
      </c>
      <c r="K126" s="164" t="s">
        <v>314</v>
      </c>
      <c r="L126" s="164" t="s">
        <v>311</v>
      </c>
      <c r="M126" s="164" t="s">
        <v>1129</v>
      </c>
      <c r="N126" s="164" t="s">
        <v>62</v>
      </c>
      <c r="O126" s="164" t="s">
        <v>1208</v>
      </c>
      <c r="P126" s="167">
        <v>2669</v>
      </c>
      <c r="Q126" s="167">
        <v>1</v>
      </c>
      <c r="R126" s="167">
        <v>5107</v>
      </c>
      <c r="S126" s="161">
        <v>0</v>
      </c>
      <c r="T126" s="167">
        <v>136.30582999999999</v>
      </c>
      <c r="U126" s="168">
        <v>0</v>
      </c>
      <c r="V126" s="168">
        <v>8.5837694726100658E-2</v>
      </c>
      <c r="W126" s="168">
        <v>4.8656029797377327E-2</v>
      </c>
    </row>
    <row r="127" spans="1:23" ht="15.75" thickBot="1">
      <c r="A127" s="159">
        <v>11342</v>
      </c>
      <c r="B127" s="159">
        <v>11344</v>
      </c>
      <c r="C127" s="164" t="s">
        <v>1367</v>
      </c>
      <c r="D127" s="164" t="s">
        <v>1368</v>
      </c>
      <c r="E127" s="164" t="s">
        <v>2</v>
      </c>
      <c r="F127" s="164" t="s">
        <v>1468</v>
      </c>
      <c r="G127" s="165">
        <v>1148048</v>
      </c>
      <c r="H127" s="164" t="s">
        <v>102</v>
      </c>
      <c r="I127" s="164" t="s">
        <v>236</v>
      </c>
      <c r="J127" s="164" t="s">
        <v>53</v>
      </c>
      <c r="K127" s="164" t="s">
        <v>53</v>
      </c>
      <c r="L127" s="164" t="s">
        <v>311</v>
      </c>
      <c r="M127" s="164" t="s">
        <v>997</v>
      </c>
      <c r="N127" s="164" t="s">
        <v>62</v>
      </c>
      <c r="O127" s="164" t="s">
        <v>1208</v>
      </c>
      <c r="P127" s="167">
        <v>5175</v>
      </c>
      <c r="Q127" s="167">
        <v>1</v>
      </c>
      <c r="R127" s="167">
        <v>3686.1</v>
      </c>
      <c r="S127" s="161">
        <v>0</v>
      </c>
      <c r="T127" s="167">
        <v>190.75567000000001</v>
      </c>
      <c r="U127" s="168">
        <v>0</v>
      </c>
      <c r="V127" s="168">
        <v>0.12012712125910389</v>
      </c>
      <c r="W127" s="168">
        <v>6.8092564812074999E-2</v>
      </c>
    </row>
    <row r="128" spans="1:23" ht="15.75" thickBot="1">
      <c r="A128" s="159">
        <v>11342</v>
      </c>
      <c r="B128" s="159">
        <v>11344</v>
      </c>
      <c r="C128" s="164" t="s">
        <v>1359</v>
      </c>
      <c r="D128" s="164" t="s">
        <v>1360</v>
      </c>
      <c r="E128" s="164" t="s">
        <v>2</v>
      </c>
      <c r="F128" s="164" t="s">
        <v>1396</v>
      </c>
      <c r="G128" s="165">
        <v>1149137</v>
      </c>
      <c r="H128" s="164" t="s">
        <v>102</v>
      </c>
      <c r="I128" s="164" t="s">
        <v>235</v>
      </c>
      <c r="J128" s="164" t="s">
        <v>53</v>
      </c>
      <c r="K128" s="164" t="s">
        <v>314</v>
      </c>
      <c r="L128" s="164" t="s">
        <v>311</v>
      </c>
      <c r="M128" s="164" t="s">
        <v>1129</v>
      </c>
      <c r="N128" s="164" t="s">
        <v>62</v>
      </c>
      <c r="O128" s="164" t="s">
        <v>1208</v>
      </c>
      <c r="P128" s="167">
        <v>4353</v>
      </c>
      <c r="Q128" s="167">
        <v>1</v>
      </c>
      <c r="R128" s="167">
        <v>5178</v>
      </c>
      <c r="S128" s="161">
        <v>0</v>
      </c>
      <c r="T128" s="167">
        <v>225.39833999999999</v>
      </c>
      <c r="U128" s="168">
        <v>0</v>
      </c>
      <c r="V128" s="168">
        <v>0.14194311351678682</v>
      </c>
      <c r="W128" s="168">
        <v>8.0458688724608374E-2</v>
      </c>
    </row>
    <row r="129" spans="1:23" ht="15.75" thickBot="1">
      <c r="A129" s="159">
        <v>11342</v>
      </c>
      <c r="B129" s="159">
        <v>11344</v>
      </c>
      <c r="C129" s="164" t="s">
        <v>1362</v>
      </c>
      <c r="D129" s="164" t="s">
        <v>1363</v>
      </c>
      <c r="E129" s="164" t="s">
        <v>2</v>
      </c>
      <c r="F129" s="164" t="s">
        <v>1444</v>
      </c>
      <c r="G129" s="165">
        <v>1150002</v>
      </c>
      <c r="H129" s="164" t="s">
        <v>102</v>
      </c>
      <c r="I129" s="164" t="s">
        <v>236</v>
      </c>
      <c r="J129" s="164" t="s">
        <v>53</v>
      </c>
      <c r="K129" s="164" t="s">
        <v>53</v>
      </c>
      <c r="L129" s="164" t="s">
        <v>311</v>
      </c>
      <c r="M129" s="164" t="s">
        <v>1002</v>
      </c>
      <c r="N129" s="164" t="s">
        <v>62</v>
      </c>
      <c r="O129" s="164" t="s">
        <v>1208</v>
      </c>
      <c r="P129" s="167">
        <v>44898</v>
      </c>
      <c r="Q129" s="167">
        <v>1</v>
      </c>
      <c r="R129" s="167">
        <v>447.56</v>
      </c>
      <c r="S129" s="161">
        <v>0</v>
      </c>
      <c r="T129" s="167">
        <v>200.94549000000001</v>
      </c>
      <c r="U129" s="168">
        <v>0</v>
      </c>
      <c r="V129" s="168">
        <v>0.12654409299445751</v>
      </c>
      <c r="W129" s="168">
        <v>7.1729945440254378E-2</v>
      </c>
    </row>
    <row r="130" spans="1:23" ht="15.75" thickBot="1">
      <c r="A130" s="159">
        <v>11342</v>
      </c>
      <c r="B130" s="159">
        <v>11344</v>
      </c>
      <c r="C130" s="164" t="s">
        <v>1362</v>
      </c>
      <c r="D130" s="164" t="s">
        <v>1363</v>
      </c>
      <c r="E130" s="164" t="s">
        <v>2</v>
      </c>
      <c r="F130" s="164" t="s">
        <v>1463</v>
      </c>
      <c r="G130" s="165">
        <v>1150226</v>
      </c>
      <c r="H130" s="164" t="s">
        <v>102</v>
      </c>
      <c r="I130" s="164" t="s">
        <v>235</v>
      </c>
      <c r="J130" s="164" t="s">
        <v>53</v>
      </c>
      <c r="K130" s="164" t="s">
        <v>313</v>
      </c>
      <c r="L130" s="164" t="s">
        <v>311</v>
      </c>
      <c r="M130" s="164" t="s">
        <v>1123</v>
      </c>
      <c r="N130" s="164" t="s">
        <v>62</v>
      </c>
      <c r="O130" s="164" t="s">
        <v>1208</v>
      </c>
      <c r="P130" s="167">
        <v>1308</v>
      </c>
      <c r="Q130" s="167">
        <v>1</v>
      </c>
      <c r="R130" s="167">
        <v>4830</v>
      </c>
      <c r="S130" s="161">
        <v>0</v>
      </c>
      <c r="T130" s="167">
        <v>63.176400000000001</v>
      </c>
      <c r="U130" s="168">
        <v>0</v>
      </c>
      <c r="V130" s="168">
        <v>3.9784919963394276E-2</v>
      </c>
      <c r="W130" s="168">
        <v>2.2551587125004331E-2</v>
      </c>
    </row>
    <row r="131" spans="1:23" ht="15.75" thickBot="1">
      <c r="A131" s="159">
        <v>11342</v>
      </c>
      <c r="B131" s="159">
        <v>11344</v>
      </c>
      <c r="C131" s="164" t="s">
        <v>1398</v>
      </c>
      <c r="D131" s="164" t="s">
        <v>1399</v>
      </c>
      <c r="E131" s="164" t="s">
        <v>2</v>
      </c>
      <c r="F131" s="164" t="s">
        <v>1445</v>
      </c>
      <c r="G131" s="165">
        <v>1165844</v>
      </c>
      <c r="H131" s="164" t="s">
        <v>102</v>
      </c>
      <c r="I131" s="164" t="s">
        <v>235</v>
      </c>
      <c r="J131" s="164" t="s">
        <v>53</v>
      </c>
      <c r="K131" s="164" t="s">
        <v>314</v>
      </c>
      <c r="L131" s="164" t="s">
        <v>311</v>
      </c>
      <c r="M131" s="164" t="s">
        <v>1129</v>
      </c>
      <c r="N131" s="164" t="s">
        <v>62</v>
      </c>
      <c r="O131" s="164" t="s">
        <v>1208</v>
      </c>
      <c r="P131" s="167">
        <v>351</v>
      </c>
      <c r="Q131" s="167">
        <v>1</v>
      </c>
      <c r="R131" s="167">
        <v>8713</v>
      </c>
      <c r="S131" s="161">
        <v>0</v>
      </c>
      <c r="T131" s="167">
        <v>30.582630000000002</v>
      </c>
      <c r="U131" s="168">
        <v>0</v>
      </c>
      <c r="V131" s="168">
        <v>1.925920892643615E-2</v>
      </c>
      <c r="W131" s="168">
        <v>1.0916843076794044E-2</v>
      </c>
    </row>
    <row r="132" spans="1:23" ht="15.75" thickBot="1">
      <c r="A132" s="159">
        <v>11342</v>
      </c>
      <c r="B132" s="159">
        <v>11344</v>
      </c>
      <c r="C132" s="164" t="s">
        <v>1611</v>
      </c>
      <c r="D132" s="164"/>
      <c r="E132" s="164"/>
      <c r="F132" s="164" t="s">
        <v>1454</v>
      </c>
      <c r="G132" s="164" t="s">
        <v>1455</v>
      </c>
      <c r="H132" s="164" t="s">
        <v>76</v>
      </c>
      <c r="I132" s="164" t="s">
        <v>235</v>
      </c>
      <c r="J132" s="164" t="s">
        <v>61</v>
      </c>
      <c r="K132" s="164" t="s">
        <v>314</v>
      </c>
      <c r="L132" s="164" t="s">
        <v>476</v>
      </c>
      <c r="M132" s="164" t="s">
        <v>775</v>
      </c>
      <c r="N132" s="164" t="s">
        <v>62</v>
      </c>
      <c r="O132" s="164" t="s">
        <v>1210</v>
      </c>
      <c r="P132" s="167">
        <v>134</v>
      </c>
      <c r="Q132" s="167">
        <v>3.681</v>
      </c>
      <c r="R132" s="167">
        <v>39776</v>
      </c>
      <c r="S132" s="161">
        <v>0</v>
      </c>
      <c r="T132" s="167">
        <v>196.65698</v>
      </c>
      <c r="U132" s="168">
        <v>1.0097019495673829E-6</v>
      </c>
      <c r="V132" s="168">
        <v>0.12384343219212916</v>
      </c>
      <c r="W132" s="168">
        <v>7.0199109449260083E-2</v>
      </c>
    </row>
    <row r="133" spans="1:23" ht="15.75" thickBot="1">
      <c r="A133" s="159">
        <v>11342</v>
      </c>
      <c r="B133" s="159">
        <v>11344</v>
      </c>
      <c r="C133" s="164" t="s">
        <v>1608</v>
      </c>
      <c r="D133" s="164"/>
      <c r="E133" s="164"/>
      <c r="F133" s="164" t="s">
        <v>1386</v>
      </c>
      <c r="G133" s="164" t="s">
        <v>1387</v>
      </c>
      <c r="H133" s="164" t="s">
        <v>76</v>
      </c>
      <c r="I133" s="164" t="s">
        <v>235</v>
      </c>
      <c r="J133" s="164" t="s">
        <v>61</v>
      </c>
      <c r="K133" s="164" t="s">
        <v>314</v>
      </c>
      <c r="L133" s="164" t="s">
        <v>479</v>
      </c>
      <c r="M133" s="164" t="s">
        <v>775</v>
      </c>
      <c r="N133" s="164" t="s">
        <v>62</v>
      </c>
      <c r="O133" s="164" t="s">
        <v>1210</v>
      </c>
      <c r="P133" s="167">
        <v>51</v>
      </c>
      <c r="Q133" s="167">
        <v>3.681</v>
      </c>
      <c r="R133" s="167">
        <v>44401</v>
      </c>
      <c r="S133" s="161">
        <v>0</v>
      </c>
      <c r="T133" s="167">
        <v>83.435199999999995</v>
      </c>
      <c r="U133" s="168">
        <v>1.5421052407900194E-5</v>
      </c>
      <c r="V133" s="168">
        <v>5.2542765243505388E-2</v>
      </c>
      <c r="W133" s="168">
        <v>2.9783213068363523E-2</v>
      </c>
    </row>
    <row r="134" spans="1:23" ht="15.75" thickBot="1">
      <c r="A134" s="159">
        <v>11342</v>
      </c>
      <c r="B134" s="159">
        <v>11344</v>
      </c>
      <c r="C134" s="164" t="s">
        <v>1609</v>
      </c>
      <c r="D134" s="164"/>
      <c r="E134" s="164"/>
      <c r="F134" s="164" t="s">
        <v>1388</v>
      </c>
      <c r="G134" s="164" t="s">
        <v>1389</v>
      </c>
      <c r="H134" s="164" t="s">
        <v>76</v>
      </c>
      <c r="I134" s="164" t="s">
        <v>237</v>
      </c>
      <c r="J134" s="164" t="s">
        <v>61</v>
      </c>
      <c r="K134" s="164" t="s">
        <v>314</v>
      </c>
      <c r="L134" s="164" t="s">
        <v>476</v>
      </c>
      <c r="M134" s="164" t="s">
        <v>776</v>
      </c>
      <c r="N134" s="164" t="s">
        <v>62</v>
      </c>
      <c r="O134" s="164" t="s">
        <v>1210</v>
      </c>
      <c r="P134" s="167">
        <v>830</v>
      </c>
      <c r="Q134" s="167">
        <v>3.681</v>
      </c>
      <c r="R134" s="167">
        <v>4255</v>
      </c>
      <c r="S134" s="161">
        <v>0</v>
      </c>
      <c r="T134" s="167">
        <v>130.00004000000001</v>
      </c>
      <c r="U134" s="168">
        <v>5.6403228771495896E-5</v>
      </c>
      <c r="V134" s="168">
        <v>8.186666518886887E-2</v>
      </c>
      <c r="W134" s="168">
        <v>4.6405101087020603E-2</v>
      </c>
    </row>
    <row r="135" spans="1:23" ht="15.75" thickBot="1">
      <c r="A135" s="159">
        <v>11342</v>
      </c>
      <c r="B135" s="159">
        <v>11344</v>
      </c>
      <c r="C135" s="164" t="s">
        <v>1611</v>
      </c>
      <c r="D135" s="164"/>
      <c r="E135" s="164"/>
      <c r="F135" s="164" t="s">
        <v>1469</v>
      </c>
      <c r="G135" s="164" t="s">
        <v>1470</v>
      </c>
      <c r="H135" s="164" t="s">
        <v>76</v>
      </c>
      <c r="I135" s="164" t="s">
        <v>235</v>
      </c>
      <c r="J135" s="164" t="s">
        <v>61</v>
      </c>
      <c r="K135" s="164" t="s">
        <v>314</v>
      </c>
      <c r="L135" s="164" t="s">
        <v>494</v>
      </c>
      <c r="M135" s="164" t="s">
        <v>775</v>
      </c>
      <c r="N135" s="164" t="s">
        <v>62</v>
      </c>
      <c r="O135" s="164" t="s">
        <v>1210</v>
      </c>
      <c r="P135" s="167">
        <v>30</v>
      </c>
      <c r="Q135" s="167">
        <v>3.681</v>
      </c>
      <c r="R135" s="167">
        <v>52469</v>
      </c>
      <c r="S135" s="161">
        <v>0</v>
      </c>
      <c r="T135" s="167">
        <v>57.941519999999997</v>
      </c>
      <c r="U135" s="168">
        <v>4.0236785434927461E-6</v>
      </c>
      <c r="V135" s="168">
        <v>3.6488288914173786E-2</v>
      </c>
      <c r="W135" s="168">
        <v>2.0682932810910101E-2</v>
      </c>
    </row>
    <row r="136" spans="1:23" ht="15.75" thickBot="1">
      <c r="A136" s="159">
        <v>11342</v>
      </c>
      <c r="B136" s="159">
        <v>11345</v>
      </c>
      <c r="C136" s="164" t="s">
        <v>1353</v>
      </c>
      <c r="D136" s="164" t="s">
        <v>1354</v>
      </c>
      <c r="E136" s="164" t="s">
        <v>2</v>
      </c>
      <c r="F136" s="164" t="s">
        <v>1471</v>
      </c>
      <c r="G136" s="165">
        <v>1143833</v>
      </c>
      <c r="H136" s="164" t="s">
        <v>102</v>
      </c>
      <c r="I136" s="164" t="s">
        <v>235</v>
      </c>
      <c r="J136" s="164" t="s">
        <v>53</v>
      </c>
      <c r="K136" s="164" t="s">
        <v>313</v>
      </c>
      <c r="L136" s="164" t="s">
        <v>311</v>
      </c>
      <c r="M136" s="164" t="s">
        <v>1127</v>
      </c>
      <c r="N136" s="164" t="s">
        <v>62</v>
      </c>
      <c r="O136" s="164" t="s">
        <v>1208</v>
      </c>
      <c r="P136" s="167">
        <v>121595</v>
      </c>
      <c r="Q136" s="167">
        <v>1</v>
      </c>
      <c r="R136" s="167">
        <v>619.4</v>
      </c>
      <c r="S136" s="161">
        <v>0</v>
      </c>
      <c r="T136" s="167">
        <v>753.15943000000004</v>
      </c>
      <c r="U136" s="168">
        <v>0</v>
      </c>
      <c r="V136" s="168">
        <v>7.7258085096882659E-2</v>
      </c>
      <c r="W136" s="168">
        <v>5.7642096667631072E-2</v>
      </c>
    </row>
    <row r="137" spans="1:23" ht="15.75" thickBot="1">
      <c r="A137" s="159">
        <v>11342</v>
      </c>
      <c r="B137" s="159">
        <v>11345</v>
      </c>
      <c r="C137" s="164" t="s">
        <v>1356</v>
      </c>
      <c r="D137" s="164" t="s">
        <v>1357</v>
      </c>
      <c r="E137" s="164" t="s">
        <v>2</v>
      </c>
      <c r="F137" s="164" t="s">
        <v>1383</v>
      </c>
      <c r="G137" s="165">
        <v>1146604</v>
      </c>
      <c r="H137" s="164" t="s">
        <v>102</v>
      </c>
      <c r="I137" s="164" t="s">
        <v>235</v>
      </c>
      <c r="J137" s="164" t="s">
        <v>53</v>
      </c>
      <c r="K137" s="164" t="s">
        <v>314</v>
      </c>
      <c r="L137" s="164" t="s">
        <v>311</v>
      </c>
      <c r="M137" s="164" t="s">
        <v>1129</v>
      </c>
      <c r="N137" s="164" t="s">
        <v>62</v>
      </c>
      <c r="O137" s="164" t="s">
        <v>1208</v>
      </c>
      <c r="P137" s="167">
        <v>8614</v>
      </c>
      <c r="Q137" s="167">
        <v>1</v>
      </c>
      <c r="R137" s="167">
        <v>5107</v>
      </c>
      <c r="S137" s="161">
        <v>0</v>
      </c>
      <c r="T137" s="167">
        <v>439.91698000000002</v>
      </c>
      <c r="U137" s="168">
        <v>0</v>
      </c>
      <c r="V137" s="168">
        <v>4.5126094320300326E-2</v>
      </c>
      <c r="W137" s="168">
        <v>3.3668485153126641E-2</v>
      </c>
    </row>
    <row r="138" spans="1:23" ht="15.75" thickBot="1">
      <c r="A138" s="159">
        <v>11342</v>
      </c>
      <c r="B138" s="159">
        <v>11345</v>
      </c>
      <c r="C138" s="164" t="s">
        <v>1359</v>
      </c>
      <c r="D138" s="164" t="s">
        <v>1360</v>
      </c>
      <c r="E138" s="164" t="s">
        <v>2</v>
      </c>
      <c r="F138" s="164" t="s">
        <v>1395</v>
      </c>
      <c r="G138" s="165">
        <v>1149020</v>
      </c>
      <c r="H138" s="164" t="s">
        <v>102</v>
      </c>
      <c r="I138" s="164" t="s">
        <v>235</v>
      </c>
      <c r="J138" s="164" t="s">
        <v>53</v>
      </c>
      <c r="K138" s="164" t="s">
        <v>314</v>
      </c>
      <c r="L138" s="164" t="s">
        <v>311</v>
      </c>
      <c r="M138" s="164" t="s">
        <v>1125</v>
      </c>
      <c r="N138" s="164" t="s">
        <v>62</v>
      </c>
      <c r="O138" s="164" t="s">
        <v>1208</v>
      </c>
      <c r="P138" s="167">
        <v>29339</v>
      </c>
      <c r="Q138" s="167">
        <v>1</v>
      </c>
      <c r="R138" s="167">
        <v>2237</v>
      </c>
      <c r="S138" s="161">
        <v>0</v>
      </c>
      <c r="T138" s="167">
        <v>656.31343000000004</v>
      </c>
      <c r="U138" s="168">
        <v>0</v>
      </c>
      <c r="V138" s="168">
        <v>6.7323752190378797E-2</v>
      </c>
      <c r="W138" s="168">
        <v>5.0230111540028807E-2</v>
      </c>
    </row>
    <row r="139" spans="1:23" ht="15.75" thickBot="1">
      <c r="A139" s="159">
        <v>11342</v>
      </c>
      <c r="B139" s="159">
        <v>11345</v>
      </c>
      <c r="C139" s="164" t="s">
        <v>1359</v>
      </c>
      <c r="D139" s="164" t="s">
        <v>1360</v>
      </c>
      <c r="E139" s="164" t="s">
        <v>2</v>
      </c>
      <c r="F139" s="164" t="s">
        <v>1396</v>
      </c>
      <c r="G139" s="165">
        <v>1149137</v>
      </c>
      <c r="H139" s="164" t="s">
        <v>102</v>
      </c>
      <c r="I139" s="164" t="s">
        <v>235</v>
      </c>
      <c r="J139" s="164" t="s">
        <v>53</v>
      </c>
      <c r="K139" s="164" t="s">
        <v>314</v>
      </c>
      <c r="L139" s="164" t="s">
        <v>311</v>
      </c>
      <c r="M139" s="164" t="s">
        <v>1129</v>
      </c>
      <c r="N139" s="164" t="s">
        <v>62</v>
      </c>
      <c r="O139" s="164" t="s">
        <v>1208</v>
      </c>
      <c r="P139" s="167">
        <v>19621</v>
      </c>
      <c r="Q139" s="167">
        <v>1</v>
      </c>
      <c r="R139" s="167">
        <v>5178</v>
      </c>
      <c r="S139" s="161">
        <v>0</v>
      </c>
      <c r="T139" s="167">
        <v>1015.97538</v>
      </c>
      <c r="U139" s="168">
        <v>0</v>
      </c>
      <c r="V139" s="168">
        <v>0.10421739307490009</v>
      </c>
      <c r="W139" s="168">
        <v>7.7756380300374392E-2</v>
      </c>
    </row>
    <row r="140" spans="1:23" ht="15.75" thickBot="1">
      <c r="A140" s="159">
        <v>11342</v>
      </c>
      <c r="B140" s="159">
        <v>11345</v>
      </c>
      <c r="C140" s="164" t="s">
        <v>1362</v>
      </c>
      <c r="D140" s="164" t="s">
        <v>1363</v>
      </c>
      <c r="E140" s="164" t="s">
        <v>2</v>
      </c>
      <c r="F140" s="164" t="s">
        <v>1384</v>
      </c>
      <c r="G140" s="165">
        <v>1150572</v>
      </c>
      <c r="H140" s="164" t="s">
        <v>102</v>
      </c>
      <c r="I140" s="164" t="s">
        <v>235</v>
      </c>
      <c r="J140" s="164" t="s">
        <v>53</v>
      </c>
      <c r="K140" s="164" t="s">
        <v>314</v>
      </c>
      <c r="L140" s="164" t="s">
        <v>311</v>
      </c>
      <c r="M140" s="164" t="s">
        <v>1129</v>
      </c>
      <c r="N140" s="164" t="s">
        <v>62</v>
      </c>
      <c r="O140" s="164" t="s">
        <v>1208</v>
      </c>
      <c r="P140" s="167">
        <v>12778</v>
      </c>
      <c r="Q140" s="167">
        <v>1</v>
      </c>
      <c r="R140" s="167">
        <v>6781</v>
      </c>
      <c r="S140" s="161">
        <v>0</v>
      </c>
      <c r="T140" s="167">
        <v>866.47618</v>
      </c>
      <c r="U140" s="168">
        <v>0</v>
      </c>
      <c r="V140" s="168">
        <v>8.8881965467606003E-2</v>
      </c>
      <c r="W140" s="168">
        <v>6.6314649645639698E-2</v>
      </c>
    </row>
    <row r="141" spans="1:23" ht="15.75" thickBot="1">
      <c r="A141" s="159">
        <v>11342</v>
      </c>
      <c r="B141" s="159">
        <v>11345</v>
      </c>
      <c r="C141" s="164" t="s">
        <v>1398</v>
      </c>
      <c r="D141" s="164" t="s">
        <v>1399</v>
      </c>
      <c r="E141" s="164" t="s">
        <v>2</v>
      </c>
      <c r="F141" s="164" t="s">
        <v>1400</v>
      </c>
      <c r="G141" s="165">
        <v>1165828</v>
      </c>
      <c r="H141" s="164" t="s">
        <v>102</v>
      </c>
      <c r="I141" s="164" t="s">
        <v>235</v>
      </c>
      <c r="J141" s="164" t="s">
        <v>53</v>
      </c>
      <c r="K141" s="164" t="s">
        <v>314</v>
      </c>
      <c r="L141" s="164" t="s">
        <v>311</v>
      </c>
      <c r="M141" s="164" t="s">
        <v>1129</v>
      </c>
      <c r="N141" s="164" t="s">
        <v>62</v>
      </c>
      <c r="O141" s="164" t="s">
        <v>1208</v>
      </c>
      <c r="P141" s="167">
        <v>11017</v>
      </c>
      <c r="Q141" s="167">
        <v>1</v>
      </c>
      <c r="R141" s="167">
        <v>8318</v>
      </c>
      <c r="S141" s="161">
        <v>0</v>
      </c>
      <c r="T141" s="167">
        <v>916.39405999999997</v>
      </c>
      <c r="U141" s="168">
        <v>0</v>
      </c>
      <c r="V141" s="168">
        <v>9.4002474708120953E-2</v>
      </c>
      <c r="W141" s="168">
        <v>7.0135050944210978E-2</v>
      </c>
    </row>
    <row r="142" spans="1:23" ht="15.75" thickBot="1">
      <c r="A142" s="159">
        <v>11342</v>
      </c>
      <c r="B142" s="159">
        <v>11345</v>
      </c>
      <c r="C142" s="164" t="s">
        <v>1398</v>
      </c>
      <c r="D142" s="164" t="s">
        <v>1399</v>
      </c>
      <c r="E142" s="164" t="s">
        <v>2</v>
      </c>
      <c r="F142" s="164" t="s">
        <v>1445</v>
      </c>
      <c r="G142" s="165">
        <v>1165844</v>
      </c>
      <c r="H142" s="164" t="s">
        <v>102</v>
      </c>
      <c r="I142" s="164" t="s">
        <v>235</v>
      </c>
      <c r="J142" s="164" t="s">
        <v>53</v>
      </c>
      <c r="K142" s="164" t="s">
        <v>314</v>
      </c>
      <c r="L142" s="164" t="s">
        <v>311</v>
      </c>
      <c r="M142" s="164" t="s">
        <v>1129</v>
      </c>
      <c r="N142" s="164" t="s">
        <v>62</v>
      </c>
      <c r="O142" s="164" t="s">
        <v>1208</v>
      </c>
      <c r="P142" s="167">
        <v>10625</v>
      </c>
      <c r="Q142" s="167">
        <v>1</v>
      </c>
      <c r="R142" s="167">
        <v>8713</v>
      </c>
      <c r="S142" s="161">
        <v>0</v>
      </c>
      <c r="T142" s="167">
        <v>925.75625000000002</v>
      </c>
      <c r="U142" s="168">
        <v>0</v>
      </c>
      <c r="V142" s="168">
        <v>9.4962835613000271E-2</v>
      </c>
      <c r="W142" s="168">
        <v>7.0851574218706442E-2</v>
      </c>
    </row>
    <row r="143" spans="1:23" ht="15.75" thickBot="1">
      <c r="A143" s="159">
        <v>11342</v>
      </c>
      <c r="B143" s="159">
        <v>11345</v>
      </c>
      <c r="C143" s="164" t="s">
        <v>1362</v>
      </c>
      <c r="D143" s="164" t="s">
        <v>1363</v>
      </c>
      <c r="E143" s="164" t="s">
        <v>2</v>
      </c>
      <c r="F143" s="164" t="s">
        <v>1472</v>
      </c>
      <c r="G143" s="165">
        <v>1181445</v>
      </c>
      <c r="H143" s="164" t="s">
        <v>102</v>
      </c>
      <c r="I143" s="164" t="s">
        <v>235</v>
      </c>
      <c r="J143" s="164" t="s">
        <v>53</v>
      </c>
      <c r="K143" s="164" t="s">
        <v>314</v>
      </c>
      <c r="L143" s="164" t="s">
        <v>311</v>
      </c>
      <c r="M143" s="164" t="s">
        <v>1129</v>
      </c>
      <c r="N143" s="164" t="s">
        <v>62</v>
      </c>
      <c r="O143" s="164" t="s">
        <v>1208</v>
      </c>
      <c r="P143" s="167">
        <v>11991</v>
      </c>
      <c r="Q143" s="167">
        <v>1</v>
      </c>
      <c r="R143" s="167">
        <v>7324</v>
      </c>
      <c r="S143" s="161">
        <v>0</v>
      </c>
      <c r="T143" s="167">
        <v>878.22083999999995</v>
      </c>
      <c r="U143" s="168">
        <v>0</v>
      </c>
      <c r="V143" s="168">
        <v>9.0086716952579041E-2</v>
      </c>
      <c r="W143" s="168">
        <v>6.7213512223843697E-2</v>
      </c>
    </row>
    <row r="144" spans="1:23" ht="15.75" thickBot="1">
      <c r="A144" s="159">
        <v>11342</v>
      </c>
      <c r="B144" s="159">
        <v>11345</v>
      </c>
      <c r="C144" s="164" t="s">
        <v>1611</v>
      </c>
      <c r="D144" s="164"/>
      <c r="E144" s="164"/>
      <c r="F144" s="164" t="s">
        <v>1454</v>
      </c>
      <c r="G144" s="164" t="s">
        <v>1455</v>
      </c>
      <c r="H144" s="164" t="s">
        <v>76</v>
      </c>
      <c r="I144" s="164" t="s">
        <v>235</v>
      </c>
      <c r="J144" s="164" t="s">
        <v>61</v>
      </c>
      <c r="K144" s="164" t="s">
        <v>314</v>
      </c>
      <c r="L144" s="164" t="s">
        <v>476</v>
      </c>
      <c r="M144" s="164" t="s">
        <v>775</v>
      </c>
      <c r="N144" s="164" t="s">
        <v>62</v>
      </c>
      <c r="O144" s="164" t="s">
        <v>1210</v>
      </c>
      <c r="P144" s="167">
        <v>734</v>
      </c>
      <c r="Q144" s="167">
        <v>3.681</v>
      </c>
      <c r="R144" s="167">
        <v>39776</v>
      </c>
      <c r="S144" s="161">
        <v>0</v>
      </c>
      <c r="T144" s="167">
        <v>1077.0251900000001</v>
      </c>
      <c r="U144" s="168">
        <v>1.0097019495673829E-6</v>
      </c>
      <c r="V144" s="168">
        <v>0.1104798007780454</v>
      </c>
      <c r="W144" s="168">
        <v>8.2428749667854156E-2</v>
      </c>
    </row>
    <row r="145" spans="1:23" ht="15.75" thickBot="1">
      <c r="A145" s="159">
        <v>11342</v>
      </c>
      <c r="B145" s="159">
        <v>11345</v>
      </c>
      <c r="C145" s="164" t="s">
        <v>1609</v>
      </c>
      <c r="D145" s="164"/>
      <c r="E145" s="164"/>
      <c r="F145" s="164" t="s">
        <v>1390</v>
      </c>
      <c r="G145" s="164" t="s">
        <v>1391</v>
      </c>
      <c r="H145" s="164" t="s">
        <v>76</v>
      </c>
      <c r="I145" s="164" t="s">
        <v>235</v>
      </c>
      <c r="J145" s="164" t="s">
        <v>61</v>
      </c>
      <c r="K145" s="164" t="s">
        <v>314</v>
      </c>
      <c r="L145" s="164" t="s">
        <v>476</v>
      </c>
      <c r="M145" s="164" t="s">
        <v>775</v>
      </c>
      <c r="N145" s="164" t="s">
        <v>62</v>
      </c>
      <c r="O145" s="164" t="s">
        <v>1210</v>
      </c>
      <c r="P145" s="167">
        <v>1571</v>
      </c>
      <c r="Q145" s="167">
        <v>3.681</v>
      </c>
      <c r="R145" s="167">
        <v>6630</v>
      </c>
      <c r="S145" s="161">
        <v>0</v>
      </c>
      <c r="T145" s="167">
        <v>383.40302000000003</v>
      </c>
      <c r="U145" s="168">
        <v>2.5875577728176807E-5</v>
      </c>
      <c r="V145" s="168">
        <v>3.9328968032122769E-2</v>
      </c>
      <c r="W145" s="168">
        <v>2.9343261282012614E-2</v>
      </c>
    </row>
    <row r="146" spans="1:23" ht="15.75" thickBot="1">
      <c r="A146" s="159">
        <v>11342</v>
      </c>
      <c r="B146" s="159">
        <v>11345</v>
      </c>
      <c r="C146" s="164" t="s">
        <v>1609</v>
      </c>
      <c r="D146" s="164"/>
      <c r="E146" s="164"/>
      <c r="F146" s="164" t="s">
        <v>1375</v>
      </c>
      <c r="G146" s="164" t="s">
        <v>1376</v>
      </c>
      <c r="H146" s="164" t="s">
        <v>76</v>
      </c>
      <c r="I146" s="164" t="s">
        <v>235</v>
      </c>
      <c r="J146" s="164" t="s">
        <v>61</v>
      </c>
      <c r="K146" s="164" t="s">
        <v>314</v>
      </c>
      <c r="L146" s="164" t="s">
        <v>494</v>
      </c>
      <c r="M146" s="164" t="s">
        <v>775</v>
      </c>
      <c r="N146" s="164" t="s">
        <v>62</v>
      </c>
      <c r="O146" s="164" t="s">
        <v>1210</v>
      </c>
      <c r="P146" s="167">
        <v>359</v>
      </c>
      <c r="Q146" s="167">
        <v>3.681</v>
      </c>
      <c r="R146" s="167">
        <v>55249</v>
      </c>
      <c r="S146" s="161">
        <v>0</v>
      </c>
      <c r="T146" s="167">
        <v>730.10392999999999</v>
      </c>
      <c r="U146" s="168">
        <v>1.0214037649289259E-5</v>
      </c>
      <c r="V146" s="168">
        <v>7.4893082801218411E-2</v>
      </c>
      <c r="W146" s="168">
        <v>5.5877573371785769E-2</v>
      </c>
    </row>
    <row r="147" spans="1:23" ht="15.75" thickBot="1">
      <c r="A147" s="159">
        <v>11342</v>
      </c>
      <c r="B147" s="159">
        <v>11345</v>
      </c>
      <c r="C147" s="164" t="s">
        <v>1609</v>
      </c>
      <c r="D147" s="164"/>
      <c r="E147" s="164"/>
      <c r="F147" s="164" t="s">
        <v>1473</v>
      </c>
      <c r="G147" s="164" t="s">
        <v>1474</v>
      </c>
      <c r="H147" s="164" t="s">
        <v>76</v>
      </c>
      <c r="I147" s="164" t="s">
        <v>235</v>
      </c>
      <c r="J147" s="164" t="s">
        <v>61</v>
      </c>
      <c r="K147" s="164" t="s">
        <v>314</v>
      </c>
      <c r="L147" s="164" t="s">
        <v>494</v>
      </c>
      <c r="M147" s="164" t="s">
        <v>775</v>
      </c>
      <c r="N147" s="164" t="s">
        <v>62</v>
      </c>
      <c r="O147" s="164" t="s">
        <v>1210</v>
      </c>
      <c r="P147" s="167">
        <v>444</v>
      </c>
      <c r="Q147" s="167">
        <v>3.681</v>
      </c>
      <c r="R147" s="167">
        <v>47201.5</v>
      </c>
      <c r="S147" s="161">
        <v>0</v>
      </c>
      <c r="T147" s="167">
        <v>771.44431999999995</v>
      </c>
      <c r="U147" s="168">
        <v>1.8400369665084264E-4</v>
      </c>
      <c r="V147" s="168">
        <v>7.9133724611357217E-2</v>
      </c>
      <c r="W147" s="168">
        <v>5.9041507409838725E-2</v>
      </c>
    </row>
    <row r="148" spans="1:23" ht="15.75" thickBot="1">
      <c r="A148" s="159">
        <v>11342</v>
      </c>
      <c r="B148" s="159">
        <v>11345</v>
      </c>
      <c r="C148" s="164" t="s">
        <v>1612</v>
      </c>
      <c r="D148" s="164"/>
      <c r="E148" s="164"/>
      <c r="F148" s="164" t="s">
        <v>1475</v>
      </c>
      <c r="G148" s="164" t="s">
        <v>1476</v>
      </c>
      <c r="H148" s="164" t="s">
        <v>76</v>
      </c>
      <c r="I148" s="164" t="s">
        <v>235</v>
      </c>
      <c r="J148" s="164" t="s">
        <v>61</v>
      </c>
      <c r="K148" s="164" t="s">
        <v>314</v>
      </c>
      <c r="L148" s="164" t="s">
        <v>476</v>
      </c>
      <c r="M148" s="164" t="s">
        <v>775</v>
      </c>
      <c r="N148" s="164" t="s">
        <v>62</v>
      </c>
      <c r="O148" s="164" t="s">
        <v>1210</v>
      </c>
      <c r="P148" s="167">
        <v>189</v>
      </c>
      <c r="Q148" s="167">
        <v>3.681</v>
      </c>
      <c r="R148" s="167">
        <v>48070</v>
      </c>
      <c r="S148" s="161">
        <v>0</v>
      </c>
      <c r="T148" s="167">
        <v>334.42732000000001</v>
      </c>
      <c r="U148" s="168">
        <v>2.0075013314433929E-7</v>
      </c>
      <c r="V148" s="168">
        <v>3.4305106353488012E-2</v>
      </c>
      <c r="W148" s="168">
        <v>2.5594968528425369E-2</v>
      </c>
    </row>
    <row r="149" spans="1:23" ht="15.75" thickBot="1">
      <c r="A149" s="159">
        <v>7891</v>
      </c>
      <c r="B149" s="159">
        <v>7894</v>
      </c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1"/>
      <c r="T149" s="163"/>
      <c r="U149" s="163"/>
      <c r="V149" s="163"/>
      <c r="W149" s="163"/>
    </row>
    <row r="150" spans="1:23" ht="15.75" thickBot="1">
      <c r="A150" s="159">
        <v>7891</v>
      </c>
      <c r="B150" s="159">
        <v>7895</v>
      </c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1"/>
      <c r="T150" s="163"/>
      <c r="U150" s="163"/>
      <c r="V150" s="163"/>
      <c r="W150" s="163"/>
    </row>
    <row r="151" spans="1:23" ht="15.75" thickBot="1">
      <c r="A151" s="159">
        <v>7891</v>
      </c>
      <c r="B151" s="159">
        <v>7898</v>
      </c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1"/>
      <c r="T151" s="163"/>
      <c r="U151" s="163"/>
      <c r="V151" s="163"/>
      <c r="W151" s="163"/>
    </row>
    <row r="152" spans="1:23" ht="15.75" thickBot="1">
      <c r="A152" s="159">
        <v>7891</v>
      </c>
      <c r="B152" s="159">
        <v>7899</v>
      </c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1"/>
      <c r="T152" s="163"/>
      <c r="U152" s="163"/>
      <c r="V152" s="163"/>
      <c r="W152" s="163"/>
    </row>
    <row r="153" spans="1:23" ht="15.75" thickBot="1">
      <c r="A153" s="159">
        <v>7891</v>
      </c>
      <c r="B153" s="159">
        <v>7901</v>
      </c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1"/>
      <c r="T153" s="163"/>
      <c r="U153" s="163"/>
      <c r="V153" s="163"/>
      <c r="W153" s="163"/>
    </row>
    <row r="154" spans="1:23" ht="15.75" thickBot="1">
      <c r="A154" s="159">
        <v>7891</v>
      </c>
      <c r="B154" s="159">
        <v>7902</v>
      </c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1"/>
      <c r="T154" s="163"/>
      <c r="U154" s="163"/>
      <c r="V154" s="163"/>
      <c r="W154" s="163"/>
    </row>
    <row r="155" spans="1:23" ht="15.75" thickBot="1">
      <c r="A155" s="159">
        <v>11925</v>
      </c>
      <c r="B155" s="159">
        <v>11927</v>
      </c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1"/>
      <c r="T155" s="163"/>
      <c r="U155" s="163"/>
      <c r="V155" s="163"/>
      <c r="W155" s="163"/>
    </row>
    <row r="156" spans="1:23" ht="15.75" thickBot="1">
      <c r="A156" s="159">
        <v>11925</v>
      </c>
      <c r="B156" s="159">
        <v>11929</v>
      </c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1"/>
      <c r="T156" s="163"/>
      <c r="U156" s="163"/>
      <c r="V156" s="163"/>
      <c r="W156" s="163"/>
    </row>
    <row r="157" spans="1:23" ht="15.75" thickBot="1">
      <c r="A157" s="159">
        <v>11925</v>
      </c>
      <c r="B157" s="159">
        <v>11930</v>
      </c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1"/>
      <c r="T157" s="163"/>
      <c r="U157" s="163"/>
      <c r="V157" s="163"/>
      <c r="W157" s="163"/>
    </row>
    <row r="158" spans="1:23" ht="15.75" thickBot="1">
      <c r="A158" s="159">
        <v>11925</v>
      </c>
      <c r="B158" s="159">
        <v>11931</v>
      </c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1"/>
      <c r="T158" s="163"/>
      <c r="U158" s="163"/>
      <c r="V158" s="163"/>
      <c r="W158" s="163"/>
    </row>
    <row r="159" spans="1:23" ht="15.75" thickBot="1">
      <c r="A159" s="159">
        <v>11925</v>
      </c>
      <c r="B159" s="159">
        <v>11932</v>
      </c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1"/>
      <c r="T159" s="163"/>
      <c r="U159" s="163"/>
      <c r="V159" s="163"/>
      <c r="W159" s="163"/>
    </row>
    <row r="160" spans="1:23" ht="15.75" thickBot="1">
      <c r="A160" s="159">
        <v>11925</v>
      </c>
      <c r="B160" s="159">
        <v>11933</v>
      </c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1"/>
      <c r="T160" s="163"/>
      <c r="U160" s="163"/>
      <c r="V160" s="163"/>
      <c r="W160" s="163"/>
    </row>
    <row r="161" spans="1:23" ht="15.75" thickBot="1">
      <c r="A161" s="159">
        <v>11925</v>
      </c>
      <c r="B161" s="159">
        <v>11935</v>
      </c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1"/>
      <c r="T161" s="163"/>
      <c r="U161" s="163"/>
      <c r="V161" s="163"/>
      <c r="W161" s="163"/>
    </row>
    <row r="162" spans="1:23" ht="15.75" thickBot="1">
      <c r="A162" s="159">
        <v>11925</v>
      </c>
      <c r="B162" s="159">
        <v>11936</v>
      </c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1"/>
      <c r="T162" s="163"/>
      <c r="U162" s="163"/>
      <c r="V162" s="163"/>
      <c r="W162" s="163"/>
    </row>
    <row r="163" spans="1:23" ht="15.75" thickBot="1">
      <c r="A163" s="159">
        <v>11925</v>
      </c>
      <c r="B163" s="159">
        <v>11937</v>
      </c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1"/>
      <c r="T163" s="163"/>
      <c r="U163" s="163"/>
      <c r="V163" s="163"/>
      <c r="W163" s="163"/>
    </row>
    <row r="164" spans="1:23" ht="15.75" thickBot="1">
      <c r="A164" s="159">
        <v>11939</v>
      </c>
      <c r="B164" s="159">
        <v>11945</v>
      </c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1"/>
      <c r="T164" s="163"/>
      <c r="U164" s="163"/>
      <c r="V164" s="163"/>
      <c r="W164" s="163"/>
    </row>
    <row r="165" spans="1:23" ht="15.75" thickBot="1">
      <c r="A165" s="159">
        <v>11939</v>
      </c>
      <c r="B165" s="159">
        <v>11946</v>
      </c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1"/>
      <c r="T165" s="163"/>
      <c r="U165" s="163"/>
      <c r="V165" s="163"/>
      <c r="W165" s="163"/>
    </row>
    <row r="166" spans="1:23" ht="15.75" thickBot="1">
      <c r="A166" s="159">
        <v>11939</v>
      </c>
      <c r="B166" s="159">
        <v>11947</v>
      </c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1"/>
      <c r="T166" s="163"/>
      <c r="U166" s="163"/>
      <c r="V166" s="163"/>
      <c r="W166" s="163"/>
    </row>
    <row r="167" spans="1:23" ht="15.75" thickBot="1">
      <c r="A167" s="159">
        <v>11939</v>
      </c>
      <c r="B167" s="159">
        <v>11948</v>
      </c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1"/>
      <c r="T167" s="163"/>
      <c r="U167" s="163"/>
      <c r="V167" s="163"/>
      <c r="W167" s="163"/>
    </row>
    <row r="168" spans="1:23" ht="15.75" thickBot="1">
      <c r="A168" s="159">
        <v>11939</v>
      </c>
      <c r="B168" s="159">
        <v>11950</v>
      </c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1"/>
      <c r="T168" s="163"/>
      <c r="U168" s="163"/>
      <c r="V168" s="163"/>
      <c r="W168" s="16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'[514767490_gm_0124.xlsx]אפשרויות בחירה'!#REF!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workbookViewId="0">
      <pane ySplit="1" topLeftCell="A14" activePane="bottomLeft" state="frozen"/>
      <selection pane="bottomLeft" sqref="A1:XFD1048576"/>
    </sheetView>
  </sheetViews>
  <sheetFormatPr defaultColWidth="9" defaultRowHeight="15"/>
  <cols>
    <col min="1" max="5" width="11.5703125" style="4" customWidth="1"/>
    <col min="6" max="6" width="26.42578125" style="4" bestFit="1" customWidth="1"/>
    <col min="7" max="7" width="11.28515625" style="4" bestFit="1" customWidth="1"/>
    <col min="8" max="12" width="11.5703125" style="4" customWidth="1"/>
    <col min="13" max="13" width="9" style="11"/>
    <col min="14" max="24" width="11.5703125" style="4" customWidth="1"/>
    <col min="25" max="16384" width="9" style="4"/>
  </cols>
  <sheetData>
    <row r="1" spans="1:23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625</v>
      </c>
      <c r="M1" s="20" t="s">
        <v>5</v>
      </c>
      <c r="N1" s="20" t="s">
        <v>300</v>
      </c>
      <c r="O1" s="20" t="s">
        <v>622</v>
      </c>
      <c r="P1" s="20" t="s">
        <v>396</v>
      </c>
      <c r="Q1" s="20" t="s">
        <v>789</v>
      </c>
      <c r="R1" s="20" t="s">
        <v>11</v>
      </c>
      <c r="S1" s="20" t="s">
        <v>15</v>
      </c>
      <c r="T1" s="20" t="s">
        <v>1171</v>
      </c>
      <c r="U1" s="20" t="s">
        <v>18</v>
      </c>
      <c r="V1" s="20" t="s">
        <v>19</v>
      </c>
      <c r="W1" s="20" t="s">
        <v>30</v>
      </c>
    </row>
    <row r="2" spans="1:23" thickBot="1">
      <c r="A2" s="159">
        <v>7891</v>
      </c>
      <c r="B2" s="159">
        <v>7895</v>
      </c>
      <c r="C2" s="160" t="s">
        <v>1356</v>
      </c>
      <c r="D2" s="160">
        <v>5017</v>
      </c>
      <c r="E2" s="160" t="s">
        <v>2</v>
      </c>
      <c r="F2" s="160" t="s">
        <v>1477</v>
      </c>
      <c r="G2" s="160">
        <v>5113089</v>
      </c>
      <c r="H2" s="160" t="s">
        <v>102</v>
      </c>
      <c r="I2" s="160" t="s">
        <v>102</v>
      </c>
      <c r="J2" s="160" t="s">
        <v>53</v>
      </c>
      <c r="K2" s="160" t="s">
        <v>53</v>
      </c>
      <c r="L2" s="160" t="s">
        <v>821</v>
      </c>
      <c r="M2" s="160" t="s">
        <v>311</v>
      </c>
      <c r="N2" s="160" t="s">
        <v>1017</v>
      </c>
      <c r="O2" s="160" t="s">
        <v>62</v>
      </c>
      <c r="P2" s="160" t="s">
        <v>1208</v>
      </c>
      <c r="Q2" s="169">
        <v>95340.28</v>
      </c>
      <c r="R2" s="161">
        <v>1</v>
      </c>
      <c r="S2" s="161">
        <v>108.73</v>
      </c>
      <c r="T2" s="161">
        <v>103.66349</v>
      </c>
      <c r="U2" s="162">
        <v>2.497458148E-3</v>
      </c>
      <c r="V2" s="162">
        <v>0.24483467826875355</v>
      </c>
      <c r="W2" s="162">
        <v>0.23633289086812731</v>
      </c>
    </row>
    <row r="3" spans="1:23" thickBot="1">
      <c r="A3" s="159">
        <v>7891</v>
      </c>
      <c r="B3" s="159">
        <v>7895</v>
      </c>
      <c r="C3" s="160" t="s">
        <v>1356</v>
      </c>
      <c r="D3" s="160">
        <v>5017</v>
      </c>
      <c r="E3" s="160" t="s">
        <v>2</v>
      </c>
      <c r="F3" s="160" t="s">
        <v>1478</v>
      </c>
      <c r="G3" s="160">
        <v>5113428</v>
      </c>
      <c r="H3" s="160" t="s">
        <v>102</v>
      </c>
      <c r="I3" s="160" t="s">
        <v>102</v>
      </c>
      <c r="J3" s="160" t="s">
        <v>53</v>
      </c>
      <c r="K3" s="160" t="s">
        <v>53</v>
      </c>
      <c r="L3" s="160" t="s">
        <v>821</v>
      </c>
      <c r="M3" s="160" t="s">
        <v>311</v>
      </c>
      <c r="N3" s="160" t="s">
        <v>1017</v>
      </c>
      <c r="O3" s="160" t="s">
        <v>62</v>
      </c>
      <c r="P3" s="160" t="s">
        <v>1208</v>
      </c>
      <c r="Q3" s="169">
        <v>75926</v>
      </c>
      <c r="R3" s="161">
        <v>1</v>
      </c>
      <c r="S3" s="161">
        <v>137.59</v>
      </c>
      <c r="T3" s="161">
        <v>104.46657999999999</v>
      </c>
      <c r="U3" s="162">
        <v>3.3920607099999998E-4</v>
      </c>
      <c r="V3" s="162">
        <v>0.24673143364300201</v>
      </c>
      <c r="W3" s="162">
        <v>0.23816378216194042</v>
      </c>
    </row>
    <row r="4" spans="1:23" thickBot="1">
      <c r="A4" s="159">
        <v>7891</v>
      </c>
      <c r="B4" s="159">
        <v>7895</v>
      </c>
      <c r="C4" s="160" t="s">
        <v>1353</v>
      </c>
      <c r="D4" s="160">
        <v>5097</v>
      </c>
      <c r="E4" s="160" t="s">
        <v>2</v>
      </c>
      <c r="F4" s="160" t="s">
        <v>1479</v>
      </c>
      <c r="G4" s="160">
        <v>5118393</v>
      </c>
      <c r="H4" s="160" t="s">
        <v>102</v>
      </c>
      <c r="I4" s="160" t="s">
        <v>102</v>
      </c>
      <c r="J4" s="160" t="s">
        <v>53</v>
      </c>
      <c r="K4" s="160" t="s">
        <v>53</v>
      </c>
      <c r="L4" s="160" t="s">
        <v>821</v>
      </c>
      <c r="M4" s="160" t="s">
        <v>311</v>
      </c>
      <c r="N4" s="160" t="s">
        <v>1017</v>
      </c>
      <c r="O4" s="160" t="s">
        <v>62</v>
      </c>
      <c r="P4" s="160" t="s">
        <v>1208</v>
      </c>
      <c r="Q4" s="169">
        <v>90692</v>
      </c>
      <c r="R4" s="161">
        <v>1</v>
      </c>
      <c r="S4" s="161">
        <v>115.32</v>
      </c>
      <c r="T4" s="161">
        <v>104.58601</v>
      </c>
      <c r="U4" s="162">
        <v>5.4526509800000001E-4</v>
      </c>
      <c r="V4" s="162">
        <v>0.2470135060064314</v>
      </c>
      <c r="W4" s="162">
        <v>0.23843605967407497</v>
      </c>
    </row>
    <row r="5" spans="1:23" thickBot="1">
      <c r="A5" s="159">
        <v>7891</v>
      </c>
      <c r="B5" s="159">
        <v>7895</v>
      </c>
      <c r="C5" s="160" t="s">
        <v>1359</v>
      </c>
      <c r="D5" s="160">
        <v>5044</v>
      </c>
      <c r="E5" s="160" t="s">
        <v>2</v>
      </c>
      <c r="F5" s="160" t="s">
        <v>1480</v>
      </c>
      <c r="G5" s="160">
        <v>5122932</v>
      </c>
      <c r="H5" s="160" t="s">
        <v>102</v>
      </c>
      <c r="I5" s="160" t="s">
        <v>102</v>
      </c>
      <c r="J5" s="160" t="s">
        <v>53</v>
      </c>
      <c r="K5" s="160" t="s">
        <v>53</v>
      </c>
      <c r="L5" s="160" t="s">
        <v>821</v>
      </c>
      <c r="M5" s="160" t="s">
        <v>311</v>
      </c>
      <c r="N5" s="160" t="s">
        <v>1017</v>
      </c>
      <c r="O5" s="160" t="s">
        <v>62</v>
      </c>
      <c r="P5" s="160" t="s">
        <v>1208</v>
      </c>
      <c r="Q5" s="169">
        <v>105879</v>
      </c>
      <c r="R5" s="161">
        <v>1</v>
      </c>
      <c r="S5" s="161">
        <v>104.54</v>
      </c>
      <c r="T5" s="161">
        <v>110.68591000000001</v>
      </c>
      <c r="U5" s="162">
        <v>2.277881833E-3</v>
      </c>
      <c r="V5" s="162">
        <v>0.26142038208181312</v>
      </c>
      <c r="W5" s="162">
        <v>0.25234266267390154</v>
      </c>
    </row>
    <row r="6" spans="1:23" thickBot="1">
      <c r="A6" s="159">
        <v>7891</v>
      </c>
      <c r="B6" s="159">
        <v>7897</v>
      </c>
      <c r="C6" s="160" t="s">
        <v>1362</v>
      </c>
      <c r="D6" s="160" t="s">
        <v>1363</v>
      </c>
      <c r="E6" s="160" t="s">
        <v>2</v>
      </c>
      <c r="F6" s="160" t="s">
        <v>1481</v>
      </c>
      <c r="G6" s="166">
        <v>5102991</v>
      </c>
      <c r="H6" s="160" t="s">
        <v>102</v>
      </c>
      <c r="I6" s="160" t="s">
        <v>102</v>
      </c>
      <c r="J6" s="160" t="s">
        <v>53</v>
      </c>
      <c r="K6" s="160" t="s">
        <v>53</v>
      </c>
      <c r="L6" s="160" t="s">
        <v>821</v>
      </c>
      <c r="M6" s="160" t="s">
        <v>311</v>
      </c>
      <c r="N6" s="160" t="s">
        <v>1059</v>
      </c>
      <c r="O6" s="160" t="s">
        <v>62</v>
      </c>
      <c r="P6" s="160" t="s">
        <v>1208</v>
      </c>
      <c r="Q6" s="169">
        <v>770829</v>
      </c>
      <c r="R6" s="161">
        <v>1</v>
      </c>
      <c r="S6" s="161">
        <v>152.69999999999999</v>
      </c>
      <c r="T6" s="161">
        <v>1177.0558799999999</v>
      </c>
      <c r="U6" s="162">
        <v>1.16639294E-4</v>
      </c>
      <c r="V6" s="162">
        <v>5.6973405520738832E-2</v>
      </c>
      <c r="W6" s="162">
        <v>1.2379449624577174E-2</v>
      </c>
    </row>
    <row r="7" spans="1:23" thickBot="1">
      <c r="A7" s="159">
        <v>7891</v>
      </c>
      <c r="B7" s="159">
        <v>7897</v>
      </c>
      <c r="C7" s="160" t="s">
        <v>1482</v>
      </c>
      <c r="D7" s="160" t="s">
        <v>1483</v>
      </c>
      <c r="E7" s="160" t="s">
        <v>2</v>
      </c>
      <c r="F7" s="160" t="s">
        <v>1484</v>
      </c>
      <c r="G7" s="166">
        <v>5105820</v>
      </c>
      <c r="H7" s="160" t="s">
        <v>102</v>
      </c>
      <c r="I7" s="160" t="s">
        <v>102</v>
      </c>
      <c r="J7" s="160" t="s">
        <v>53</v>
      </c>
      <c r="K7" s="160" t="s">
        <v>53</v>
      </c>
      <c r="L7" s="160" t="s">
        <v>821</v>
      </c>
      <c r="M7" s="160" t="s">
        <v>311</v>
      </c>
      <c r="N7" s="160" t="s">
        <v>1058</v>
      </c>
      <c r="O7" s="160" t="s">
        <v>62</v>
      </c>
      <c r="P7" s="160" t="s">
        <v>1208</v>
      </c>
      <c r="Q7" s="169">
        <v>3162893</v>
      </c>
      <c r="R7" s="161">
        <v>1</v>
      </c>
      <c r="S7" s="161">
        <v>131.41999999999999</v>
      </c>
      <c r="T7" s="161">
        <v>4156.6739799999996</v>
      </c>
      <c r="U7" s="162">
        <v>1.602513722E-3</v>
      </c>
      <c r="V7" s="162">
        <v>0.20119679643420449</v>
      </c>
      <c r="W7" s="162">
        <v>4.3716986606617783E-2</v>
      </c>
    </row>
    <row r="8" spans="1:23" thickBot="1">
      <c r="A8" s="159">
        <v>7891</v>
      </c>
      <c r="B8" s="159">
        <v>7897</v>
      </c>
      <c r="C8" s="160" t="s">
        <v>1359</v>
      </c>
      <c r="D8" s="160" t="s">
        <v>1360</v>
      </c>
      <c r="E8" s="160" t="s">
        <v>2</v>
      </c>
      <c r="F8" s="160" t="s">
        <v>1485</v>
      </c>
      <c r="G8" s="166">
        <v>5119409</v>
      </c>
      <c r="H8" s="160" t="s">
        <v>102</v>
      </c>
      <c r="I8" s="160" t="s">
        <v>102</v>
      </c>
      <c r="J8" s="160" t="s">
        <v>53</v>
      </c>
      <c r="K8" s="160" t="s">
        <v>53</v>
      </c>
      <c r="L8" s="160" t="s">
        <v>821</v>
      </c>
      <c r="M8" s="160" t="s">
        <v>311</v>
      </c>
      <c r="N8" s="160" t="s">
        <v>1059</v>
      </c>
      <c r="O8" s="160" t="s">
        <v>62</v>
      </c>
      <c r="P8" s="160" t="s">
        <v>1208</v>
      </c>
      <c r="Q8" s="169">
        <v>1184214</v>
      </c>
      <c r="R8" s="161">
        <v>1</v>
      </c>
      <c r="S8" s="161">
        <v>107.32</v>
      </c>
      <c r="T8" s="161">
        <v>1270.8984599999999</v>
      </c>
      <c r="U8" s="162">
        <v>3.8743432E-4</v>
      </c>
      <c r="V8" s="162">
        <v>6.1515697400247878E-2</v>
      </c>
      <c r="W8" s="162">
        <v>1.336642017668924E-2</v>
      </c>
    </row>
    <row r="9" spans="1:23" thickBot="1">
      <c r="A9" s="159">
        <v>7891</v>
      </c>
      <c r="B9" s="159">
        <v>7897</v>
      </c>
      <c r="C9" s="160" t="s">
        <v>1398</v>
      </c>
      <c r="D9" s="160" t="s">
        <v>1399</v>
      </c>
      <c r="E9" s="160" t="s">
        <v>2</v>
      </c>
      <c r="F9" s="160" t="s">
        <v>1486</v>
      </c>
      <c r="G9" s="166">
        <v>5119813</v>
      </c>
      <c r="H9" s="160" t="s">
        <v>102</v>
      </c>
      <c r="I9" s="160" t="s">
        <v>102</v>
      </c>
      <c r="J9" s="160" t="s">
        <v>53</v>
      </c>
      <c r="K9" s="160" t="s">
        <v>53</v>
      </c>
      <c r="L9" s="160" t="s">
        <v>821</v>
      </c>
      <c r="M9" s="160" t="s">
        <v>311</v>
      </c>
      <c r="N9" s="160" t="s">
        <v>1059</v>
      </c>
      <c r="O9" s="160" t="s">
        <v>62</v>
      </c>
      <c r="P9" s="160" t="s">
        <v>1208</v>
      </c>
      <c r="Q9" s="169">
        <v>4481574</v>
      </c>
      <c r="R9" s="161">
        <v>1</v>
      </c>
      <c r="S9" s="161">
        <v>107.91</v>
      </c>
      <c r="T9" s="161">
        <v>4836.0664999999999</v>
      </c>
      <c r="U9" s="162">
        <v>1.218611553E-3</v>
      </c>
      <c r="V9" s="162">
        <v>0.23408164600457212</v>
      </c>
      <c r="W9" s="162">
        <v>5.0862361452079279E-2</v>
      </c>
    </row>
    <row r="10" spans="1:23" thickBot="1">
      <c r="A10" s="159">
        <v>7891</v>
      </c>
      <c r="B10" s="159">
        <v>7897</v>
      </c>
      <c r="C10" s="160" t="s">
        <v>1487</v>
      </c>
      <c r="D10" s="160" t="s">
        <v>1488</v>
      </c>
      <c r="E10" s="160" t="s">
        <v>2</v>
      </c>
      <c r="F10" s="160" t="s">
        <v>1489</v>
      </c>
      <c r="G10" s="166">
        <v>5120852</v>
      </c>
      <c r="H10" s="160" t="s">
        <v>102</v>
      </c>
      <c r="I10" s="160" t="s">
        <v>102</v>
      </c>
      <c r="J10" s="160" t="s">
        <v>53</v>
      </c>
      <c r="K10" s="160" t="s">
        <v>53</v>
      </c>
      <c r="L10" s="160" t="s">
        <v>821</v>
      </c>
      <c r="M10" s="160" t="s">
        <v>311</v>
      </c>
      <c r="N10" s="160" t="s">
        <v>1059</v>
      </c>
      <c r="O10" s="160" t="s">
        <v>62</v>
      </c>
      <c r="P10" s="160" t="s">
        <v>1208</v>
      </c>
      <c r="Q10" s="169">
        <v>278298</v>
      </c>
      <c r="R10" s="161">
        <v>1</v>
      </c>
      <c r="S10" s="161">
        <v>361.13</v>
      </c>
      <c r="T10" s="161">
        <v>1005.01757</v>
      </c>
      <c r="U10" s="162">
        <v>1.3062609400000001E-4</v>
      </c>
      <c r="V10" s="162">
        <v>4.864618115758236E-2</v>
      </c>
      <c r="W10" s="162">
        <v>1.0570071133436727E-2</v>
      </c>
    </row>
    <row r="11" spans="1:23" thickBot="1">
      <c r="A11" s="159">
        <v>7891</v>
      </c>
      <c r="B11" s="159">
        <v>7897</v>
      </c>
      <c r="C11" s="160" t="s">
        <v>1356</v>
      </c>
      <c r="D11" s="160" t="s">
        <v>1357</v>
      </c>
      <c r="E11" s="160" t="s">
        <v>2</v>
      </c>
      <c r="F11" s="160" t="s">
        <v>1490</v>
      </c>
      <c r="G11" s="166">
        <v>5122585</v>
      </c>
      <c r="H11" s="160" t="s">
        <v>102</v>
      </c>
      <c r="I11" s="160" t="s">
        <v>102</v>
      </c>
      <c r="J11" s="160" t="s">
        <v>53</v>
      </c>
      <c r="K11" s="160" t="s">
        <v>53</v>
      </c>
      <c r="L11" s="160" t="s">
        <v>821</v>
      </c>
      <c r="M11" s="160" t="s">
        <v>311</v>
      </c>
      <c r="N11" s="160" t="s">
        <v>1059</v>
      </c>
      <c r="O11" s="160" t="s">
        <v>62</v>
      </c>
      <c r="P11" s="160" t="s">
        <v>1208</v>
      </c>
      <c r="Q11" s="169">
        <v>1095050</v>
      </c>
      <c r="R11" s="161">
        <v>1</v>
      </c>
      <c r="S11" s="161">
        <v>107.25</v>
      </c>
      <c r="T11" s="161">
        <v>1174.44112</v>
      </c>
      <c r="U11" s="162">
        <v>1.5668923740000001E-3</v>
      </c>
      <c r="V11" s="162">
        <v>5.6846842471056425E-2</v>
      </c>
      <c r="W11" s="162">
        <v>1.2351949409633804E-2</v>
      </c>
    </row>
    <row r="12" spans="1:23" thickBot="1">
      <c r="A12" s="159">
        <v>7891</v>
      </c>
      <c r="B12" s="159">
        <v>7897</v>
      </c>
      <c r="C12" s="160" t="s">
        <v>1356</v>
      </c>
      <c r="D12" s="160" t="s">
        <v>1357</v>
      </c>
      <c r="E12" s="160" t="s">
        <v>2</v>
      </c>
      <c r="F12" s="160" t="s">
        <v>1491</v>
      </c>
      <c r="G12" s="166">
        <v>5128160</v>
      </c>
      <c r="H12" s="160" t="s">
        <v>102</v>
      </c>
      <c r="I12" s="160" t="s">
        <v>102</v>
      </c>
      <c r="J12" s="160" t="s">
        <v>53</v>
      </c>
      <c r="K12" s="160" t="s">
        <v>53</v>
      </c>
      <c r="L12" s="160" t="s">
        <v>821</v>
      </c>
      <c r="M12" s="160" t="s">
        <v>311</v>
      </c>
      <c r="N12" s="160" t="s">
        <v>1059</v>
      </c>
      <c r="O12" s="160" t="s">
        <v>62</v>
      </c>
      <c r="P12" s="160" t="s">
        <v>1208</v>
      </c>
      <c r="Q12" s="169">
        <v>64807</v>
      </c>
      <c r="R12" s="161">
        <v>1</v>
      </c>
      <c r="S12" s="161">
        <v>5563.28</v>
      </c>
      <c r="T12" s="161">
        <v>3605.3948700000001</v>
      </c>
      <c r="U12" s="162">
        <v>2.4935497911185001E-5</v>
      </c>
      <c r="V12" s="162">
        <v>0.17451306049369675</v>
      </c>
      <c r="W12" s="162">
        <v>3.7919018908324026E-2</v>
      </c>
    </row>
    <row r="13" spans="1:23" thickBot="1">
      <c r="A13" s="159">
        <v>7891</v>
      </c>
      <c r="B13" s="159">
        <v>7897</v>
      </c>
      <c r="C13" s="160" t="s">
        <v>1359</v>
      </c>
      <c r="D13" s="160" t="s">
        <v>1360</v>
      </c>
      <c r="E13" s="160" t="s">
        <v>2</v>
      </c>
      <c r="F13" s="160" t="s">
        <v>1492</v>
      </c>
      <c r="G13" s="166">
        <v>5129408</v>
      </c>
      <c r="H13" s="160" t="s">
        <v>102</v>
      </c>
      <c r="I13" s="160" t="s">
        <v>102</v>
      </c>
      <c r="J13" s="160" t="s">
        <v>53</v>
      </c>
      <c r="K13" s="160" t="s">
        <v>53</v>
      </c>
      <c r="L13" s="160" t="s">
        <v>821</v>
      </c>
      <c r="M13" s="160" t="s">
        <v>311</v>
      </c>
      <c r="N13" s="160" t="s">
        <v>1059</v>
      </c>
      <c r="O13" s="160" t="s">
        <v>62</v>
      </c>
      <c r="P13" s="160" t="s">
        <v>1208</v>
      </c>
      <c r="Q13" s="169">
        <v>321283</v>
      </c>
      <c r="R13" s="161">
        <v>1</v>
      </c>
      <c r="S13" s="161">
        <v>1068.9000000000001</v>
      </c>
      <c r="T13" s="161">
        <v>3434.1939900000002</v>
      </c>
      <c r="U13" s="162">
        <v>6.8876520138926595E-5</v>
      </c>
      <c r="V13" s="162">
        <v>0.1662263705179011</v>
      </c>
      <c r="W13" s="162">
        <v>3.611844791959299E-2</v>
      </c>
    </row>
    <row r="14" spans="1:23" thickBot="1">
      <c r="A14" s="159">
        <v>7891</v>
      </c>
      <c r="B14" s="159">
        <v>7900</v>
      </c>
      <c r="C14" s="160" t="s">
        <v>1398</v>
      </c>
      <c r="D14" s="160" t="s">
        <v>1399</v>
      </c>
      <c r="E14" s="160" t="s">
        <v>2</v>
      </c>
      <c r="F14" s="160" t="s">
        <v>1486</v>
      </c>
      <c r="G14" s="166">
        <v>5119813</v>
      </c>
      <c r="H14" s="160" t="s">
        <v>102</v>
      </c>
      <c r="I14" s="160" t="s">
        <v>102</v>
      </c>
      <c r="J14" s="160" t="s">
        <v>53</v>
      </c>
      <c r="K14" s="160" t="s">
        <v>53</v>
      </c>
      <c r="L14" s="160" t="s">
        <v>821</v>
      </c>
      <c r="M14" s="160" t="s">
        <v>311</v>
      </c>
      <c r="N14" s="160" t="s">
        <v>1059</v>
      </c>
      <c r="O14" s="160" t="s">
        <v>62</v>
      </c>
      <c r="P14" s="160" t="s">
        <v>1208</v>
      </c>
      <c r="Q14" s="169">
        <v>633960</v>
      </c>
      <c r="R14" s="161">
        <v>1</v>
      </c>
      <c r="S14" s="161">
        <v>107.91</v>
      </c>
      <c r="T14" s="161">
        <v>684.10623999999996</v>
      </c>
      <c r="U14" s="162">
        <v>1.7238384899999999E-4</v>
      </c>
      <c r="V14" s="162">
        <v>1</v>
      </c>
      <c r="W14" s="162">
        <v>5.7926742096859551E-2</v>
      </c>
    </row>
    <row r="15" spans="1:23" thickBot="1">
      <c r="A15" s="159">
        <v>11925</v>
      </c>
      <c r="B15" s="159">
        <v>11926</v>
      </c>
      <c r="C15" s="160" t="s">
        <v>1493</v>
      </c>
      <c r="D15" s="160" t="s">
        <v>1494</v>
      </c>
      <c r="E15" s="160" t="s">
        <v>2</v>
      </c>
      <c r="F15" s="160" t="s">
        <v>1495</v>
      </c>
      <c r="G15" s="166">
        <v>5137641</v>
      </c>
      <c r="H15" s="160" t="s">
        <v>102</v>
      </c>
      <c r="I15" s="160" t="s">
        <v>102</v>
      </c>
      <c r="J15" s="160" t="s">
        <v>53</v>
      </c>
      <c r="K15" s="160" t="s">
        <v>53</v>
      </c>
      <c r="L15" s="160" t="s">
        <v>821</v>
      </c>
      <c r="M15" s="160" t="s">
        <v>311</v>
      </c>
      <c r="N15" s="160" t="s">
        <v>1059</v>
      </c>
      <c r="O15" s="160" t="s">
        <v>62</v>
      </c>
      <c r="P15" s="160" t="s">
        <v>1208</v>
      </c>
      <c r="Q15" s="169">
        <v>1224700</v>
      </c>
      <c r="R15" s="161">
        <v>1</v>
      </c>
      <c r="S15" s="161">
        <v>101.61</v>
      </c>
      <c r="T15" s="161">
        <v>1244.41767</v>
      </c>
      <c r="U15" s="162">
        <v>6.3433547100000005E-4</v>
      </c>
      <c r="V15" s="162">
        <v>1</v>
      </c>
      <c r="W15" s="162">
        <v>4.7536664727768227E-2</v>
      </c>
    </row>
    <row r="16" spans="1:23" thickBot="1">
      <c r="A16" s="159">
        <v>11925</v>
      </c>
      <c r="B16" s="159">
        <v>11928</v>
      </c>
      <c r="C16" s="160" t="s">
        <v>1482</v>
      </c>
      <c r="D16" s="160" t="s">
        <v>1483</v>
      </c>
      <c r="E16" s="160" t="s">
        <v>2</v>
      </c>
      <c r="F16" s="160" t="s">
        <v>1484</v>
      </c>
      <c r="G16" s="166">
        <v>5105820</v>
      </c>
      <c r="H16" s="160" t="s">
        <v>102</v>
      </c>
      <c r="I16" s="160" t="s">
        <v>102</v>
      </c>
      <c r="J16" s="160" t="s">
        <v>53</v>
      </c>
      <c r="K16" s="160" t="s">
        <v>53</v>
      </c>
      <c r="L16" s="160" t="s">
        <v>821</v>
      </c>
      <c r="M16" s="160" t="s">
        <v>311</v>
      </c>
      <c r="N16" s="160" t="s">
        <v>1058</v>
      </c>
      <c r="O16" s="160" t="s">
        <v>62</v>
      </c>
      <c r="P16" s="160" t="s">
        <v>1208</v>
      </c>
      <c r="Q16" s="169">
        <v>4445641</v>
      </c>
      <c r="R16" s="161">
        <v>1</v>
      </c>
      <c r="S16" s="161">
        <v>131.41999999999999</v>
      </c>
      <c r="T16" s="161">
        <v>5842.4614000000001</v>
      </c>
      <c r="U16" s="162">
        <v>2.252431779E-3</v>
      </c>
      <c r="V16" s="162">
        <v>0.18734321423790565</v>
      </c>
      <c r="W16" s="162">
        <v>4.3334444733265011E-2</v>
      </c>
    </row>
    <row r="17" spans="1:23" thickBot="1">
      <c r="A17" s="159">
        <v>11925</v>
      </c>
      <c r="B17" s="159">
        <v>11928</v>
      </c>
      <c r="C17" s="160" t="s">
        <v>1359</v>
      </c>
      <c r="D17" s="160" t="s">
        <v>1360</v>
      </c>
      <c r="E17" s="160" t="s">
        <v>2</v>
      </c>
      <c r="F17" s="160" t="s">
        <v>1485</v>
      </c>
      <c r="G17" s="166">
        <v>5119409</v>
      </c>
      <c r="H17" s="160" t="s">
        <v>102</v>
      </c>
      <c r="I17" s="160" t="s">
        <v>102</v>
      </c>
      <c r="J17" s="160" t="s">
        <v>53</v>
      </c>
      <c r="K17" s="160" t="s">
        <v>53</v>
      </c>
      <c r="L17" s="160" t="s">
        <v>821</v>
      </c>
      <c r="M17" s="160" t="s">
        <v>311</v>
      </c>
      <c r="N17" s="160" t="s">
        <v>1059</v>
      </c>
      <c r="O17" s="160" t="s">
        <v>62</v>
      </c>
      <c r="P17" s="160" t="s">
        <v>1208</v>
      </c>
      <c r="Q17" s="169">
        <v>2773653</v>
      </c>
      <c r="R17" s="161">
        <v>1</v>
      </c>
      <c r="S17" s="161">
        <v>107.32</v>
      </c>
      <c r="T17" s="161">
        <v>2976.6844000000001</v>
      </c>
      <c r="U17" s="162">
        <v>9.07444402E-4</v>
      </c>
      <c r="V17" s="162">
        <v>9.5449774519320157E-2</v>
      </c>
      <c r="W17" s="162">
        <v>2.2078531082836444E-2</v>
      </c>
    </row>
    <row r="18" spans="1:23" thickBot="1">
      <c r="A18" s="159">
        <v>11925</v>
      </c>
      <c r="B18" s="159">
        <v>11928</v>
      </c>
      <c r="C18" s="160" t="s">
        <v>1398</v>
      </c>
      <c r="D18" s="160" t="s">
        <v>1399</v>
      </c>
      <c r="E18" s="160" t="s">
        <v>2</v>
      </c>
      <c r="F18" s="160" t="s">
        <v>1486</v>
      </c>
      <c r="G18" s="166">
        <v>5119813</v>
      </c>
      <c r="H18" s="160" t="s">
        <v>102</v>
      </c>
      <c r="I18" s="160" t="s">
        <v>102</v>
      </c>
      <c r="J18" s="160" t="s">
        <v>53</v>
      </c>
      <c r="K18" s="160" t="s">
        <v>53</v>
      </c>
      <c r="L18" s="160" t="s">
        <v>821</v>
      </c>
      <c r="M18" s="160" t="s">
        <v>311</v>
      </c>
      <c r="N18" s="160" t="s">
        <v>1059</v>
      </c>
      <c r="O18" s="160" t="s">
        <v>62</v>
      </c>
      <c r="P18" s="160" t="s">
        <v>1208</v>
      </c>
      <c r="Q18" s="169">
        <v>5828942</v>
      </c>
      <c r="R18" s="161">
        <v>1</v>
      </c>
      <c r="S18" s="161">
        <v>107.91</v>
      </c>
      <c r="T18" s="161">
        <v>6290.0113099999999</v>
      </c>
      <c r="U18" s="162">
        <v>1.584982433E-3</v>
      </c>
      <c r="V18" s="162">
        <v>0.20169426132762802</v>
      </c>
      <c r="W18" s="162">
        <v>4.6653992011792642E-2</v>
      </c>
    </row>
    <row r="19" spans="1:23" thickBot="1">
      <c r="A19" s="159">
        <v>11925</v>
      </c>
      <c r="B19" s="159">
        <v>11928</v>
      </c>
      <c r="C19" s="160" t="s">
        <v>1487</v>
      </c>
      <c r="D19" s="160" t="s">
        <v>1488</v>
      </c>
      <c r="E19" s="160" t="s">
        <v>2</v>
      </c>
      <c r="F19" s="160" t="s">
        <v>1489</v>
      </c>
      <c r="G19" s="166">
        <v>5120852</v>
      </c>
      <c r="H19" s="160" t="s">
        <v>102</v>
      </c>
      <c r="I19" s="160" t="s">
        <v>102</v>
      </c>
      <c r="J19" s="160" t="s">
        <v>53</v>
      </c>
      <c r="K19" s="160" t="s">
        <v>53</v>
      </c>
      <c r="L19" s="160" t="s">
        <v>821</v>
      </c>
      <c r="M19" s="160" t="s">
        <v>311</v>
      </c>
      <c r="N19" s="160" t="s">
        <v>1059</v>
      </c>
      <c r="O19" s="160" t="s">
        <v>62</v>
      </c>
      <c r="P19" s="160" t="s">
        <v>1208</v>
      </c>
      <c r="Q19" s="169">
        <v>763742</v>
      </c>
      <c r="R19" s="161">
        <v>1</v>
      </c>
      <c r="S19" s="161">
        <v>361.13</v>
      </c>
      <c r="T19" s="161">
        <v>2758.1014799999998</v>
      </c>
      <c r="U19" s="162">
        <v>3.5848131899999998E-4</v>
      </c>
      <c r="V19" s="162">
        <v>8.8440737744116635E-2</v>
      </c>
      <c r="W19" s="162">
        <v>2.0457267574552813E-2</v>
      </c>
    </row>
    <row r="20" spans="1:23" thickBot="1">
      <c r="A20" s="159">
        <v>11925</v>
      </c>
      <c r="B20" s="159">
        <v>11928</v>
      </c>
      <c r="C20" s="160" t="s">
        <v>1356</v>
      </c>
      <c r="D20" s="160" t="s">
        <v>1357</v>
      </c>
      <c r="E20" s="160" t="s">
        <v>2</v>
      </c>
      <c r="F20" s="160" t="s">
        <v>1490</v>
      </c>
      <c r="G20" s="166">
        <v>5122585</v>
      </c>
      <c r="H20" s="160" t="s">
        <v>102</v>
      </c>
      <c r="I20" s="160" t="s">
        <v>102</v>
      </c>
      <c r="J20" s="160" t="s">
        <v>53</v>
      </c>
      <c r="K20" s="160" t="s">
        <v>53</v>
      </c>
      <c r="L20" s="160" t="s">
        <v>821</v>
      </c>
      <c r="M20" s="160" t="s">
        <v>311</v>
      </c>
      <c r="N20" s="160" t="s">
        <v>1059</v>
      </c>
      <c r="O20" s="160" t="s">
        <v>62</v>
      </c>
      <c r="P20" s="160" t="s">
        <v>1208</v>
      </c>
      <c r="Q20" s="169">
        <v>2857649</v>
      </c>
      <c r="R20" s="161">
        <v>1</v>
      </c>
      <c r="S20" s="161">
        <v>107.25</v>
      </c>
      <c r="T20" s="161">
        <v>3064.8285500000002</v>
      </c>
      <c r="U20" s="162">
        <v>4.0889716700000002E-3</v>
      </c>
      <c r="V20" s="162">
        <v>9.8276187437900689E-2</v>
      </c>
      <c r="W20" s="162">
        <v>2.2732309950204848E-2</v>
      </c>
    </row>
    <row r="21" spans="1:23" s="46" customFormat="1" thickBot="1">
      <c r="A21" s="159">
        <v>11925</v>
      </c>
      <c r="B21" s="159">
        <v>11928</v>
      </c>
      <c r="C21" s="160" t="s">
        <v>1356</v>
      </c>
      <c r="D21" s="160" t="s">
        <v>1357</v>
      </c>
      <c r="E21" s="160" t="s">
        <v>2</v>
      </c>
      <c r="F21" s="160" t="s">
        <v>1491</v>
      </c>
      <c r="G21" s="166">
        <v>5128160</v>
      </c>
      <c r="H21" s="160" t="s">
        <v>102</v>
      </c>
      <c r="I21" s="160" t="s">
        <v>102</v>
      </c>
      <c r="J21" s="160" t="s">
        <v>53</v>
      </c>
      <c r="K21" s="160" t="s">
        <v>53</v>
      </c>
      <c r="L21" s="160" t="s">
        <v>821</v>
      </c>
      <c r="M21" s="160" t="s">
        <v>311</v>
      </c>
      <c r="N21" s="160" t="s">
        <v>1059</v>
      </c>
      <c r="O21" s="160" t="s">
        <v>62</v>
      </c>
      <c r="P21" s="160" t="s">
        <v>1208</v>
      </c>
      <c r="Q21" s="169">
        <v>102653</v>
      </c>
      <c r="R21" s="161">
        <v>1</v>
      </c>
      <c r="S21" s="161">
        <v>5563.28</v>
      </c>
      <c r="T21" s="161">
        <v>5710.8738199999998</v>
      </c>
      <c r="U21" s="162">
        <v>3.94973331133501E-5</v>
      </c>
      <c r="V21" s="162">
        <v>0.18312375286654123</v>
      </c>
      <c r="W21" s="162">
        <v>4.235843918993458E-2</v>
      </c>
    </row>
    <row r="22" spans="1:23" thickBot="1">
      <c r="A22" s="159">
        <v>11925</v>
      </c>
      <c r="B22" s="159">
        <v>11928</v>
      </c>
      <c r="C22" s="160" t="s">
        <v>1359</v>
      </c>
      <c r="D22" s="160" t="s">
        <v>1360</v>
      </c>
      <c r="E22" s="160" t="s">
        <v>2</v>
      </c>
      <c r="F22" s="160" t="s">
        <v>1492</v>
      </c>
      <c r="G22" s="166">
        <v>5129408</v>
      </c>
      <c r="H22" s="160" t="s">
        <v>102</v>
      </c>
      <c r="I22" s="160" t="s">
        <v>102</v>
      </c>
      <c r="J22" s="160" t="s">
        <v>53</v>
      </c>
      <c r="K22" s="160" t="s">
        <v>53</v>
      </c>
      <c r="L22" s="160" t="s">
        <v>821</v>
      </c>
      <c r="M22" s="160" t="s">
        <v>311</v>
      </c>
      <c r="N22" s="160" t="s">
        <v>1059</v>
      </c>
      <c r="O22" s="160" t="s">
        <v>62</v>
      </c>
      <c r="P22" s="160" t="s">
        <v>1208</v>
      </c>
      <c r="Q22" s="169">
        <v>425008</v>
      </c>
      <c r="R22" s="161">
        <v>1</v>
      </c>
      <c r="S22" s="161">
        <v>1068.9000000000001</v>
      </c>
      <c r="T22" s="161">
        <v>4542.9105099999997</v>
      </c>
      <c r="U22" s="162">
        <v>9.1113043862279999E-5</v>
      </c>
      <c r="V22" s="162">
        <v>0.14567207186658743</v>
      </c>
      <c r="W22" s="162">
        <v>3.3695473696028828E-2</v>
      </c>
    </row>
    <row r="23" spans="1:23" thickBot="1">
      <c r="A23" s="159">
        <v>11939</v>
      </c>
      <c r="B23" s="159">
        <v>11942</v>
      </c>
      <c r="C23" s="160" t="s">
        <v>1482</v>
      </c>
      <c r="D23" s="160" t="s">
        <v>1483</v>
      </c>
      <c r="E23" s="160" t="s">
        <v>2</v>
      </c>
      <c r="F23" s="160" t="s">
        <v>1484</v>
      </c>
      <c r="G23" s="166">
        <v>5105820</v>
      </c>
      <c r="H23" s="160" t="s">
        <v>102</v>
      </c>
      <c r="I23" s="160" t="s">
        <v>102</v>
      </c>
      <c r="J23" s="160" t="s">
        <v>53</v>
      </c>
      <c r="K23" s="160" t="s">
        <v>53</v>
      </c>
      <c r="L23" s="160" t="s">
        <v>821</v>
      </c>
      <c r="M23" s="160" t="s">
        <v>311</v>
      </c>
      <c r="N23" s="160" t="s">
        <v>1058</v>
      </c>
      <c r="O23" s="160" t="s">
        <v>62</v>
      </c>
      <c r="P23" s="160" t="s">
        <v>1208</v>
      </c>
      <c r="Q23" s="169">
        <v>11772855</v>
      </c>
      <c r="R23" s="161">
        <v>1</v>
      </c>
      <c r="S23" s="161">
        <v>131.41999999999999</v>
      </c>
      <c r="T23" s="161">
        <v>15471.886039999999</v>
      </c>
      <c r="U23" s="162">
        <v>5.9648434790000003E-3</v>
      </c>
      <c r="V23" s="162">
        <v>0.21550419654146874</v>
      </c>
      <c r="W23" s="162">
        <v>4.5683592914686794E-2</v>
      </c>
    </row>
    <row r="24" spans="1:23" thickBot="1">
      <c r="A24" s="159">
        <v>11939</v>
      </c>
      <c r="B24" s="159">
        <v>11942</v>
      </c>
      <c r="C24" s="160" t="s">
        <v>1359</v>
      </c>
      <c r="D24" s="160" t="s">
        <v>1360</v>
      </c>
      <c r="E24" s="160" t="s">
        <v>2</v>
      </c>
      <c r="F24" s="160" t="s">
        <v>1485</v>
      </c>
      <c r="G24" s="166">
        <v>5119409</v>
      </c>
      <c r="H24" s="160" t="s">
        <v>102</v>
      </c>
      <c r="I24" s="160" t="s">
        <v>102</v>
      </c>
      <c r="J24" s="160" t="s">
        <v>53</v>
      </c>
      <c r="K24" s="160" t="s">
        <v>53</v>
      </c>
      <c r="L24" s="160" t="s">
        <v>821</v>
      </c>
      <c r="M24" s="160" t="s">
        <v>311</v>
      </c>
      <c r="N24" s="160" t="s">
        <v>1059</v>
      </c>
      <c r="O24" s="160" t="s">
        <v>62</v>
      </c>
      <c r="P24" s="160" t="s">
        <v>1208</v>
      </c>
      <c r="Q24" s="169">
        <v>3645520</v>
      </c>
      <c r="R24" s="161">
        <v>1</v>
      </c>
      <c r="S24" s="161">
        <v>107.32</v>
      </c>
      <c r="T24" s="161">
        <v>3912.3720600000001</v>
      </c>
      <c r="U24" s="162">
        <v>1.1926894669999999E-3</v>
      </c>
      <c r="V24" s="162">
        <v>5.4494493766423256E-2</v>
      </c>
      <c r="W24" s="162">
        <v>1.1551999029578854E-2</v>
      </c>
    </row>
    <row r="25" spans="1:23" thickBot="1">
      <c r="A25" s="159">
        <v>11939</v>
      </c>
      <c r="B25" s="159">
        <v>11942</v>
      </c>
      <c r="C25" s="160" t="s">
        <v>1398</v>
      </c>
      <c r="D25" s="160" t="s">
        <v>1399</v>
      </c>
      <c r="E25" s="160" t="s">
        <v>2</v>
      </c>
      <c r="F25" s="160" t="s">
        <v>1486</v>
      </c>
      <c r="G25" s="166">
        <v>5119813</v>
      </c>
      <c r="H25" s="160" t="s">
        <v>102</v>
      </c>
      <c r="I25" s="160" t="s">
        <v>102</v>
      </c>
      <c r="J25" s="160" t="s">
        <v>53</v>
      </c>
      <c r="K25" s="160" t="s">
        <v>53</v>
      </c>
      <c r="L25" s="160" t="s">
        <v>821</v>
      </c>
      <c r="M25" s="160" t="s">
        <v>311</v>
      </c>
      <c r="N25" s="160" t="s">
        <v>1059</v>
      </c>
      <c r="O25" s="160" t="s">
        <v>62</v>
      </c>
      <c r="P25" s="160" t="s">
        <v>1208</v>
      </c>
      <c r="Q25" s="169">
        <v>12832882</v>
      </c>
      <c r="R25" s="161">
        <v>1</v>
      </c>
      <c r="S25" s="161">
        <v>107.91</v>
      </c>
      <c r="T25" s="161">
        <v>13847.96297</v>
      </c>
      <c r="U25" s="162">
        <v>3.48946559E-3</v>
      </c>
      <c r="V25" s="162">
        <v>0.19288496088133425</v>
      </c>
      <c r="W25" s="162">
        <v>4.0888660980541787E-2</v>
      </c>
    </row>
    <row r="26" spans="1:23" thickBot="1">
      <c r="A26" s="159">
        <v>11939</v>
      </c>
      <c r="B26" s="159">
        <v>11942</v>
      </c>
      <c r="C26" s="160" t="s">
        <v>1487</v>
      </c>
      <c r="D26" s="160" t="s">
        <v>1488</v>
      </c>
      <c r="E26" s="160" t="s">
        <v>2</v>
      </c>
      <c r="F26" s="160" t="s">
        <v>1489</v>
      </c>
      <c r="G26" s="166">
        <v>5120852</v>
      </c>
      <c r="H26" s="160" t="s">
        <v>102</v>
      </c>
      <c r="I26" s="160" t="s">
        <v>102</v>
      </c>
      <c r="J26" s="160" t="s">
        <v>53</v>
      </c>
      <c r="K26" s="160" t="s">
        <v>53</v>
      </c>
      <c r="L26" s="160" t="s">
        <v>821</v>
      </c>
      <c r="M26" s="160" t="s">
        <v>311</v>
      </c>
      <c r="N26" s="160" t="s">
        <v>1059</v>
      </c>
      <c r="O26" s="160" t="s">
        <v>62</v>
      </c>
      <c r="P26" s="160" t="s">
        <v>1208</v>
      </c>
      <c r="Q26" s="169">
        <v>1013184</v>
      </c>
      <c r="R26" s="161">
        <v>1</v>
      </c>
      <c r="S26" s="161">
        <v>361.13</v>
      </c>
      <c r="T26" s="161">
        <v>3658.91138</v>
      </c>
      <c r="U26" s="162">
        <v>4.7556313199999999E-4</v>
      </c>
      <c r="V26" s="162">
        <v>5.096410063548637E-2</v>
      </c>
      <c r="W26" s="162">
        <v>1.0803609693264965E-2</v>
      </c>
    </row>
    <row r="27" spans="1:23" thickBot="1">
      <c r="A27" s="159">
        <v>11939</v>
      </c>
      <c r="B27" s="159">
        <v>11942</v>
      </c>
      <c r="C27" s="160" t="s">
        <v>1356</v>
      </c>
      <c r="D27" s="160" t="s">
        <v>1357</v>
      </c>
      <c r="E27" s="160" t="s">
        <v>2</v>
      </c>
      <c r="F27" s="160" t="s">
        <v>1490</v>
      </c>
      <c r="G27" s="166">
        <v>5122585</v>
      </c>
      <c r="H27" s="160" t="s">
        <v>102</v>
      </c>
      <c r="I27" s="160" t="s">
        <v>102</v>
      </c>
      <c r="J27" s="160" t="s">
        <v>53</v>
      </c>
      <c r="K27" s="160" t="s">
        <v>53</v>
      </c>
      <c r="L27" s="160" t="s">
        <v>821</v>
      </c>
      <c r="M27" s="160" t="s">
        <v>311</v>
      </c>
      <c r="N27" s="160" t="s">
        <v>1059</v>
      </c>
      <c r="O27" s="160" t="s">
        <v>62</v>
      </c>
      <c r="P27" s="160" t="s">
        <v>1208</v>
      </c>
      <c r="Q27" s="169">
        <v>3765667</v>
      </c>
      <c r="R27" s="161">
        <v>1</v>
      </c>
      <c r="S27" s="161">
        <v>107.25</v>
      </c>
      <c r="T27" s="161">
        <v>4038.6778599999998</v>
      </c>
      <c r="U27" s="162">
        <v>5.3882424619999996E-3</v>
      </c>
      <c r="V27" s="162">
        <v>5.6253777015870421E-2</v>
      </c>
      <c r="W27" s="162">
        <v>1.192494016520034E-2</v>
      </c>
    </row>
    <row r="28" spans="1:23" thickBot="1">
      <c r="A28" s="159">
        <v>11939</v>
      </c>
      <c r="B28" s="159">
        <v>11942</v>
      </c>
      <c r="C28" s="160" t="s">
        <v>1359</v>
      </c>
      <c r="D28" s="160" t="s">
        <v>1360</v>
      </c>
      <c r="E28" s="160" t="s">
        <v>2</v>
      </c>
      <c r="F28" s="160" t="s">
        <v>1496</v>
      </c>
      <c r="G28" s="166">
        <v>5127790</v>
      </c>
      <c r="H28" s="160" t="s">
        <v>102</v>
      </c>
      <c r="I28" s="160" t="s">
        <v>102</v>
      </c>
      <c r="J28" s="160" t="s">
        <v>53</v>
      </c>
      <c r="K28" s="160" t="s">
        <v>53</v>
      </c>
      <c r="L28" s="160" t="s">
        <v>821</v>
      </c>
      <c r="M28" s="160" t="s">
        <v>311</v>
      </c>
      <c r="N28" s="160" t="s">
        <v>1059</v>
      </c>
      <c r="O28" s="160" t="s">
        <v>62</v>
      </c>
      <c r="P28" s="160" t="s">
        <v>1208</v>
      </c>
      <c r="Q28" s="169">
        <v>1413002</v>
      </c>
      <c r="R28" s="161">
        <v>1</v>
      </c>
      <c r="S28" s="161">
        <v>1072.67</v>
      </c>
      <c r="T28" s="161">
        <v>15156.848550000001</v>
      </c>
      <c r="U28" s="162">
        <v>1.0080727599999999E-4</v>
      </c>
      <c r="V28" s="162">
        <v>0.21111611476608808</v>
      </c>
      <c r="W28" s="162">
        <v>4.4753386706547958E-2</v>
      </c>
    </row>
    <row r="29" spans="1:23" thickBot="1">
      <c r="A29" s="159">
        <v>11939</v>
      </c>
      <c r="B29" s="159">
        <v>11942</v>
      </c>
      <c r="C29" s="160" t="s">
        <v>1356</v>
      </c>
      <c r="D29" s="160" t="s">
        <v>1357</v>
      </c>
      <c r="E29" s="160" t="s">
        <v>2</v>
      </c>
      <c r="F29" s="160" t="s">
        <v>1491</v>
      </c>
      <c r="G29" s="166">
        <v>5128160</v>
      </c>
      <c r="H29" s="160" t="s">
        <v>102</v>
      </c>
      <c r="I29" s="160" t="s">
        <v>102</v>
      </c>
      <c r="J29" s="160" t="s">
        <v>53</v>
      </c>
      <c r="K29" s="160" t="s">
        <v>53</v>
      </c>
      <c r="L29" s="160" t="s">
        <v>821</v>
      </c>
      <c r="M29" s="160" t="s">
        <v>311</v>
      </c>
      <c r="N29" s="160" t="s">
        <v>1059</v>
      </c>
      <c r="O29" s="160" t="s">
        <v>62</v>
      </c>
      <c r="P29" s="160" t="s">
        <v>1208</v>
      </c>
      <c r="Q29" s="169">
        <v>133834</v>
      </c>
      <c r="R29" s="161">
        <v>1</v>
      </c>
      <c r="S29" s="161">
        <v>5563.28</v>
      </c>
      <c r="T29" s="161">
        <v>7445.56016</v>
      </c>
      <c r="U29" s="162">
        <v>5.1494706242312399E-5</v>
      </c>
      <c r="V29" s="162">
        <v>0.10370742493408189</v>
      </c>
      <c r="W29" s="162">
        <v>2.198438758480219E-2</v>
      </c>
    </row>
    <row r="30" spans="1:23" thickBot="1">
      <c r="A30" s="159">
        <v>11939</v>
      </c>
      <c r="B30" s="159">
        <v>11942</v>
      </c>
      <c r="C30" s="160" t="s">
        <v>1359</v>
      </c>
      <c r="D30" s="160" t="s">
        <v>1360</v>
      </c>
      <c r="E30" s="160" t="s">
        <v>2</v>
      </c>
      <c r="F30" s="160" t="s">
        <v>1492</v>
      </c>
      <c r="G30" s="166">
        <v>5129408</v>
      </c>
      <c r="H30" s="160" t="s">
        <v>102</v>
      </c>
      <c r="I30" s="160" t="s">
        <v>102</v>
      </c>
      <c r="J30" s="160" t="s">
        <v>53</v>
      </c>
      <c r="K30" s="160" t="s">
        <v>53</v>
      </c>
      <c r="L30" s="160" t="s">
        <v>821</v>
      </c>
      <c r="M30" s="160" t="s">
        <v>311</v>
      </c>
      <c r="N30" s="160" t="s">
        <v>1059</v>
      </c>
      <c r="O30" s="160" t="s">
        <v>62</v>
      </c>
      <c r="P30" s="160" t="s">
        <v>1208</v>
      </c>
      <c r="Q30" s="169">
        <v>772914</v>
      </c>
      <c r="R30" s="161">
        <v>1</v>
      </c>
      <c r="S30" s="161">
        <v>1068.9000000000001</v>
      </c>
      <c r="T30" s="161">
        <v>8261.6777500000007</v>
      </c>
      <c r="U30" s="162">
        <v>1.65696992E-4</v>
      </c>
      <c r="V30" s="162">
        <v>0.11507493145924694</v>
      </c>
      <c r="W30" s="162">
        <v>2.4394125069662521E-2</v>
      </c>
    </row>
    <row r="31" spans="1:23" thickBot="1">
      <c r="A31" s="159">
        <v>11939</v>
      </c>
      <c r="B31" s="159">
        <v>11943</v>
      </c>
      <c r="C31" s="160" t="s">
        <v>1356</v>
      </c>
      <c r="D31" s="160" t="s">
        <v>1357</v>
      </c>
      <c r="E31" s="160" t="s">
        <v>2</v>
      </c>
      <c r="F31" s="160" t="s">
        <v>1497</v>
      </c>
      <c r="G31" s="166">
        <v>5125612</v>
      </c>
      <c r="H31" s="160" t="s">
        <v>102</v>
      </c>
      <c r="I31" s="160" t="s">
        <v>73</v>
      </c>
      <c r="J31" s="160" t="s">
        <v>53</v>
      </c>
      <c r="K31" s="160" t="s">
        <v>313</v>
      </c>
      <c r="L31" s="160" t="s">
        <v>821</v>
      </c>
      <c r="M31" s="160" t="s">
        <v>311</v>
      </c>
      <c r="N31" s="160" t="s">
        <v>1123</v>
      </c>
      <c r="O31" s="160" t="s">
        <v>62</v>
      </c>
      <c r="P31" s="160" t="s">
        <v>1208</v>
      </c>
      <c r="Q31" s="169">
        <v>324064</v>
      </c>
      <c r="R31" s="161">
        <v>1</v>
      </c>
      <c r="S31" s="161">
        <v>151.47999999999999</v>
      </c>
      <c r="T31" s="161">
        <v>490.89215000000002</v>
      </c>
      <c r="U31" s="162">
        <v>5.1326195429999997E-3</v>
      </c>
      <c r="V31" s="162">
        <v>1</v>
      </c>
      <c r="W31" s="162">
        <v>3.2435882770637435E-2</v>
      </c>
    </row>
    <row r="32" spans="1:23" thickBot="1">
      <c r="A32" s="159">
        <v>11939</v>
      </c>
      <c r="B32" s="159">
        <v>11944</v>
      </c>
      <c r="C32" s="160" t="s">
        <v>1613</v>
      </c>
      <c r="D32" s="160"/>
      <c r="E32" s="160"/>
      <c r="F32" s="160" t="s">
        <v>1498</v>
      </c>
      <c r="G32" s="160" t="s">
        <v>1499</v>
      </c>
      <c r="H32" s="160" t="s">
        <v>76</v>
      </c>
      <c r="I32" s="160" t="s">
        <v>73</v>
      </c>
      <c r="J32" s="160" t="s">
        <v>61</v>
      </c>
      <c r="K32" s="160" t="s">
        <v>315</v>
      </c>
      <c r="L32" s="160" t="s">
        <v>821</v>
      </c>
      <c r="M32" s="160" t="s">
        <v>476</v>
      </c>
      <c r="N32" s="160" t="s">
        <v>775</v>
      </c>
      <c r="O32" s="160" t="s">
        <v>62</v>
      </c>
      <c r="P32" s="160" t="s">
        <v>1210</v>
      </c>
      <c r="Q32" s="170">
        <v>1359.81</v>
      </c>
      <c r="R32" s="161">
        <v>3.681</v>
      </c>
      <c r="S32" s="161">
        <v>19525.099999999999</v>
      </c>
      <c r="T32" s="161">
        <v>977.32119</v>
      </c>
      <c r="U32" s="162">
        <v>2.8932127659574467E-5</v>
      </c>
      <c r="V32" s="162">
        <v>0.21975818740811129</v>
      </c>
      <c r="W32" s="162">
        <v>2.6243905011060338E-2</v>
      </c>
    </row>
    <row r="33" spans="1:23" thickBot="1">
      <c r="A33" s="159">
        <v>11939</v>
      </c>
      <c r="B33" s="159">
        <v>11944</v>
      </c>
      <c r="C33" s="164" t="s">
        <v>1610</v>
      </c>
      <c r="D33" s="160"/>
      <c r="E33" s="160"/>
      <c r="F33" s="160" t="s">
        <v>1500</v>
      </c>
      <c r="G33" s="160" t="s">
        <v>1501</v>
      </c>
      <c r="H33" s="160" t="s">
        <v>76</v>
      </c>
      <c r="I33" s="160" t="s">
        <v>211</v>
      </c>
      <c r="J33" s="160" t="s">
        <v>61</v>
      </c>
      <c r="K33" s="160" t="s">
        <v>314</v>
      </c>
      <c r="L33" s="160" t="s">
        <v>821</v>
      </c>
      <c r="M33" s="160" t="s">
        <v>476</v>
      </c>
      <c r="N33" s="160" t="s">
        <v>776</v>
      </c>
      <c r="O33" s="160" t="s">
        <v>62</v>
      </c>
      <c r="P33" s="160" t="s">
        <v>1210</v>
      </c>
      <c r="Q33" s="170">
        <v>16792.25</v>
      </c>
      <c r="R33" s="161">
        <v>3.681</v>
      </c>
      <c r="S33" s="161">
        <v>1659</v>
      </c>
      <c r="T33" s="161">
        <v>1025.4656</v>
      </c>
      <c r="U33" s="162">
        <v>2.2037073490813648E-6</v>
      </c>
      <c r="V33" s="162">
        <v>0.23058382833730567</v>
      </c>
      <c r="W33" s="162">
        <v>2.7536721882096913E-2</v>
      </c>
    </row>
    <row r="34" spans="1:23" thickBot="1">
      <c r="A34" s="159">
        <v>11939</v>
      </c>
      <c r="B34" s="159">
        <v>11944</v>
      </c>
      <c r="C34" s="160" t="s">
        <v>1613</v>
      </c>
      <c r="D34" s="160"/>
      <c r="E34" s="160"/>
      <c r="F34" s="160" t="s">
        <v>1502</v>
      </c>
      <c r="G34" s="160" t="s">
        <v>1503</v>
      </c>
      <c r="H34" s="160" t="s">
        <v>76</v>
      </c>
      <c r="I34" s="160" t="s">
        <v>73</v>
      </c>
      <c r="J34" s="160" t="s">
        <v>61</v>
      </c>
      <c r="K34" s="160" t="s">
        <v>314</v>
      </c>
      <c r="L34" s="160" t="s">
        <v>821</v>
      </c>
      <c r="M34" s="160" t="s">
        <v>476</v>
      </c>
      <c r="N34" s="160" t="s">
        <v>775</v>
      </c>
      <c r="O34" s="160" t="s">
        <v>62</v>
      </c>
      <c r="P34" s="160" t="s">
        <v>1210</v>
      </c>
      <c r="Q34" s="170">
        <v>2372.61</v>
      </c>
      <c r="R34" s="161">
        <v>3.681</v>
      </c>
      <c r="S34" s="161">
        <v>20289.900000000001</v>
      </c>
      <c r="T34" s="161">
        <v>1772.03412</v>
      </c>
      <c r="U34" s="162">
        <v>1.3108342541436465E-5</v>
      </c>
      <c r="V34" s="162">
        <v>0.39845550287979287</v>
      </c>
      <c r="W34" s="162">
        <v>4.75842492698208E-2</v>
      </c>
    </row>
    <row r="35" spans="1:23" thickBot="1">
      <c r="A35" s="159">
        <v>11939</v>
      </c>
      <c r="B35" s="159">
        <v>11944</v>
      </c>
      <c r="C35" s="160" t="s">
        <v>1613</v>
      </c>
      <c r="D35" s="160"/>
      <c r="E35" s="160"/>
      <c r="F35" s="160" t="s">
        <v>1504</v>
      </c>
      <c r="G35" s="160" t="s">
        <v>1505</v>
      </c>
      <c r="H35" s="160" t="s">
        <v>76</v>
      </c>
      <c r="I35" s="160" t="s">
        <v>73</v>
      </c>
      <c r="J35" s="160" t="s">
        <v>61</v>
      </c>
      <c r="K35" s="160" t="s">
        <v>314</v>
      </c>
      <c r="L35" s="160" t="s">
        <v>821</v>
      </c>
      <c r="M35" s="160" t="s">
        <v>476</v>
      </c>
      <c r="N35" s="160" t="s">
        <v>775</v>
      </c>
      <c r="O35" s="160" t="s">
        <v>62</v>
      </c>
      <c r="P35" s="160" t="s">
        <v>1210</v>
      </c>
      <c r="Q35" s="170">
        <v>1437.32</v>
      </c>
      <c r="R35" s="161">
        <v>3.681</v>
      </c>
      <c r="S35" s="161">
        <v>12709.6</v>
      </c>
      <c r="T35" s="161">
        <v>672.43633</v>
      </c>
      <c r="U35" s="162">
        <v>7.9409944751381217E-6</v>
      </c>
      <c r="V35" s="162">
        <v>0.15120248137478998</v>
      </c>
      <c r="W35" s="162">
        <v>1.805686334346851E-2</v>
      </c>
    </row>
    <row r="36" spans="1:23" thickBot="1">
      <c r="A36" s="159">
        <v>11939</v>
      </c>
      <c r="B36" s="159">
        <v>11979</v>
      </c>
      <c r="C36" s="160" t="s">
        <v>1359</v>
      </c>
      <c r="D36" s="160" t="s">
        <v>1360</v>
      </c>
      <c r="E36" s="160" t="s">
        <v>2</v>
      </c>
      <c r="F36" s="160" t="s">
        <v>1496</v>
      </c>
      <c r="G36" s="166">
        <v>5127790</v>
      </c>
      <c r="H36" s="160" t="s">
        <v>102</v>
      </c>
      <c r="I36" s="160" t="s">
        <v>102</v>
      </c>
      <c r="J36" s="160" t="s">
        <v>53</v>
      </c>
      <c r="K36" s="160" t="s">
        <v>53</v>
      </c>
      <c r="L36" s="160" t="s">
        <v>821</v>
      </c>
      <c r="M36" s="160" t="s">
        <v>311</v>
      </c>
      <c r="N36" s="160" t="s">
        <v>1059</v>
      </c>
      <c r="O36" s="160" t="s">
        <v>62</v>
      </c>
      <c r="P36" s="160" t="s">
        <v>1208</v>
      </c>
      <c r="Q36" s="169">
        <v>333218</v>
      </c>
      <c r="R36" s="161">
        <v>1</v>
      </c>
      <c r="S36" s="161">
        <v>1072.67</v>
      </c>
      <c r="T36" s="161">
        <v>3574.3295199999998</v>
      </c>
      <c r="U36" s="162">
        <v>2.3772647824279601E-5</v>
      </c>
      <c r="V36" s="162">
        <v>0.8931707555585201</v>
      </c>
      <c r="W36" s="162">
        <v>5.6910183441873534E-2</v>
      </c>
    </row>
    <row r="37" spans="1:23" thickBot="1">
      <c r="A37" s="159">
        <v>11939</v>
      </c>
      <c r="B37" s="159">
        <v>11979</v>
      </c>
      <c r="C37" s="160" t="s">
        <v>1493</v>
      </c>
      <c r="D37" s="160" t="s">
        <v>1494</v>
      </c>
      <c r="E37" s="160" t="s">
        <v>2</v>
      </c>
      <c r="F37" s="160" t="s">
        <v>1495</v>
      </c>
      <c r="G37" s="166">
        <v>5137641</v>
      </c>
      <c r="H37" s="160" t="s">
        <v>102</v>
      </c>
      <c r="I37" s="160" t="s">
        <v>102</v>
      </c>
      <c r="J37" s="160" t="s">
        <v>53</v>
      </c>
      <c r="K37" s="160" t="s">
        <v>53</v>
      </c>
      <c r="L37" s="160" t="s">
        <v>821</v>
      </c>
      <c r="M37" s="160" t="s">
        <v>311</v>
      </c>
      <c r="N37" s="160" t="s">
        <v>1059</v>
      </c>
      <c r="O37" s="160" t="s">
        <v>62</v>
      </c>
      <c r="P37" s="160" t="s">
        <v>1208</v>
      </c>
      <c r="Q37" s="169">
        <v>420740</v>
      </c>
      <c r="R37" s="161">
        <v>1</v>
      </c>
      <c r="S37" s="161">
        <v>101.61</v>
      </c>
      <c r="T37" s="161">
        <v>427.51391000000001</v>
      </c>
      <c r="U37" s="162">
        <v>2.17923006E-4</v>
      </c>
      <c r="V37" s="162">
        <v>0.10682924444147981</v>
      </c>
      <c r="W37" s="162">
        <v>6.8068416484590409E-3</v>
      </c>
    </row>
    <row r="38" spans="1:23" thickBot="1">
      <c r="A38" s="159">
        <v>11939</v>
      </c>
      <c r="B38" s="159">
        <v>11980</v>
      </c>
      <c r="C38" s="160" t="s">
        <v>1506</v>
      </c>
      <c r="D38" s="160" t="s">
        <v>1507</v>
      </c>
      <c r="E38" s="160" t="s">
        <v>2</v>
      </c>
      <c r="F38" s="160" t="s">
        <v>1508</v>
      </c>
      <c r="G38" s="166">
        <v>5103510</v>
      </c>
      <c r="H38" s="160" t="s">
        <v>102</v>
      </c>
      <c r="I38" s="160" t="s">
        <v>102</v>
      </c>
      <c r="J38" s="160" t="s">
        <v>53</v>
      </c>
      <c r="K38" s="160" t="s">
        <v>53</v>
      </c>
      <c r="L38" s="160" t="s">
        <v>821</v>
      </c>
      <c r="M38" s="160" t="s">
        <v>311</v>
      </c>
      <c r="N38" s="160" t="s">
        <v>1059</v>
      </c>
      <c r="O38" s="160" t="s">
        <v>62</v>
      </c>
      <c r="P38" s="160" t="s">
        <v>1208</v>
      </c>
      <c r="Q38" s="169">
        <v>223837</v>
      </c>
      <c r="R38" s="161">
        <v>1</v>
      </c>
      <c r="S38" s="161">
        <v>142.78</v>
      </c>
      <c r="T38" s="161">
        <v>319.59447</v>
      </c>
      <c r="U38" s="162">
        <v>7.4421730598734707E-5</v>
      </c>
      <c r="V38" s="162">
        <v>0.15235543456066164</v>
      </c>
      <c r="W38" s="162">
        <v>5.82515356863266E-2</v>
      </c>
    </row>
    <row r="39" spans="1:23" thickBot="1">
      <c r="A39" s="159">
        <v>11939</v>
      </c>
      <c r="B39" s="159">
        <v>11980</v>
      </c>
      <c r="C39" s="160" t="s">
        <v>1506</v>
      </c>
      <c r="D39" s="160" t="s">
        <v>1507</v>
      </c>
      <c r="E39" s="160" t="s">
        <v>2</v>
      </c>
      <c r="F39" s="160" t="s">
        <v>1509</v>
      </c>
      <c r="G39" s="166">
        <v>5117429</v>
      </c>
      <c r="H39" s="160" t="s">
        <v>102</v>
      </c>
      <c r="I39" s="160" t="s">
        <v>102</v>
      </c>
      <c r="J39" s="160" t="s">
        <v>53</v>
      </c>
      <c r="K39" s="160" t="s">
        <v>53</v>
      </c>
      <c r="L39" s="160" t="s">
        <v>821</v>
      </c>
      <c r="M39" s="160" t="s">
        <v>311</v>
      </c>
      <c r="N39" s="160" t="s">
        <v>1057</v>
      </c>
      <c r="O39" s="160" t="s">
        <v>62</v>
      </c>
      <c r="P39" s="160" t="s">
        <v>1210</v>
      </c>
      <c r="Q39" s="169">
        <v>37600</v>
      </c>
      <c r="R39" s="161">
        <v>3.681</v>
      </c>
      <c r="S39" s="161">
        <v>114.44</v>
      </c>
      <c r="T39" s="161">
        <v>158.39136999999999</v>
      </c>
      <c r="U39" s="162">
        <v>1.27556700191485E-5</v>
      </c>
      <c r="V39" s="162">
        <v>7.5507520536912121E-2</v>
      </c>
      <c r="W39" s="162">
        <v>2.8869525001359253E-2</v>
      </c>
    </row>
    <row r="40" spans="1:23" thickBot="1">
      <c r="A40" s="159">
        <v>11939</v>
      </c>
      <c r="B40" s="159">
        <v>11980</v>
      </c>
      <c r="C40" s="160" t="s">
        <v>1398</v>
      </c>
      <c r="D40" s="160" t="s">
        <v>1399</v>
      </c>
      <c r="E40" s="160" t="s">
        <v>2</v>
      </c>
      <c r="F40" s="160" t="s">
        <v>1486</v>
      </c>
      <c r="G40" s="166">
        <v>5119813</v>
      </c>
      <c r="H40" s="160" t="s">
        <v>102</v>
      </c>
      <c r="I40" s="160" t="s">
        <v>102</v>
      </c>
      <c r="J40" s="160" t="s">
        <v>53</v>
      </c>
      <c r="K40" s="160" t="s">
        <v>53</v>
      </c>
      <c r="L40" s="160" t="s">
        <v>821</v>
      </c>
      <c r="M40" s="160" t="s">
        <v>311</v>
      </c>
      <c r="N40" s="160" t="s">
        <v>1059</v>
      </c>
      <c r="O40" s="160" t="s">
        <v>62</v>
      </c>
      <c r="P40" s="160" t="s">
        <v>1208</v>
      </c>
      <c r="Q40" s="169">
        <v>268956</v>
      </c>
      <c r="R40" s="161">
        <v>1</v>
      </c>
      <c r="S40" s="161">
        <v>107.91</v>
      </c>
      <c r="T40" s="161">
        <v>290.23041999999998</v>
      </c>
      <c r="U40" s="162">
        <v>7.3133432330143994E-5</v>
      </c>
      <c r="V40" s="162">
        <v>0.13835715543458352</v>
      </c>
      <c r="W40" s="162">
        <v>5.289943742733582E-2</v>
      </c>
    </row>
    <row r="41" spans="1:23" thickBot="1">
      <c r="A41" s="159">
        <v>11939</v>
      </c>
      <c r="B41" s="159">
        <v>11980</v>
      </c>
      <c r="C41" s="160" t="s">
        <v>1487</v>
      </c>
      <c r="D41" s="160" t="s">
        <v>1488</v>
      </c>
      <c r="E41" s="160" t="s">
        <v>2</v>
      </c>
      <c r="F41" s="160" t="s">
        <v>1489</v>
      </c>
      <c r="G41" s="166">
        <v>5120852</v>
      </c>
      <c r="H41" s="160" t="s">
        <v>102</v>
      </c>
      <c r="I41" s="160" t="s">
        <v>102</v>
      </c>
      <c r="J41" s="160" t="s">
        <v>53</v>
      </c>
      <c r="K41" s="160" t="s">
        <v>53</v>
      </c>
      <c r="L41" s="160" t="s">
        <v>821</v>
      </c>
      <c r="M41" s="160" t="s">
        <v>311</v>
      </c>
      <c r="N41" s="160" t="s">
        <v>1059</v>
      </c>
      <c r="O41" s="160" t="s">
        <v>62</v>
      </c>
      <c r="P41" s="160" t="s">
        <v>1208</v>
      </c>
      <c r="Q41" s="169">
        <v>100232</v>
      </c>
      <c r="R41" s="161">
        <v>1</v>
      </c>
      <c r="S41" s="161">
        <v>361.13</v>
      </c>
      <c r="T41" s="161">
        <v>361.96782000000002</v>
      </c>
      <c r="U41" s="162">
        <v>4.7046384321646898E-5</v>
      </c>
      <c r="V41" s="162">
        <v>0.17255544037753642</v>
      </c>
      <c r="W41" s="162">
        <v>6.5974800452685695E-2</v>
      </c>
    </row>
    <row r="42" spans="1:23" thickBot="1">
      <c r="A42" s="159">
        <v>11939</v>
      </c>
      <c r="B42" s="159">
        <v>11980</v>
      </c>
      <c r="C42" s="160" t="s">
        <v>1356</v>
      </c>
      <c r="D42" s="160" t="s">
        <v>1357</v>
      </c>
      <c r="E42" s="160" t="s">
        <v>2</v>
      </c>
      <c r="F42" s="160" t="s">
        <v>1490</v>
      </c>
      <c r="G42" s="166">
        <v>5122585</v>
      </c>
      <c r="H42" s="160" t="s">
        <v>102</v>
      </c>
      <c r="I42" s="160" t="s">
        <v>102</v>
      </c>
      <c r="J42" s="160" t="s">
        <v>53</v>
      </c>
      <c r="K42" s="160" t="s">
        <v>53</v>
      </c>
      <c r="L42" s="160" t="s">
        <v>821</v>
      </c>
      <c r="M42" s="160" t="s">
        <v>311</v>
      </c>
      <c r="N42" s="160" t="s">
        <v>1059</v>
      </c>
      <c r="O42" s="160" t="s">
        <v>62</v>
      </c>
      <c r="P42" s="160" t="s">
        <v>1208</v>
      </c>
      <c r="Q42" s="169">
        <v>232997</v>
      </c>
      <c r="R42" s="161">
        <v>1</v>
      </c>
      <c r="S42" s="161">
        <v>107.25</v>
      </c>
      <c r="T42" s="161">
        <v>249.88928000000001</v>
      </c>
      <c r="U42" s="162">
        <v>3.3339228500000001E-4</v>
      </c>
      <c r="V42" s="162">
        <v>0.11912593433312803</v>
      </c>
      <c r="W42" s="162">
        <v>4.5546577547322581E-2</v>
      </c>
    </row>
    <row r="43" spans="1:23" thickBot="1">
      <c r="A43" s="159">
        <v>11939</v>
      </c>
      <c r="B43" s="159">
        <v>11980</v>
      </c>
      <c r="C43" s="160" t="s">
        <v>1353</v>
      </c>
      <c r="D43" s="160" t="s">
        <v>1354</v>
      </c>
      <c r="E43" s="160" t="s">
        <v>2</v>
      </c>
      <c r="F43" s="160" t="s">
        <v>1510</v>
      </c>
      <c r="G43" s="166">
        <v>5123898</v>
      </c>
      <c r="H43" s="160" t="s">
        <v>102</v>
      </c>
      <c r="I43" s="160" t="s">
        <v>102</v>
      </c>
      <c r="J43" s="160" t="s">
        <v>53</v>
      </c>
      <c r="K43" s="160" t="s">
        <v>53</v>
      </c>
      <c r="L43" s="160" t="s">
        <v>821</v>
      </c>
      <c r="M43" s="160" t="s">
        <v>311</v>
      </c>
      <c r="N43" s="160" t="s">
        <v>1059</v>
      </c>
      <c r="O43" s="160" t="s">
        <v>62</v>
      </c>
      <c r="P43" s="160" t="s">
        <v>1208</v>
      </c>
      <c r="Q43" s="169">
        <v>28414</v>
      </c>
      <c r="R43" s="161">
        <v>1</v>
      </c>
      <c r="S43" s="161">
        <v>1077.75</v>
      </c>
      <c r="T43" s="161">
        <v>306.23187999999999</v>
      </c>
      <c r="U43" s="162">
        <v>5.5706642663653199E-6</v>
      </c>
      <c r="V43" s="162">
        <v>0.14598528927527557</v>
      </c>
      <c r="W43" s="162">
        <v>5.5815976059006539E-2</v>
      </c>
    </row>
    <row r="44" spans="1:23" thickBot="1">
      <c r="A44" s="159">
        <v>11939</v>
      </c>
      <c r="B44" s="159">
        <v>11980</v>
      </c>
      <c r="C44" s="160" t="s">
        <v>1367</v>
      </c>
      <c r="D44" s="160" t="s">
        <v>1368</v>
      </c>
      <c r="E44" s="160" t="s">
        <v>2</v>
      </c>
      <c r="F44" s="160" t="s">
        <v>1511</v>
      </c>
      <c r="G44" s="166">
        <v>5134689</v>
      </c>
      <c r="H44" s="160" t="s">
        <v>102</v>
      </c>
      <c r="I44" s="160" t="s">
        <v>73</v>
      </c>
      <c r="J44" s="160" t="s">
        <v>53</v>
      </c>
      <c r="K44" s="160" t="s">
        <v>314</v>
      </c>
      <c r="L44" s="160" t="s">
        <v>821</v>
      </c>
      <c r="M44" s="160" t="s">
        <v>311</v>
      </c>
      <c r="N44" s="160" t="s">
        <v>1129</v>
      </c>
      <c r="O44" s="160" t="s">
        <v>62</v>
      </c>
      <c r="P44" s="160" t="s">
        <v>1208</v>
      </c>
      <c r="Q44" s="169">
        <v>225894</v>
      </c>
      <c r="R44" s="161">
        <v>1</v>
      </c>
      <c r="S44" s="161">
        <v>114.65</v>
      </c>
      <c r="T44" s="161">
        <v>258.98746999999997</v>
      </c>
      <c r="U44" s="162">
        <v>2.4262749199999999E-4</v>
      </c>
      <c r="V44" s="162">
        <v>0.12346317674901043</v>
      </c>
      <c r="W44" s="162">
        <v>4.7204877640769055E-2</v>
      </c>
    </row>
    <row r="45" spans="1:23" thickBot="1">
      <c r="A45" s="159">
        <v>11939</v>
      </c>
      <c r="B45" s="159">
        <v>11980</v>
      </c>
      <c r="C45" s="160" t="s">
        <v>1353</v>
      </c>
      <c r="D45" s="160" t="s">
        <v>1354</v>
      </c>
      <c r="E45" s="160" t="s">
        <v>2</v>
      </c>
      <c r="F45" s="160" t="s">
        <v>1512</v>
      </c>
      <c r="G45" s="166">
        <v>5135926</v>
      </c>
      <c r="H45" s="160" t="s">
        <v>102</v>
      </c>
      <c r="I45" s="160" t="s">
        <v>102</v>
      </c>
      <c r="J45" s="160" t="s">
        <v>53</v>
      </c>
      <c r="K45" s="160" t="s">
        <v>53</v>
      </c>
      <c r="L45" s="160" t="s">
        <v>821</v>
      </c>
      <c r="M45" s="160" t="s">
        <v>311</v>
      </c>
      <c r="N45" s="160" t="s">
        <v>1059</v>
      </c>
      <c r="O45" s="160" t="s">
        <v>62</v>
      </c>
      <c r="P45" s="160" t="s">
        <v>1208</v>
      </c>
      <c r="Q45" s="169">
        <v>14353</v>
      </c>
      <c r="R45" s="161">
        <v>1</v>
      </c>
      <c r="S45" s="161">
        <v>1061.78</v>
      </c>
      <c r="T45" s="161">
        <v>152.39727999999999</v>
      </c>
      <c r="U45" s="162">
        <v>1.8314765914756999E-6</v>
      </c>
      <c r="V45" s="162">
        <v>7.2650048732892117E-2</v>
      </c>
      <c r="W45" s="162">
        <v>2.7777000003845833E-2</v>
      </c>
    </row>
    <row r="46" spans="1:23" thickBot="1">
      <c r="A46" s="159">
        <v>11939</v>
      </c>
      <c r="B46" s="159">
        <v>11981</v>
      </c>
      <c r="C46" s="160" t="s">
        <v>1506</v>
      </c>
      <c r="D46" s="160" t="s">
        <v>1507</v>
      </c>
      <c r="E46" s="160" t="s">
        <v>2</v>
      </c>
      <c r="F46" s="160" t="s">
        <v>1508</v>
      </c>
      <c r="G46" s="166">
        <v>5103510</v>
      </c>
      <c r="H46" s="160" t="s">
        <v>102</v>
      </c>
      <c r="I46" s="160" t="s">
        <v>102</v>
      </c>
      <c r="J46" s="160" t="s">
        <v>53</v>
      </c>
      <c r="K46" s="160" t="s">
        <v>53</v>
      </c>
      <c r="L46" s="160" t="s">
        <v>821</v>
      </c>
      <c r="M46" s="160" t="s">
        <v>311</v>
      </c>
      <c r="N46" s="160" t="s">
        <v>1059</v>
      </c>
      <c r="O46" s="160" t="s">
        <v>62</v>
      </c>
      <c r="P46" s="160" t="s">
        <v>1208</v>
      </c>
      <c r="Q46" s="169">
        <v>210600</v>
      </c>
      <c r="R46" s="161">
        <v>1</v>
      </c>
      <c r="S46" s="161">
        <v>142.78</v>
      </c>
      <c r="T46" s="161">
        <v>300.69468000000001</v>
      </c>
      <c r="U46" s="162">
        <v>7.0020668897874505E-5</v>
      </c>
      <c r="V46" s="162">
        <v>0.13821471798683882</v>
      </c>
      <c r="W46" s="162">
        <v>5.8175161630996265E-2</v>
      </c>
    </row>
    <row r="47" spans="1:23" thickBot="1">
      <c r="A47" s="159">
        <v>11939</v>
      </c>
      <c r="B47" s="159">
        <v>11981</v>
      </c>
      <c r="C47" s="160" t="s">
        <v>1482</v>
      </c>
      <c r="D47" s="160" t="s">
        <v>1483</v>
      </c>
      <c r="E47" s="160" t="s">
        <v>2</v>
      </c>
      <c r="F47" s="160" t="s">
        <v>1484</v>
      </c>
      <c r="G47" s="166">
        <v>5105820</v>
      </c>
      <c r="H47" s="160" t="s">
        <v>102</v>
      </c>
      <c r="I47" s="160" t="s">
        <v>102</v>
      </c>
      <c r="J47" s="160" t="s">
        <v>53</v>
      </c>
      <c r="K47" s="160" t="s">
        <v>53</v>
      </c>
      <c r="L47" s="160" t="s">
        <v>821</v>
      </c>
      <c r="M47" s="160" t="s">
        <v>311</v>
      </c>
      <c r="N47" s="160" t="s">
        <v>1058</v>
      </c>
      <c r="O47" s="160" t="s">
        <v>62</v>
      </c>
      <c r="P47" s="160" t="s">
        <v>1208</v>
      </c>
      <c r="Q47" s="169">
        <v>300300</v>
      </c>
      <c r="R47" s="161">
        <v>1</v>
      </c>
      <c r="S47" s="161">
        <v>131.41999999999999</v>
      </c>
      <c r="T47" s="161">
        <v>394.65426000000002</v>
      </c>
      <c r="U47" s="162">
        <v>1.52150221E-4</v>
      </c>
      <c r="V47" s="162">
        <v>0.18140336652515623</v>
      </c>
      <c r="W47" s="162">
        <v>7.6353447170602509E-2</v>
      </c>
    </row>
    <row r="48" spans="1:23" thickBot="1">
      <c r="A48" s="159">
        <v>11939</v>
      </c>
      <c r="B48" s="159">
        <v>11981</v>
      </c>
      <c r="C48" s="160" t="s">
        <v>1398</v>
      </c>
      <c r="D48" s="160" t="s">
        <v>1399</v>
      </c>
      <c r="E48" s="160" t="s">
        <v>2</v>
      </c>
      <c r="F48" s="160" t="s">
        <v>1486</v>
      </c>
      <c r="G48" s="166">
        <v>5119813</v>
      </c>
      <c r="H48" s="160" t="s">
        <v>102</v>
      </c>
      <c r="I48" s="160" t="s">
        <v>102</v>
      </c>
      <c r="J48" s="160" t="s">
        <v>53</v>
      </c>
      <c r="K48" s="160" t="s">
        <v>53</v>
      </c>
      <c r="L48" s="160" t="s">
        <v>821</v>
      </c>
      <c r="M48" s="160" t="s">
        <v>311</v>
      </c>
      <c r="N48" s="160" t="s">
        <v>1059</v>
      </c>
      <c r="O48" s="160" t="s">
        <v>62</v>
      </c>
      <c r="P48" s="160" t="s">
        <v>1208</v>
      </c>
      <c r="Q48" s="169">
        <v>279200</v>
      </c>
      <c r="R48" s="161">
        <v>1</v>
      </c>
      <c r="S48" s="161">
        <v>107.91</v>
      </c>
      <c r="T48" s="161">
        <v>301.28471999999999</v>
      </c>
      <c r="U48" s="162">
        <v>7.5918939553593198E-5</v>
      </c>
      <c r="V48" s="162">
        <v>0.13848593067407675</v>
      </c>
      <c r="W48" s="162">
        <v>5.828931620256618E-2</v>
      </c>
    </row>
    <row r="49" spans="1:23" thickBot="1">
      <c r="A49" s="159">
        <v>11939</v>
      </c>
      <c r="B49" s="159">
        <v>11981</v>
      </c>
      <c r="C49" s="160" t="s">
        <v>1487</v>
      </c>
      <c r="D49" s="160" t="s">
        <v>1488</v>
      </c>
      <c r="E49" s="160" t="s">
        <v>2</v>
      </c>
      <c r="F49" s="160" t="s">
        <v>1489</v>
      </c>
      <c r="G49" s="166">
        <v>5121140</v>
      </c>
      <c r="H49" s="160" t="s">
        <v>102</v>
      </c>
      <c r="I49" s="160" t="s">
        <v>102</v>
      </c>
      <c r="J49" s="160" t="s">
        <v>53</v>
      </c>
      <c r="K49" s="160" t="s">
        <v>53</v>
      </c>
      <c r="L49" s="160" t="s">
        <v>821</v>
      </c>
      <c r="M49" s="160" t="s">
        <v>311</v>
      </c>
      <c r="N49" s="160" t="s">
        <v>1059</v>
      </c>
      <c r="O49" s="160" t="s">
        <v>62</v>
      </c>
      <c r="P49" s="160" t="s">
        <v>1208</v>
      </c>
      <c r="Q49" s="169">
        <v>390400</v>
      </c>
      <c r="R49" s="161">
        <v>1</v>
      </c>
      <c r="S49" s="161">
        <v>108.01</v>
      </c>
      <c r="T49" s="161">
        <v>421.67104</v>
      </c>
      <c r="U49" s="162">
        <v>5.13178707216947E-5</v>
      </c>
      <c r="V49" s="162">
        <v>0.19382166613927798</v>
      </c>
      <c r="W49" s="162">
        <v>8.1580362203648865E-2</v>
      </c>
    </row>
    <row r="50" spans="1:23" thickBot="1">
      <c r="A50" s="159">
        <v>11939</v>
      </c>
      <c r="B50" s="159">
        <v>11981</v>
      </c>
      <c r="C50" s="160" t="s">
        <v>1359</v>
      </c>
      <c r="D50" s="160" t="s">
        <v>1360</v>
      </c>
      <c r="E50" s="160" t="s">
        <v>2</v>
      </c>
      <c r="F50" s="160" t="s">
        <v>1496</v>
      </c>
      <c r="G50" s="166">
        <v>5127790</v>
      </c>
      <c r="H50" s="160" t="s">
        <v>102</v>
      </c>
      <c r="I50" s="160" t="s">
        <v>102</v>
      </c>
      <c r="J50" s="160" t="s">
        <v>53</v>
      </c>
      <c r="K50" s="160" t="s">
        <v>53</v>
      </c>
      <c r="L50" s="160" t="s">
        <v>821</v>
      </c>
      <c r="M50" s="160" t="s">
        <v>311</v>
      </c>
      <c r="N50" s="160" t="s">
        <v>1059</v>
      </c>
      <c r="O50" s="160" t="s">
        <v>62</v>
      </c>
      <c r="P50" s="160" t="s">
        <v>1208</v>
      </c>
      <c r="Q50" s="169">
        <v>29500</v>
      </c>
      <c r="R50" s="161">
        <v>1</v>
      </c>
      <c r="S50" s="161">
        <v>1072.67</v>
      </c>
      <c r="T50" s="161">
        <v>316.43765000000002</v>
      </c>
      <c r="U50" s="162">
        <v>2.10460752665296E-6</v>
      </c>
      <c r="V50" s="162">
        <v>0.14545099552532159</v>
      </c>
      <c r="W50" s="162">
        <v>6.1220941570641112E-2</v>
      </c>
    </row>
    <row r="51" spans="1:23" thickBot="1">
      <c r="A51" s="159">
        <v>11939</v>
      </c>
      <c r="B51" s="159">
        <v>11981</v>
      </c>
      <c r="C51" s="160" t="s">
        <v>1367</v>
      </c>
      <c r="D51" s="160" t="s">
        <v>1368</v>
      </c>
      <c r="E51" s="160" t="s">
        <v>2</v>
      </c>
      <c r="F51" s="160" t="s">
        <v>1511</v>
      </c>
      <c r="G51" s="166">
        <v>5134689</v>
      </c>
      <c r="H51" s="160" t="s">
        <v>102</v>
      </c>
      <c r="I51" s="160" t="s">
        <v>73</v>
      </c>
      <c r="J51" s="160" t="s">
        <v>53</v>
      </c>
      <c r="K51" s="160" t="s">
        <v>314</v>
      </c>
      <c r="L51" s="160" t="s">
        <v>821</v>
      </c>
      <c r="M51" s="160" t="s">
        <v>311</v>
      </c>
      <c r="N51" s="160" t="s">
        <v>1129</v>
      </c>
      <c r="O51" s="160" t="s">
        <v>62</v>
      </c>
      <c r="P51" s="160" t="s">
        <v>1208</v>
      </c>
      <c r="Q51" s="169">
        <v>154400</v>
      </c>
      <c r="R51" s="161">
        <v>1</v>
      </c>
      <c r="S51" s="161">
        <v>114.65</v>
      </c>
      <c r="T51" s="161">
        <v>177.0196</v>
      </c>
      <c r="U51" s="162">
        <v>1.65837449E-4</v>
      </c>
      <c r="V51" s="162">
        <v>8.1367299521704239E-2</v>
      </c>
      <c r="W51" s="162">
        <v>3.4247841836956699E-2</v>
      </c>
    </row>
    <row r="52" spans="1:23" thickBot="1">
      <c r="A52" s="159">
        <v>11939</v>
      </c>
      <c r="B52" s="159">
        <v>11981</v>
      </c>
      <c r="C52" s="160" t="s">
        <v>1513</v>
      </c>
      <c r="D52" s="160" t="s">
        <v>1514</v>
      </c>
      <c r="E52" s="160" t="s">
        <v>2</v>
      </c>
      <c r="F52" s="160" t="s">
        <v>1515</v>
      </c>
      <c r="G52" s="166">
        <v>5136866</v>
      </c>
      <c r="H52" s="160" t="s">
        <v>102</v>
      </c>
      <c r="I52" s="160" t="s">
        <v>102</v>
      </c>
      <c r="J52" s="160" t="s">
        <v>53</v>
      </c>
      <c r="K52" s="160" t="s">
        <v>53</v>
      </c>
      <c r="L52" s="160" t="s">
        <v>821</v>
      </c>
      <c r="M52" s="160" t="s">
        <v>311</v>
      </c>
      <c r="N52" s="160" t="s">
        <v>1059</v>
      </c>
      <c r="O52" s="160" t="s">
        <v>62</v>
      </c>
      <c r="P52" s="160" t="s">
        <v>1208</v>
      </c>
      <c r="Q52" s="169">
        <v>252900</v>
      </c>
      <c r="R52" s="161">
        <v>1</v>
      </c>
      <c r="S52" s="161">
        <v>104.31</v>
      </c>
      <c r="T52" s="161">
        <v>263.79998999999998</v>
      </c>
      <c r="U52" s="162">
        <v>5.7089715400000004E-4</v>
      </c>
      <c r="V52" s="162">
        <v>0.12125602362762419</v>
      </c>
      <c r="W52" s="162">
        <v>5.1037175172188608E-2</v>
      </c>
    </row>
    <row r="53" spans="1:23" thickBot="1">
      <c r="A53" s="159">
        <v>11342</v>
      </c>
      <c r="B53" s="159">
        <v>11343</v>
      </c>
      <c r="C53" s="160" t="s">
        <v>1506</v>
      </c>
      <c r="D53" s="160" t="s">
        <v>1507</v>
      </c>
      <c r="E53" s="160" t="s">
        <v>2</v>
      </c>
      <c r="F53" s="160" t="s">
        <v>1508</v>
      </c>
      <c r="G53" s="166">
        <v>5103510</v>
      </c>
      <c r="H53" s="160" t="s">
        <v>102</v>
      </c>
      <c r="I53" s="160" t="s">
        <v>102</v>
      </c>
      <c r="J53" s="160" t="s">
        <v>53</v>
      </c>
      <c r="K53" s="160" t="s">
        <v>53</v>
      </c>
      <c r="L53" s="160" t="s">
        <v>821</v>
      </c>
      <c r="M53" s="160" t="s">
        <v>311</v>
      </c>
      <c r="N53" s="160" t="s">
        <v>1059</v>
      </c>
      <c r="O53" s="160" t="s">
        <v>62</v>
      </c>
      <c r="P53" s="160" t="s">
        <v>1208</v>
      </c>
      <c r="Q53" s="169">
        <v>16757748</v>
      </c>
      <c r="R53" s="161">
        <v>1</v>
      </c>
      <c r="S53" s="161">
        <v>142.78</v>
      </c>
      <c r="T53" s="161">
        <v>23926.712589999999</v>
      </c>
      <c r="U53" s="162">
        <v>5.5716463630000003E-3</v>
      </c>
      <c r="V53" s="162">
        <v>0.14866034938027486</v>
      </c>
      <c r="W53" s="162">
        <v>5.7587533249796825E-2</v>
      </c>
    </row>
    <row r="54" spans="1:23" thickBot="1">
      <c r="A54" s="159">
        <v>11342</v>
      </c>
      <c r="B54" s="159">
        <v>11343</v>
      </c>
      <c r="C54" s="160" t="s">
        <v>1482</v>
      </c>
      <c r="D54" s="160" t="s">
        <v>1483</v>
      </c>
      <c r="E54" s="160" t="s">
        <v>2</v>
      </c>
      <c r="F54" s="160" t="s">
        <v>1484</v>
      </c>
      <c r="G54" s="166">
        <v>5105820</v>
      </c>
      <c r="H54" s="160" t="s">
        <v>102</v>
      </c>
      <c r="I54" s="160" t="s">
        <v>102</v>
      </c>
      <c r="J54" s="160" t="s">
        <v>53</v>
      </c>
      <c r="K54" s="160" t="s">
        <v>53</v>
      </c>
      <c r="L54" s="160" t="s">
        <v>821</v>
      </c>
      <c r="M54" s="160" t="s">
        <v>311</v>
      </c>
      <c r="N54" s="160" t="s">
        <v>1058</v>
      </c>
      <c r="O54" s="160" t="s">
        <v>62</v>
      </c>
      <c r="P54" s="160" t="s">
        <v>1208</v>
      </c>
      <c r="Q54" s="169">
        <v>23922951</v>
      </c>
      <c r="R54" s="161">
        <v>1</v>
      </c>
      <c r="S54" s="161">
        <v>131.41999999999999</v>
      </c>
      <c r="T54" s="161">
        <v>31439.5422</v>
      </c>
      <c r="U54" s="162">
        <v>1.2120820165000001E-2</v>
      </c>
      <c r="V54" s="162">
        <v>0.19533871651725707</v>
      </c>
      <c r="W54" s="162">
        <v>7.5669638066266864E-2</v>
      </c>
    </row>
    <row r="55" spans="1:23" thickBot="1">
      <c r="A55" s="159">
        <v>11342</v>
      </c>
      <c r="B55" s="159">
        <v>11343</v>
      </c>
      <c r="C55" s="160" t="s">
        <v>1398</v>
      </c>
      <c r="D55" s="160" t="s">
        <v>1399</v>
      </c>
      <c r="E55" s="160" t="s">
        <v>2</v>
      </c>
      <c r="F55" s="160" t="s">
        <v>1486</v>
      </c>
      <c r="G55" s="166">
        <v>5119813</v>
      </c>
      <c r="H55" s="160" t="s">
        <v>102</v>
      </c>
      <c r="I55" s="160" t="s">
        <v>102</v>
      </c>
      <c r="J55" s="160" t="s">
        <v>53</v>
      </c>
      <c r="K55" s="160" t="s">
        <v>53</v>
      </c>
      <c r="L55" s="160" t="s">
        <v>821</v>
      </c>
      <c r="M55" s="160" t="s">
        <v>311</v>
      </c>
      <c r="N55" s="160" t="s">
        <v>1059</v>
      </c>
      <c r="O55" s="160" t="s">
        <v>62</v>
      </c>
      <c r="P55" s="160" t="s">
        <v>1208</v>
      </c>
      <c r="Q55" s="169">
        <v>31527388</v>
      </c>
      <c r="R55" s="161">
        <v>1</v>
      </c>
      <c r="S55" s="161">
        <v>107.91</v>
      </c>
      <c r="T55" s="161">
        <v>34021.204389999999</v>
      </c>
      <c r="U55" s="162">
        <v>8.572800371E-3</v>
      </c>
      <c r="V55" s="162">
        <v>0.21137898120901619</v>
      </c>
      <c r="W55" s="162">
        <v>8.1883260462036533E-2</v>
      </c>
    </row>
    <row r="56" spans="1:23" thickBot="1">
      <c r="A56" s="159">
        <v>11342</v>
      </c>
      <c r="B56" s="159">
        <v>11343</v>
      </c>
      <c r="C56" s="160" t="s">
        <v>1487</v>
      </c>
      <c r="D56" s="160" t="s">
        <v>1488</v>
      </c>
      <c r="E56" s="160" t="s">
        <v>2</v>
      </c>
      <c r="F56" s="160" t="s">
        <v>1489</v>
      </c>
      <c r="G56" s="166">
        <v>5121140</v>
      </c>
      <c r="H56" s="160" t="s">
        <v>102</v>
      </c>
      <c r="I56" s="160" t="s">
        <v>102</v>
      </c>
      <c r="J56" s="160" t="s">
        <v>53</v>
      </c>
      <c r="K56" s="160" t="s">
        <v>53</v>
      </c>
      <c r="L56" s="160" t="s">
        <v>821</v>
      </c>
      <c r="M56" s="160" t="s">
        <v>311</v>
      </c>
      <c r="N56" s="160" t="s">
        <v>1059</v>
      </c>
      <c r="O56" s="160" t="s">
        <v>62</v>
      </c>
      <c r="P56" s="160" t="s">
        <v>1208</v>
      </c>
      <c r="Q56" s="169">
        <v>28103366</v>
      </c>
      <c r="R56" s="161">
        <v>1</v>
      </c>
      <c r="S56" s="161">
        <v>108.01</v>
      </c>
      <c r="T56" s="161">
        <v>30354.445619999999</v>
      </c>
      <c r="U56" s="162">
        <v>3.6941723950000001E-3</v>
      </c>
      <c r="V56" s="162">
        <v>0.18859684439055463</v>
      </c>
      <c r="W56" s="162">
        <v>7.3057994901960729E-2</v>
      </c>
    </row>
    <row r="57" spans="1:23" thickBot="1">
      <c r="A57" s="159">
        <v>11342</v>
      </c>
      <c r="B57" s="159">
        <v>11343</v>
      </c>
      <c r="C57" s="160" t="s">
        <v>1359</v>
      </c>
      <c r="D57" s="160" t="s">
        <v>1360</v>
      </c>
      <c r="E57" s="160" t="s">
        <v>2</v>
      </c>
      <c r="F57" s="160" t="s">
        <v>1492</v>
      </c>
      <c r="G57" s="166">
        <v>5129408</v>
      </c>
      <c r="H57" s="160" t="s">
        <v>102</v>
      </c>
      <c r="I57" s="160" t="s">
        <v>102</v>
      </c>
      <c r="J57" s="160" t="s">
        <v>53</v>
      </c>
      <c r="K57" s="160" t="s">
        <v>53</v>
      </c>
      <c r="L57" s="160" t="s">
        <v>821</v>
      </c>
      <c r="M57" s="160" t="s">
        <v>311</v>
      </c>
      <c r="N57" s="160" t="s">
        <v>1059</v>
      </c>
      <c r="O57" s="160" t="s">
        <v>62</v>
      </c>
      <c r="P57" s="160" t="s">
        <v>1208</v>
      </c>
      <c r="Q57" s="169">
        <v>2886316</v>
      </c>
      <c r="R57" s="161">
        <v>1</v>
      </c>
      <c r="S57" s="161">
        <v>1068.9000000000001</v>
      </c>
      <c r="T57" s="161">
        <v>30851.831719999998</v>
      </c>
      <c r="U57" s="162">
        <v>6.1876726100000003E-4</v>
      </c>
      <c r="V57" s="162">
        <v>0.19168718081369515</v>
      </c>
      <c r="W57" s="162">
        <v>7.4255118763585912E-2</v>
      </c>
    </row>
    <row r="58" spans="1:23" thickBot="1">
      <c r="A58" s="159">
        <v>11342</v>
      </c>
      <c r="B58" s="159">
        <v>11343</v>
      </c>
      <c r="C58" s="160" t="s">
        <v>1367</v>
      </c>
      <c r="D58" s="160" t="s">
        <v>1368</v>
      </c>
      <c r="E58" s="160" t="s">
        <v>2</v>
      </c>
      <c r="F58" s="160" t="s">
        <v>1516</v>
      </c>
      <c r="G58" s="166">
        <v>5130737</v>
      </c>
      <c r="H58" s="160" t="s">
        <v>102</v>
      </c>
      <c r="I58" s="160" t="s">
        <v>73</v>
      </c>
      <c r="J58" s="160" t="s">
        <v>53</v>
      </c>
      <c r="K58" s="160" t="s">
        <v>314</v>
      </c>
      <c r="L58" s="160" t="s">
        <v>821</v>
      </c>
      <c r="M58" s="160" t="s">
        <v>311</v>
      </c>
      <c r="N58" s="160" t="s">
        <v>1125</v>
      </c>
      <c r="O58" s="160" t="s">
        <v>62</v>
      </c>
      <c r="P58" s="160" t="s">
        <v>1208</v>
      </c>
      <c r="Q58" s="169">
        <v>4952705</v>
      </c>
      <c r="R58" s="161">
        <v>1</v>
      </c>
      <c r="S58" s="161">
        <v>209.08</v>
      </c>
      <c r="T58" s="161">
        <v>10355.115610000001</v>
      </c>
      <c r="U58" s="162">
        <v>5.2754691089999996E-3</v>
      </c>
      <c r="V58" s="162">
        <v>6.4337927689201962E-2</v>
      </c>
      <c r="W58" s="162">
        <v>2.4923004455931621E-2</v>
      </c>
    </row>
    <row r="59" spans="1:23" thickBot="1">
      <c r="A59" s="159">
        <v>11342</v>
      </c>
      <c r="B59" s="159">
        <v>11344</v>
      </c>
      <c r="C59" s="160" t="s">
        <v>1506</v>
      </c>
      <c r="D59" s="160" t="s">
        <v>1507</v>
      </c>
      <c r="E59" s="160" t="s">
        <v>2</v>
      </c>
      <c r="F59" s="160" t="s">
        <v>1508</v>
      </c>
      <c r="G59" s="166">
        <v>5103510</v>
      </c>
      <c r="H59" s="160" t="s">
        <v>102</v>
      </c>
      <c r="I59" s="160" t="s">
        <v>102</v>
      </c>
      <c r="J59" s="160" t="s">
        <v>53</v>
      </c>
      <c r="K59" s="160" t="s">
        <v>53</v>
      </c>
      <c r="L59" s="160" t="s">
        <v>821</v>
      </c>
      <c r="M59" s="160" t="s">
        <v>311</v>
      </c>
      <c r="N59" s="160" t="s">
        <v>1059</v>
      </c>
      <c r="O59" s="160" t="s">
        <v>62</v>
      </c>
      <c r="P59" s="160" t="s">
        <v>1208</v>
      </c>
      <c r="Q59" s="169">
        <v>75479</v>
      </c>
      <c r="R59" s="161">
        <v>1</v>
      </c>
      <c r="S59" s="161">
        <v>142.78</v>
      </c>
      <c r="T59" s="161">
        <v>107.76891999999999</v>
      </c>
      <c r="U59" s="162">
        <v>2.5095394433725901E-5</v>
      </c>
      <c r="V59" s="162">
        <v>0.12901079511668956</v>
      </c>
      <c r="W59" s="162">
        <v>3.8469431445090602E-2</v>
      </c>
    </row>
    <row r="60" spans="1:23" thickBot="1">
      <c r="A60" s="159">
        <v>11342</v>
      </c>
      <c r="B60" s="159">
        <v>11344</v>
      </c>
      <c r="C60" s="160" t="s">
        <v>1482</v>
      </c>
      <c r="D60" s="160" t="s">
        <v>1483</v>
      </c>
      <c r="E60" s="160" t="s">
        <v>2</v>
      </c>
      <c r="F60" s="160" t="s">
        <v>1484</v>
      </c>
      <c r="G60" s="166">
        <v>5105820</v>
      </c>
      <c r="H60" s="160" t="s">
        <v>102</v>
      </c>
      <c r="I60" s="160" t="s">
        <v>102</v>
      </c>
      <c r="J60" s="160" t="s">
        <v>53</v>
      </c>
      <c r="K60" s="160" t="s">
        <v>53</v>
      </c>
      <c r="L60" s="160" t="s">
        <v>821</v>
      </c>
      <c r="M60" s="160" t="s">
        <v>311</v>
      </c>
      <c r="N60" s="160" t="s">
        <v>1058</v>
      </c>
      <c r="O60" s="160" t="s">
        <v>62</v>
      </c>
      <c r="P60" s="160" t="s">
        <v>1208</v>
      </c>
      <c r="Q60" s="169">
        <v>102108</v>
      </c>
      <c r="R60" s="161">
        <v>1</v>
      </c>
      <c r="S60" s="161">
        <v>131.41999999999999</v>
      </c>
      <c r="T60" s="161">
        <v>134.19032999999999</v>
      </c>
      <c r="U60" s="162">
        <v>5.17341153040688E-5</v>
      </c>
      <c r="V60" s="162">
        <v>0.16064001727279961</v>
      </c>
      <c r="W60" s="162">
        <v>4.7900876250120017E-2</v>
      </c>
    </row>
    <row r="61" spans="1:23" thickBot="1">
      <c r="A61" s="159">
        <v>11342</v>
      </c>
      <c r="B61" s="159">
        <v>11344</v>
      </c>
      <c r="C61" s="160" t="s">
        <v>1398</v>
      </c>
      <c r="D61" s="160" t="s">
        <v>1399</v>
      </c>
      <c r="E61" s="160" t="s">
        <v>2</v>
      </c>
      <c r="F61" s="160" t="s">
        <v>1486</v>
      </c>
      <c r="G61" s="166">
        <v>5119813</v>
      </c>
      <c r="H61" s="160" t="s">
        <v>102</v>
      </c>
      <c r="I61" s="160" t="s">
        <v>102</v>
      </c>
      <c r="J61" s="160" t="s">
        <v>53</v>
      </c>
      <c r="K61" s="160" t="s">
        <v>53</v>
      </c>
      <c r="L61" s="160" t="s">
        <v>821</v>
      </c>
      <c r="M61" s="160" t="s">
        <v>311</v>
      </c>
      <c r="N61" s="160" t="s">
        <v>1059</v>
      </c>
      <c r="O61" s="160" t="s">
        <v>62</v>
      </c>
      <c r="P61" s="160" t="s">
        <v>1208</v>
      </c>
      <c r="Q61" s="169">
        <v>144747</v>
      </c>
      <c r="R61" s="161">
        <v>1</v>
      </c>
      <c r="S61" s="161">
        <v>107.91</v>
      </c>
      <c r="T61" s="161">
        <v>156.19649000000001</v>
      </c>
      <c r="U61" s="162">
        <v>3.9359021287836498E-5</v>
      </c>
      <c r="V61" s="162">
        <v>0.18698371821241275</v>
      </c>
      <c r="W61" s="162">
        <v>5.5756243674138888E-2</v>
      </c>
    </row>
    <row r="62" spans="1:23" thickBot="1">
      <c r="A62" s="159">
        <v>11342</v>
      </c>
      <c r="B62" s="159">
        <v>11344</v>
      </c>
      <c r="C62" s="160" t="s">
        <v>1487</v>
      </c>
      <c r="D62" s="160" t="s">
        <v>1488</v>
      </c>
      <c r="E62" s="160" t="s">
        <v>2</v>
      </c>
      <c r="F62" s="160" t="s">
        <v>1489</v>
      </c>
      <c r="G62" s="166">
        <v>5121140</v>
      </c>
      <c r="H62" s="160" t="s">
        <v>102</v>
      </c>
      <c r="I62" s="160" t="s">
        <v>102</v>
      </c>
      <c r="J62" s="160" t="s">
        <v>53</v>
      </c>
      <c r="K62" s="160" t="s">
        <v>53</v>
      </c>
      <c r="L62" s="160" t="s">
        <v>821</v>
      </c>
      <c r="M62" s="160" t="s">
        <v>311</v>
      </c>
      <c r="N62" s="160" t="s">
        <v>1059</v>
      </c>
      <c r="O62" s="160" t="s">
        <v>62</v>
      </c>
      <c r="P62" s="160" t="s">
        <v>1208</v>
      </c>
      <c r="Q62" s="169">
        <v>181454</v>
      </c>
      <c r="R62" s="161">
        <v>1</v>
      </c>
      <c r="S62" s="161">
        <v>108.01</v>
      </c>
      <c r="T62" s="161">
        <v>195.98847000000001</v>
      </c>
      <c r="U62" s="162">
        <v>2.3852031029545102E-5</v>
      </c>
      <c r="V62" s="162">
        <v>0.23461892675924989</v>
      </c>
      <c r="W62" s="162">
        <v>6.9960476644780292E-2</v>
      </c>
    </row>
    <row r="63" spans="1:23" thickBot="1">
      <c r="A63" s="159">
        <v>11342</v>
      </c>
      <c r="B63" s="159">
        <v>11344</v>
      </c>
      <c r="C63" s="160" t="s">
        <v>1353</v>
      </c>
      <c r="D63" s="160" t="s">
        <v>1354</v>
      </c>
      <c r="E63" s="160" t="s">
        <v>2</v>
      </c>
      <c r="F63" s="160" t="s">
        <v>1510</v>
      </c>
      <c r="G63" s="166">
        <v>5123898</v>
      </c>
      <c r="H63" s="160" t="s">
        <v>102</v>
      </c>
      <c r="I63" s="160" t="s">
        <v>102</v>
      </c>
      <c r="J63" s="160" t="s">
        <v>53</v>
      </c>
      <c r="K63" s="160" t="s">
        <v>53</v>
      </c>
      <c r="L63" s="160" t="s">
        <v>821</v>
      </c>
      <c r="M63" s="160" t="s">
        <v>311</v>
      </c>
      <c r="N63" s="160" t="s">
        <v>1059</v>
      </c>
      <c r="O63" s="160" t="s">
        <v>62</v>
      </c>
      <c r="P63" s="160" t="s">
        <v>1208</v>
      </c>
      <c r="Q63" s="169">
        <v>16178</v>
      </c>
      <c r="R63" s="161">
        <v>1</v>
      </c>
      <c r="S63" s="161">
        <v>1077.75</v>
      </c>
      <c r="T63" s="161">
        <v>174.35839000000001</v>
      </c>
      <c r="U63" s="162">
        <v>3.1717535898239601E-6</v>
      </c>
      <c r="V63" s="162">
        <v>0.20872543335468013</v>
      </c>
      <c r="W63" s="162">
        <v>6.2239355567276458E-2</v>
      </c>
    </row>
    <row r="64" spans="1:23" thickBot="1">
      <c r="A64" s="159">
        <v>11342</v>
      </c>
      <c r="B64" s="159">
        <v>11344</v>
      </c>
      <c r="C64" s="160" t="s">
        <v>1367</v>
      </c>
      <c r="D64" s="160" t="s">
        <v>1368</v>
      </c>
      <c r="E64" s="160" t="s">
        <v>2</v>
      </c>
      <c r="F64" s="160" t="s">
        <v>1517</v>
      </c>
      <c r="G64" s="166">
        <v>5137179</v>
      </c>
      <c r="H64" s="160" t="s">
        <v>102</v>
      </c>
      <c r="I64" s="160" t="s">
        <v>73</v>
      </c>
      <c r="J64" s="160" t="s">
        <v>53</v>
      </c>
      <c r="K64" s="160" t="s">
        <v>314</v>
      </c>
      <c r="L64" s="160" t="s">
        <v>821</v>
      </c>
      <c r="M64" s="160" t="s">
        <v>311</v>
      </c>
      <c r="N64" s="160" t="s">
        <v>1125</v>
      </c>
      <c r="O64" s="160" t="s">
        <v>62</v>
      </c>
      <c r="P64" s="160" t="s">
        <v>1210</v>
      </c>
      <c r="Q64" s="169">
        <v>15273</v>
      </c>
      <c r="R64" s="161">
        <v>3.681</v>
      </c>
      <c r="S64" s="161">
        <v>118.9</v>
      </c>
      <c r="T64" s="161">
        <v>66.845479999999995</v>
      </c>
      <c r="U64" s="162">
        <v>1.53127488E-4</v>
      </c>
      <c r="V64" s="162">
        <v>8.0021109284168099E-2</v>
      </c>
      <c r="W64" s="162">
        <v>2.38613100166001E-2</v>
      </c>
    </row>
    <row r="65" spans="1:23" thickBot="1">
      <c r="A65" s="159">
        <v>11342</v>
      </c>
      <c r="B65" s="159">
        <v>11345</v>
      </c>
      <c r="C65" s="160" t="s">
        <v>1487</v>
      </c>
      <c r="D65" s="160" t="s">
        <v>1488</v>
      </c>
      <c r="E65" s="160" t="s">
        <v>2</v>
      </c>
      <c r="F65" s="160" t="s">
        <v>1489</v>
      </c>
      <c r="G65" s="166">
        <v>5121140</v>
      </c>
      <c r="H65" s="160" t="s">
        <v>102</v>
      </c>
      <c r="I65" s="160" t="s">
        <v>102</v>
      </c>
      <c r="J65" s="160" t="s">
        <v>53</v>
      </c>
      <c r="K65" s="160" t="s">
        <v>53</v>
      </c>
      <c r="L65" s="160" t="s">
        <v>821</v>
      </c>
      <c r="M65" s="160" t="s">
        <v>311</v>
      </c>
      <c r="N65" s="160" t="s">
        <v>1059</v>
      </c>
      <c r="O65" s="160" t="s">
        <v>62</v>
      </c>
      <c r="P65" s="160" t="s">
        <v>1208</v>
      </c>
      <c r="Q65" s="169">
        <v>824460</v>
      </c>
      <c r="R65" s="161">
        <v>1</v>
      </c>
      <c r="S65" s="161">
        <v>108.01</v>
      </c>
      <c r="T65" s="161">
        <v>890.49924999999996</v>
      </c>
      <c r="U65" s="162">
        <v>1.08374825E-4</v>
      </c>
      <c r="V65" s="162">
        <v>0.33271298468719424</v>
      </c>
      <c r="W65" s="162">
        <v>6.8153224677745802E-2</v>
      </c>
    </row>
    <row r="66" spans="1:23" thickBot="1">
      <c r="A66" s="159">
        <v>11342</v>
      </c>
      <c r="B66" s="159">
        <v>11345</v>
      </c>
      <c r="C66" s="160" t="s">
        <v>1356</v>
      </c>
      <c r="D66" s="160" t="s">
        <v>1357</v>
      </c>
      <c r="E66" s="160" t="s">
        <v>2</v>
      </c>
      <c r="F66" s="160" t="s">
        <v>1491</v>
      </c>
      <c r="G66" s="166">
        <v>5128160</v>
      </c>
      <c r="H66" s="160" t="s">
        <v>102</v>
      </c>
      <c r="I66" s="160" t="s">
        <v>102</v>
      </c>
      <c r="J66" s="160" t="s">
        <v>53</v>
      </c>
      <c r="K66" s="160" t="s">
        <v>53</v>
      </c>
      <c r="L66" s="160" t="s">
        <v>821</v>
      </c>
      <c r="M66" s="160" t="s">
        <v>311</v>
      </c>
      <c r="N66" s="160" t="s">
        <v>1059</v>
      </c>
      <c r="O66" s="160" t="s">
        <v>62</v>
      </c>
      <c r="P66" s="160" t="s">
        <v>1208</v>
      </c>
      <c r="Q66" s="169">
        <v>9896</v>
      </c>
      <c r="R66" s="161">
        <v>1</v>
      </c>
      <c r="S66" s="161">
        <v>5563.28</v>
      </c>
      <c r="T66" s="161">
        <v>550.54219000000001</v>
      </c>
      <c r="U66" s="162">
        <v>3.8076394113149401E-6</v>
      </c>
      <c r="V66" s="162">
        <v>0.20569645087418589</v>
      </c>
      <c r="W66" s="162">
        <v>4.2135044549052932E-2</v>
      </c>
    </row>
    <row r="67" spans="1:23" thickBot="1">
      <c r="A67" s="159">
        <v>11342</v>
      </c>
      <c r="B67" s="159">
        <v>11345</v>
      </c>
      <c r="C67" s="160" t="s">
        <v>1356</v>
      </c>
      <c r="D67" s="160" t="s">
        <v>1357</v>
      </c>
      <c r="E67" s="160" t="s">
        <v>2</v>
      </c>
      <c r="F67" s="160" t="s">
        <v>1518</v>
      </c>
      <c r="G67" s="166">
        <v>5136056</v>
      </c>
      <c r="H67" s="160" t="s">
        <v>102</v>
      </c>
      <c r="I67" s="160" t="s">
        <v>73</v>
      </c>
      <c r="J67" s="160" t="s">
        <v>53</v>
      </c>
      <c r="K67" s="160" t="s">
        <v>53</v>
      </c>
      <c r="L67" s="160" t="s">
        <v>821</v>
      </c>
      <c r="M67" s="160" t="s">
        <v>311</v>
      </c>
      <c r="N67" s="160" t="s">
        <v>1139</v>
      </c>
      <c r="O67" s="160" t="s">
        <v>62</v>
      </c>
      <c r="P67" s="160" t="s">
        <v>1208</v>
      </c>
      <c r="Q67" s="169">
        <v>3204</v>
      </c>
      <c r="R67" s="161">
        <v>1</v>
      </c>
      <c r="S67" s="161">
        <v>13801.58</v>
      </c>
      <c r="T67" s="161">
        <v>442.20262000000002</v>
      </c>
      <c r="U67" s="162">
        <v>6.3144311179422403E-5</v>
      </c>
      <c r="V67" s="162">
        <v>0.16521805440790341</v>
      </c>
      <c r="W67" s="162">
        <v>3.3843413696247195E-2</v>
      </c>
    </row>
    <row r="68" spans="1:23" thickBot="1">
      <c r="A68" s="159">
        <v>11342</v>
      </c>
      <c r="B68" s="159">
        <v>11345</v>
      </c>
      <c r="C68" s="160" t="s">
        <v>1367</v>
      </c>
      <c r="D68" s="160" t="s">
        <v>1368</v>
      </c>
      <c r="E68" s="160" t="s">
        <v>2</v>
      </c>
      <c r="F68" s="160" t="s">
        <v>1517</v>
      </c>
      <c r="G68" s="166">
        <v>5137179</v>
      </c>
      <c r="H68" s="160" t="s">
        <v>102</v>
      </c>
      <c r="I68" s="160" t="s">
        <v>73</v>
      </c>
      <c r="J68" s="160" t="s">
        <v>53</v>
      </c>
      <c r="K68" s="160" t="s">
        <v>314</v>
      </c>
      <c r="L68" s="160" t="s">
        <v>821</v>
      </c>
      <c r="M68" s="160" t="s">
        <v>311</v>
      </c>
      <c r="N68" s="160" t="s">
        <v>1125</v>
      </c>
      <c r="O68" s="160" t="s">
        <v>62</v>
      </c>
      <c r="P68" s="160" t="s">
        <v>1210</v>
      </c>
      <c r="Q68" s="169">
        <v>181240</v>
      </c>
      <c r="R68" s="161">
        <v>3.681</v>
      </c>
      <c r="S68" s="161">
        <v>118.9</v>
      </c>
      <c r="T68" s="161">
        <v>793.23473999999999</v>
      </c>
      <c r="U68" s="162">
        <v>1.8171168709999999E-3</v>
      </c>
      <c r="V68" s="162">
        <v>0.29637251003071646</v>
      </c>
      <c r="W68" s="162">
        <v>6.0709209420909988E-2</v>
      </c>
    </row>
    <row r="69" spans="1:23" ht="15.75" thickBot="1">
      <c r="A69" s="159">
        <v>7891</v>
      </c>
      <c r="B69" s="159">
        <v>7892</v>
      </c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</row>
    <row r="70" spans="1:23" ht="15.75" thickBot="1">
      <c r="A70" s="159">
        <v>7891</v>
      </c>
      <c r="B70" s="159">
        <v>7893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</row>
    <row r="71" spans="1:23" ht="15.75" thickBot="1">
      <c r="A71" s="159">
        <v>7891</v>
      </c>
      <c r="B71" s="159">
        <v>7894</v>
      </c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</row>
    <row r="72" spans="1:23" ht="15.75" thickBot="1">
      <c r="A72" s="159">
        <v>7891</v>
      </c>
      <c r="B72" s="159">
        <v>7895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</row>
    <row r="73" spans="1:23" ht="15.75" thickBot="1">
      <c r="A73" s="159">
        <v>7891</v>
      </c>
      <c r="B73" s="159">
        <v>7896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</row>
    <row r="74" spans="1:23" ht="15.75" thickBot="1">
      <c r="A74" s="159">
        <v>7891</v>
      </c>
      <c r="B74" s="159">
        <v>7898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</row>
    <row r="75" spans="1:23" ht="15.75" thickBot="1">
      <c r="A75" s="159">
        <v>7891</v>
      </c>
      <c r="B75" s="159">
        <v>7899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</row>
    <row r="76" spans="1:23" ht="15.75" thickBot="1">
      <c r="A76" s="159">
        <v>7891</v>
      </c>
      <c r="B76" s="159">
        <v>7901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</row>
    <row r="77" spans="1:23" ht="15.75" thickBot="1">
      <c r="A77" s="159">
        <v>7891</v>
      </c>
      <c r="B77" s="159">
        <v>7902</v>
      </c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</row>
    <row r="78" spans="1:23" ht="15.75" thickBot="1">
      <c r="A78" s="159">
        <v>11925</v>
      </c>
      <c r="B78" s="159">
        <v>11927</v>
      </c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</row>
    <row r="79" spans="1:23" ht="15.75" thickBot="1">
      <c r="A79" s="159">
        <v>11925</v>
      </c>
      <c r="B79" s="159">
        <v>11929</v>
      </c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</row>
    <row r="80" spans="1:23" ht="15.75" thickBot="1">
      <c r="A80" s="159">
        <v>11925</v>
      </c>
      <c r="B80" s="159">
        <v>11930</v>
      </c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</row>
    <row r="81" spans="1:23" ht="15.75" thickBot="1">
      <c r="A81" s="159">
        <v>11925</v>
      </c>
      <c r="B81" s="159">
        <v>11931</v>
      </c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</row>
    <row r="82" spans="1:23" ht="15.75" thickBot="1">
      <c r="A82" s="159">
        <v>11925</v>
      </c>
      <c r="B82" s="159">
        <v>11932</v>
      </c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</row>
    <row r="83" spans="1:23" ht="15.75" thickBot="1">
      <c r="A83" s="159">
        <v>11925</v>
      </c>
      <c r="B83" s="159">
        <v>11933</v>
      </c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</row>
    <row r="84" spans="1:23" ht="15.75" thickBot="1">
      <c r="A84" s="159">
        <v>11925</v>
      </c>
      <c r="B84" s="159">
        <v>11934</v>
      </c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</row>
    <row r="85" spans="1:23" ht="15.75" thickBot="1">
      <c r="A85" s="159">
        <v>11925</v>
      </c>
      <c r="B85" s="159">
        <v>11935</v>
      </c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</row>
    <row r="86" spans="1:23" ht="15.75" thickBot="1">
      <c r="A86" s="159">
        <v>11925</v>
      </c>
      <c r="B86" s="159">
        <v>11936</v>
      </c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</row>
    <row r="87" spans="1:23" ht="15.75" thickBot="1">
      <c r="A87" s="159">
        <v>11925</v>
      </c>
      <c r="B87" s="159">
        <v>11937</v>
      </c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</row>
    <row r="88" spans="1:23" ht="15.75" thickBot="1">
      <c r="A88" s="159">
        <v>11939</v>
      </c>
      <c r="B88" s="159">
        <v>11945</v>
      </c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</row>
    <row r="89" spans="1:23" ht="15.75" thickBot="1">
      <c r="A89" s="159">
        <v>11939</v>
      </c>
      <c r="B89" s="159">
        <v>11946</v>
      </c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</row>
    <row r="90" spans="1:23" ht="15.75" thickBot="1">
      <c r="A90" s="159">
        <v>11939</v>
      </c>
      <c r="B90" s="159">
        <v>11947</v>
      </c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</row>
    <row r="91" spans="1:23" ht="15.75" thickBot="1">
      <c r="A91" s="159">
        <v>11939</v>
      </c>
      <c r="B91" s="159">
        <v>11948</v>
      </c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</row>
    <row r="92" spans="1:23" ht="15.75" thickBot="1">
      <c r="A92" s="159">
        <v>11939</v>
      </c>
      <c r="B92" s="159">
        <v>11949</v>
      </c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</row>
    <row r="93" spans="1:23" ht="15.75" thickBot="1">
      <c r="A93" s="159">
        <v>11939</v>
      </c>
      <c r="B93" s="159">
        <v>11950</v>
      </c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</row>
    <row r="1048574" spans="14:14">
      <c r="N1048574" s="17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'[514767490_gm_0124.xlsx]אפשרויות בחירה'!#REF!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2"/>
    <col min="13" max="27" width="11.5703125" style="2" customWidth="1"/>
    <col min="28" max="16384" width="9" style="2"/>
  </cols>
  <sheetData>
    <row r="1" spans="1:25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620</v>
      </c>
      <c r="J1" s="20" t="s">
        <v>621</v>
      </c>
      <c r="K1" s="20" t="s">
        <v>625</v>
      </c>
      <c r="L1" s="20" t="s">
        <v>5</v>
      </c>
      <c r="M1" s="20" t="s">
        <v>754</v>
      </c>
      <c r="N1" s="20" t="s">
        <v>9</v>
      </c>
      <c r="O1" s="20" t="s">
        <v>682</v>
      </c>
      <c r="P1" s="20" t="s">
        <v>622</v>
      </c>
      <c r="Q1" s="20" t="s">
        <v>396</v>
      </c>
      <c r="R1" s="20" t="s">
        <v>23</v>
      </c>
      <c r="S1" s="20" t="s">
        <v>629</v>
      </c>
      <c r="T1" s="20" t="s">
        <v>789</v>
      </c>
      <c r="U1" s="20" t="s">
        <v>11</v>
      </c>
      <c r="V1" s="20" t="s">
        <v>15</v>
      </c>
      <c r="W1" s="20" t="s">
        <v>1171</v>
      </c>
      <c r="X1" s="20" t="s">
        <v>19</v>
      </c>
      <c r="Y1" s="20" t="s">
        <v>30</v>
      </c>
    </row>
    <row r="2" spans="1:25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19"/>
      <c r="I2" s="19"/>
      <c r="J2" s="19"/>
      <c r="K2" s="21"/>
      <c r="L2" s="19"/>
      <c r="M2" s="22"/>
      <c r="N2" s="21"/>
      <c r="O2" s="21"/>
      <c r="P2" s="21"/>
      <c r="Q2" s="19"/>
      <c r="R2" s="19"/>
      <c r="S2" s="19"/>
      <c r="T2" s="21"/>
      <c r="U2" s="21"/>
      <c r="V2" s="21"/>
      <c r="W2" s="21"/>
      <c r="X2" s="21"/>
      <c r="Y2" s="21"/>
    </row>
    <row r="3" spans="1:25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19"/>
      <c r="I3" s="19"/>
      <c r="J3" s="19"/>
      <c r="K3" s="21"/>
      <c r="L3" s="19"/>
      <c r="M3" s="21"/>
      <c r="N3" s="21"/>
      <c r="O3" s="21"/>
      <c r="P3" s="21"/>
      <c r="Q3" s="19"/>
      <c r="R3" s="19"/>
      <c r="S3" s="19"/>
      <c r="T3" s="21"/>
      <c r="U3" s="21"/>
      <c r="V3" s="21"/>
      <c r="W3" s="21"/>
      <c r="X3" s="21"/>
      <c r="Y3" s="21"/>
    </row>
    <row r="4" spans="1:25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19"/>
      <c r="I4" s="19"/>
      <c r="J4" s="19"/>
      <c r="K4" s="21"/>
      <c r="L4" s="19"/>
      <c r="M4" s="21"/>
      <c r="N4" s="21"/>
      <c r="O4" s="21"/>
      <c r="P4" s="21"/>
      <c r="Q4" s="19"/>
      <c r="R4" s="19"/>
      <c r="S4" s="19"/>
      <c r="T4" s="21"/>
      <c r="U4" s="21"/>
      <c r="V4" s="21"/>
      <c r="W4" s="21"/>
      <c r="X4" s="21"/>
      <c r="Y4" s="21"/>
    </row>
    <row r="5" spans="1:25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19"/>
      <c r="I5" s="19"/>
      <c r="J5" s="19"/>
      <c r="K5" s="21"/>
      <c r="L5" s="19"/>
      <c r="M5" s="21"/>
      <c r="N5" s="21"/>
      <c r="O5" s="21"/>
      <c r="P5" s="21"/>
      <c r="Q5" s="19"/>
      <c r="R5" s="19"/>
      <c r="S5" s="19"/>
      <c r="T5" s="21"/>
      <c r="U5" s="21"/>
      <c r="V5" s="21"/>
      <c r="W5" s="21"/>
      <c r="X5" s="21"/>
      <c r="Y5" s="21"/>
    </row>
    <row r="6" spans="1:25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19"/>
      <c r="I6" s="19"/>
      <c r="J6" s="19"/>
      <c r="K6" s="21"/>
      <c r="L6" s="19"/>
      <c r="M6" s="21"/>
      <c r="N6" s="21"/>
      <c r="O6" s="21"/>
      <c r="P6" s="21"/>
      <c r="Q6" s="19"/>
      <c r="R6" s="19"/>
      <c r="S6" s="19"/>
      <c r="T6" s="21"/>
      <c r="U6" s="21"/>
      <c r="V6" s="21"/>
      <c r="W6" s="21"/>
      <c r="X6" s="21"/>
      <c r="Y6" s="21"/>
    </row>
    <row r="7" spans="1:25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19"/>
      <c r="I7" s="19"/>
      <c r="J7" s="19"/>
      <c r="K7" s="21"/>
      <c r="L7" s="19"/>
      <c r="M7" s="21"/>
      <c r="N7" s="21"/>
      <c r="O7" s="21"/>
      <c r="P7" s="21"/>
      <c r="Q7" s="19"/>
      <c r="R7" s="19"/>
      <c r="S7" s="19"/>
      <c r="T7" s="21"/>
      <c r="U7" s="21"/>
      <c r="V7" s="21"/>
      <c r="W7" s="21"/>
      <c r="X7" s="21"/>
      <c r="Y7" s="21"/>
    </row>
    <row r="8" spans="1:25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19"/>
      <c r="I8" s="19"/>
      <c r="J8" s="19"/>
      <c r="K8" s="21"/>
      <c r="L8" s="19"/>
      <c r="M8" s="21"/>
      <c r="N8" s="21"/>
      <c r="O8" s="21"/>
      <c r="P8" s="21"/>
      <c r="Q8" s="19"/>
      <c r="R8" s="19"/>
      <c r="S8" s="19"/>
      <c r="T8" s="21"/>
      <c r="U8" s="21"/>
      <c r="V8" s="21"/>
      <c r="W8" s="21"/>
      <c r="X8" s="21"/>
      <c r="Y8" s="21"/>
    </row>
    <row r="9" spans="1:25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19"/>
      <c r="I9" s="19"/>
      <c r="J9" s="19"/>
      <c r="K9" s="21"/>
      <c r="L9" s="19"/>
      <c r="M9" s="21"/>
      <c r="N9" s="21"/>
      <c r="O9" s="21"/>
      <c r="P9" s="21"/>
      <c r="Q9" s="19"/>
      <c r="R9" s="19"/>
      <c r="S9" s="19"/>
      <c r="T9" s="21"/>
      <c r="U9" s="21"/>
      <c r="V9" s="21"/>
      <c r="W9" s="21"/>
      <c r="X9" s="21"/>
      <c r="Y9" s="21"/>
    </row>
    <row r="10" spans="1:25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19"/>
      <c r="I10" s="19"/>
      <c r="J10" s="19"/>
      <c r="K10" s="21"/>
      <c r="L10" s="19"/>
      <c r="M10" s="21"/>
      <c r="N10" s="21"/>
      <c r="O10" s="21"/>
      <c r="P10" s="21"/>
      <c r="Q10" s="19"/>
      <c r="R10" s="19"/>
      <c r="S10" s="19"/>
      <c r="T10" s="21"/>
      <c r="U10" s="21"/>
      <c r="V10" s="21"/>
      <c r="W10" s="21"/>
      <c r="X10" s="21"/>
      <c r="Y10" s="21"/>
    </row>
    <row r="11" spans="1:25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19"/>
      <c r="I11" s="19"/>
      <c r="J11" s="19"/>
      <c r="K11" s="21"/>
      <c r="L11" s="19"/>
      <c r="M11" s="21"/>
      <c r="N11" s="21"/>
      <c r="O11" s="21"/>
      <c r="P11" s="21"/>
      <c r="Q11" s="19"/>
      <c r="R11" s="19"/>
      <c r="S11" s="19"/>
      <c r="T11" s="21"/>
      <c r="U11" s="21"/>
      <c r="V11" s="21"/>
      <c r="W11" s="21"/>
      <c r="X11" s="21"/>
      <c r="Y11" s="21"/>
    </row>
    <row r="12" spans="1:25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19"/>
      <c r="I12" s="19"/>
      <c r="J12" s="19"/>
      <c r="K12" s="21"/>
      <c r="L12" s="19"/>
      <c r="M12" s="21"/>
      <c r="N12" s="21"/>
      <c r="O12" s="21"/>
      <c r="P12" s="21"/>
      <c r="Q12" s="19"/>
      <c r="R12" s="19"/>
      <c r="S12" s="19"/>
      <c r="T12" s="21"/>
      <c r="U12" s="21"/>
      <c r="V12" s="21"/>
      <c r="W12" s="21"/>
      <c r="X12" s="21"/>
      <c r="Y12" s="21"/>
    </row>
    <row r="13" spans="1:25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19"/>
      <c r="I13" s="19"/>
      <c r="J13" s="19"/>
      <c r="K13" s="21"/>
      <c r="L13" s="19"/>
      <c r="M13" s="21"/>
      <c r="N13" s="21"/>
      <c r="O13" s="21"/>
      <c r="P13" s="21"/>
      <c r="Q13" s="19"/>
      <c r="R13" s="19"/>
      <c r="S13" s="19"/>
      <c r="T13" s="21"/>
      <c r="U13" s="21"/>
      <c r="V13" s="21"/>
      <c r="W13" s="21"/>
      <c r="X13" s="21"/>
      <c r="Y13" s="21"/>
    </row>
    <row r="14" spans="1:25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19"/>
      <c r="I14" s="19"/>
      <c r="J14" s="19"/>
      <c r="K14" s="21"/>
      <c r="L14" s="19"/>
      <c r="M14" s="21"/>
      <c r="N14" s="21"/>
      <c r="O14" s="21"/>
      <c r="P14" s="21"/>
      <c r="Q14" s="19"/>
      <c r="R14" s="19"/>
      <c r="S14" s="19"/>
      <c r="T14" s="21"/>
      <c r="U14" s="21"/>
      <c r="V14" s="21"/>
      <c r="W14" s="21"/>
      <c r="X14" s="21"/>
      <c r="Y14" s="21"/>
    </row>
    <row r="15" spans="1:25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19"/>
      <c r="I15" s="19"/>
      <c r="J15" s="19"/>
      <c r="K15" s="21"/>
      <c r="L15" s="19"/>
      <c r="M15" s="21"/>
      <c r="N15" s="21"/>
      <c r="O15" s="21"/>
      <c r="P15" s="21"/>
      <c r="Q15" s="19"/>
      <c r="R15" s="19"/>
      <c r="S15" s="19"/>
      <c r="T15" s="21"/>
      <c r="U15" s="21"/>
      <c r="V15" s="21"/>
      <c r="W15" s="21"/>
      <c r="X15" s="21"/>
      <c r="Y15" s="21"/>
    </row>
    <row r="16" spans="1:25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19"/>
      <c r="I16" s="19"/>
      <c r="J16" s="19"/>
      <c r="K16" s="21"/>
      <c r="L16" s="19"/>
      <c r="M16" s="21"/>
      <c r="N16" s="21"/>
      <c r="O16" s="21"/>
      <c r="P16" s="21"/>
      <c r="Q16" s="19"/>
      <c r="R16" s="19"/>
      <c r="S16" s="19"/>
      <c r="T16" s="21"/>
      <c r="U16" s="21"/>
      <c r="V16" s="21"/>
      <c r="W16" s="21"/>
      <c r="X16" s="21"/>
      <c r="Y16" s="21"/>
    </row>
    <row r="17" spans="1:25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19"/>
      <c r="I17" s="19"/>
      <c r="J17" s="19"/>
      <c r="K17" s="21"/>
      <c r="L17" s="19"/>
      <c r="M17" s="21"/>
      <c r="N17" s="21"/>
      <c r="O17" s="21"/>
      <c r="P17" s="21"/>
      <c r="Q17" s="19"/>
      <c r="R17" s="19"/>
      <c r="S17" s="19"/>
      <c r="T17" s="21"/>
      <c r="U17" s="21"/>
      <c r="V17" s="21"/>
      <c r="W17" s="21"/>
      <c r="X17" s="21"/>
      <c r="Y17" s="21"/>
    </row>
    <row r="18" spans="1:25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19"/>
      <c r="I18" s="19"/>
      <c r="J18" s="19"/>
      <c r="K18" s="21"/>
      <c r="L18" s="19"/>
      <c r="M18" s="21"/>
      <c r="N18" s="21"/>
      <c r="O18" s="21"/>
      <c r="P18" s="21"/>
      <c r="Q18" s="19"/>
      <c r="R18" s="19"/>
      <c r="S18" s="19"/>
      <c r="T18" s="21"/>
      <c r="U18" s="21"/>
      <c r="V18" s="21"/>
      <c r="W18" s="21"/>
      <c r="X18" s="21"/>
      <c r="Y18" s="21"/>
    </row>
    <row r="19" spans="1:25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19"/>
      <c r="I19" s="19"/>
      <c r="J19" s="19"/>
      <c r="K19" s="21"/>
      <c r="L19" s="19"/>
      <c r="M19" s="21"/>
      <c r="N19" s="21"/>
      <c r="O19" s="21"/>
      <c r="P19" s="21"/>
      <c r="Q19" s="19"/>
      <c r="R19" s="19"/>
      <c r="S19" s="19"/>
      <c r="T19" s="21"/>
      <c r="U19" s="21"/>
      <c r="V19" s="21"/>
      <c r="W19" s="21"/>
      <c r="X19" s="21"/>
      <c r="Y19" s="21"/>
    </row>
    <row r="20" spans="1:25" ht="15.75" thickBot="1">
      <c r="A20" s="159">
        <v>11925</v>
      </c>
      <c r="B20" s="159">
        <v>11933</v>
      </c>
      <c r="E20" s="19"/>
      <c r="H20" s="19"/>
      <c r="I20" s="19"/>
      <c r="J20" s="19"/>
      <c r="K20" s="21"/>
      <c r="L20" s="19"/>
      <c r="N20" s="21"/>
      <c r="P20" s="21"/>
    </row>
    <row r="21" spans="1:25" customFormat="1" ht="15.75" thickBot="1">
      <c r="A21" s="159">
        <v>11925</v>
      </c>
      <c r="B21" s="159">
        <v>11934</v>
      </c>
      <c r="H21" s="46"/>
      <c r="L21" s="46"/>
    </row>
    <row r="22" spans="1:25" ht="15.75" thickBot="1">
      <c r="A22" s="159">
        <v>11925</v>
      </c>
      <c r="B22" s="159">
        <v>11935</v>
      </c>
      <c r="L22" s="4"/>
    </row>
    <row r="23" spans="1:25" ht="15.75" thickBot="1">
      <c r="A23" s="159">
        <v>11925</v>
      </c>
      <c r="B23" s="159">
        <v>11936</v>
      </c>
      <c r="H23" s="43"/>
    </row>
    <row r="24" spans="1:25" ht="15.75" thickBot="1">
      <c r="A24" s="159">
        <v>11925</v>
      </c>
      <c r="B24" s="159">
        <v>11937</v>
      </c>
      <c r="H24" s="43"/>
    </row>
    <row r="25" spans="1:25" ht="15.75" thickBot="1">
      <c r="A25" s="159">
        <v>11939</v>
      </c>
      <c r="B25" s="159">
        <v>11942</v>
      </c>
      <c r="H25" s="43"/>
    </row>
    <row r="26" spans="1:25" ht="15.75" thickBot="1">
      <c r="A26" s="159">
        <v>11939</v>
      </c>
      <c r="B26" s="159">
        <v>11943</v>
      </c>
      <c r="H26" s="43"/>
    </row>
    <row r="27" spans="1:25" ht="15.75" thickBot="1">
      <c r="A27" s="159">
        <v>11939</v>
      </c>
      <c r="B27" s="159">
        <v>11944</v>
      </c>
      <c r="H27" s="43"/>
    </row>
    <row r="28" spans="1:25" ht="15.75" thickBot="1">
      <c r="A28" s="159">
        <v>11939</v>
      </c>
      <c r="B28" s="159">
        <v>11945</v>
      </c>
      <c r="H28" s="43"/>
    </row>
    <row r="29" spans="1:25" ht="15.75" thickBot="1">
      <c r="A29" s="159">
        <v>11939</v>
      </c>
      <c r="B29" s="159">
        <v>11946</v>
      </c>
    </row>
    <row r="30" spans="1:25" ht="15.75" thickBot="1">
      <c r="A30" s="159">
        <v>11939</v>
      </c>
      <c r="B30" s="159">
        <v>11947</v>
      </c>
    </row>
    <row r="31" spans="1:25" ht="15.75" thickBot="1">
      <c r="A31" s="159">
        <v>11939</v>
      </c>
      <c r="B31" s="159">
        <v>11948</v>
      </c>
    </row>
    <row r="32" spans="1:25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2"/>
    <col min="13" max="25" width="11.5703125" style="2" customWidth="1"/>
    <col min="26" max="16384" width="9" style="2"/>
  </cols>
  <sheetData>
    <row r="1" spans="1:24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5</v>
      </c>
      <c r="M1" s="20" t="s">
        <v>9</v>
      </c>
      <c r="N1" s="20" t="s">
        <v>10</v>
      </c>
      <c r="O1" s="20" t="s">
        <v>682</v>
      </c>
      <c r="P1" s="20" t="s">
        <v>622</v>
      </c>
      <c r="Q1" s="20" t="s">
        <v>396</v>
      </c>
      <c r="R1" s="20" t="s">
        <v>23</v>
      </c>
      <c r="S1" s="20" t="s">
        <v>789</v>
      </c>
      <c r="T1" s="20" t="s">
        <v>11</v>
      </c>
      <c r="U1" s="20" t="s">
        <v>15</v>
      </c>
      <c r="V1" s="20" t="s">
        <v>1171</v>
      </c>
      <c r="W1" s="20" t="s">
        <v>19</v>
      </c>
      <c r="X1" s="20" t="s">
        <v>30</v>
      </c>
    </row>
    <row r="2" spans="1:24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19"/>
      <c r="I2" s="21"/>
      <c r="J2" s="19"/>
      <c r="K2" s="19"/>
      <c r="L2" s="19"/>
      <c r="M2" s="21"/>
      <c r="N2" s="21"/>
      <c r="O2" s="21"/>
      <c r="P2" s="21"/>
      <c r="Q2" s="19"/>
      <c r="R2" s="19"/>
      <c r="S2" s="21"/>
      <c r="T2" s="21"/>
      <c r="U2" s="21"/>
      <c r="V2" s="21"/>
      <c r="W2" s="21"/>
      <c r="X2" s="21"/>
    </row>
    <row r="3" spans="1:24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19"/>
      <c r="I3" s="21"/>
      <c r="J3" s="19"/>
      <c r="K3" s="19"/>
      <c r="L3" s="19"/>
      <c r="M3" s="21"/>
      <c r="N3" s="21"/>
      <c r="O3" s="21"/>
      <c r="P3" s="21"/>
      <c r="Q3" s="19"/>
      <c r="R3" s="19"/>
      <c r="S3" s="21"/>
      <c r="T3" s="21"/>
      <c r="U3" s="21"/>
      <c r="V3" s="21"/>
      <c r="W3" s="21"/>
      <c r="X3" s="21"/>
    </row>
    <row r="4" spans="1:24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19"/>
      <c r="I4" s="21"/>
      <c r="J4" s="19"/>
      <c r="K4" s="19"/>
      <c r="L4" s="19"/>
      <c r="M4" s="21"/>
      <c r="N4" s="21"/>
      <c r="O4" s="21"/>
      <c r="P4" s="21"/>
      <c r="Q4" s="19"/>
      <c r="R4" s="19"/>
      <c r="S4" s="21"/>
      <c r="T4" s="21"/>
      <c r="U4" s="21"/>
      <c r="V4" s="21"/>
      <c r="W4" s="21"/>
      <c r="X4" s="21"/>
    </row>
    <row r="5" spans="1:24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19"/>
      <c r="I5" s="21"/>
      <c r="J5" s="19"/>
      <c r="K5" s="19"/>
      <c r="L5" s="19"/>
      <c r="M5" s="21"/>
      <c r="N5" s="21"/>
      <c r="O5" s="21"/>
      <c r="P5" s="21"/>
      <c r="Q5" s="19"/>
      <c r="R5" s="19"/>
      <c r="S5" s="21"/>
      <c r="T5" s="21"/>
      <c r="U5" s="21"/>
      <c r="V5" s="21"/>
      <c r="W5" s="21"/>
      <c r="X5" s="21"/>
    </row>
    <row r="6" spans="1:24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19"/>
      <c r="I6" s="21"/>
      <c r="J6" s="19"/>
      <c r="K6" s="19"/>
      <c r="L6" s="19"/>
      <c r="M6" s="21"/>
      <c r="N6" s="21"/>
      <c r="O6" s="21"/>
      <c r="P6" s="21"/>
      <c r="Q6" s="19"/>
      <c r="R6" s="19"/>
      <c r="S6" s="21"/>
      <c r="T6" s="21"/>
      <c r="U6" s="21"/>
      <c r="V6" s="21"/>
      <c r="W6" s="21"/>
      <c r="X6" s="21"/>
    </row>
    <row r="7" spans="1:24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19"/>
      <c r="I7" s="21"/>
      <c r="J7" s="19"/>
      <c r="K7" s="19"/>
      <c r="L7" s="19"/>
      <c r="M7" s="21"/>
      <c r="N7" s="21"/>
      <c r="O7" s="21"/>
      <c r="P7" s="21"/>
      <c r="Q7" s="19"/>
      <c r="R7" s="19"/>
      <c r="S7" s="21"/>
      <c r="T7" s="21"/>
      <c r="U7" s="21"/>
      <c r="V7" s="21"/>
      <c r="W7" s="21"/>
      <c r="X7" s="21"/>
    </row>
    <row r="8" spans="1:24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19"/>
      <c r="I8" s="21"/>
      <c r="J8" s="19"/>
      <c r="K8" s="19"/>
      <c r="L8" s="19"/>
      <c r="M8" s="21"/>
      <c r="N8" s="21"/>
      <c r="O8" s="21"/>
      <c r="P8" s="21"/>
      <c r="Q8" s="19"/>
      <c r="R8" s="19"/>
      <c r="S8" s="21"/>
      <c r="T8" s="21"/>
      <c r="U8" s="21"/>
      <c r="V8" s="21"/>
      <c r="W8" s="21"/>
      <c r="X8" s="21"/>
    </row>
    <row r="9" spans="1:24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19"/>
      <c r="I9" s="21"/>
      <c r="J9" s="19"/>
      <c r="K9" s="19"/>
      <c r="L9" s="19"/>
      <c r="M9" s="21"/>
      <c r="N9" s="21"/>
      <c r="O9" s="21"/>
      <c r="P9" s="21"/>
      <c r="Q9" s="19"/>
      <c r="R9" s="19"/>
      <c r="S9" s="21"/>
      <c r="T9" s="21"/>
      <c r="U9" s="21"/>
      <c r="V9" s="21"/>
      <c r="W9" s="21"/>
      <c r="X9" s="21"/>
    </row>
    <row r="10" spans="1:24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19"/>
      <c r="I10" s="21"/>
      <c r="J10" s="19"/>
      <c r="K10" s="19"/>
      <c r="L10" s="19"/>
      <c r="M10" s="21"/>
      <c r="N10" s="21"/>
      <c r="O10" s="21"/>
      <c r="P10" s="21"/>
      <c r="Q10" s="19"/>
      <c r="R10" s="19"/>
      <c r="S10" s="21"/>
      <c r="T10" s="21"/>
      <c r="U10" s="21"/>
      <c r="V10" s="21"/>
      <c r="W10" s="21"/>
      <c r="X10" s="21"/>
    </row>
    <row r="11" spans="1:24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19"/>
      <c r="I11" s="21"/>
      <c r="J11" s="19"/>
      <c r="K11" s="19"/>
      <c r="L11" s="19"/>
      <c r="M11" s="21"/>
      <c r="N11" s="21"/>
      <c r="O11" s="21"/>
      <c r="P11" s="21"/>
      <c r="Q11" s="19"/>
      <c r="R11" s="19"/>
      <c r="S11" s="21"/>
      <c r="T11" s="21"/>
      <c r="U11" s="21"/>
      <c r="V11" s="21"/>
      <c r="W11" s="21"/>
      <c r="X11" s="21"/>
    </row>
    <row r="12" spans="1:24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19"/>
      <c r="I12" s="21"/>
      <c r="J12" s="19"/>
      <c r="K12" s="19"/>
      <c r="L12" s="19"/>
      <c r="M12" s="21"/>
      <c r="N12" s="21"/>
      <c r="O12" s="21"/>
      <c r="P12" s="21"/>
      <c r="Q12" s="19"/>
      <c r="R12" s="19"/>
      <c r="S12" s="21"/>
      <c r="T12" s="21"/>
      <c r="U12" s="21"/>
      <c r="V12" s="21"/>
      <c r="W12" s="21"/>
      <c r="X12" s="21"/>
    </row>
    <row r="13" spans="1:24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19"/>
      <c r="I13" s="21"/>
      <c r="J13" s="19"/>
      <c r="K13" s="19"/>
      <c r="L13" s="19"/>
      <c r="M13" s="21"/>
      <c r="N13" s="21"/>
      <c r="O13" s="21"/>
      <c r="P13" s="21"/>
      <c r="Q13" s="19"/>
      <c r="R13" s="19"/>
      <c r="S13" s="21"/>
      <c r="T13" s="21"/>
      <c r="U13" s="21"/>
      <c r="V13" s="21"/>
      <c r="W13" s="21"/>
      <c r="X13" s="21"/>
    </row>
    <row r="14" spans="1:24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19"/>
      <c r="I14" s="21"/>
      <c r="J14" s="19"/>
      <c r="K14" s="19"/>
      <c r="L14" s="19"/>
      <c r="M14" s="21"/>
      <c r="N14" s="21"/>
      <c r="O14" s="21"/>
      <c r="P14" s="21"/>
      <c r="Q14" s="19"/>
      <c r="R14" s="19"/>
      <c r="S14" s="21"/>
      <c r="T14" s="21"/>
      <c r="U14" s="21"/>
      <c r="V14" s="21"/>
      <c r="W14" s="21"/>
      <c r="X14" s="21"/>
    </row>
    <row r="15" spans="1:24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19"/>
      <c r="I15" s="21"/>
      <c r="J15" s="19"/>
      <c r="K15" s="19"/>
      <c r="L15" s="19"/>
      <c r="M15" s="21"/>
      <c r="N15" s="21"/>
      <c r="O15" s="21"/>
      <c r="P15" s="21"/>
      <c r="Q15" s="19"/>
      <c r="R15" s="19"/>
      <c r="S15" s="21"/>
      <c r="T15" s="21"/>
      <c r="U15" s="21"/>
      <c r="V15" s="21"/>
      <c r="W15" s="21"/>
      <c r="X15" s="21"/>
    </row>
    <row r="16" spans="1:24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19"/>
      <c r="I16" s="21"/>
      <c r="J16" s="19"/>
      <c r="K16" s="19"/>
      <c r="L16" s="19"/>
      <c r="M16" s="21"/>
      <c r="N16" s="21"/>
      <c r="O16" s="21"/>
      <c r="P16" s="21"/>
      <c r="Q16" s="19"/>
      <c r="R16" s="19"/>
      <c r="S16" s="21"/>
      <c r="T16" s="21"/>
      <c r="U16" s="21"/>
      <c r="V16" s="21"/>
      <c r="W16" s="21"/>
      <c r="X16" s="21"/>
    </row>
    <row r="17" spans="1:24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19"/>
      <c r="I17" s="21"/>
      <c r="J17" s="19"/>
      <c r="K17" s="19"/>
      <c r="L17" s="19"/>
      <c r="M17" s="21"/>
      <c r="N17" s="21"/>
      <c r="O17" s="21"/>
      <c r="P17" s="21"/>
      <c r="Q17" s="19"/>
      <c r="R17" s="19"/>
      <c r="S17" s="21"/>
      <c r="T17" s="21"/>
      <c r="U17" s="21"/>
      <c r="V17" s="21"/>
      <c r="W17" s="21"/>
      <c r="X17" s="21"/>
    </row>
    <row r="18" spans="1:24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19"/>
      <c r="I18" s="21"/>
      <c r="J18" s="19"/>
      <c r="K18" s="19"/>
      <c r="L18" s="19"/>
      <c r="M18" s="21"/>
      <c r="N18" s="21"/>
      <c r="O18" s="21"/>
      <c r="P18" s="21"/>
      <c r="Q18" s="19"/>
      <c r="R18" s="19"/>
      <c r="S18" s="21"/>
      <c r="T18" s="21"/>
      <c r="U18" s="21"/>
      <c r="V18" s="21"/>
      <c r="W18" s="21"/>
      <c r="X18" s="21"/>
    </row>
    <row r="19" spans="1:24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19"/>
      <c r="I19" s="21"/>
      <c r="J19" s="19"/>
      <c r="K19" s="19"/>
      <c r="L19" s="19"/>
      <c r="M19" s="21"/>
      <c r="N19" s="21"/>
      <c r="O19" s="21"/>
      <c r="P19" s="21"/>
      <c r="Q19" s="19"/>
      <c r="R19" s="19"/>
      <c r="S19" s="21"/>
      <c r="T19" s="21"/>
      <c r="U19" s="21"/>
      <c r="V19" s="21"/>
      <c r="W19" s="21"/>
      <c r="X19" s="21"/>
    </row>
    <row r="20" spans="1:24" ht="15.75" thickBot="1">
      <c r="A20" s="159">
        <v>11925</v>
      </c>
      <c r="B20" s="159">
        <v>11933</v>
      </c>
      <c r="E20" s="19"/>
      <c r="H20" s="19"/>
      <c r="I20" s="21"/>
      <c r="J20" s="19"/>
      <c r="K20" s="19"/>
      <c r="L20" s="19"/>
      <c r="M20" s="21"/>
      <c r="P20" s="21"/>
    </row>
    <row r="21" spans="1:24" s="43" customFormat="1" ht="15.75" thickBot="1">
      <c r="A21" s="159">
        <v>11925</v>
      </c>
      <c r="B21" s="159">
        <v>11934</v>
      </c>
      <c r="E21" s="42"/>
      <c r="H21" s="46"/>
      <c r="L21" s="46"/>
    </row>
    <row r="22" spans="1:24" ht="15.75" thickBot="1">
      <c r="A22" s="159">
        <v>11925</v>
      </c>
      <c r="B22" s="159">
        <v>11935</v>
      </c>
      <c r="L22" s="4"/>
    </row>
    <row r="23" spans="1:24" ht="15.75" thickBot="1">
      <c r="A23" s="159">
        <v>11925</v>
      </c>
      <c r="B23" s="159">
        <v>11936</v>
      </c>
      <c r="H23" s="43"/>
    </row>
    <row r="24" spans="1:24" ht="15.75" thickBot="1">
      <c r="A24" s="159">
        <v>11925</v>
      </c>
      <c r="B24" s="159">
        <v>11937</v>
      </c>
      <c r="H24" s="43"/>
    </row>
    <row r="25" spans="1:24" ht="15.75" thickBot="1">
      <c r="A25" s="159">
        <v>11939</v>
      </c>
      <c r="B25" s="159">
        <v>11942</v>
      </c>
      <c r="H25" s="43"/>
    </row>
    <row r="26" spans="1:24" ht="15.75" thickBot="1">
      <c r="A26" s="159">
        <v>11939</v>
      </c>
      <c r="B26" s="159">
        <v>11943</v>
      </c>
      <c r="H26" s="43"/>
    </row>
    <row r="27" spans="1:24" ht="15.75" thickBot="1">
      <c r="A27" s="159">
        <v>11939</v>
      </c>
      <c r="B27" s="159">
        <v>11944</v>
      </c>
      <c r="H27" s="43"/>
    </row>
    <row r="28" spans="1:24" ht="15.75" thickBot="1">
      <c r="A28" s="159">
        <v>11939</v>
      </c>
      <c r="B28" s="159">
        <v>11945</v>
      </c>
    </row>
    <row r="29" spans="1:24" ht="15.75" thickBot="1">
      <c r="A29" s="159">
        <v>11939</v>
      </c>
      <c r="B29" s="159">
        <v>11946</v>
      </c>
    </row>
    <row r="30" spans="1:24" ht="15.75" thickBot="1">
      <c r="A30" s="159">
        <v>11939</v>
      </c>
      <c r="B30" s="159">
        <v>11947</v>
      </c>
      <c r="H30" s="11"/>
    </row>
    <row r="31" spans="1:24" ht="15.75" thickBot="1">
      <c r="A31" s="159">
        <v>11939</v>
      </c>
      <c r="B31" s="159">
        <v>11948</v>
      </c>
    </row>
    <row r="32" spans="1:24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2"/>
    <col min="12" max="20" width="11.5703125" style="2" customWidth="1"/>
    <col min="21" max="16384" width="9" style="2"/>
  </cols>
  <sheetData>
    <row r="1" spans="1:20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620</v>
      </c>
      <c r="J1" s="20" t="s">
        <v>621</v>
      </c>
      <c r="K1" s="20" t="s">
        <v>5</v>
      </c>
      <c r="L1" s="20" t="s">
        <v>10</v>
      </c>
      <c r="M1" s="20" t="s">
        <v>622</v>
      </c>
      <c r="N1" s="20" t="s">
        <v>396</v>
      </c>
      <c r="O1" s="20" t="s">
        <v>789</v>
      </c>
      <c r="P1" s="20" t="s">
        <v>11</v>
      </c>
      <c r="Q1" s="20" t="s">
        <v>15</v>
      </c>
      <c r="R1" s="20" t="s">
        <v>1171</v>
      </c>
      <c r="S1" s="20" t="s">
        <v>19</v>
      </c>
      <c r="T1" s="20" t="s">
        <v>30</v>
      </c>
    </row>
    <row r="2" spans="1:20" ht="15.75" thickBot="1">
      <c r="A2" s="159">
        <v>7891</v>
      </c>
      <c r="B2" s="159">
        <v>7892</v>
      </c>
      <c r="E2" s="19"/>
      <c r="F2" s="21"/>
      <c r="G2" s="21"/>
      <c r="H2" s="19"/>
      <c r="I2" s="19"/>
      <c r="J2" s="19"/>
      <c r="K2" s="19"/>
      <c r="L2" s="22"/>
      <c r="M2" s="21"/>
      <c r="N2" s="19"/>
      <c r="O2" s="21"/>
      <c r="P2" s="21"/>
      <c r="Q2" s="21"/>
      <c r="R2" s="21"/>
      <c r="S2" s="21"/>
      <c r="T2" s="21"/>
    </row>
    <row r="3" spans="1:20" ht="15.75" thickBot="1">
      <c r="A3" s="159">
        <v>7891</v>
      </c>
      <c r="B3" s="159">
        <v>7893</v>
      </c>
      <c r="E3" s="19"/>
      <c r="F3" s="21"/>
      <c r="G3" s="21"/>
      <c r="H3" s="19"/>
      <c r="I3" s="19"/>
      <c r="J3" s="19"/>
      <c r="K3" s="19"/>
      <c r="L3" s="22"/>
      <c r="M3" s="21"/>
      <c r="N3" s="19"/>
      <c r="O3" s="21"/>
      <c r="P3" s="21"/>
      <c r="Q3" s="21"/>
      <c r="R3" s="21"/>
      <c r="S3" s="21"/>
      <c r="T3" s="21"/>
    </row>
    <row r="4" spans="1:20" ht="15.75" thickBot="1">
      <c r="A4" s="159">
        <v>7891</v>
      </c>
      <c r="B4" s="159">
        <v>7894</v>
      </c>
      <c r="E4" s="19"/>
      <c r="F4" s="21"/>
      <c r="G4" s="21"/>
      <c r="H4" s="19"/>
      <c r="I4" s="19"/>
      <c r="J4" s="19"/>
      <c r="K4" s="19"/>
      <c r="L4" s="22"/>
      <c r="M4" s="21"/>
      <c r="N4" s="19"/>
      <c r="O4" s="21"/>
      <c r="P4" s="21"/>
      <c r="Q4" s="21"/>
      <c r="R4" s="21"/>
      <c r="S4" s="21"/>
      <c r="T4" s="21"/>
    </row>
    <row r="5" spans="1:20" ht="15.75" thickBot="1">
      <c r="A5" s="159">
        <v>7891</v>
      </c>
      <c r="B5" s="159">
        <v>7895</v>
      </c>
      <c r="E5" s="19"/>
      <c r="F5" s="21"/>
      <c r="G5" s="21"/>
      <c r="H5" s="19"/>
      <c r="I5" s="19"/>
      <c r="J5" s="19"/>
      <c r="K5" s="19"/>
      <c r="L5" s="22"/>
      <c r="M5" s="21"/>
      <c r="N5" s="19"/>
      <c r="O5" s="21"/>
      <c r="P5" s="21"/>
      <c r="Q5" s="21"/>
      <c r="R5" s="21"/>
      <c r="S5" s="21"/>
      <c r="T5" s="21"/>
    </row>
    <row r="6" spans="1:20" ht="15.75" thickBot="1">
      <c r="A6" s="159">
        <v>7891</v>
      </c>
      <c r="B6" s="159">
        <v>7896</v>
      </c>
      <c r="E6" s="19"/>
      <c r="F6" s="21"/>
      <c r="G6" s="21"/>
      <c r="H6" s="19"/>
      <c r="I6" s="19"/>
      <c r="J6" s="19"/>
      <c r="K6" s="19"/>
      <c r="L6" s="22"/>
      <c r="M6" s="21"/>
      <c r="N6" s="19"/>
      <c r="O6" s="21"/>
      <c r="P6" s="21"/>
      <c r="Q6" s="21"/>
      <c r="R6" s="21"/>
      <c r="S6" s="21"/>
      <c r="T6" s="21"/>
    </row>
    <row r="7" spans="1:20" ht="15.75" thickBot="1">
      <c r="A7" s="159">
        <v>7891</v>
      </c>
      <c r="B7" s="159">
        <v>7897</v>
      </c>
      <c r="E7" s="19"/>
      <c r="F7" s="21"/>
      <c r="G7" s="21"/>
      <c r="H7" s="19"/>
      <c r="I7" s="19"/>
      <c r="J7" s="19"/>
      <c r="K7" s="19"/>
      <c r="L7" s="22"/>
      <c r="M7" s="21"/>
      <c r="N7" s="19"/>
      <c r="O7" s="21"/>
      <c r="P7" s="21"/>
      <c r="Q7" s="21"/>
      <c r="R7" s="21"/>
      <c r="S7" s="21"/>
      <c r="T7" s="21"/>
    </row>
    <row r="8" spans="1:20" ht="15.75" thickBot="1">
      <c r="A8" s="159">
        <v>7891</v>
      </c>
      <c r="B8" s="159">
        <v>7898</v>
      </c>
      <c r="E8" s="19"/>
      <c r="F8" s="21"/>
      <c r="G8" s="21"/>
      <c r="H8" s="19"/>
      <c r="I8" s="19"/>
      <c r="J8" s="19"/>
      <c r="K8" s="19"/>
      <c r="L8" s="22"/>
      <c r="M8" s="21"/>
      <c r="N8" s="19"/>
      <c r="O8" s="21"/>
      <c r="P8" s="21"/>
      <c r="Q8" s="21"/>
      <c r="R8" s="21"/>
      <c r="S8" s="21"/>
      <c r="T8" s="21"/>
    </row>
    <row r="9" spans="1:20" ht="15.75" thickBot="1">
      <c r="A9" s="159">
        <v>7891</v>
      </c>
      <c r="B9" s="159">
        <v>7899</v>
      </c>
      <c r="E9" s="19"/>
      <c r="F9" s="21"/>
      <c r="G9" s="21"/>
      <c r="H9" s="19"/>
      <c r="I9" s="19"/>
      <c r="J9" s="19"/>
      <c r="K9" s="19"/>
      <c r="L9" s="22"/>
      <c r="M9" s="21"/>
      <c r="N9" s="19"/>
      <c r="O9" s="21"/>
      <c r="P9" s="21"/>
      <c r="Q9" s="21"/>
      <c r="R9" s="21"/>
      <c r="S9" s="21"/>
      <c r="T9" s="21"/>
    </row>
    <row r="10" spans="1:20" ht="15.75" thickBot="1">
      <c r="A10" s="159">
        <v>7891</v>
      </c>
      <c r="B10" s="159">
        <v>7900</v>
      </c>
      <c r="E10" s="19"/>
      <c r="F10" s="21"/>
      <c r="G10" s="21"/>
      <c r="H10" s="19"/>
      <c r="I10" s="19"/>
      <c r="J10" s="19"/>
      <c r="K10" s="19"/>
      <c r="L10" s="22"/>
      <c r="M10" s="21"/>
      <c r="N10" s="19"/>
      <c r="O10" s="21"/>
      <c r="P10" s="21"/>
      <c r="Q10" s="21"/>
      <c r="R10" s="21"/>
      <c r="S10" s="21"/>
      <c r="T10" s="21"/>
    </row>
    <row r="11" spans="1:20" ht="15.75" thickBot="1">
      <c r="A11" s="159">
        <v>7891</v>
      </c>
      <c r="B11" s="159">
        <v>7901</v>
      </c>
      <c r="E11" s="19"/>
      <c r="F11" s="21"/>
      <c r="G11" s="21"/>
      <c r="H11" s="19"/>
      <c r="I11" s="19"/>
      <c r="J11" s="19"/>
      <c r="K11" s="19"/>
      <c r="L11" s="22"/>
      <c r="M11" s="21"/>
      <c r="N11" s="19"/>
      <c r="O11" s="21"/>
      <c r="P11" s="21"/>
      <c r="Q11" s="21"/>
      <c r="R11" s="21"/>
      <c r="S11" s="21"/>
      <c r="T11" s="21"/>
    </row>
    <row r="12" spans="1:20" ht="15.75" thickBot="1">
      <c r="A12" s="159">
        <v>7891</v>
      </c>
      <c r="B12" s="159">
        <v>7902</v>
      </c>
      <c r="E12" s="19"/>
      <c r="F12" s="21"/>
      <c r="G12" s="21"/>
      <c r="H12" s="19"/>
      <c r="I12" s="19"/>
      <c r="J12" s="19"/>
      <c r="K12" s="19"/>
      <c r="L12" s="22"/>
      <c r="M12" s="21"/>
      <c r="N12" s="19"/>
      <c r="O12" s="21"/>
      <c r="P12" s="21"/>
      <c r="Q12" s="21"/>
      <c r="R12" s="21"/>
      <c r="S12" s="21"/>
      <c r="T12" s="21"/>
    </row>
    <row r="13" spans="1:20" ht="15.75" thickBot="1">
      <c r="A13" s="159">
        <v>11925</v>
      </c>
      <c r="B13" s="159">
        <v>11926</v>
      </c>
      <c r="E13" s="19"/>
      <c r="F13" s="21"/>
      <c r="G13" s="21"/>
      <c r="H13" s="19"/>
      <c r="I13" s="19"/>
      <c r="J13" s="19"/>
      <c r="K13" s="19"/>
      <c r="L13" s="22"/>
      <c r="M13" s="21"/>
      <c r="N13" s="19"/>
      <c r="O13" s="21"/>
      <c r="P13" s="21"/>
      <c r="Q13" s="21"/>
      <c r="R13" s="21"/>
      <c r="S13" s="21"/>
      <c r="T13" s="21"/>
    </row>
    <row r="14" spans="1:20" ht="15.75" thickBot="1">
      <c r="A14" s="159">
        <v>11925</v>
      </c>
      <c r="B14" s="159">
        <v>11927</v>
      </c>
      <c r="E14" s="19"/>
      <c r="F14" s="21"/>
      <c r="G14" s="21"/>
      <c r="H14" s="19"/>
      <c r="I14" s="19"/>
      <c r="J14" s="19"/>
      <c r="K14" s="19"/>
      <c r="L14" s="22"/>
      <c r="M14" s="21"/>
      <c r="N14" s="19"/>
      <c r="O14" s="21"/>
      <c r="P14" s="21"/>
      <c r="Q14" s="21"/>
      <c r="R14" s="21"/>
      <c r="S14" s="21"/>
      <c r="T14" s="21"/>
    </row>
    <row r="15" spans="1:20" ht="15.75" thickBot="1">
      <c r="A15" s="159">
        <v>11925</v>
      </c>
      <c r="B15" s="159">
        <v>11928</v>
      </c>
      <c r="E15" s="19"/>
      <c r="F15" s="21"/>
      <c r="G15" s="21"/>
      <c r="H15" s="19"/>
      <c r="I15" s="19"/>
      <c r="J15" s="19"/>
      <c r="K15" s="19"/>
      <c r="L15" s="22"/>
      <c r="M15" s="21"/>
      <c r="N15" s="19"/>
      <c r="O15" s="21"/>
      <c r="P15" s="21"/>
      <c r="Q15" s="21"/>
      <c r="R15" s="21"/>
      <c r="S15" s="21"/>
      <c r="T15" s="21"/>
    </row>
    <row r="16" spans="1:20" ht="15.75" thickBot="1">
      <c r="A16" s="159">
        <v>11925</v>
      </c>
      <c r="B16" s="159">
        <v>11929</v>
      </c>
      <c r="E16" s="19"/>
      <c r="F16" s="21"/>
      <c r="G16" s="21"/>
      <c r="H16" s="19"/>
      <c r="I16" s="19"/>
      <c r="J16" s="19"/>
      <c r="K16" s="19"/>
      <c r="L16" s="22"/>
      <c r="M16" s="21"/>
      <c r="N16" s="19"/>
      <c r="O16" s="21"/>
      <c r="P16" s="21"/>
      <c r="Q16" s="21"/>
      <c r="R16" s="21"/>
      <c r="S16" s="21"/>
      <c r="T16" s="21"/>
    </row>
    <row r="17" spans="1:20" ht="15.75" thickBot="1">
      <c r="A17" s="159">
        <v>11925</v>
      </c>
      <c r="B17" s="159">
        <v>11930</v>
      </c>
      <c r="E17" s="19"/>
      <c r="F17" s="21"/>
      <c r="G17" s="21"/>
      <c r="H17" s="19"/>
      <c r="I17" s="19"/>
      <c r="J17" s="19"/>
      <c r="K17" s="19"/>
      <c r="L17" s="22"/>
      <c r="M17" s="21"/>
      <c r="N17" s="19"/>
      <c r="O17" s="21"/>
      <c r="P17" s="21"/>
      <c r="Q17" s="21"/>
      <c r="R17" s="21"/>
      <c r="S17" s="21"/>
      <c r="T17" s="21"/>
    </row>
    <row r="18" spans="1:20" ht="15.75" thickBot="1">
      <c r="A18" s="159">
        <v>11925</v>
      </c>
      <c r="B18" s="159">
        <v>11931</v>
      </c>
      <c r="E18" s="19"/>
      <c r="F18" s="21"/>
      <c r="G18" s="21"/>
      <c r="H18" s="19"/>
      <c r="I18" s="19"/>
      <c r="J18" s="19"/>
      <c r="K18" s="19"/>
      <c r="L18" s="22"/>
      <c r="M18" s="21"/>
      <c r="N18" s="19"/>
      <c r="O18" s="21"/>
      <c r="P18" s="21"/>
      <c r="Q18" s="21"/>
      <c r="R18" s="21"/>
      <c r="S18" s="21"/>
      <c r="T18" s="21"/>
    </row>
    <row r="19" spans="1:20" ht="15.75" thickBot="1">
      <c r="A19" s="159">
        <v>11925</v>
      </c>
      <c r="B19" s="159">
        <v>11932</v>
      </c>
      <c r="E19" s="19"/>
      <c r="F19" s="21"/>
      <c r="G19" s="21"/>
      <c r="H19" s="19"/>
      <c r="I19" s="19"/>
      <c r="J19" s="19"/>
      <c r="K19" s="19"/>
      <c r="L19" s="22"/>
      <c r="M19" s="21"/>
      <c r="N19" s="19"/>
      <c r="O19" s="21"/>
      <c r="P19" s="21"/>
      <c r="Q19" s="21"/>
      <c r="R19" s="21"/>
      <c r="S19" s="21"/>
      <c r="T19" s="21"/>
    </row>
    <row r="20" spans="1:20" ht="15.75" thickBot="1">
      <c r="A20" s="159">
        <v>11925</v>
      </c>
      <c r="B20" s="159">
        <v>11933</v>
      </c>
      <c r="E20" s="19"/>
      <c r="H20" s="19"/>
      <c r="J20" s="19"/>
      <c r="K20" s="19"/>
      <c r="L20" s="22"/>
      <c r="M20" s="21"/>
    </row>
    <row r="21" spans="1:20" s="43" customFormat="1" ht="15.75" thickBot="1">
      <c r="A21" s="159">
        <v>11925</v>
      </c>
      <c r="B21" s="159">
        <v>11934</v>
      </c>
      <c r="E21" s="42"/>
      <c r="H21" s="46"/>
      <c r="K21" s="46"/>
    </row>
    <row r="22" spans="1:20" ht="15.75" thickBot="1">
      <c r="A22" s="159">
        <v>11925</v>
      </c>
      <c r="B22" s="159">
        <v>11935</v>
      </c>
      <c r="K22" s="4"/>
    </row>
    <row r="23" spans="1:20" ht="15.75" thickBot="1">
      <c r="A23" s="159">
        <v>11925</v>
      </c>
      <c r="B23" s="159">
        <v>11936</v>
      </c>
      <c r="H23" s="43"/>
    </row>
    <row r="24" spans="1:20" ht="15.75" thickBot="1">
      <c r="A24" s="159">
        <v>11925</v>
      </c>
      <c r="B24" s="159">
        <v>11937</v>
      </c>
      <c r="H24" s="43"/>
    </row>
    <row r="25" spans="1:20" ht="15.75" thickBot="1">
      <c r="A25" s="159">
        <v>11939</v>
      </c>
      <c r="B25" s="159">
        <v>11942</v>
      </c>
      <c r="H25" s="43"/>
    </row>
    <row r="26" spans="1:20" ht="15.75" thickBot="1">
      <c r="A26" s="159">
        <v>11939</v>
      </c>
      <c r="B26" s="159">
        <v>11943</v>
      </c>
      <c r="H26" s="43"/>
    </row>
    <row r="27" spans="1:20" ht="15.75" thickBot="1">
      <c r="A27" s="159">
        <v>11939</v>
      </c>
      <c r="B27" s="159">
        <v>11944</v>
      </c>
    </row>
    <row r="28" spans="1:20" ht="15.75" thickBot="1">
      <c r="A28" s="159">
        <v>11939</v>
      </c>
      <c r="B28" s="159">
        <v>11945</v>
      </c>
    </row>
    <row r="29" spans="1:20" ht="15.75" thickBot="1">
      <c r="A29" s="159">
        <v>11939</v>
      </c>
      <c r="B29" s="159">
        <v>11946</v>
      </c>
    </row>
    <row r="30" spans="1:20" ht="15.75" thickBot="1">
      <c r="A30" s="159">
        <v>11939</v>
      </c>
      <c r="B30" s="159">
        <v>11947</v>
      </c>
    </row>
    <row r="31" spans="1:20" ht="15.75" thickBot="1">
      <c r="A31" s="159">
        <v>11939</v>
      </c>
      <c r="B31" s="159">
        <v>11948</v>
      </c>
    </row>
    <row r="32" spans="1:20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2" width="11.5703125" style="2" customWidth="1"/>
    <col min="13" max="13" width="11.5703125" style="2"/>
    <col min="14" max="28" width="11.5703125" style="2" customWidth="1"/>
    <col min="29" max="16384" width="9" style="2"/>
  </cols>
  <sheetData>
    <row r="1" spans="1:28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625</v>
      </c>
      <c r="M1" s="20" t="s">
        <v>5</v>
      </c>
      <c r="N1" s="20" t="s">
        <v>10</v>
      </c>
      <c r="O1" s="20" t="s">
        <v>622</v>
      </c>
      <c r="P1" s="20" t="s">
        <v>13</v>
      </c>
      <c r="Q1" s="20" t="s">
        <v>14</v>
      </c>
      <c r="R1" s="20" t="s">
        <v>637</v>
      </c>
      <c r="S1" s="20" t="s">
        <v>6</v>
      </c>
      <c r="T1" s="20" t="s">
        <v>8</v>
      </c>
      <c r="U1" s="20" t="s">
        <v>1164</v>
      </c>
      <c r="V1" s="20" t="s">
        <v>396</v>
      </c>
      <c r="W1" s="20" t="s">
        <v>789</v>
      </c>
      <c r="X1" s="20" t="s">
        <v>11</v>
      </c>
      <c r="Y1" s="20" t="s">
        <v>15</v>
      </c>
      <c r="Z1" s="20" t="s">
        <v>1171</v>
      </c>
      <c r="AA1" s="20" t="s">
        <v>19</v>
      </c>
      <c r="AB1" s="20" t="s">
        <v>30</v>
      </c>
    </row>
    <row r="2" spans="1:28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19"/>
      <c r="I2" s="21"/>
      <c r="J2" s="19"/>
      <c r="K2" s="19"/>
      <c r="L2" s="21"/>
      <c r="M2" s="19"/>
      <c r="N2" s="22"/>
      <c r="O2" s="21"/>
      <c r="P2" s="21"/>
      <c r="Q2" s="21"/>
      <c r="R2" s="21"/>
      <c r="S2" s="21"/>
      <c r="T2" s="21"/>
      <c r="U2" s="21"/>
      <c r="V2" s="19"/>
      <c r="W2" s="21"/>
      <c r="X2" s="21"/>
      <c r="Y2" s="21"/>
      <c r="Z2" s="21"/>
      <c r="AA2" s="21"/>
      <c r="AB2" s="21"/>
    </row>
    <row r="3" spans="1:28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19"/>
      <c r="I3" s="21"/>
      <c r="J3" s="19"/>
      <c r="K3" s="19"/>
      <c r="L3" s="21"/>
      <c r="M3" s="19"/>
      <c r="N3" s="22"/>
      <c r="O3" s="21"/>
      <c r="P3" s="21"/>
      <c r="Q3" s="21"/>
      <c r="R3" s="21"/>
      <c r="S3" s="21"/>
      <c r="T3" s="21"/>
      <c r="U3" s="21"/>
      <c r="V3" s="19"/>
      <c r="W3" s="21"/>
      <c r="X3" s="21"/>
      <c r="Y3" s="21"/>
      <c r="Z3" s="21"/>
      <c r="AA3" s="21"/>
      <c r="AB3" s="21"/>
    </row>
    <row r="4" spans="1:28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19"/>
      <c r="I4" s="21"/>
      <c r="J4" s="19"/>
      <c r="K4" s="19"/>
      <c r="L4" s="21"/>
      <c r="M4" s="19"/>
      <c r="N4" s="22"/>
      <c r="O4" s="21"/>
      <c r="P4" s="21"/>
      <c r="Q4" s="21"/>
      <c r="R4" s="21"/>
      <c r="S4" s="21"/>
      <c r="T4" s="21"/>
      <c r="U4" s="21"/>
      <c r="V4" s="19"/>
      <c r="W4" s="21"/>
      <c r="X4" s="21"/>
      <c r="Y4" s="21"/>
      <c r="Z4" s="21"/>
      <c r="AA4" s="21"/>
      <c r="AB4" s="21"/>
    </row>
    <row r="5" spans="1:28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19"/>
      <c r="I5" s="21"/>
      <c r="J5" s="19"/>
      <c r="K5" s="19"/>
      <c r="L5" s="21"/>
      <c r="M5" s="19"/>
      <c r="N5" s="22"/>
      <c r="O5" s="21"/>
      <c r="P5" s="21"/>
      <c r="Q5" s="21"/>
      <c r="R5" s="21"/>
      <c r="S5" s="21"/>
      <c r="T5" s="21"/>
      <c r="U5" s="21"/>
      <c r="V5" s="19"/>
      <c r="W5" s="21"/>
      <c r="X5" s="21"/>
      <c r="Y5" s="21"/>
      <c r="Z5" s="21"/>
      <c r="AA5" s="21"/>
      <c r="AB5" s="21"/>
    </row>
    <row r="6" spans="1:28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19"/>
      <c r="I6" s="21"/>
      <c r="J6" s="19"/>
      <c r="K6" s="19"/>
      <c r="L6" s="21"/>
      <c r="M6" s="19"/>
      <c r="N6" s="22"/>
      <c r="O6" s="21"/>
      <c r="P6" s="21"/>
      <c r="Q6" s="21"/>
      <c r="R6" s="21"/>
      <c r="S6" s="21"/>
      <c r="T6" s="21"/>
      <c r="U6" s="21"/>
      <c r="V6" s="19"/>
      <c r="W6" s="21"/>
      <c r="X6" s="21"/>
      <c r="Y6" s="21"/>
      <c r="Z6" s="21"/>
      <c r="AA6" s="21"/>
      <c r="AB6" s="21"/>
    </row>
    <row r="7" spans="1:28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19"/>
      <c r="I7" s="21"/>
      <c r="J7" s="19"/>
      <c r="K7" s="19"/>
      <c r="L7" s="21"/>
      <c r="M7" s="19"/>
      <c r="N7" s="22"/>
      <c r="O7" s="21"/>
      <c r="P7" s="21"/>
      <c r="Q7" s="21"/>
      <c r="R7" s="21"/>
      <c r="S7" s="21"/>
      <c r="T7" s="21"/>
      <c r="U7" s="21"/>
      <c r="V7" s="19"/>
      <c r="W7" s="21"/>
      <c r="X7" s="21"/>
      <c r="Y7" s="21"/>
      <c r="Z7" s="21"/>
      <c r="AA7" s="21"/>
      <c r="AB7" s="21"/>
    </row>
    <row r="8" spans="1:28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19"/>
      <c r="I8" s="21"/>
      <c r="J8" s="19"/>
      <c r="K8" s="19"/>
      <c r="L8" s="21"/>
      <c r="M8" s="19"/>
      <c r="N8" s="22"/>
      <c r="O8" s="21"/>
      <c r="P8" s="21"/>
      <c r="Q8" s="21"/>
      <c r="R8" s="21"/>
      <c r="S8" s="21"/>
      <c r="T8" s="21"/>
      <c r="U8" s="21"/>
      <c r="V8" s="19"/>
      <c r="W8" s="21"/>
      <c r="X8" s="21"/>
      <c r="Y8" s="21"/>
      <c r="Z8" s="21"/>
      <c r="AA8" s="21"/>
      <c r="AB8" s="21"/>
    </row>
    <row r="9" spans="1:28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19"/>
      <c r="I9" s="21"/>
      <c r="J9" s="19"/>
      <c r="K9" s="19"/>
      <c r="L9" s="21"/>
      <c r="M9" s="19"/>
      <c r="N9" s="22"/>
      <c r="O9" s="21"/>
      <c r="P9" s="21"/>
      <c r="Q9" s="21"/>
      <c r="R9" s="21"/>
      <c r="S9" s="21"/>
      <c r="T9" s="21"/>
      <c r="U9" s="21"/>
      <c r="V9" s="19"/>
      <c r="W9" s="21"/>
      <c r="X9" s="21"/>
      <c r="Y9" s="21"/>
      <c r="Z9" s="21"/>
      <c r="AA9" s="21"/>
      <c r="AB9" s="21"/>
    </row>
    <row r="10" spans="1:28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19"/>
      <c r="I10" s="21"/>
      <c r="J10" s="19"/>
      <c r="K10" s="19"/>
      <c r="L10" s="21"/>
      <c r="M10" s="19"/>
      <c r="N10" s="22"/>
      <c r="O10" s="21"/>
      <c r="P10" s="21"/>
      <c r="Q10" s="21"/>
      <c r="R10" s="21"/>
      <c r="S10" s="21"/>
      <c r="T10" s="21"/>
      <c r="U10" s="21"/>
      <c r="V10" s="19"/>
      <c r="W10" s="21"/>
      <c r="X10" s="21"/>
      <c r="Y10" s="21"/>
      <c r="Z10" s="21"/>
      <c r="AA10" s="21"/>
      <c r="AB10" s="21"/>
    </row>
    <row r="11" spans="1:28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19"/>
      <c r="I11" s="21"/>
      <c r="J11" s="19"/>
      <c r="K11" s="19"/>
      <c r="L11" s="21"/>
      <c r="M11" s="19"/>
      <c r="N11" s="22"/>
      <c r="O11" s="21"/>
      <c r="P11" s="21"/>
      <c r="Q11" s="21"/>
      <c r="R11" s="21"/>
      <c r="S11" s="21"/>
      <c r="T11" s="21"/>
      <c r="U11" s="21"/>
      <c r="V11" s="19"/>
      <c r="W11" s="21"/>
      <c r="X11" s="21"/>
      <c r="Y11" s="21"/>
      <c r="Z11" s="21"/>
      <c r="AA11" s="21"/>
      <c r="AB11" s="21"/>
    </row>
    <row r="12" spans="1:28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19"/>
      <c r="I12" s="21"/>
      <c r="J12" s="19"/>
      <c r="K12" s="19"/>
      <c r="L12" s="21"/>
      <c r="M12" s="19"/>
      <c r="N12" s="22"/>
      <c r="O12" s="21"/>
      <c r="P12" s="21"/>
      <c r="Q12" s="21"/>
      <c r="R12" s="21"/>
      <c r="S12" s="21"/>
      <c r="T12" s="21"/>
      <c r="U12" s="21"/>
      <c r="V12" s="19"/>
      <c r="W12" s="21"/>
      <c r="X12" s="21"/>
      <c r="Y12" s="21"/>
      <c r="Z12" s="21"/>
      <c r="AA12" s="21"/>
      <c r="AB12" s="21"/>
    </row>
    <row r="13" spans="1:28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19"/>
      <c r="I13" s="21"/>
      <c r="J13" s="19"/>
      <c r="K13" s="19"/>
      <c r="L13" s="21"/>
      <c r="M13" s="19"/>
      <c r="N13" s="22"/>
      <c r="O13" s="21"/>
      <c r="P13" s="21"/>
      <c r="Q13" s="21"/>
      <c r="R13" s="21"/>
      <c r="S13" s="21"/>
      <c r="T13" s="21"/>
      <c r="U13" s="21"/>
      <c r="V13" s="19"/>
      <c r="W13" s="21"/>
      <c r="X13" s="21"/>
      <c r="Y13" s="21"/>
      <c r="Z13" s="21"/>
      <c r="AA13" s="21"/>
      <c r="AB13" s="21"/>
    </row>
    <row r="14" spans="1:28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19"/>
      <c r="I14" s="21"/>
      <c r="J14" s="19"/>
      <c r="K14" s="19"/>
      <c r="L14" s="21"/>
      <c r="M14" s="19"/>
      <c r="N14" s="22"/>
      <c r="O14" s="21"/>
      <c r="P14" s="21"/>
      <c r="Q14" s="21"/>
      <c r="R14" s="21"/>
      <c r="S14" s="21"/>
      <c r="T14" s="21"/>
      <c r="U14" s="21"/>
      <c r="V14" s="19"/>
      <c r="W14" s="21"/>
      <c r="X14" s="21"/>
      <c r="Y14" s="21"/>
      <c r="Z14" s="21"/>
      <c r="AA14" s="21"/>
      <c r="AB14" s="21"/>
    </row>
    <row r="15" spans="1:28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19"/>
      <c r="I15" s="21"/>
      <c r="J15" s="19"/>
      <c r="K15" s="19"/>
      <c r="L15" s="21"/>
      <c r="M15" s="19"/>
      <c r="N15" s="22"/>
      <c r="O15" s="21"/>
      <c r="P15" s="21"/>
      <c r="Q15" s="21"/>
      <c r="R15" s="21"/>
      <c r="S15" s="21"/>
      <c r="T15" s="21"/>
      <c r="U15" s="21"/>
      <c r="V15" s="19"/>
      <c r="W15" s="21"/>
      <c r="X15" s="21"/>
      <c r="Y15" s="21"/>
      <c r="Z15" s="21"/>
      <c r="AA15" s="21"/>
      <c r="AB15" s="21"/>
    </row>
    <row r="16" spans="1:28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19"/>
      <c r="I16" s="21"/>
      <c r="J16" s="19"/>
      <c r="K16" s="19"/>
      <c r="L16" s="21"/>
      <c r="M16" s="19"/>
      <c r="N16" s="22"/>
      <c r="O16" s="21"/>
      <c r="P16" s="21"/>
      <c r="Q16" s="21"/>
      <c r="R16" s="21"/>
      <c r="S16" s="21"/>
      <c r="T16" s="21"/>
      <c r="U16" s="21"/>
      <c r="V16" s="19"/>
      <c r="W16" s="21"/>
      <c r="X16" s="21"/>
      <c r="Y16" s="21"/>
      <c r="Z16" s="21"/>
      <c r="AA16" s="21"/>
      <c r="AB16" s="21"/>
    </row>
    <row r="17" spans="1:28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19"/>
      <c r="I17" s="21"/>
      <c r="J17" s="19"/>
      <c r="K17" s="19"/>
      <c r="L17" s="21"/>
      <c r="M17" s="19"/>
      <c r="N17" s="22"/>
      <c r="O17" s="21"/>
      <c r="P17" s="21"/>
      <c r="Q17" s="21"/>
      <c r="R17" s="21"/>
      <c r="S17" s="21"/>
      <c r="T17" s="21"/>
      <c r="U17" s="21"/>
      <c r="V17" s="19"/>
      <c r="W17" s="21"/>
      <c r="X17" s="21"/>
      <c r="Y17" s="21"/>
      <c r="Z17" s="21"/>
      <c r="AA17" s="21"/>
      <c r="AB17" s="21"/>
    </row>
    <row r="18" spans="1:28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19"/>
      <c r="I18" s="21"/>
      <c r="J18" s="19"/>
      <c r="K18" s="19"/>
      <c r="L18" s="21"/>
      <c r="M18" s="19"/>
      <c r="N18" s="22"/>
      <c r="O18" s="21"/>
      <c r="P18" s="21"/>
      <c r="Q18" s="21"/>
      <c r="R18" s="21"/>
      <c r="S18" s="21"/>
      <c r="T18" s="21"/>
      <c r="U18" s="21"/>
      <c r="V18" s="19"/>
      <c r="W18" s="21"/>
      <c r="X18" s="21"/>
      <c r="Y18" s="21"/>
      <c r="Z18" s="21"/>
      <c r="AA18" s="21"/>
      <c r="AB18" s="21"/>
    </row>
    <row r="19" spans="1:28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19"/>
      <c r="I19" s="21"/>
      <c r="J19" s="19"/>
      <c r="K19" s="19"/>
      <c r="L19" s="21"/>
      <c r="M19" s="19"/>
      <c r="N19" s="22"/>
      <c r="O19" s="21"/>
      <c r="P19" s="21"/>
      <c r="Q19" s="21"/>
      <c r="R19" s="21"/>
      <c r="S19" s="21"/>
      <c r="T19" s="21"/>
      <c r="U19" s="21"/>
      <c r="V19" s="19"/>
      <c r="W19" s="21"/>
      <c r="X19" s="21"/>
      <c r="Y19" s="21"/>
      <c r="Z19" s="21"/>
      <c r="AA19" s="21"/>
      <c r="AB19" s="21"/>
    </row>
    <row r="20" spans="1:28" ht="15.75" thickBot="1">
      <c r="A20" s="159">
        <v>11925</v>
      </c>
      <c r="B20" s="159">
        <v>11933</v>
      </c>
      <c r="E20" s="19"/>
      <c r="H20" s="19"/>
      <c r="I20" s="21"/>
      <c r="J20" s="19"/>
      <c r="K20" s="19"/>
      <c r="L20" s="21"/>
      <c r="M20" s="19"/>
      <c r="N20" s="22"/>
      <c r="O20" s="21"/>
      <c r="T20" s="21"/>
      <c r="U20" s="21"/>
    </row>
    <row r="21" spans="1:28" s="43" customFormat="1" ht="15.75" thickBot="1">
      <c r="A21" s="159">
        <v>11925</v>
      </c>
      <c r="B21" s="159">
        <v>11934</v>
      </c>
      <c r="E21" s="42"/>
      <c r="H21" s="46"/>
      <c r="M21" s="46"/>
      <c r="N21" s="22"/>
    </row>
    <row r="22" spans="1:28" ht="15.75" thickBot="1">
      <c r="A22" s="159">
        <v>11925</v>
      </c>
      <c r="B22" s="159">
        <v>11935</v>
      </c>
      <c r="M22" s="4"/>
    </row>
    <row r="23" spans="1:28" ht="15.75" thickBot="1">
      <c r="A23" s="159">
        <v>11925</v>
      </c>
      <c r="B23" s="159">
        <v>11936</v>
      </c>
      <c r="H23" s="43"/>
    </row>
    <row r="24" spans="1:28" ht="15.75" thickBot="1">
      <c r="A24" s="159">
        <v>11925</v>
      </c>
      <c r="B24" s="159">
        <v>11937</v>
      </c>
      <c r="H24" s="43"/>
    </row>
    <row r="25" spans="1:28" ht="15.75" thickBot="1">
      <c r="A25" s="159">
        <v>11939</v>
      </c>
      <c r="B25" s="159">
        <v>11942</v>
      </c>
      <c r="H25" s="43"/>
    </row>
    <row r="26" spans="1:28" ht="15.75" thickBot="1">
      <c r="A26" s="159">
        <v>11939</v>
      </c>
      <c r="B26" s="159">
        <v>11943</v>
      </c>
      <c r="H26" s="43"/>
    </row>
    <row r="27" spans="1:28" ht="15.75" thickBot="1">
      <c r="A27" s="159">
        <v>11939</v>
      </c>
      <c r="B27" s="159">
        <v>11944</v>
      </c>
    </row>
    <row r="28" spans="1:28" ht="15.75" thickBot="1">
      <c r="A28" s="159">
        <v>11939</v>
      </c>
      <c r="B28" s="159">
        <v>11945</v>
      </c>
    </row>
    <row r="29" spans="1:28" ht="15.75" thickBot="1">
      <c r="A29" s="159">
        <v>11939</v>
      </c>
      <c r="B29" s="159">
        <v>11946</v>
      </c>
    </row>
    <row r="30" spans="1:28" ht="15.75" thickBot="1">
      <c r="A30" s="159">
        <v>11939</v>
      </c>
      <c r="B30" s="159">
        <v>11947</v>
      </c>
    </row>
    <row r="31" spans="1:28" ht="15.75" thickBot="1">
      <c r="A31" s="159">
        <v>11939</v>
      </c>
      <c r="B31" s="159">
        <v>11948</v>
      </c>
    </row>
    <row r="32" spans="1:28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39"/>
  <sheetViews>
    <sheetView rightToLeft="1" workbookViewId="0">
      <selection activeCell="A2" sqref="A2:B39"/>
    </sheetView>
  </sheetViews>
  <sheetFormatPr defaultRowHeight="15"/>
  <cols>
    <col min="1" max="8" width="11.5703125" customWidth="1"/>
    <col min="9" max="9" width="11.5703125" style="2" customWidth="1"/>
    <col min="10" max="23" width="11.5703125" customWidth="1"/>
    <col min="24" max="24" width="11.5703125" style="2" customWidth="1"/>
    <col min="25" max="25" width="11.5703125" customWidth="1"/>
  </cols>
  <sheetData>
    <row r="1" spans="1:27" ht="66.75" customHeight="1">
      <c r="A1" s="20" t="s">
        <v>667</v>
      </c>
      <c r="B1" s="20" t="s">
        <v>0</v>
      </c>
      <c r="C1" s="20" t="s">
        <v>740</v>
      </c>
      <c r="D1" s="20" t="s">
        <v>1163</v>
      </c>
      <c r="E1" s="20" t="s">
        <v>29</v>
      </c>
      <c r="F1" s="20" t="s">
        <v>28</v>
      </c>
      <c r="G1" s="20" t="s">
        <v>1</v>
      </c>
      <c r="H1" s="20" t="s">
        <v>620</v>
      </c>
      <c r="I1" s="20" t="s">
        <v>621</v>
      </c>
      <c r="J1" s="20" t="s">
        <v>12</v>
      </c>
      <c r="K1" s="20" t="s">
        <v>6</v>
      </c>
      <c r="L1" s="20" t="s">
        <v>8</v>
      </c>
      <c r="M1" s="20" t="s">
        <v>396</v>
      </c>
      <c r="N1" s="20" t="s">
        <v>13</v>
      </c>
      <c r="O1" s="20" t="s">
        <v>421</v>
      </c>
      <c r="P1" s="20" t="s">
        <v>14</v>
      </c>
      <c r="Q1" s="20" t="s">
        <v>637</v>
      </c>
      <c r="R1" s="20" t="s">
        <v>789</v>
      </c>
      <c r="S1" s="20" t="s">
        <v>11</v>
      </c>
      <c r="T1" s="20" t="s">
        <v>15</v>
      </c>
      <c r="U1" s="20" t="s">
        <v>1171</v>
      </c>
      <c r="V1" s="20" t="s">
        <v>1172</v>
      </c>
      <c r="W1" s="20" t="s">
        <v>26</v>
      </c>
      <c r="X1" s="20" t="s">
        <v>19</v>
      </c>
      <c r="Y1" s="20" t="s">
        <v>30</v>
      </c>
    </row>
    <row r="2" spans="1:27" ht="15.75" thickBot="1">
      <c r="A2" s="159">
        <v>7891</v>
      </c>
      <c r="B2" s="159">
        <v>7892</v>
      </c>
      <c r="C2" s="21"/>
      <c r="D2" s="21"/>
      <c r="E2" s="21"/>
      <c r="F2" s="21"/>
      <c r="G2" s="21"/>
      <c r="H2" s="32"/>
      <c r="I2" s="19"/>
      <c r="J2" s="21"/>
      <c r="K2" s="41"/>
      <c r="L2" s="22"/>
      <c r="M2" s="32"/>
      <c r="N2" s="21"/>
      <c r="O2" s="21"/>
      <c r="P2" s="21"/>
      <c r="Q2" s="21"/>
      <c r="R2" s="21"/>
      <c r="S2" s="22"/>
      <c r="T2" s="21"/>
      <c r="U2" s="21"/>
      <c r="V2" s="21"/>
      <c r="W2" s="19"/>
      <c r="X2" s="21"/>
      <c r="Y2" s="21"/>
    </row>
    <row r="3" spans="1:27" ht="15.75" thickBot="1">
      <c r="A3" s="159">
        <v>7891</v>
      </c>
      <c r="B3" s="159">
        <v>7893</v>
      </c>
      <c r="C3" s="21"/>
      <c r="D3" s="21"/>
      <c r="E3" s="21"/>
      <c r="F3" s="21"/>
      <c r="G3" s="21"/>
      <c r="H3" s="32"/>
      <c r="I3" s="19"/>
      <c r="J3" s="21"/>
      <c r="K3" s="21"/>
      <c r="L3" s="22"/>
      <c r="M3" s="19"/>
      <c r="N3" s="21"/>
      <c r="O3" s="21"/>
      <c r="P3" s="21"/>
      <c r="Q3" s="21"/>
      <c r="R3" s="21"/>
      <c r="S3" s="21"/>
      <c r="T3" s="21"/>
      <c r="U3" s="21"/>
      <c r="V3" s="21"/>
      <c r="W3" s="19"/>
      <c r="X3" s="21"/>
      <c r="Y3" s="21"/>
    </row>
    <row r="4" spans="1:27" ht="15.75" thickBot="1">
      <c r="A4" s="159">
        <v>7891</v>
      </c>
      <c r="B4" s="159">
        <v>7894</v>
      </c>
      <c r="C4" s="21"/>
      <c r="D4" s="21"/>
      <c r="E4" s="21"/>
      <c r="F4" s="21"/>
      <c r="G4" s="21"/>
      <c r="H4" s="32"/>
      <c r="I4" s="19"/>
      <c r="J4" s="21"/>
      <c r="K4" s="21"/>
      <c r="L4" s="22"/>
      <c r="M4" s="19"/>
      <c r="N4" s="21"/>
      <c r="O4" s="21"/>
      <c r="P4" s="21"/>
      <c r="Q4" s="21"/>
      <c r="R4" s="21"/>
      <c r="S4" s="21"/>
      <c r="T4" s="21"/>
      <c r="U4" s="21"/>
      <c r="V4" s="21"/>
      <c r="W4" s="19"/>
      <c r="X4" s="21"/>
      <c r="Y4" s="21"/>
    </row>
    <row r="5" spans="1:27" ht="15.75" thickBot="1">
      <c r="A5" s="159">
        <v>7891</v>
      </c>
      <c r="B5" s="159">
        <v>7895</v>
      </c>
      <c r="C5" s="21"/>
      <c r="D5" s="21"/>
      <c r="E5" s="21"/>
      <c r="F5" s="21"/>
      <c r="G5" s="21"/>
      <c r="H5" s="32"/>
      <c r="I5" s="19"/>
      <c r="J5" s="21"/>
      <c r="K5" s="19"/>
      <c r="L5" s="22"/>
      <c r="N5" s="21"/>
      <c r="O5" s="21"/>
      <c r="P5" s="19"/>
      <c r="Q5" s="19"/>
      <c r="R5" s="21"/>
      <c r="T5" s="21"/>
      <c r="U5" s="21"/>
      <c r="V5" s="21"/>
      <c r="W5" s="21"/>
      <c r="X5" s="21"/>
      <c r="Y5" s="21"/>
      <c r="Z5" s="21"/>
      <c r="AA5" s="21"/>
    </row>
    <row r="6" spans="1:27" ht="15.75" thickBot="1">
      <c r="A6" s="159">
        <v>7891</v>
      </c>
      <c r="B6" s="159">
        <v>7896</v>
      </c>
      <c r="C6" s="21"/>
      <c r="D6" s="21"/>
      <c r="E6" s="21"/>
      <c r="F6" s="21"/>
      <c r="G6" s="21"/>
      <c r="H6" s="32"/>
      <c r="I6" s="19"/>
      <c r="J6" s="21"/>
      <c r="K6" s="21"/>
      <c r="L6" s="22"/>
      <c r="M6" s="19"/>
      <c r="N6" s="21"/>
      <c r="O6" s="21"/>
      <c r="P6" s="21"/>
      <c r="Q6" s="21"/>
      <c r="R6" s="21"/>
      <c r="S6" s="21"/>
      <c r="T6" s="21"/>
      <c r="U6" s="21"/>
      <c r="V6" s="21"/>
      <c r="W6" s="19"/>
      <c r="X6" s="21"/>
      <c r="Y6" s="21"/>
    </row>
    <row r="7" spans="1:27" ht="15.75" thickBot="1">
      <c r="A7" s="159">
        <v>7891</v>
      </c>
      <c r="B7" s="159">
        <v>7897</v>
      </c>
      <c r="C7" s="21"/>
      <c r="D7" s="21"/>
      <c r="E7" s="21"/>
      <c r="F7" s="21"/>
      <c r="G7" s="21"/>
      <c r="H7" s="32"/>
      <c r="I7" s="19"/>
      <c r="J7" s="21"/>
      <c r="K7" s="21"/>
      <c r="L7" s="22"/>
      <c r="M7" s="19"/>
      <c r="N7" s="21"/>
      <c r="O7" s="21"/>
      <c r="P7" s="21"/>
      <c r="Q7" s="21"/>
      <c r="R7" s="21"/>
      <c r="S7" s="21"/>
      <c r="T7" s="21"/>
      <c r="U7" s="21"/>
      <c r="V7" s="21"/>
      <c r="W7" s="19"/>
      <c r="X7" s="21"/>
      <c r="Y7" s="21"/>
    </row>
    <row r="8" spans="1:27" ht="15.75" thickBot="1">
      <c r="A8" s="159">
        <v>7891</v>
      </c>
      <c r="B8" s="159">
        <v>7898</v>
      </c>
      <c r="C8" s="21"/>
      <c r="D8" s="21"/>
      <c r="E8" s="21"/>
      <c r="F8" s="21"/>
      <c r="G8" s="21"/>
      <c r="H8" s="32"/>
      <c r="I8" s="19"/>
      <c r="J8" s="21"/>
      <c r="K8" s="21"/>
      <c r="L8" s="22"/>
      <c r="M8" s="19"/>
      <c r="N8" s="21"/>
      <c r="O8" s="21"/>
      <c r="P8" s="21"/>
      <c r="Q8" s="21"/>
      <c r="R8" s="21"/>
      <c r="S8" s="21"/>
      <c r="T8" s="21"/>
      <c r="U8" s="21"/>
      <c r="V8" s="21"/>
      <c r="W8" s="19"/>
      <c r="X8" s="21"/>
      <c r="Y8" s="21"/>
    </row>
    <row r="9" spans="1:27" ht="15.75" thickBot="1">
      <c r="A9" s="159">
        <v>7891</v>
      </c>
      <c r="B9" s="159">
        <v>7899</v>
      </c>
      <c r="C9" s="21"/>
      <c r="D9" s="21"/>
      <c r="E9" s="21"/>
      <c r="F9" s="21"/>
      <c r="G9" s="21"/>
      <c r="H9" s="32"/>
      <c r="I9" s="19"/>
      <c r="J9" s="21"/>
      <c r="K9" s="21"/>
      <c r="L9" s="22"/>
      <c r="M9" s="19"/>
      <c r="N9" s="21"/>
      <c r="O9" s="21"/>
      <c r="P9" s="21"/>
      <c r="Q9" s="21"/>
      <c r="R9" s="21"/>
      <c r="S9" s="21"/>
      <c r="T9" s="21"/>
      <c r="U9" s="21"/>
      <c r="V9" s="21"/>
      <c r="W9" s="19"/>
      <c r="X9" s="21"/>
      <c r="Y9" s="21"/>
    </row>
    <row r="10" spans="1:27" ht="15.75" thickBot="1">
      <c r="A10" s="159">
        <v>7891</v>
      </c>
      <c r="B10" s="159">
        <v>7900</v>
      </c>
      <c r="C10" s="21"/>
      <c r="D10" s="21"/>
      <c r="E10" s="21"/>
      <c r="F10" s="21"/>
      <c r="G10" s="21"/>
      <c r="H10" s="32"/>
      <c r="I10" s="19"/>
      <c r="J10" s="21"/>
      <c r="K10" s="21"/>
      <c r="L10" s="22"/>
      <c r="M10" s="19"/>
      <c r="N10" s="21"/>
      <c r="O10" s="21"/>
      <c r="P10" s="21"/>
      <c r="Q10" s="21"/>
      <c r="R10" s="21"/>
      <c r="S10" s="21"/>
      <c r="T10" s="21"/>
      <c r="U10" s="21"/>
      <c r="V10" s="21"/>
      <c r="W10" s="19"/>
      <c r="X10" s="21"/>
      <c r="Y10" s="21"/>
    </row>
    <row r="11" spans="1:27" ht="15.75" thickBot="1">
      <c r="A11" s="159">
        <v>7891</v>
      </c>
      <c r="B11" s="159">
        <v>7901</v>
      </c>
      <c r="C11" s="21"/>
      <c r="D11" s="21"/>
      <c r="E11" s="21"/>
      <c r="F11" s="21"/>
      <c r="G11" s="21"/>
      <c r="H11" s="32"/>
      <c r="I11" s="19"/>
      <c r="J11" s="21"/>
      <c r="K11" s="21"/>
      <c r="L11" s="22"/>
      <c r="M11" s="19"/>
      <c r="N11" s="21"/>
      <c r="O11" s="21"/>
      <c r="P11" s="21"/>
      <c r="Q11" s="21"/>
      <c r="R11" s="21"/>
      <c r="S11" s="21"/>
      <c r="T11" s="21"/>
      <c r="U11" s="21"/>
      <c r="V11" s="21"/>
      <c r="W11" s="19"/>
      <c r="X11" s="21"/>
      <c r="Y11" s="21"/>
    </row>
    <row r="12" spans="1:27" ht="15.75" thickBot="1">
      <c r="A12" s="159">
        <v>7891</v>
      </c>
      <c r="B12" s="159">
        <v>7902</v>
      </c>
      <c r="C12" s="21"/>
      <c r="D12" s="21"/>
      <c r="E12" s="21"/>
      <c r="F12" s="21"/>
      <c r="G12" s="21"/>
      <c r="H12" s="32"/>
      <c r="I12" s="19"/>
      <c r="J12" s="21"/>
      <c r="K12" s="21"/>
      <c r="L12" s="22"/>
      <c r="M12" s="19"/>
      <c r="N12" s="21"/>
      <c r="O12" s="21"/>
      <c r="P12" s="21"/>
      <c r="Q12" s="21"/>
      <c r="R12" s="21"/>
      <c r="S12" s="21"/>
      <c r="T12" s="21"/>
      <c r="U12" s="21"/>
      <c r="V12" s="21"/>
      <c r="W12" s="19"/>
      <c r="X12" s="21"/>
      <c r="Y12" s="21"/>
    </row>
    <row r="13" spans="1:27" ht="15.75" thickBot="1">
      <c r="A13" s="159">
        <v>11925</v>
      </c>
      <c r="B13" s="159">
        <v>11926</v>
      </c>
      <c r="C13" s="21"/>
      <c r="D13" s="21"/>
      <c r="E13" s="21"/>
      <c r="F13" s="21"/>
      <c r="G13" s="21"/>
      <c r="H13" s="32"/>
      <c r="I13" s="19"/>
      <c r="J13" s="21"/>
      <c r="K13" s="21"/>
      <c r="L13" s="22"/>
      <c r="M13" s="19"/>
      <c r="N13" s="21"/>
      <c r="O13" s="21"/>
      <c r="P13" s="21"/>
      <c r="Q13" s="21"/>
      <c r="R13" s="21"/>
      <c r="S13" s="21"/>
      <c r="T13" s="21"/>
      <c r="U13" s="21"/>
      <c r="V13" s="21"/>
      <c r="W13" s="19"/>
      <c r="X13" s="21"/>
      <c r="Y13" s="21"/>
    </row>
    <row r="14" spans="1:27" ht="15.75" thickBot="1">
      <c r="A14" s="159">
        <v>11925</v>
      </c>
      <c r="B14" s="159">
        <v>11927</v>
      </c>
      <c r="C14" s="21"/>
      <c r="D14" s="21"/>
      <c r="E14" s="21"/>
      <c r="F14" s="21"/>
      <c r="G14" s="21"/>
      <c r="H14" s="32"/>
      <c r="I14" s="19"/>
      <c r="J14" s="21"/>
      <c r="K14" s="21"/>
      <c r="L14" s="22"/>
      <c r="M14" s="19"/>
      <c r="N14" s="21"/>
      <c r="O14" s="21"/>
      <c r="P14" s="21"/>
      <c r="Q14" s="21"/>
      <c r="R14" s="21"/>
      <c r="S14" s="21"/>
      <c r="T14" s="21"/>
      <c r="U14" s="21"/>
      <c r="V14" s="21"/>
      <c r="W14" s="19"/>
      <c r="X14" s="21"/>
      <c r="Y14" s="21"/>
    </row>
    <row r="15" spans="1:27" ht="15.75" thickBot="1">
      <c r="A15" s="159">
        <v>11925</v>
      </c>
      <c r="B15" s="159">
        <v>11928</v>
      </c>
      <c r="C15" s="21"/>
      <c r="D15" s="21"/>
      <c r="E15" s="21"/>
      <c r="F15" s="21"/>
      <c r="G15" s="21"/>
      <c r="H15" s="32"/>
      <c r="I15" s="19"/>
      <c r="J15" s="21"/>
      <c r="K15" s="21"/>
      <c r="L15" s="22"/>
      <c r="M15" s="19"/>
      <c r="N15" s="21"/>
      <c r="O15" s="21"/>
      <c r="P15" s="21"/>
      <c r="Q15" s="21"/>
      <c r="R15" s="21"/>
      <c r="S15" s="21"/>
      <c r="T15" s="21"/>
      <c r="U15" s="21"/>
      <c r="V15" s="21"/>
      <c r="W15" s="19"/>
      <c r="X15" s="21"/>
      <c r="Y15" s="21"/>
    </row>
    <row r="16" spans="1:27" ht="15.75" thickBot="1">
      <c r="A16" s="159">
        <v>11925</v>
      </c>
      <c r="B16" s="159">
        <v>11929</v>
      </c>
      <c r="C16" s="21"/>
      <c r="D16" s="21"/>
      <c r="E16" s="21"/>
      <c r="F16" s="21"/>
      <c r="G16" s="21"/>
      <c r="H16" s="32"/>
      <c r="I16" s="19"/>
      <c r="J16" s="21"/>
      <c r="K16" s="21"/>
      <c r="L16" s="22"/>
      <c r="M16" s="19"/>
      <c r="N16" s="21"/>
      <c r="O16" s="21"/>
      <c r="P16" s="21"/>
      <c r="Q16" s="21"/>
      <c r="R16" s="21"/>
      <c r="S16" s="21"/>
      <c r="T16" s="21"/>
      <c r="U16" s="21"/>
      <c r="V16" s="21"/>
      <c r="W16" s="19"/>
      <c r="X16" s="21"/>
      <c r="Y16" s="21"/>
    </row>
    <row r="17" spans="1:25" ht="15.75" thickBot="1">
      <c r="A17" s="159">
        <v>11925</v>
      </c>
      <c r="B17" s="159">
        <v>11930</v>
      </c>
      <c r="C17" s="21"/>
      <c r="D17" s="21"/>
      <c r="E17" s="21"/>
      <c r="F17" s="21"/>
      <c r="G17" s="21"/>
      <c r="H17" s="32"/>
      <c r="I17" s="19"/>
      <c r="J17" s="21"/>
      <c r="K17" s="21"/>
      <c r="L17" s="22"/>
      <c r="M17" s="19"/>
      <c r="N17" s="21"/>
      <c r="O17" s="21"/>
      <c r="P17" s="21"/>
      <c r="Q17" s="21"/>
      <c r="R17" s="21"/>
      <c r="S17" s="21"/>
      <c r="T17" s="21"/>
      <c r="U17" s="21"/>
      <c r="V17" s="21"/>
      <c r="W17" s="19"/>
      <c r="X17" s="21"/>
      <c r="Y17" s="21"/>
    </row>
    <row r="18" spans="1:25" ht="15.75" thickBot="1">
      <c r="A18" s="159">
        <v>11925</v>
      </c>
      <c r="B18" s="159">
        <v>11931</v>
      </c>
      <c r="C18" s="21"/>
      <c r="D18" s="21"/>
      <c r="E18" s="21"/>
      <c r="F18" s="21"/>
      <c r="G18" s="21"/>
      <c r="H18" s="32"/>
      <c r="I18" s="19"/>
      <c r="J18" s="21"/>
      <c r="K18" s="21"/>
      <c r="L18" s="22"/>
      <c r="M18" s="19"/>
      <c r="N18" s="21"/>
      <c r="O18" s="21"/>
      <c r="P18" s="21"/>
      <c r="Q18" s="21"/>
      <c r="R18" s="21"/>
      <c r="S18" s="21"/>
      <c r="T18" s="21"/>
      <c r="U18" s="21"/>
      <c r="V18" s="21"/>
      <c r="W18" s="19"/>
      <c r="X18" s="21"/>
      <c r="Y18" s="21"/>
    </row>
    <row r="19" spans="1:25" ht="15.75" thickBot="1">
      <c r="A19" s="159">
        <v>11925</v>
      </c>
      <c r="B19" s="159">
        <v>11932</v>
      </c>
      <c r="C19" s="21"/>
      <c r="D19" s="21"/>
      <c r="E19" s="21"/>
      <c r="F19" s="21"/>
      <c r="G19" s="21"/>
      <c r="H19" s="32"/>
      <c r="I19" s="19"/>
      <c r="J19" s="21"/>
      <c r="K19" s="21"/>
      <c r="L19" s="22"/>
      <c r="M19" s="19"/>
      <c r="N19" s="21"/>
      <c r="O19" s="21"/>
      <c r="P19" s="21"/>
      <c r="Q19" s="21"/>
      <c r="R19" s="21"/>
      <c r="S19" s="21"/>
      <c r="T19" s="21"/>
      <c r="U19" s="21"/>
      <c r="V19" s="21"/>
      <c r="W19" s="19"/>
      <c r="X19" s="21"/>
      <c r="Y19" s="21"/>
    </row>
    <row r="20" spans="1:25" ht="15.75" thickBot="1">
      <c r="A20" s="159">
        <v>11925</v>
      </c>
      <c r="B20" s="159">
        <v>11933</v>
      </c>
      <c r="F20" s="21"/>
      <c r="G20" s="21"/>
      <c r="H20" s="32"/>
      <c r="I20" s="19"/>
      <c r="L20" s="22"/>
      <c r="W20" s="19"/>
    </row>
    <row r="21" spans="1:25" ht="15.75" thickBot="1">
      <c r="A21" s="159">
        <v>11925</v>
      </c>
      <c r="B21" s="159">
        <v>11934</v>
      </c>
      <c r="I21"/>
      <c r="X21"/>
    </row>
    <row r="22" spans="1:25" ht="15.75" thickBot="1">
      <c r="A22" s="159">
        <v>11925</v>
      </c>
      <c r="B22" s="159">
        <v>11935</v>
      </c>
    </row>
    <row r="23" spans="1:25" ht="15.75" thickBot="1">
      <c r="A23" s="159">
        <v>11925</v>
      </c>
      <c r="B23" s="159">
        <v>11936</v>
      </c>
    </row>
    <row r="24" spans="1:25" ht="15.75" thickBot="1">
      <c r="A24" s="159">
        <v>11925</v>
      </c>
      <c r="B24" s="159">
        <v>11937</v>
      </c>
    </row>
    <row r="25" spans="1:25" ht="15.75" thickBot="1">
      <c r="A25" s="159">
        <v>11939</v>
      </c>
      <c r="B25" s="159">
        <v>11942</v>
      </c>
    </row>
    <row r="26" spans="1:25" ht="15.75" thickBot="1">
      <c r="A26" s="159">
        <v>11939</v>
      </c>
      <c r="B26" s="159">
        <v>11943</v>
      </c>
    </row>
    <row r="27" spans="1:25" ht="15.75" thickBot="1">
      <c r="A27" s="159">
        <v>11939</v>
      </c>
      <c r="B27" s="159">
        <v>11944</v>
      </c>
    </row>
    <row r="28" spans="1:25" ht="15.75" thickBot="1">
      <c r="A28" s="159">
        <v>11939</v>
      </c>
      <c r="B28" s="159">
        <v>11945</v>
      </c>
    </row>
    <row r="29" spans="1:25" ht="15.75" thickBot="1">
      <c r="A29" s="159">
        <v>11939</v>
      </c>
      <c r="B29" s="159">
        <v>11946</v>
      </c>
    </row>
    <row r="30" spans="1:25" ht="15.75" thickBot="1">
      <c r="A30" s="159">
        <v>11939</v>
      </c>
      <c r="B30" s="159">
        <v>11947</v>
      </c>
    </row>
    <row r="31" spans="1:25" ht="15.75" thickBot="1">
      <c r="A31" s="159">
        <v>11939</v>
      </c>
      <c r="B31" s="159">
        <v>11948</v>
      </c>
    </row>
    <row r="32" spans="1:25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39"/>
  <sheetViews>
    <sheetView rightToLeft="1" workbookViewId="0">
      <selection activeCell="A2" sqref="A2:B39"/>
    </sheetView>
  </sheetViews>
  <sheetFormatPr defaultColWidth="9" defaultRowHeight="15"/>
  <cols>
    <col min="1" max="7" width="11.5703125" style="2" customWidth="1"/>
    <col min="8" max="8" width="11.5703125" customWidth="1"/>
    <col min="9" max="15" width="11.5703125" style="2" customWidth="1"/>
    <col min="16" max="16" width="11.5703125" customWidth="1"/>
    <col min="17" max="19" width="11.5703125" style="2" customWidth="1"/>
    <col min="20" max="16384" width="9" style="2"/>
  </cols>
  <sheetData>
    <row r="1" spans="1:20" ht="66.75" customHeight="1">
      <c r="A1" s="20" t="s">
        <v>667</v>
      </c>
      <c r="B1" s="20" t="s">
        <v>0</v>
      </c>
      <c r="C1" s="20" t="s">
        <v>1</v>
      </c>
      <c r="D1" s="20" t="s">
        <v>1163</v>
      </c>
      <c r="E1" s="20" t="s">
        <v>29</v>
      </c>
      <c r="F1" s="20" t="s">
        <v>12</v>
      </c>
      <c r="G1" s="20" t="s">
        <v>13</v>
      </c>
      <c r="H1" s="20" t="s">
        <v>282</v>
      </c>
      <c r="I1" s="20" t="s">
        <v>421</v>
      </c>
      <c r="J1" s="20" t="s">
        <v>14</v>
      </c>
      <c r="K1" s="20" t="s">
        <v>637</v>
      </c>
      <c r="L1" s="20" t="s">
        <v>789</v>
      </c>
      <c r="M1" s="20" t="s">
        <v>15</v>
      </c>
      <c r="N1" s="20" t="s">
        <v>1171</v>
      </c>
      <c r="O1" s="20" t="s">
        <v>1172</v>
      </c>
      <c r="P1" s="20" t="s">
        <v>26</v>
      </c>
      <c r="Q1" s="20" t="s">
        <v>19</v>
      </c>
      <c r="R1" s="20" t="s">
        <v>30</v>
      </c>
      <c r="S1" s="11"/>
    </row>
    <row r="2" spans="1:20" ht="15.75" thickBot="1">
      <c r="A2" s="159">
        <v>7891</v>
      </c>
      <c r="B2" s="159">
        <v>7892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19"/>
      <c r="Q2" s="21"/>
      <c r="R2" s="21"/>
      <c r="S2" s="5"/>
      <c r="T2" s="5"/>
    </row>
    <row r="3" spans="1:20" ht="15.75" thickBot="1">
      <c r="A3" s="159">
        <v>7891</v>
      </c>
      <c r="B3" s="159">
        <v>7893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9"/>
      <c r="Q3" s="21"/>
      <c r="R3" s="21"/>
      <c r="S3" s="5"/>
      <c r="T3" s="5"/>
    </row>
    <row r="4" spans="1:20" ht="15.75" thickBot="1">
      <c r="A4" s="159">
        <v>7891</v>
      </c>
      <c r="B4" s="159">
        <v>7894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9"/>
      <c r="Q4" s="21"/>
      <c r="R4" s="21"/>
      <c r="S4" s="5"/>
      <c r="T4" s="5"/>
    </row>
    <row r="5" spans="1:20" ht="15.75" thickBot="1">
      <c r="A5" s="159">
        <v>7891</v>
      </c>
      <c r="B5" s="159">
        <v>7895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5"/>
      <c r="T5" s="5"/>
    </row>
    <row r="6" spans="1:20" ht="15.75" thickBot="1">
      <c r="A6" s="159">
        <v>7891</v>
      </c>
      <c r="B6" s="159">
        <v>7896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19"/>
      <c r="Q6" s="21"/>
      <c r="R6" s="21"/>
      <c r="S6" s="5"/>
      <c r="T6" s="5"/>
    </row>
    <row r="7" spans="1:20" ht="15.75" thickBot="1">
      <c r="A7" s="159">
        <v>7891</v>
      </c>
      <c r="B7" s="159">
        <v>7897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19"/>
      <c r="Q7" s="21"/>
      <c r="R7" s="21"/>
      <c r="S7" s="5"/>
      <c r="T7" s="5"/>
    </row>
    <row r="8" spans="1:20" ht="15.75" thickBot="1">
      <c r="A8" s="159">
        <v>7891</v>
      </c>
      <c r="B8" s="159">
        <v>7898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19"/>
      <c r="Q8" s="21"/>
      <c r="R8" s="21"/>
      <c r="S8" s="5"/>
      <c r="T8" s="5"/>
    </row>
    <row r="9" spans="1:20" ht="15.75" thickBot="1">
      <c r="A9" s="159">
        <v>7891</v>
      </c>
      <c r="B9" s="159">
        <v>7899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19"/>
      <c r="Q9" s="21"/>
      <c r="R9" s="21"/>
      <c r="S9" s="5"/>
      <c r="T9" s="5"/>
    </row>
    <row r="10" spans="1:20" ht="15.75" thickBot="1">
      <c r="A10" s="159">
        <v>7891</v>
      </c>
      <c r="B10" s="159">
        <v>7900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19"/>
      <c r="Q10" s="21"/>
      <c r="R10" s="21"/>
      <c r="S10" s="5"/>
      <c r="T10" s="5"/>
    </row>
    <row r="11" spans="1:20" ht="15.75" thickBot="1">
      <c r="A11" s="159">
        <v>7891</v>
      </c>
      <c r="B11" s="159">
        <v>7901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19"/>
      <c r="Q11" s="21"/>
      <c r="R11" s="21"/>
      <c r="S11" s="5"/>
      <c r="T11" s="5"/>
    </row>
    <row r="12" spans="1:20" ht="15.75" thickBot="1">
      <c r="A12" s="159">
        <v>7891</v>
      </c>
      <c r="B12" s="159">
        <v>7902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19"/>
      <c r="Q12" s="21"/>
      <c r="R12" s="21"/>
    </row>
    <row r="13" spans="1:20" ht="15.75" thickBot="1">
      <c r="A13" s="159">
        <v>11925</v>
      </c>
      <c r="B13" s="159">
        <v>11926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9"/>
      <c r="Q13" s="21"/>
      <c r="R13" s="21"/>
    </row>
    <row r="14" spans="1:20" ht="15.75" thickBot="1">
      <c r="A14" s="159">
        <v>11925</v>
      </c>
      <c r="B14" s="159">
        <v>11927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9"/>
      <c r="Q14" s="21"/>
      <c r="R14" s="21"/>
    </row>
    <row r="15" spans="1:20" ht="15.75" thickBot="1">
      <c r="A15" s="159">
        <v>11925</v>
      </c>
      <c r="B15" s="159">
        <v>11928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9"/>
      <c r="Q15" s="21"/>
      <c r="R15" s="21"/>
    </row>
    <row r="16" spans="1:20" ht="15.75" thickBot="1">
      <c r="A16" s="159">
        <v>11925</v>
      </c>
      <c r="B16" s="159">
        <v>11929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19"/>
      <c r="Q16" s="21"/>
      <c r="R16" s="21"/>
    </row>
    <row r="17" spans="1:18" ht="15.75" thickBot="1">
      <c r="A17" s="159">
        <v>11925</v>
      </c>
      <c r="B17" s="159">
        <v>11930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19"/>
      <c r="Q17" s="21"/>
      <c r="R17" s="21"/>
    </row>
    <row r="18" spans="1:18" ht="15.75" thickBot="1">
      <c r="A18" s="159">
        <v>11925</v>
      </c>
      <c r="B18" s="159">
        <v>11931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9"/>
      <c r="Q18" s="21"/>
      <c r="R18" s="21"/>
    </row>
    <row r="19" spans="1:18" ht="15.75" thickBot="1">
      <c r="A19" s="159">
        <v>11925</v>
      </c>
      <c r="B19" s="159">
        <v>11932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19"/>
      <c r="Q19" s="21"/>
      <c r="R19" s="21"/>
    </row>
    <row r="20" spans="1:18" ht="15.75" thickBot="1">
      <c r="A20" s="159">
        <v>11925</v>
      </c>
      <c r="B20" s="159">
        <v>11933</v>
      </c>
      <c r="C20" s="21"/>
      <c r="H20" s="21"/>
      <c r="P20" s="19"/>
    </row>
    <row r="21" spans="1:18" s="43" customFormat="1" ht="15.75" thickBot="1">
      <c r="A21" s="159">
        <v>11925</v>
      </c>
      <c r="B21" s="159">
        <v>11934</v>
      </c>
      <c r="C21" s="42"/>
      <c r="P21"/>
    </row>
    <row r="22" spans="1:18" ht="15.75" thickBot="1">
      <c r="A22" s="159">
        <v>11925</v>
      </c>
      <c r="B22" s="159">
        <v>11935</v>
      </c>
      <c r="C22"/>
      <c r="H22" s="2"/>
    </row>
    <row r="23" spans="1:18" ht="15.75" thickBot="1">
      <c r="A23" s="159">
        <v>11925</v>
      </c>
      <c r="B23" s="159">
        <v>11936</v>
      </c>
      <c r="C23"/>
      <c r="H23" s="2"/>
    </row>
    <row r="24" spans="1:18" ht="15.75" thickBot="1">
      <c r="A24" s="159">
        <v>11925</v>
      </c>
      <c r="B24" s="159">
        <v>11937</v>
      </c>
      <c r="C24"/>
      <c r="H24" s="2"/>
    </row>
    <row r="25" spans="1:18" ht="15.75" thickBot="1">
      <c r="A25" s="159">
        <v>11939</v>
      </c>
      <c r="B25" s="159">
        <v>11942</v>
      </c>
      <c r="C25"/>
    </row>
    <row r="26" spans="1:18" ht="15.75" thickBot="1">
      <c r="A26" s="159">
        <v>11939</v>
      </c>
      <c r="B26" s="159">
        <v>11943</v>
      </c>
      <c r="C26"/>
    </row>
    <row r="27" spans="1:18" ht="15.75" thickBot="1">
      <c r="A27" s="159">
        <v>11939</v>
      </c>
      <c r="B27" s="159">
        <v>11944</v>
      </c>
      <c r="C27"/>
    </row>
    <row r="28" spans="1:18" ht="15.75" thickBot="1">
      <c r="A28" s="159">
        <v>11939</v>
      </c>
      <c r="B28" s="159">
        <v>11945</v>
      </c>
    </row>
    <row r="29" spans="1:18" ht="15.75" thickBot="1">
      <c r="A29" s="159">
        <v>11939</v>
      </c>
      <c r="B29" s="159">
        <v>11946</v>
      </c>
    </row>
    <row r="30" spans="1:18" ht="15.75" thickBot="1">
      <c r="A30" s="159">
        <v>11939</v>
      </c>
      <c r="B30" s="159">
        <v>11947</v>
      </c>
    </row>
    <row r="31" spans="1:18" ht="15.75" thickBot="1">
      <c r="A31" s="159">
        <v>11939</v>
      </c>
      <c r="B31" s="159">
        <v>11948</v>
      </c>
    </row>
    <row r="32" spans="1:18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9"/>
  <sheetViews>
    <sheetView rightToLeft="1" workbookViewId="0">
      <selection activeCell="A2" sqref="A2:B39"/>
    </sheetView>
  </sheetViews>
  <sheetFormatPr defaultColWidth="9" defaultRowHeight="15"/>
  <cols>
    <col min="1" max="3" width="11.5703125" style="2" customWidth="1"/>
    <col min="4" max="6" width="11.5703125" customWidth="1"/>
    <col min="7" max="8" width="11.5703125" style="2" customWidth="1"/>
    <col min="9" max="16384" width="9" style="2"/>
  </cols>
  <sheetData>
    <row r="1" spans="1:9" ht="66.75" customHeight="1">
      <c r="A1" s="20" t="s">
        <v>800</v>
      </c>
      <c r="B1" s="20" t="s">
        <v>0</v>
      </c>
      <c r="C1" s="20" t="s">
        <v>1</v>
      </c>
      <c r="D1" s="20" t="s">
        <v>774</v>
      </c>
      <c r="E1" s="20" t="s">
        <v>773</v>
      </c>
      <c r="F1" s="20" t="s">
        <v>1179</v>
      </c>
      <c r="G1" s="20" t="s">
        <v>30</v>
      </c>
      <c r="H1" s="11"/>
    </row>
    <row r="2" spans="1:9" ht="15.75" thickBot="1">
      <c r="A2" s="159">
        <v>7891</v>
      </c>
      <c r="B2" s="159">
        <v>7892</v>
      </c>
      <c r="C2" s="22"/>
      <c r="D2" s="147"/>
      <c r="E2" s="42"/>
      <c r="F2" s="42"/>
      <c r="G2" s="28"/>
      <c r="H2" s="5"/>
      <c r="I2" s="5"/>
    </row>
    <row r="3" spans="1:9" ht="15.75" thickBot="1">
      <c r="A3" s="159">
        <v>7891</v>
      </c>
      <c r="B3" s="159">
        <v>7893</v>
      </c>
      <c r="C3" s="22"/>
      <c r="G3" s="21"/>
      <c r="H3" s="5"/>
      <c r="I3" s="5"/>
    </row>
    <row r="4" spans="1:9" ht="15.75" thickBot="1">
      <c r="A4" s="159">
        <v>7891</v>
      </c>
      <c r="B4" s="159">
        <v>7894</v>
      </c>
      <c r="C4" s="22"/>
      <c r="G4" s="21"/>
      <c r="H4" s="5"/>
      <c r="I4" s="5"/>
    </row>
    <row r="5" spans="1:9" ht="15.75" thickBot="1">
      <c r="A5" s="159">
        <v>7891</v>
      </c>
      <c r="B5" s="159">
        <v>7895</v>
      </c>
      <c r="C5" s="22"/>
      <c r="G5" s="21"/>
      <c r="H5" s="5"/>
      <c r="I5" s="5"/>
    </row>
    <row r="6" spans="1:9" ht="15.75" thickBot="1">
      <c r="A6" s="159">
        <v>7891</v>
      </c>
      <c r="B6" s="159">
        <v>7896</v>
      </c>
      <c r="C6" s="22"/>
      <c r="G6" s="21"/>
      <c r="H6" s="5"/>
      <c r="I6" s="5"/>
    </row>
    <row r="7" spans="1:9" ht="15.75" thickBot="1">
      <c r="A7" s="159">
        <v>7891</v>
      </c>
      <c r="B7" s="159">
        <v>7897</v>
      </c>
      <c r="C7" s="22"/>
      <c r="G7" s="21"/>
      <c r="H7" s="5"/>
      <c r="I7" s="5"/>
    </row>
    <row r="8" spans="1:9" ht="15.75" thickBot="1">
      <c r="A8" s="159">
        <v>7891</v>
      </c>
      <c r="B8" s="159">
        <v>7898</v>
      </c>
      <c r="C8" s="22"/>
      <c r="G8" s="21"/>
      <c r="H8" s="5"/>
      <c r="I8" s="5"/>
    </row>
    <row r="9" spans="1:9" ht="15.75" thickBot="1">
      <c r="A9" s="159">
        <v>7891</v>
      </c>
      <c r="B9" s="159">
        <v>7899</v>
      </c>
      <c r="C9" s="22"/>
      <c r="G9" s="21"/>
      <c r="H9" s="5"/>
      <c r="I9" s="5"/>
    </row>
    <row r="10" spans="1:9" ht="15.75" thickBot="1">
      <c r="A10" s="159">
        <v>7891</v>
      </c>
      <c r="B10" s="159">
        <v>7900</v>
      </c>
      <c r="C10" s="22"/>
      <c r="G10" s="21"/>
      <c r="H10" s="5"/>
      <c r="I10" s="5"/>
    </row>
    <row r="11" spans="1:9" ht="15.75" thickBot="1">
      <c r="A11" s="159">
        <v>7891</v>
      </c>
      <c r="B11" s="159">
        <v>7901</v>
      </c>
      <c r="C11" s="22"/>
      <c r="G11" s="21"/>
      <c r="H11" s="5"/>
      <c r="I11" s="5"/>
    </row>
    <row r="12" spans="1:9" ht="15.75" thickBot="1">
      <c r="A12" s="159">
        <v>7891</v>
      </c>
      <c r="B12" s="159">
        <v>7902</v>
      </c>
      <c r="C12" s="22"/>
      <c r="G12" s="21"/>
    </row>
    <row r="13" spans="1:9" ht="15.75" thickBot="1">
      <c r="A13" s="159">
        <v>11925</v>
      </c>
      <c r="B13" s="159">
        <v>11926</v>
      </c>
      <c r="C13" s="22"/>
      <c r="G13" s="21"/>
    </row>
    <row r="14" spans="1:9" ht="15.75" thickBot="1">
      <c r="A14" s="159">
        <v>11925</v>
      </c>
      <c r="B14" s="159">
        <v>11927</v>
      </c>
      <c r="C14" s="22"/>
      <c r="G14" s="21"/>
    </row>
    <row r="15" spans="1:9" ht="15.75" thickBot="1">
      <c r="A15" s="159">
        <v>11925</v>
      </c>
      <c r="B15" s="159">
        <v>11928</v>
      </c>
      <c r="C15" s="22"/>
      <c r="G15" s="21"/>
    </row>
    <row r="16" spans="1:9" ht="15.75" thickBot="1">
      <c r="A16" s="159">
        <v>11925</v>
      </c>
      <c r="B16" s="159">
        <v>11929</v>
      </c>
      <c r="C16" s="22"/>
      <c r="G16" s="21"/>
    </row>
    <row r="17" spans="1:7" ht="15.75" thickBot="1">
      <c r="A17" s="159">
        <v>11925</v>
      </c>
      <c r="B17" s="159">
        <v>11930</v>
      </c>
      <c r="C17" s="22"/>
      <c r="G17" s="21"/>
    </row>
    <row r="18" spans="1:7" ht="15.75" thickBot="1">
      <c r="A18" s="159">
        <v>11925</v>
      </c>
      <c r="B18" s="159">
        <v>11931</v>
      </c>
      <c r="C18" s="22"/>
      <c r="G18" s="21"/>
    </row>
    <row r="19" spans="1:7" ht="15.75" thickBot="1">
      <c r="A19" s="159">
        <v>11925</v>
      </c>
      <c r="B19" s="159">
        <v>11932</v>
      </c>
      <c r="C19" s="22"/>
      <c r="G19" s="21"/>
    </row>
    <row r="20" spans="1:7" ht="15.75" thickBot="1">
      <c r="A20" s="159">
        <v>11925</v>
      </c>
      <c r="B20" s="159">
        <v>11933</v>
      </c>
      <c r="C20" s="22"/>
    </row>
    <row r="21" spans="1:7" ht="15.75" thickBot="1">
      <c r="A21" s="159">
        <v>11925</v>
      </c>
      <c r="B21" s="159">
        <v>11934</v>
      </c>
      <c r="C21"/>
    </row>
    <row r="22" spans="1:7" ht="15.75" thickBot="1">
      <c r="A22" s="159">
        <v>11925</v>
      </c>
      <c r="B22" s="159">
        <v>11935</v>
      </c>
      <c r="C22"/>
    </row>
    <row r="23" spans="1:7" ht="15.75" thickBot="1">
      <c r="A23" s="159">
        <v>11925</v>
      </c>
      <c r="B23" s="159">
        <v>11936</v>
      </c>
      <c r="C23"/>
    </row>
    <row r="24" spans="1:7" ht="15.75" thickBot="1">
      <c r="A24" s="159">
        <v>11925</v>
      </c>
      <c r="B24" s="159">
        <v>11937</v>
      </c>
      <c r="C24"/>
    </row>
    <row r="25" spans="1:7" ht="15.75" thickBot="1">
      <c r="A25" s="159">
        <v>11939</v>
      </c>
      <c r="B25" s="159">
        <v>11942</v>
      </c>
      <c r="C25"/>
    </row>
    <row r="26" spans="1:7" ht="15.75" thickBot="1">
      <c r="A26" s="159">
        <v>11939</v>
      </c>
      <c r="B26" s="159">
        <v>11943</v>
      </c>
      <c r="C26"/>
    </row>
    <row r="27" spans="1:7" ht="15.75" thickBot="1">
      <c r="A27" s="159">
        <v>11939</v>
      </c>
      <c r="B27" s="159">
        <v>11944</v>
      </c>
      <c r="C27"/>
    </row>
    <row r="28" spans="1:7" ht="15.75" thickBot="1">
      <c r="A28" s="159">
        <v>11939</v>
      </c>
      <c r="B28" s="159">
        <v>11945</v>
      </c>
    </row>
    <row r="29" spans="1:7" ht="15.75" thickBot="1">
      <c r="A29" s="159">
        <v>11939</v>
      </c>
      <c r="B29" s="159">
        <v>11946</v>
      </c>
    </row>
    <row r="30" spans="1:7" ht="15.75" thickBot="1">
      <c r="A30" s="159">
        <v>11939</v>
      </c>
      <c r="B30" s="159">
        <v>11947</v>
      </c>
    </row>
    <row r="31" spans="1:7" ht="15.75" thickBot="1">
      <c r="A31" s="159">
        <v>11939</v>
      </c>
      <c r="B31" s="159">
        <v>11948</v>
      </c>
    </row>
    <row r="32" spans="1:7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39"/>
  <sheetViews>
    <sheetView rightToLeft="1" workbookViewId="0">
      <selection activeCell="A2" sqref="A2:B39"/>
    </sheetView>
  </sheetViews>
  <sheetFormatPr defaultRowHeight="1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/>
    <col min="27" max="40" width="11.5703125" customWidth="1"/>
  </cols>
  <sheetData>
    <row r="1" spans="1:40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9</v>
      </c>
      <c r="M1" s="20" t="s">
        <v>622</v>
      </c>
      <c r="N1" s="20" t="s">
        <v>12</v>
      </c>
      <c r="O1" s="20" t="s">
        <v>6</v>
      </c>
      <c r="P1" s="20" t="s">
        <v>8</v>
      </c>
      <c r="Q1" s="20" t="s">
        <v>1164</v>
      </c>
      <c r="R1" s="20" t="s">
        <v>396</v>
      </c>
      <c r="S1" s="20" t="s">
        <v>13</v>
      </c>
      <c r="T1" s="20" t="s">
        <v>282</v>
      </c>
      <c r="U1" s="20" t="s">
        <v>309</v>
      </c>
      <c r="V1" s="20" t="s">
        <v>421</v>
      </c>
      <c r="W1" s="20" t="s">
        <v>14</v>
      </c>
      <c r="X1" s="20" t="s">
        <v>637</v>
      </c>
      <c r="Y1" s="20" t="s">
        <v>942</v>
      </c>
      <c r="Z1" s="20" t="s">
        <v>685</v>
      </c>
      <c r="AA1" s="20" t="s">
        <v>933</v>
      </c>
      <c r="AB1" s="20" t="s">
        <v>372</v>
      </c>
      <c r="AC1" s="20" t="s">
        <v>747</v>
      </c>
      <c r="AD1" s="20" t="s">
        <v>16</v>
      </c>
      <c r="AE1" s="20" t="s">
        <v>1165</v>
      </c>
      <c r="AF1" s="20" t="s">
        <v>789</v>
      </c>
      <c r="AG1" s="20" t="s">
        <v>11</v>
      </c>
      <c r="AH1" s="20" t="s">
        <v>15</v>
      </c>
      <c r="AI1" s="20" t="s">
        <v>1171</v>
      </c>
      <c r="AJ1" s="20" t="s">
        <v>1172</v>
      </c>
      <c r="AK1" s="20" t="s">
        <v>804</v>
      </c>
      <c r="AL1" s="20" t="s">
        <v>26</v>
      </c>
      <c r="AM1" s="20" t="s">
        <v>19</v>
      </c>
      <c r="AN1" s="20" t="s">
        <v>30</v>
      </c>
    </row>
    <row r="2" spans="1:40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19"/>
      <c r="I2" s="21"/>
      <c r="J2" s="19"/>
      <c r="K2" s="19"/>
      <c r="L2" s="21"/>
      <c r="M2" s="21"/>
      <c r="N2" s="21"/>
      <c r="O2" s="21"/>
      <c r="P2" s="21"/>
      <c r="Q2" s="21"/>
      <c r="R2" s="19"/>
      <c r="S2" s="21"/>
      <c r="T2" s="21"/>
      <c r="U2" s="21"/>
      <c r="V2" s="21"/>
      <c r="W2" s="21"/>
      <c r="X2" s="21"/>
      <c r="Y2" s="19"/>
      <c r="Z2" s="22"/>
      <c r="AA2" s="21"/>
      <c r="AB2" s="21"/>
      <c r="AC2" s="22"/>
      <c r="AD2" s="22"/>
      <c r="AE2" s="21"/>
      <c r="AF2" s="21"/>
      <c r="AG2" s="21"/>
      <c r="AH2" s="21"/>
      <c r="AI2" s="21"/>
      <c r="AK2" s="41"/>
      <c r="AL2" s="21"/>
    </row>
    <row r="3" spans="1:40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19"/>
      <c r="I3" s="21"/>
      <c r="J3" s="19"/>
      <c r="K3" s="19"/>
      <c r="L3" s="21"/>
      <c r="M3" s="21"/>
      <c r="N3" s="21"/>
      <c r="O3" s="21"/>
      <c r="P3" s="21"/>
      <c r="Q3" s="21"/>
      <c r="R3" s="19"/>
      <c r="S3" s="21"/>
      <c r="T3" s="21"/>
      <c r="U3" s="21"/>
      <c r="V3" s="21"/>
      <c r="W3" s="21"/>
      <c r="X3" s="21"/>
      <c r="Y3" s="19"/>
      <c r="Z3" s="19"/>
      <c r="AA3" s="21"/>
      <c r="AB3" s="21"/>
      <c r="AC3" s="42"/>
      <c r="AF3" s="21"/>
      <c r="AG3" s="22"/>
      <c r="AH3" s="21"/>
      <c r="AI3" s="21"/>
      <c r="AK3" s="21"/>
      <c r="AL3" s="21"/>
    </row>
    <row r="4" spans="1:40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19"/>
      <c r="I4" s="21"/>
      <c r="J4" s="19"/>
      <c r="K4" s="19"/>
      <c r="L4" s="21"/>
      <c r="M4" s="21"/>
      <c r="N4" s="21"/>
      <c r="O4" s="21"/>
      <c r="P4" s="21"/>
      <c r="Q4" s="21"/>
      <c r="R4" s="19"/>
      <c r="S4" s="21"/>
      <c r="T4" s="21"/>
      <c r="U4" s="21"/>
      <c r="V4" s="21"/>
      <c r="W4" s="21"/>
      <c r="X4" s="21"/>
      <c r="Y4" s="19"/>
      <c r="Z4" s="19"/>
      <c r="AA4" s="21"/>
      <c r="AB4" s="21"/>
      <c r="AD4" s="22"/>
      <c r="AE4" s="21"/>
      <c r="AF4" s="21"/>
      <c r="AG4" s="21"/>
      <c r="AH4" s="21"/>
      <c r="AI4" s="21"/>
      <c r="AK4" s="21"/>
      <c r="AL4" s="21"/>
    </row>
    <row r="5" spans="1:40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19"/>
      <c r="I5" s="21"/>
      <c r="J5" s="19"/>
      <c r="K5" s="19"/>
      <c r="L5" s="21"/>
      <c r="M5" s="21"/>
      <c r="N5" s="21"/>
      <c r="O5" s="21"/>
      <c r="P5" s="21"/>
      <c r="Q5" s="21"/>
      <c r="R5" s="19"/>
      <c r="S5" s="21"/>
      <c r="T5" s="21"/>
      <c r="U5" s="21"/>
      <c r="V5" s="21"/>
      <c r="W5" s="21"/>
      <c r="X5" s="21"/>
      <c r="Y5" s="19"/>
      <c r="Z5" s="19"/>
      <c r="AA5" s="21"/>
      <c r="AB5" s="21"/>
      <c r="AD5" s="22"/>
      <c r="AE5" s="21"/>
      <c r="AF5" s="21"/>
      <c r="AG5" s="21"/>
      <c r="AH5" s="21"/>
      <c r="AI5" s="21"/>
      <c r="AK5" s="21"/>
      <c r="AL5" s="21"/>
    </row>
    <row r="6" spans="1:40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19"/>
      <c r="I6" s="21"/>
      <c r="J6" s="19"/>
      <c r="K6" s="19"/>
      <c r="L6" s="21"/>
      <c r="M6" s="21"/>
      <c r="N6" s="21"/>
      <c r="O6" s="21"/>
      <c r="P6" s="21"/>
      <c r="Q6" s="21"/>
      <c r="R6" s="19"/>
      <c r="S6" s="21"/>
      <c r="T6" s="21"/>
      <c r="U6" s="21"/>
      <c r="V6" s="21"/>
      <c r="W6" s="21"/>
      <c r="X6" s="21"/>
      <c r="Y6" s="19"/>
      <c r="Z6" s="19"/>
      <c r="AA6" s="21"/>
      <c r="AB6" s="21"/>
      <c r="AD6" s="22"/>
      <c r="AE6" s="21"/>
      <c r="AF6" s="21"/>
      <c r="AG6" s="21"/>
      <c r="AH6" s="21"/>
      <c r="AI6" s="21"/>
      <c r="AK6" s="21"/>
      <c r="AL6" s="21"/>
    </row>
    <row r="7" spans="1:40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19"/>
      <c r="I7" s="21"/>
      <c r="J7" s="19"/>
      <c r="K7" s="19"/>
      <c r="L7" s="21"/>
      <c r="M7" s="21"/>
      <c r="N7" s="21"/>
      <c r="O7" s="21"/>
      <c r="P7" s="21"/>
      <c r="Q7" s="21"/>
      <c r="R7" s="19"/>
      <c r="S7" s="21"/>
      <c r="T7" s="21"/>
      <c r="U7" s="21"/>
      <c r="V7" s="21"/>
      <c r="W7" s="21"/>
      <c r="X7" s="21"/>
      <c r="Y7" s="19"/>
      <c r="Z7" s="19"/>
      <c r="AA7" s="21"/>
      <c r="AB7" s="21"/>
      <c r="AD7" s="22"/>
      <c r="AE7" s="21"/>
      <c r="AF7" s="21"/>
      <c r="AG7" s="21"/>
      <c r="AH7" s="21"/>
      <c r="AI7" s="21"/>
      <c r="AK7" s="21"/>
      <c r="AL7" s="21"/>
    </row>
    <row r="8" spans="1:40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19"/>
      <c r="I8" s="21"/>
      <c r="J8" s="19"/>
      <c r="K8" s="19"/>
      <c r="L8" s="21"/>
      <c r="M8" s="21"/>
      <c r="N8" s="21"/>
      <c r="O8" s="21"/>
      <c r="P8" s="21"/>
      <c r="Q8" s="21"/>
      <c r="R8" s="19"/>
      <c r="S8" s="21"/>
      <c r="T8" s="21"/>
      <c r="U8" s="21"/>
      <c r="V8" s="21"/>
      <c r="W8" s="21"/>
      <c r="X8" s="21"/>
      <c r="Y8" s="19"/>
      <c r="Z8" s="19"/>
      <c r="AA8" s="21"/>
      <c r="AB8" s="21"/>
      <c r="AD8" s="22"/>
      <c r="AE8" s="21"/>
      <c r="AF8" s="21"/>
      <c r="AG8" s="21"/>
      <c r="AH8" s="21"/>
      <c r="AI8" s="21"/>
      <c r="AK8" s="21"/>
      <c r="AL8" s="21"/>
    </row>
    <row r="9" spans="1:40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19"/>
      <c r="I9" s="21"/>
      <c r="J9" s="19"/>
      <c r="K9" s="19"/>
      <c r="L9" s="21"/>
      <c r="M9" s="21"/>
      <c r="N9" s="21"/>
      <c r="O9" s="21"/>
      <c r="P9" s="21"/>
      <c r="Q9" s="21"/>
      <c r="R9" s="19"/>
      <c r="S9" s="21"/>
      <c r="T9" s="21"/>
      <c r="U9" s="21"/>
      <c r="V9" s="21"/>
      <c r="W9" s="21"/>
      <c r="X9" s="21"/>
      <c r="Y9" s="19"/>
      <c r="Z9" s="19"/>
      <c r="AA9" s="21"/>
      <c r="AB9" s="21"/>
      <c r="AD9" s="22"/>
      <c r="AE9" s="21"/>
      <c r="AF9" s="21"/>
      <c r="AG9" s="21"/>
      <c r="AH9" s="21"/>
      <c r="AL9" s="21"/>
    </row>
    <row r="10" spans="1:40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19"/>
      <c r="I10" s="21"/>
      <c r="J10" s="19"/>
      <c r="K10" s="19"/>
      <c r="L10" s="21"/>
      <c r="M10" s="21"/>
      <c r="N10" s="21"/>
      <c r="O10" s="21"/>
      <c r="P10" s="21"/>
      <c r="Q10" s="21"/>
      <c r="R10" s="19"/>
      <c r="S10" s="21"/>
      <c r="T10" s="21"/>
      <c r="U10" s="21"/>
      <c r="V10" s="21"/>
      <c r="W10" s="21"/>
      <c r="X10" s="21"/>
      <c r="Y10" s="19"/>
      <c r="Z10" s="19"/>
      <c r="AA10" s="21"/>
      <c r="AB10" s="21"/>
      <c r="AD10" s="22"/>
      <c r="AE10" s="21"/>
      <c r="AF10" s="21"/>
      <c r="AG10" s="21"/>
      <c r="AH10" s="21"/>
      <c r="AL10" s="21"/>
    </row>
    <row r="11" spans="1:40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19"/>
      <c r="I11" s="21"/>
      <c r="J11" s="19"/>
      <c r="K11" s="19"/>
      <c r="L11" s="21"/>
      <c r="M11" s="21"/>
      <c r="N11" s="21"/>
      <c r="O11" s="21"/>
      <c r="P11" s="21"/>
      <c r="Q11" s="21"/>
      <c r="R11" s="19"/>
      <c r="S11" s="21"/>
      <c r="T11" s="21"/>
      <c r="U11" s="21"/>
      <c r="V11" s="21"/>
      <c r="W11" s="21"/>
      <c r="X11" s="21"/>
      <c r="Y11" s="19"/>
      <c r="Z11" s="19"/>
      <c r="AA11" s="21"/>
      <c r="AB11" s="21"/>
      <c r="AD11" s="22"/>
      <c r="AE11" s="21"/>
      <c r="AF11" s="21"/>
      <c r="AG11" s="21"/>
      <c r="AH11" s="21"/>
      <c r="AI11" s="21"/>
      <c r="AK11" s="21"/>
      <c r="AL11" s="21"/>
    </row>
    <row r="12" spans="1:40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19"/>
      <c r="I12" s="21"/>
      <c r="J12" s="19"/>
      <c r="K12" s="19"/>
      <c r="L12" s="21"/>
      <c r="M12" s="21"/>
      <c r="N12" s="21"/>
      <c r="O12" s="21"/>
      <c r="P12" s="21"/>
      <c r="Q12" s="21"/>
      <c r="R12" s="19"/>
      <c r="S12" s="21"/>
      <c r="T12" s="21"/>
      <c r="U12" s="21"/>
      <c r="V12" s="21"/>
      <c r="W12" s="21"/>
      <c r="X12" s="21"/>
      <c r="Y12" s="19"/>
      <c r="Z12" s="19"/>
      <c r="AA12" s="21"/>
      <c r="AB12" s="21"/>
      <c r="AD12" s="22"/>
      <c r="AE12" s="21"/>
      <c r="AF12" s="21"/>
      <c r="AG12" s="21"/>
      <c r="AH12" s="21"/>
      <c r="AI12" s="21"/>
      <c r="AK12" s="21"/>
      <c r="AL12" s="21"/>
    </row>
    <row r="13" spans="1:40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19"/>
      <c r="I13" s="21"/>
      <c r="J13" s="19"/>
      <c r="K13" s="19"/>
      <c r="L13" s="21"/>
      <c r="M13" s="21"/>
      <c r="N13" s="21"/>
      <c r="O13" s="21"/>
      <c r="P13" s="21"/>
      <c r="Q13" s="21"/>
      <c r="R13" s="19"/>
      <c r="S13" s="21"/>
      <c r="T13" s="21"/>
      <c r="U13" s="21"/>
      <c r="V13" s="21"/>
      <c r="W13" s="21"/>
      <c r="X13" s="21"/>
      <c r="Y13" s="19"/>
      <c r="Z13" s="19"/>
      <c r="AA13" s="21"/>
      <c r="AB13" s="21"/>
      <c r="AD13" s="22"/>
      <c r="AE13" s="21"/>
      <c r="AF13" s="21"/>
      <c r="AG13" s="21"/>
      <c r="AH13" s="21"/>
      <c r="AI13" s="21"/>
      <c r="AK13" s="21"/>
      <c r="AL13" s="21"/>
    </row>
    <row r="14" spans="1:40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19"/>
      <c r="I14" s="21"/>
      <c r="J14" s="19"/>
      <c r="K14" s="19"/>
      <c r="L14" s="21"/>
      <c r="M14" s="21"/>
      <c r="N14" s="21"/>
      <c r="O14" s="21"/>
      <c r="P14" s="21"/>
      <c r="Q14" s="21"/>
      <c r="R14" s="19"/>
      <c r="S14" s="21"/>
      <c r="T14" s="21"/>
      <c r="U14" s="21"/>
      <c r="V14" s="21"/>
      <c r="W14" s="21"/>
      <c r="X14" s="21"/>
      <c r="Y14" s="19"/>
      <c r="Z14" s="19"/>
      <c r="AA14" s="21"/>
      <c r="AB14" s="21"/>
      <c r="AD14" s="22"/>
      <c r="AE14" s="21"/>
      <c r="AF14" s="21"/>
      <c r="AG14" s="21"/>
      <c r="AH14" s="21"/>
      <c r="AI14" s="21"/>
      <c r="AK14" s="21"/>
      <c r="AL14" s="21"/>
    </row>
    <row r="15" spans="1:40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19"/>
      <c r="I15" s="21"/>
      <c r="J15" s="19"/>
      <c r="K15" s="19"/>
      <c r="L15" s="21"/>
      <c r="M15" s="21"/>
      <c r="N15" s="21"/>
      <c r="O15" s="21"/>
      <c r="P15" s="21"/>
      <c r="Q15" s="21"/>
      <c r="R15" s="19"/>
      <c r="S15" s="21"/>
      <c r="T15" s="21"/>
      <c r="U15" s="21"/>
      <c r="V15" s="21"/>
      <c r="W15" s="21"/>
      <c r="X15" s="21"/>
      <c r="Y15" s="19"/>
      <c r="Z15" s="19"/>
      <c r="AA15" s="21"/>
      <c r="AB15" s="21"/>
      <c r="AD15" s="22"/>
      <c r="AE15" s="21"/>
      <c r="AF15" s="21"/>
      <c r="AG15" s="21"/>
      <c r="AH15" s="21"/>
      <c r="AI15" s="21"/>
      <c r="AK15" s="21"/>
      <c r="AL15" s="21"/>
    </row>
    <row r="16" spans="1:40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19"/>
      <c r="I16" s="21"/>
      <c r="J16" s="19"/>
      <c r="K16" s="19"/>
      <c r="L16" s="21"/>
      <c r="M16" s="21"/>
      <c r="N16" s="21"/>
      <c r="O16" s="21"/>
      <c r="P16" s="21"/>
      <c r="Q16" s="21"/>
      <c r="R16" s="19"/>
      <c r="S16" s="21"/>
      <c r="T16" s="21"/>
      <c r="U16" s="21"/>
      <c r="V16" s="21"/>
      <c r="W16" s="21"/>
      <c r="X16" s="21"/>
      <c r="Y16" s="19"/>
      <c r="Z16" s="19"/>
      <c r="AA16" s="21"/>
      <c r="AB16" s="21"/>
      <c r="AD16" s="22"/>
      <c r="AE16" s="21"/>
      <c r="AF16" s="21"/>
      <c r="AG16" s="21"/>
      <c r="AH16" s="21"/>
      <c r="AI16" s="21"/>
      <c r="AK16" s="21"/>
      <c r="AL16" s="21"/>
    </row>
    <row r="17" spans="1:38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19"/>
      <c r="I17" s="21"/>
      <c r="J17" s="19"/>
      <c r="K17" s="19"/>
      <c r="L17" s="21"/>
      <c r="M17" s="21"/>
      <c r="N17" s="21"/>
      <c r="O17" s="21"/>
      <c r="P17" s="21"/>
      <c r="Q17" s="21"/>
      <c r="R17" s="19"/>
      <c r="S17" s="21"/>
      <c r="T17" s="21"/>
      <c r="U17" s="21"/>
      <c r="V17" s="21"/>
      <c r="W17" s="21"/>
      <c r="X17" s="21"/>
      <c r="Y17" s="19"/>
      <c r="Z17" s="19"/>
      <c r="AA17" s="21"/>
      <c r="AB17" s="21"/>
      <c r="AD17" s="22"/>
      <c r="AE17" s="21"/>
      <c r="AF17" s="21"/>
      <c r="AG17" s="21"/>
      <c r="AH17" s="21"/>
      <c r="AI17" s="21"/>
      <c r="AK17" s="21"/>
      <c r="AL17" s="21"/>
    </row>
    <row r="18" spans="1:38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19"/>
      <c r="I18" s="21"/>
      <c r="J18" s="19"/>
      <c r="K18" s="19"/>
      <c r="L18" s="21"/>
      <c r="M18" s="21"/>
      <c r="N18" s="21"/>
      <c r="O18" s="21"/>
      <c r="P18" s="21"/>
      <c r="Q18" s="21"/>
      <c r="R18" s="19"/>
      <c r="S18" s="21"/>
      <c r="T18" s="21"/>
      <c r="U18" s="21"/>
      <c r="V18" s="21"/>
      <c r="W18" s="21"/>
      <c r="X18" s="21"/>
      <c r="Y18" s="19"/>
      <c r="Z18" s="19"/>
      <c r="AA18" s="21"/>
      <c r="AB18" s="21"/>
      <c r="AD18" s="22"/>
      <c r="AE18" s="21"/>
      <c r="AF18" s="21"/>
      <c r="AG18" s="21"/>
      <c r="AH18" s="21"/>
      <c r="AI18" s="21"/>
      <c r="AK18" s="21"/>
      <c r="AL18" s="21"/>
    </row>
    <row r="19" spans="1:38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19"/>
      <c r="I19" s="21"/>
      <c r="J19" s="19"/>
      <c r="K19" s="19"/>
      <c r="L19" s="21"/>
      <c r="M19" s="21"/>
      <c r="N19" s="21"/>
      <c r="O19" s="21"/>
      <c r="P19" s="21"/>
      <c r="Q19" s="21"/>
      <c r="R19" s="19"/>
      <c r="S19" s="21"/>
      <c r="T19" s="21"/>
      <c r="U19" s="21"/>
      <c r="V19" s="21"/>
      <c r="W19" s="21"/>
      <c r="X19" s="21"/>
      <c r="Y19" s="19"/>
      <c r="Z19" s="19"/>
      <c r="AA19" s="21"/>
      <c r="AB19" s="21"/>
      <c r="AD19" s="22"/>
      <c r="AE19" s="21"/>
      <c r="AF19" s="21"/>
      <c r="AG19" s="21"/>
      <c r="AH19" s="21"/>
      <c r="AI19" s="21"/>
      <c r="AK19" s="21"/>
      <c r="AL19" s="21"/>
    </row>
    <row r="20" spans="1:38" ht="15.75" thickBot="1">
      <c r="A20" s="159">
        <v>11925</v>
      </c>
      <c r="B20" s="159">
        <v>11933</v>
      </c>
      <c r="E20" s="19"/>
      <c r="H20" s="19"/>
      <c r="I20" s="21"/>
      <c r="J20" s="19"/>
      <c r="K20" s="19"/>
      <c r="L20" s="21"/>
      <c r="M20" s="21"/>
      <c r="P20" s="21"/>
      <c r="Q20" s="21"/>
      <c r="T20" s="21"/>
      <c r="U20" s="21"/>
      <c r="Y20" s="19"/>
      <c r="Z20" s="19"/>
      <c r="AA20" s="21"/>
      <c r="AB20" s="21"/>
      <c r="AL20" s="21"/>
    </row>
    <row r="21" spans="1:38" ht="15.75" thickBot="1">
      <c r="A21" s="159">
        <v>11925</v>
      </c>
      <c r="B21" s="159">
        <v>11934</v>
      </c>
      <c r="E21"/>
      <c r="L21"/>
      <c r="Y21" s="46"/>
      <c r="Z21"/>
      <c r="AL21" s="2"/>
    </row>
    <row r="22" spans="1:38" ht="15.75" thickBot="1">
      <c r="A22" s="159">
        <v>11925</v>
      </c>
      <c r="B22" s="159">
        <v>11935</v>
      </c>
      <c r="T22" s="2"/>
      <c r="U22" s="2"/>
      <c r="AL22" s="2"/>
    </row>
    <row r="23" spans="1:38" ht="15.75" thickBot="1">
      <c r="A23" s="159">
        <v>11925</v>
      </c>
      <c r="B23" s="159">
        <v>11936</v>
      </c>
      <c r="T23" s="2"/>
      <c r="U23" s="2"/>
    </row>
    <row r="24" spans="1:38" ht="15.75" thickBot="1">
      <c r="A24" s="159">
        <v>11925</v>
      </c>
      <c r="B24" s="159">
        <v>11937</v>
      </c>
      <c r="T24" s="2"/>
      <c r="U24" s="2"/>
    </row>
    <row r="25" spans="1:38" ht="15.75" thickBot="1">
      <c r="A25" s="159">
        <v>11939</v>
      </c>
      <c r="B25" s="159">
        <v>11942</v>
      </c>
    </row>
    <row r="26" spans="1:38" ht="15.75" thickBot="1">
      <c r="A26" s="159">
        <v>11939</v>
      </c>
      <c r="B26" s="159">
        <v>11943</v>
      </c>
    </row>
    <row r="27" spans="1:38" ht="15.75" thickBot="1">
      <c r="A27" s="159">
        <v>11939</v>
      </c>
      <c r="B27" s="159">
        <v>11944</v>
      </c>
    </row>
    <row r="28" spans="1:38" ht="15.75" thickBot="1">
      <c r="A28" s="159">
        <v>11939</v>
      </c>
      <c r="B28" s="159">
        <v>11945</v>
      </c>
    </row>
    <row r="29" spans="1:38" ht="15.75" thickBot="1">
      <c r="A29" s="159">
        <v>11939</v>
      </c>
      <c r="B29" s="159">
        <v>11946</v>
      </c>
    </row>
    <row r="30" spans="1:38" ht="15.75" thickBot="1">
      <c r="A30" s="159">
        <v>11939</v>
      </c>
      <c r="B30" s="159">
        <v>11947</v>
      </c>
    </row>
    <row r="31" spans="1:38" ht="15.75" thickBot="1">
      <c r="A31" s="159">
        <v>11939</v>
      </c>
      <c r="B31" s="159">
        <v>11948</v>
      </c>
    </row>
    <row r="32" spans="1:38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4" width="11.5703125" style="4"/>
    <col min="25" max="25" width="11.5703125" style="4" customWidth="1"/>
    <col min="26" max="38" width="11.5703125" style="2" customWidth="1"/>
    <col min="39" max="16384" width="9" style="2"/>
  </cols>
  <sheetData>
    <row r="1" spans="1:38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625</v>
      </c>
      <c r="M1" s="20" t="s">
        <v>9</v>
      </c>
      <c r="N1" s="20" t="s">
        <v>622</v>
      </c>
      <c r="O1" s="20" t="s">
        <v>12</v>
      </c>
      <c r="P1" s="20" t="s">
        <v>6</v>
      </c>
      <c r="Q1" s="20" t="s">
        <v>8</v>
      </c>
      <c r="R1" s="20" t="s">
        <v>1164</v>
      </c>
      <c r="S1" s="20" t="s">
        <v>396</v>
      </c>
      <c r="T1" s="20" t="s">
        <v>13</v>
      </c>
      <c r="U1" s="20" t="s">
        <v>421</v>
      </c>
      <c r="V1" s="20" t="s">
        <v>637</v>
      </c>
      <c r="W1" s="20" t="s">
        <v>14</v>
      </c>
      <c r="X1" s="20" t="s">
        <v>942</v>
      </c>
      <c r="Y1" s="20" t="s">
        <v>685</v>
      </c>
      <c r="Z1" s="20" t="s">
        <v>933</v>
      </c>
      <c r="AA1" s="20" t="s">
        <v>372</v>
      </c>
      <c r="AB1" s="20" t="s">
        <v>16</v>
      </c>
      <c r="AC1" s="20" t="s">
        <v>1165</v>
      </c>
      <c r="AD1" s="20" t="s">
        <v>789</v>
      </c>
      <c r="AE1" s="20" t="s">
        <v>11</v>
      </c>
      <c r="AF1" s="20" t="s">
        <v>15</v>
      </c>
      <c r="AG1" s="20" t="s">
        <v>1171</v>
      </c>
      <c r="AH1" s="20" t="s">
        <v>1172</v>
      </c>
      <c r="AI1" s="20" t="s">
        <v>804</v>
      </c>
      <c r="AJ1" s="20" t="s">
        <v>26</v>
      </c>
      <c r="AK1" s="20" t="s">
        <v>19</v>
      </c>
      <c r="AL1" s="20" t="s">
        <v>30</v>
      </c>
    </row>
    <row r="2" spans="1:38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21"/>
      <c r="I2" s="21"/>
      <c r="J2" s="19"/>
      <c r="K2" s="19"/>
      <c r="L2" s="21"/>
      <c r="M2" s="21"/>
      <c r="N2" s="21"/>
      <c r="O2" s="21"/>
      <c r="P2" s="21"/>
      <c r="Q2" s="21"/>
      <c r="R2" s="21"/>
      <c r="S2" s="19"/>
      <c r="T2" s="21"/>
      <c r="U2" s="21"/>
      <c r="V2" s="21"/>
      <c r="W2"/>
      <c r="X2" s="19"/>
      <c r="Y2" s="32"/>
      <c r="Z2" s="21"/>
      <c r="AA2" s="21"/>
      <c r="AC2" s="21"/>
      <c r="AD2" s="21"/>
      <c r="AE2" s="21"/>
      <c r="AF2" s="21"/>
      <c r="AG2" s="21"/>
      <c r="AH2" s="21"/>
      <c r="AI2" s="41"/>
      <c r="AJ2" s="22"/>
    </row>
    <row r="3" spans="1:38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21"/>
      <c r="I3" s="21"/>
      <c r="J3" s="19"/>
      <c r="K3" s="19"/>
      <c r="L3" s="21"/>
      <c r="M3" s="21"/>
      <c r="N3" s="21"/>
      <c r="O3" s="21"/>
      <c r="P3" s="21"/>
      <c r="Q3" s="21"/>
      <c r="R3" s="21"/>
      <c r="S3" s="19"/>
      <c r="T3" s="21"/>
      <c r="U3" s="21"/>
      <c r="V3" s="21"/>
      <c r="W3"/>
      <c r="X3" s="19"/>
      <c r="Y3" s="19"/>
      <c r="Z3" s="21"/>
      <c r="AA3" s="21"/>
      <c r="AC3" s="21"/>
      <c r="AD3" s="21"/>
      <c r="AE3" s="21"/>
      <c r="AF3" s="21"/>
      <c r="AG3" s="21"/>
      <c r="AH3" s="21"/>
      <c r="AI3" s="21"/>
      <c r="AJ3" s="22"/>
    </row>
    <row r="4" spans="1:38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21"/>
      <c r="I4" s="21"/>
      <c r="J4" s="19"/>
      <c r="K4" s="19"/>
      <c r="L4" s="21"/>
      <c r="M4" s="21"/>
      <c r="N4" s="21"/>
      <c r="P4" s="21"/>
      <c r="Q4" s="21"/>
      <c r="R4" s="21"/>
      <c r="S4" s="21"/>
      <c r="T4" s="21"/>
      <c r="U4" s="21"/>
      <c r="V4" s="21"/>
      <c r="W4"/>
      <c r="X4" s="19"/>
      <c r="Y4" s="19"/>
      <c r="Z4" s="21"/>
      <c r="AA4" s="21"/>
      <c r="AE4" s="21"/>
      <c r="AF4" s="21"/>
      <c r="AG4" s="21"/>
      <c r="AH4" s="21"/>
      <c r="AI4" s="21"/>
      <c r="AJ4" s="22"/>
    </row>
    <row r="5" spans="1:38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21"/>
      <c r="I5" s="21"/>
      <c r="J5" s="19"/>
      <c r="K5" s="19"/>
      <c r="L5" s="21"/>
      <c r="M5" s="21"/>
      <c r="N5" s="21"/>
      <c r="O5" s="21"/>
      <c r="P5" s="21"/>
      <c r="Q5" s="21"/>
      <c r="R5" s="21"/>
      <c r="S5" s="19"/>
      <c r="T5" s="21"/>
      <c r="U5" s="21"/>
      <c r="V5" s="21"/>
      <c r="W5"/>
      <c r="X5" s="19"/>
      <c r="Y5" s="19"/>
      <c r="Z5" s="21"/>
      <c r="AA5" s="21"/>
      <c r="AC5" s="21"/>
      <c r="AD5" s="21"/>
      <c r="AE5" s="21"/>
      <c r="AF5" s="21"/>
      <c r="AG5"/>
      <c r="AH5"/>
      <c r="AI5"/>
      <c r="AJ5" s="22"/>
    </row>
    <row r="6" spans="1:38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21"/>
      <c r="I6" s="21"/>
      <c r="J6" s="19"/>
      <c r="K6" s="19"/>
      <c r="L6" s="21"/>
      <c r="M6" s="21"/>
      <c r="N6" s="21"/>
      <c r="O6" s="21"/>
      <c r="P6" s="21"/>
      <c r="Q6" s="21"/>
      <c r="R6" s="21"/>
      <c r="S6" s="19"/>
      <c r="T6" s="21"/>
      <c r="U6" s="21"/>
      <c r="V6" s="21"/>
      <c r="W6"/>
      <c r="X6" s="19"/>
      <c r="Y6" s="19"/>
      <c r="Z6" s="21"/>
      <c r="AA6" s="21"/>
      <c r="AC6" s="21"/>
      <c r="AD6" s="21"/>
      <c r="AE6" s="21"/>
      <c r="AF6" s="21"/>
      <c r="AG6"/>
      <c r="AH6"/>
      <c r="AI6"/>
      <c r="AJ6" s="22"/>
    </row>
    <row r="7" spans="1:38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21"/>
      <c r="I7" s="21"/>
      <c r="J7" s="19"/>
      <c r="K7" s="19"/>
      <c r="L7" s="21"/>
      <c r="M7" s="21"/>
      <c r="N7" s="21"/>
      <c r="O7" s="21"/>
      <c r="P7" s="21"/>
      <c r="Q7" s="21"/>
      <c r="R7" s="21"/>
      <c r="S7" s="19"/>
      <c r="T7" s="21"/>
      <c r="U7" s="21"/>
      <c r="V7" s="21"/>
      <c r="W7"/>
      <c r="X7" s="19"/>
      <c r="Y7" s="19"/>
      <c r="Z7" s="21"/>
      <c r="AA7" s="21"/>
      <c r="AC7" s="21"/>
      <c r="AD7" s="21"/>
      <c r="AE7" s="21"/>
      <c r="AF7" s="21"/>
      <c r="AG7" s="21"/>
      <c r="AH7" s="21"/>
      <c r="AI7" s="21"/>
      <c r="AJ7" s="22"/>
    </row>
    <row r="8" spans="1:38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21"/>
      <c r="I8" s="21"/>
      <c r="J8" s="19"/>
      <c r="K8" s="19"/>
      <c r="L8" s="21"/>
      <c r="M8" s="21"/>
      <c r="N8" s="21"/>
      <c r="O8" s="21"/>
      <c r="P8" s="21"/>
      <c r="Q8" s="21"/>
      <c r="R8" s="21"/>
      <c r="S8" s="19"/>
      <c r="T8" s="21"/>
      <c r="U8" s="21"/>
      <c r="V8" s="21"/>
      <c r="W8"/>
      <c r="X8" s="19"/>
      <c r="Y8" s="19"/>
      <c r="Z8" s="21"/>
      <c r="AA8" s="21"/>
      <c r="AC8" s="21"/>
      <c r="AD8" s="21"/>
      <c r="AE8" s="21"/>
      <c r="AF8" s="21"/>
      <c r="AG8" s="21"/>
      <c r="AH8" s="21"/>
      <c r="AI8" s="21"/>
      <c r="AJ8" s="22"/>
    </row>
    <row r="9" spans="1:38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21"/>
      <c r="I9" s="21"/>
      <c r="J9" s="19"/>
      <c r="K9" s="19"/>
      <c r="L9" s="21"/>
      <c r="M9" s="21"/>
      <c r="N9" s="21"/>
      <c r="O9" s="21"/>
      <c r="P9" s="21"/>
      <c r="Q9" s="21"/>
      <c r="R9" s="21"/>
      <c r="S9" s="19"/>
      <c r="T9" s="21"/>
      <c r="U9" s="21"/>
      <c r="V9" s="21"/>
      <c r="W9"/>
      <c r="X9" s="19"/>
      <c r="Y9" s="19"/>
      <c r="Z9" s="21"/>
      <c r="AA9" s="21"/>
      <c r="AC9" s="21"/>
      <c r="AD9" s="21"/>
      <c r="AE9" s="21"/>
      <c r="AF9" s="21"/>
      <c r="AG9" s="21"/>
      <c r="AH9" s="21"/>
      <c r="AI9" s="21"/>
      <c r="AJ9" s="22"/>
    </row>
    <row r="10" spans="1:38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21"/>
      <c r="I10" s="21"/>
      <c r="J10" s="19"/>
      <c r="K10" s="19"/>
      <c r="L10" s="21"/>
      <c r="M10" s="21"/>
      <c r="N10" s="21"/>
      <c r="O10" s="21"/>
      <c r="P10" s="21"/>
      <c r="Q10" s="21"/>
      <c r="R10" s="21"/>
      <c r="S10" s="19"/>
      <c r="T10" s="21"/>
      <c r="U10" s="21"/>
      <c r="V10" s="21"/>
      <c r="W10"/>
      <c r="X10" s="19"/>
      <c r="Y10" s="19"/>
      <c r="Z10" s="21"/>
      <c r="AA10" s="21"/>
      <c r="AC10" s="21"/>
      <c r="AD10" s="21"/>
      <c r="AE10" s="21"/>
      <c r="AF10" s="21"/>
      <c r="AG10" s="21"/>
      <c r="AH10" s="21"/>
      <c r="AI10" s="21"/>
      <c r="AJ10" s="22"/>
    </row>
    <row r="11" spans="1:38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21"/>
      <c r="I11" s="21"/>
      <c r="J11" s="19"/>
      <c r="K11" s="19"/>
      <c r="L11" s="21"/>
      <c r="M11" s="21"/>
      <c r="N11" s="21"/>
      <c r="O11" s="21"/>
      <c r="P11" s="21"/>
      <c r="Q11" s="21"/>
      <c r="R11" s="21"/>
      <c r="S11" s="19"/>
      <c r="T11" s="21"/>
      <c r="U11" s="21"/>
      <c r="V11" s="21"/>
      <c r="W11"/>
      <c r="X11" s="19"/>
      <c r="Y11" s="19"/>
      <c r="Z11" s="21"/>
      <c r="AA11" s="21"/>
      <c r="AC11" s="21"/>
      <c r="AD11" s="21"/>
      <c r="AE11" s="21"/>
      <c r="AF11" s="21"/>
      <c r="AG11" s="21"/>
      <c r="AH11" s="21"/>
      <c r="AI11" s="21"/>
      <c r="AJ11" s="22"/>
    </row>
    <row r="12" spans="1:38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21"/>
      <c r="I12" s="21"/>
      <c r="J12" s="19"/>
      <c r="K12" s="19"/>
      <c r="L12" s="21"/>
      <c r="M12" s="21"/>
      <c r="N12" s="21"/>
      <c r="O12" s="21"/>
      <c r="P12" s="21"/>
      <c r="Q12" s="21"/>
      <c r="R12" s="21"/>
      <c r="S12" s="19"/>
      <c r="T12" s="21"/>
      <c r="U12" s="21"/>
      <c r="V12" s="21"/>
      <c r="W12"/>
      <c r="X12" s="19"/>
      <c r="Y12" s="19"/>
      <c r="Z12" s="21"/>
      <c r="AA12" s="21"/>
      <c r="AC12" s="21"/>
      <c r="AD12" s="21"/>
      <c r="AE12" s="21"/>
      <c r="AF12" s="21"/>
      <c r="AG12" s="21"/>
      <c r="AH12" s="21"/>
      <c r="AI12" s="21"/>
      <c r="AJ12" s="22"/>
    </row>
    <row r="13" spans="1:38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21"/>
      <c r="I13" s="21"/>
      <c r="J13" s="19"/>
      <c r="K13" s="19"/>
      <c r="L13" s="21"/>
      <c r="M13" s="21"/>
      <c r="N13" s="21"/>
      <c r="O13" s="21"/>
      <c r="P13" s="21"/>
      <c r="Q13" s="21"/>
      <c r="R13" s="21"/>
      <c r="S13" s="19"/>
      <c r="T13" s="21"/>
      <c r="U13" s="21"/>
      <c r="V13" s="21"/>
      <c r="W13"/>
      <c r="X13" s="19"/>
      <c r="Y13" s="19"/>
      <c r="Z13" s="21"/>
      <c r="AA13" s="21"/>
      <c r="AC13" s="21"/>
      <c r="AD13" s="21"/>
      <c r="AE13" s="21"/>
      <c r="AF13" s="21"/>
      <c r="AG13" s="21"/>
      <c r="AH13" s="21"/>
      <c r="AI13" s="21"/>
      <c r="AJ13" s="22"/>
    </row>
    <row r="14" spans="1:38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21"/>
      <c r="I14" s="21"/>
      <c r="J14" s="19"/>
      <c r="K14" s="19"/>
      <c r="L14" s="21"/>
      <c r="M14" s="21"/>
      <c r="N14" s="21"/>
      <c r="O14" s="21"/>
      <c r="P14" s="21"/>
      <c r="Q14" s="21"/>
      <c r="R14" s="21"/>
      <c r="S14" s="19"/>
      <c r="T14" s="21"/>
      <c r="U14" s="21"/>
      <c r="V14" s="21"/>
      <c r="W14"/>
      <c r="X14" s="19"/>
      <c r="Y14" s="19"/>
      <c r="Z14" s="21"/>
      <c r="AA14" s="21"/>
      <c r="AC14" s="21"/>
      <c r="AD14" s="21"/>
      <c r="AE14" s="21"/>
      <c r="AF14" s="21"/>
      <c r="AG14" s="21"/>
      <c r="AH14" s="21"/>
      <c r="AI14" s="21"/>
      <c r="AJ14" s="22"/>
    </row>
    <row r="15" spans="1:38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21"/>
      <c r="I15" s="21"/>
      <c r="J15" s="19"/>
      <c r="K15" s="19"/>
      <c r="L15" s="21"/>
      <c r="M15" s="21"/>
      <c r="N15" s="21"/>
      <c r="O15" s="21"/>
      <c r="P15" s="21"/>
      <c r="Q15" s="21"/>
      <c r="R15" s="21"/>
      <c r="S15" s="19"/>
      <c r="T15" s="21"/>
      <c r="U15" s="21"/>
      <c r="V15" s="21"/>
      <c r="W15"/>
      <c r="X15" s="19"/>
      <c r="Y15" s="19"/>
      <c r="Z15" s="21"/>
      <c r="AA15" s="21"/>
      <c r="AC15" s="21"/>
      <c r="AD15" s="21"/>
      <c r="AE15" s="21"/>
      <c r="AF15" s="21"/>
      <c r="AG15" s="21"/>
      <c r="AH15" s="21"/>
      <c r="AI15" s="21"/>
      <c r="AJ15" s="22"/>
    </row>
    <row r="16" spans="1:38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21"/>
      <c r="I16" s="21"/>
      <c r="J16" s="19"/>
      <c r="K16" s="19"/>
      <c r="L16" s="21"/>
      <c r="M16" s="21"/>
      <c r="N16" s="21"/>
      <c r="O16" s="21"/>
      <c r="P16" s="21"/>
      <c r="Q16" s="21"/>
      <c r="R16" s="21"/>
      <c r="S16" s="19"/>
      <c r="T16" s="21"/>
      <c r="U16" s="21"/>
      <c r="V16" s="21"/>
      <c r="W16"/>
      <c r="X16" s="19"/>
      <c r="Y16" s="19"/>
      <c r="Z16" s="21"/>
      <c r="AA16" s="21"/>
      <c r="AC16" s="21"/>
      <c r="AD16" s="21"/>
      <c r="AE16" s="21"/>
      <c r="AF16" s="21"/>
      <c r="AG16" s="21"/>
      <c r="AH16" s="21"/>
      <c r="AI16" s="21"/>
      <c r="AJ16" s="22"/>
    </row>
    <row r="17" spans="1:36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21"/>
      <c r="I17" s="21"/>
      <c r="J17" s="19"/>
      <c r="K17" s="19"/>
      <c r="L17" s="21"/>
      <c r="M17" s="21"/>
      <c r="N17" s="21"/>
      <c r="O17" s="21"/>
      <c r="P17" s="21"/>
      <c r="Q17" s="21"/>
      <c r="R17" s="21"/>
      <c r="S17" s="19"/>
      <c r="T17" s="21"/>
      <c r="U17" s="21"/>
      <c r="V17" s="21"/>
      <c r="W17"/>
      <c r="X17" s="19"/>
      <c r="Y17" s="19"/>
      <c r="Z17" s="21"/>
      <c r="AA17" s="21"/>
      <c r="AC17" s="21"/>
      <c r="AD17" s="21"/>
      <c r="AE17" s="21"/>
      <c r="AF17" s="21"/>
      <c r="AG17" s="21"/>
      <c r="AH17" s="21"/>
      <c r="AI17" s="21"/>
      <c r="AJ17" s="22"/>
    </row>
    <row r="18" spans="1:36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21"/>
      <c r="I18" s="21"/>
      <c r="J18" s="19"/>
      <c r="K18" s="19"/>
      <c r="L18" s="21"/>
      <c r="M18" s="21"/>
      <c r="N18" s="21"/>
      <c r="O18" s="21"/>
      <c r="P18" s="21"/>
      <c r="Q18" s="21"/>
      <c r="R18" s="21"/>
      <c r="S18" s="19"/>
      <c r="T18" s="21"/>
      <c r="U18" s="21"/>
      <c r="V18" s="21"/>
      <c r="W18"/>
      <c r="X18" s="19"/>
      <c r="Y18" s="19"/>
      <c r="Z18" s="21"/>
      <c r="AA18" s="21"/>
      <c r="AC18" s="21"/>
      <c r="AD18" s="21"/>
      <c r="AE18" s="21"/>
      <c r="AF18" s="21"/>
      <c r="AG18" s="21"/>
      <c r="AH18" s="21"/>
      <c r="AI18" s="21"/>
      <c r="AJ18" s="22"/>
    </row>
    <row r="19" spans="1:36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21"/>
      <c r="I19" s="21"/>
      <c r="J19" s="19"/>
      <c r="K19" s="19"/>
      <c r="L19" s="21"/>
      <c r="M19" s="21"/>
      <c r="N19" s="21"/>
      <c r="O19" s="21"/>
      <c r="P19" s="21"/>
      <c r="Q19" s="21"/>
      <c r="R19" s="21"/>
      <c r="S19" s="19"/>
      <c r="T19" s="21"/>
      <c r="U19" s="21"/>
      <c r="V19" s="21"/>
      <c r="W19"/>
      <c r="X19" s="19"/>
      <c r="Y19" s="19"/>
      <c r="Z19" s="21"/>
      <c r="AA19" s="21"/>
      <c r="AC19" s="21"/>
      <c r="AD19" s="21"/>
      <c r="AE19" s="21"/>
      <c r="AF19" s="21"/>
      <c r="AG19" s="21"/>
      <c r="AH19" s="21"/>
      <c r="AI19" s="21"/>
      <c r="AJ19" s="22"/>
    </row>
    <row r="20" spans="1:36" ht="15.75" thickBot="1">
      <c r="A20" s="159">
        <v>11925</v>
      </c>
      <c r="B20" s="159">
        <v>11933</v>
      </c>
      <c r="E20" s="19"/>
      <c r="H20" s="21"/>
      <c r="I20" s="21"/>
      <c r="J20" s="19"/>
      <c r="K20" s="19"/>
      <c r="L20" s="21"/>
      <c r="M20" s="21"/>
      <c r="N20" s="21"/>
      <c r="Q20" s="21"/>
      <c r="R20" s="21"/>
      <c r="W20"/>
      <c r="X20" s="19"/>
      <c r="Y20" s="19"/>
      <c r="AA20" s="21"/>
      <c r="AJ20" s="22"/>
    </row>
    <row r="21" spans="1:36" customFormat="1" ht="15.75" thickBot="1">
      <c r="A21" s="159">
        <v>11925</v>
      </c>
      <c r="B21" s="159">
        <v>11934</v>
      </c>
      <c r="L21" s="43"/>
      <c r="X21" s="46"/>
    </row>
    <row r="22" spans="1:36" ht="15.75" thickBot="1">
      <c r="A22" s="159">
        <v>11925</v>
      </c>
      <c r="B22" s="159">
        <v>11935</v>
      </c>
      <c r="L22" s="2"/>
    </row>
    <row r="23" spans="1:36" ht="15.75" thickBot="1">
      <c r="A23" s="159">
        <v>11925</v>
      </c>
      <c r="B23" s="159">
        <v>11936</v>
      </c>
      <c r="L23" s="2"/>
    </row>
    <row r="24" spans="1:36" ht="15.75" thickBot="1">
      <c r="A24" s="159">
        <v>11925</v>
      </c>
      <c r="B24" s="159">
        <v>11937</v>
      </c>
      <c r="L24" s="2"/>
    </row>
    <row r="25" spans="1:36" ht="15.75" thickBot="1">
      <c r="A25" s="159">
        <v>11939</v>
      </c>
      <c r="B25" s="159">
        <v>11942</v>
      </c>
      <c r="L25" s="2"/>
    </row>
    <row r="26" spans="1:36" ht="15.75" thickBot="1">
      <c r="A26" s="159">
        <v>11939</v>
      </c>
      <c r="B26" s="159">
        <v>11943</v>
      </c>
    </row>
    <row r="27" spans="1:36" ht="15.75" thickBot="1">
      <c r="A27" s="159">
        <v>11939</v>
      </c>
      <c r="B27" s="159">
        <v>11944</v>
      </c>
    </row>
    <row r="28" spans="1:36" ht="15.75" thickBot="1">
      <c r="A28" s="159">
        <v>11939</v>
      </c>
      <c r="B28" s="159">
        <v>11945</v>
      </c>
    </row>
    <row r="29" spans="1:36" ht="15.75" thickBot="1">
      <c r="A29" s="159">
        <v>11939</v>
      </c>
      <c r="B29" s="159">
        <v>11946</v>
      </c>
    </row>
    <row r="30" spans="1:36" ht="15.75" thickBot="1">
      <c r="A30" s="159">
        <v>11939</v>
      </c>
      <c r="B30" s="159">
        <v>11947</v>
      </c>
    </row>
    <row r="31" spans="1:36" ht="15.75" thickBot="1">
      <c r="A31" s="159">
        <v>11939</v>
      </c>
      <c r="B31" s="159">
        <v>11948</v>
      </c>
    </row>
    <row r="32" spans="1:36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9" style="2"/>
  </cols>
  <sheetData>
    <row r="1" spans="1:26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625</v>
      </c>
      <c r="M1" s="20" t="s">
        <v>9</v>
      </c>
      <c r="N1" s="20" t="s">
        <v>622</v>
      </c>
      <c r="O1" s="20" t="s">
        <v>12</v>
      </c>
      <c r="P1" s="20" t="s">
        <v>396</v>
      </c>
      <c r="Q1" s="20" t="s">
        <v>933</v>
      </c>
      <c r="R1" s="20" t="s">
        <v>372</v>
      </c>
      <c r="S1" s="20" t="s">
        <v>16</v>
      </c>
      <c r="T1" s="20" t="s">
        <v>1165</v>
      </c>
      <c r="U1" s="20" t="s">
        <v>789</v>
      </c>
      <c r="V1" s="20" t="s">
        <v>11</v>
      </c>
      <c r="W1" s="20" t="s">
        <v>15</v>
      </c>
      <c r="X1" s="20" t="s">
        <v>1171</v>
      </c>
      <c r="Y1" s="20" t="s">
        <v>19</v>
      </c>
      <c r="Z1" s="20" t="s">
        <v>30</v>
      </c>
    </row>
    <row r="2" spans="1:26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19"/>
      <c r="I2" s="21"/>
      <c r="J2" s="19"/>
      <c r="K2" s="19"/>
      <c r="L2" s="21"/>
      <c r="M2" s="21"/>
      <c r="N2" s="21"/>
      <c r="O2" s="21"/>
      <c r="P2" s="19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19"/>
      <c r="I3" s="21"/>
      <c r="J3" s="19"/>
      <c r="K3" s="19"/>
      <c r="L3" s="21"/>
      <c r="M3" s="21"/>
      <c r="N3" s="21"/>
      <c r="O3" s="21"/>
      <c r="P3" s="19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19"/>
      <c r="I4" s="21"/>
      <c r="J4" s="19"/>
      <c r="K4" s="19"/>
      <c r="L4" s="21"/>
      <c r="M4" s="21"/>
      <c r="N4" s="21"/>
      <c r="P4" s="19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19"/>
      <c r="I5" s="21"/>
      <c r="J5" s="19"/>
      <c r="K5" s="19"/>
      <c r="L5" s="21"/>
      <c r="M5" s="21"/>
      <c r="N5" s="21"/>
      <c r="O5" s="21"/>
      <c r="P5" s="19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19"/>
      <c r="I6" s="21"/>
      <c r="J6" s="19"/>
      <c r="K6" s="19"/>
      <c r="L6" s="21"/>
      <c r="M6" s="21"/>
      <c r="N6" s="21"/>
      <c r="O6" s="21"/>
      <c r="P6" s="19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19"/>
      <c r="I7" s="21"/>
      <c r="J7" s="19"/>
      <c r="K7" s="19"/>
      <c r="L7" s="21"/>
      <c r="M7" s="21"/>
      <c r="N7" s="21"/>
      <c r="O7" s="21"/>
      <c r="P7" s="19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19"/>
      <c r="I8" s="21"/>
      <c r="J8" s="19"/>
      <c r="K8" s="19"/>
      <c r="L8" s="21"/>
      <c r="M8" s="21"/>
      <c r="N8" s="21"/>
      <c r="O8" s="21"/>
      <c r="P8" s="19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19"/>
      <c r="I9" s="21"/>
      <c r="J9" s="19"/>
      <c r="K9" s="19"/>
      <c r="L9" s="21"/>
      <c r="M9" s="21"/>
      <c r="N9" s="21"/>
      <c r="O9" s="21"/>
      <c r="P9" s="19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19"/>
      <c r="I10" s="21"/>
      <c r="J10" s="19"/>
      <c r="K10" s="19"/>
      <c r="L10" s="21"/>
      <c r="M10" s="21"/>
      <c r="N10" s="21"/>
      <c r="O10" s="21"/>
      <c r="P10" s="19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19"/>
      <c r="I11" s="21"/>
      <c r="J11" s="19"/>
      <c r="K11" s="19"/>
      <c r="L11" s="21"/>
      <c r="M11" s="21"/>
      <c r="N11" s="21"/>
      <c r="O11" s="21"/>
      <c r="P11" s="19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19"/>
      <c r="I12" s="21"/>
      <c r="J12" s="19"/>
      <c r="K12" s="19"/>
      <c r="L12" s="21"/>
      <c r="M12" s="21"/>
      <c r="N12" s="21"/>
      <c r="O12" s="21"/>
      <c r="P12" s="19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19"/>
      <c r="I13" s="21"/>
      <c r="J13" s="19"/>
      <c r="K13" s="19"/>
      <c r="L13" s="21"/>
      <c r="M13" s="21"/>
      <c r="N13" s="21"/>
      <c r="O13" s="21"/>
      <c r="P13" s="19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19"/>
      <c r="I14" s="21"/>
      <c r="J14" s="19"/>
      <c r="K14" s="19"/>
      <c r="L14" s="21"/>
      <c r="M14" s="21"/>
      <c r="N14" s="21"/>
      <c r="O14" s="21"/>
      <c r="P14" s="19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19"/>
      <c r="I15" s="21"/>
      <c r="J15" s="19"/>
      <c r="K15" s="19"/>
      <c r="L15" s="21"/>
      <c r="M15" s="21"/>
      <c r="N15" s="21"/>
      <c r="O15" s="21"/>
      <c r="P15" s="19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19"/>
      <c r="I16" s="21"/>
      <c r="J16" s="19"/>
      <c r="K16" s="19"/>
      <c r="L16" s="21"/>
      <c r="M16" s="21"/>
      <c r="N16" s="21"/>
      <c r="O16" s="21"/>
      <c r="P16" s="19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19"/>
      <c r="I17" s="21"/>
      <c r="J17" s="19"/>
      <c r="K17" s="19"/>
      <c r="L17" s="21"/>
      <c r="M17" s="21"/>
      <c r="N17" s="21"/>
      <c r="O17" s="21"/>
      <c r="P17" s="19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19"/>
      <c r="I18" s="21"/>
      <c r="J18" s="19"/>
      <c r="K18" s="19"/>
      <c r="L18" s="21"/>
      <c r="M18" s="21"/>
      <c r="N18" s="21"/>
      <c r="O18" s="21"/>
      <c r="P18" s="19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19"/>
      <c r="I19" s="21"/>
      <c r="J19" s="19"/>
      <c r="K19" s="19"/>
      <c r="L19" s="21"/>
      <c r="M19" s="21"/>
      <c r="N19" s="21"/>
      <c r="O19" s="21"/>
      <c r="P19" s="19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thickBot="1">
      <c r="A20" s="159">
        <v>11925</v>
      </c>
      <c r="B20" s="159">
        <v>11933</v>
      </c>
      <c r="E20" s="19"/>
      <c r="H20" s="4"/>
      <c r="I20" s="21"/>
      <c r="J20" s="19"/>
      <c r="K20" s="19"/>
      <c r="L20" s="21"/>
      <c r="M20" s="21"/>
      <c r="N20" s="21"/>
      <c r="R20" s="21"/>
    </row>
    <row r="21" spans="1:26" customFormat="1" ht="15.75" thickBot="1">
      <c r="A21" s="159">
        <v>11925</v>
      </c>
      <c r="B21" s="159">
        <v>11934</v>
      </c>
    </row>
    <row r="22" spans="1:26" ht="15.75" thickBot="1">
      <c r="A22" s="159">
        <v>11925</v>
      </c>
      <c r="B22" s="159">
        <v>11935</v>
      </c>
    </row>
    <row r="23" spans="1:26" ht="15.75" thickBot="1">
      <c r="A23" s="159">
        <v>11925</v>
      </c>
      <c r="B23" s="159">
        <v>11936</v>
      </c>
    </row>
    <row r="24" spans="1:26" ht="15.75" thickBot="1">
      <c r="A24" s="159">
        <v>11925</v>
      </c>
      <c r="B24" s="159">
        <v>11937</v>
      </c>
    </row>
    <row r="25" spans="1:26" ht="15.75" thickBot="1">
      <c r="A25" s="159">
        <v>11939</v>
      </c>
      <c r="B25" s="159">
        <v>11942</v>
      </c>
    </row>
    <row r="26" spans="1:26" ht="15.75" thickBot="1">
      <c r="A26" s="159">
        <v>11939</v>
      </c>
      <c r="B26" s="159">
        <v>11943</v>
      </c>
    </row>
    <row r="27" spans="1:26" ht="15.75" thickBot="1">
      <c r="A27" s="159">
        <v>11939</v>
      </c>
      <c r="B27" s="159">
        <v>11944</v>
      </c>
    </row>
    <row r="28" spans="1:26" ht="15.75" thickBot="1">
      <c r="A28" s="159">
        <v>11939</v>
      </c>
      <c r="B28" s="159">
        <v>11945</v>
      </c>
    </row>
    <row r="29" spans="1:26" ht="15.75" thickBot="1">
      <c r="A29" s="159">
        <v>11939</v>
      </c>
      <c r="B29" s="159">
        <v>11946</v>
      </c>
    </row>
    <row r="30" spans="1:26" ht="15.75" thickBot="1">
      <c r="A30" s="159">
        <v>11939</v>
      </c>
      <c r="B30" s="159">
        <v>11947</v>
      </c>
    </row>
    <row r="31" spans="1:26" ht="15.75" thickBot="1">
      <c r="A31" s="159">
        <v>11939</v>
      </c>
      <c r="B31" s="159">
        <v>11948</v>
      </c>
    </row>
    <row r="32" spans="1:26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topLeftCell="E1" workbookViewId="0">
      <pane ySplit="1" topLeftCell="A2" activePane="bottomLeft" state="frozen"/>
      <selection pane="bottomLeft" activeCell="X2" sqref="X2:X109"/>
    </sheetView>
  </sheetViews>
  <sheetFormatPr defaultColWidth="9" defaultRowHeight="15"/>
  <cols>
    <col min="1" max="2" width="11.5703125" style="2" customWidth="1"/>
    <col min="3" max="3" width="39.42578125" style="2" bestFit="1" customWidth="1"/>
    <col min="4" max="15" width="11.5703125" style="2" customWidth="1"/>
    <col min="16" max="16" width="11.5703125" customWidth="1"/>
    <col min="17" max="26" width="11.5703125" style="2" customWidth="1"/>
    <col min="27" max="16384" width="9" style="2"/>
  </cols>
  <sheetData>
    <row r="1" spans="1:27" ht="66.75" customHeight="1" thickBot="1">
      <c r="A1" s="20" t="s">
        <v>667</v>
      </c>
      <c r="B1" s="20" t="s">
        <v>0</v>
      </c>
      <c r="C1" s="20" t="s">
        <v>796</v>
      </c>
      <c r="D1" s="20" t="s">
        <v>809</v>
      </c>
      <c r="E1" s="20" t="s">
        <v>797</v>
      </c>
      <c r="F1" s="20" t="s">
        <v>763</v>
      </c>
      <c r="G1" s="20" t="s">
        <v>762</v>
      </c>
      <c r="H1" s="20" t="s">
        <v>767</v>
      </c>
      <c r="I1" s="20" t="s">
        <v>1</v>
      </c>
      <c r="J1" s="20" t="s">
        <v>289</v>
      </c>
      <c r="K1" s="20" t="s">
        <v>620</v>
      </c>
      <c r="L1" s="20" t="s">
        <v>755</v>
      </c>
      <c r="M1" s="20" t="s">
        <v>770</v>
      </c>
      <c r="N1" s="20" t="s">
        <v>621</v>
      </c>
      <c r="O1" s="20" t="s">
        <v>622</v>
      </c>
      <c r="P1" s="30" t="s">
        <v>12</v>
      </c>
      <c r="Q1" s="20" t="s">
        <v>396</v>
      </c>
      <c r="R1" s="20" t="s">
        <v>933</v>
      </c>
      <c r="S1" s="20" t="s">
        <v>372</v>
      </c>
      <c r="T1" s="20" t="s">
        <v>16</v>
      </c>
      <c r="U1" s="20" t="s">
        <v>11</v>
      </c>
      <c r="V1" s="126" t="s">
        <v>939</v>
      </c>
      <c r="W1" s="20" t="s">
        <v>1171</v>
      </c>
      <c r="X1" s="20" t="s">
        <v>752</v>
      </c>
      <c r="Y1" s="20" t="s">
        <v>19</v>
      </c>
      <c r="Z1" s="20" t="s">
        <v>30</v>
      </c>
      <c r="AA1" s="11"/>
    </row>
    <row r="2" spans="1:27" ht="15.75" thickBot="1">
      <c r="A2" s="159">
        <v>7891</v>
      </c>
      <c r="B2" s="159">
        <v>7897</v>
      </c>
      <c r="C2" s="160"/>
      <c r="D2" s="160"/>
      <c r="E2" s="160"/>
      <c r="F2" s="164" t="s">
        <v>1519</v>
      </c>
      <c r="G2" s="164" t="s">
        <v>1520</v>
      </c>
      <c r="H2" s="164" t="s">
        <v>78</v>
      </c>
      <c r="I2" s="164" t="s">
        <v>280</v>
      </c>
      <c r="J2" s="163"/>
      <c r="K2" s="164" t="s">
        <v>61</v>
      </c>
      <c r="L2" s="160"/>
      <c r="M2" s="164"/>
      <c r="N2" s="164" t="s">
        <v>314</v>
      </c>
      <c r="O2" s="164" t="s">
        <v>62</v>
      </c>
      <c r="P2" s="173">
        <v>45263</v>
      </c>
      <c r="Q2" s="164" t="s">
        <v>1210</v>
      </c>
      <c r="R2" s="164" t="s">
        <v>1521</v>
      </c>
      <c r="S2" s="164" t="s">
        <v>305</v>
      </c>
      <c r="T2" s="171">
        <v>45382</v>
      </c>
      <c r="U2" s="167">
        <v>3.7410000000000001</v>
      </c>
      <c r="V2" s="167">
        <v>2325.3370415647901</v>
      </c>
      <c r="W2" s="167">
        <v>8559.5656500000005</v>
      </c>
      <c r="X2" s="168">
        <v>9.7859565331984907E-3</v>
      </c>
      <c r="Y2" s="168">
        <v>2.565314107E-3</v>
      </c>
      <c r="Z2" s="168">
        <v>9.0023518400000001E-4</v>
      </c>
    </row>
    <row r="3" spans="1:27" ht="15.75" thickBot="1">
      <c r="A3" s="159">
        <v>7891</v>
      </c>
      <c r="B3" s="159">
        <v>7897</v>
      </c>
      <c r="C3" s="160"/>
      <c r="D3" s="160"/>
      <c r="E3" s="160"/>
      <c r="F3" s="164" t="s">
        <v>1522</v>
      </c>
      <c r="G3" s="164" t="s">
        <v>1523</v>
      </c>
      <c r="H3" s="164" t="s">
        <v>78</v>
      </c>
      <c r="I3" s="164" t="s">
        <v>280</v>
      </c>
      <c r="J3" s="163"/>
      <c r="K3" s="164" t="s">
        <v>61</v>
      </c>
      <c r="L3" s="160"/>
      <c r="M3" s="164"/>
      <c r="N3" s="164" t="s">
        <v>313</v>
      </c>
      <c r="O3" s="164" t="s">
        <v>62</v>
      </c>
      <c r="P3" s="173">
        <v>43661</v>
      </c>
      <c r="Q3" s="164" t="s">
        <v>1211</v>
      </c>
      <c r="R3" s="164" t="s">
        <v>1521</v>
      </c>
      <c r="S3" s="164" t="s">
        <v>305</v>
      </c>
      <c r="T3" s="171">
        <v>45322</v>
      </c>
      <c r="U3" s="167">
        <v>4.0132000000000003</v>
      </c>
      <c r="V3" s="167">
        <v>1737.5970144002399</v>
      </c>
      <c r="W3" s="167">
        <v>6914.0722800000003</v>
      </c>
      <c r="X3" s="168">
        <v>5.4801360584961802E-3</v>
      </c>
      <c r="Y3" s="168">
        <v>2.072157383E-3</v>
      </c>
      <c r="Z3" s="168">
        <v>7.2717371299999998E-4</v>
      </c>
    </row>
    <row r="4" spans="1:27" ht="15.75" thickBot="1">
      <c r="A4" s="159">
        <v>7891</v>
      </c>
      <c r="B4" s="159">
        <v>7897</v>
      </c>
      <c r="C4" s="160"/>
      <c r="D4" s="160"/>
      <c r="E4" s="160"/>
      <c r="F4" s="164" t="s">
        <v>1524</v>
      </c>
      <c r="G4" s="164" t="s">
        <v>1525</v>
      </c>
      <c r="H4" s="164" t="s">
        <v>78</v>
      </c>
      <c r="I4" s="164" t="s">
        <v>280</v>
      </c>
      <c r="J4" s="163"/>
      <c r="K4" s="164" t="s">
        <v>61</v>
      </c>
      <c r="L4" s="160"/>
      <c r="M4" s="164"/>
      <c r="N4" s="164" t="s">
        <v>947</v>
      </c>
      <c r="O4" s="164" t="s">
        <v>62</v>
      </c>
      <c r="P4" s="173">
        <v>43718</v>
      </c>
      <c r="Q4" s="164" t="s">
        <v>1210</v>
      </c>
      <c r="R4" s="164" t="s">
        <v>1521</v>
      </c>
      <c r="S4" s="164" t="s">
        <v>305</v>
      </c>
      <c r="T4" s="171">
        <v>45322</v>
      </c>
      <c r="U4" s="167">
        <v>3.7410000000000001</v>
      </c>
      <c r="V4" s="167">
        <v>515.66403694648204</v>
      </c>
      <c r="W4" s="167">
        <v>1898.15932</v>
      </c>
      <c r="X4" s="168">
        <v>2.8183581112557702E-3</v>
      </c>
      <c r="Y4" s="168">
        <v>5.6888107099999996E-4</v>
      </c>
      <c r="Z4" s="168">
        <v>1.9963510699999999E-4</v>
      </c>
    </row>
    <row r="5" spans="1:27" ht="15.75" thickBot="1">
      <c r="A5" s="159">
        <v>7891</v>
      </c>
      <c r="B5" s="159">
        <v>7897</v>
      </c>
      <c r="C5" s="160"/>
      <c r="D5" s="160"/>
      <c r="E5" s="160"/>
      <c r="F5" s="164" t="s">
        <v>1526</v>
      </c>
      <c r="G5" s="164" t="s">
        <v>1527</v>
      </c>
      <c r="H5" s="164" t="s">
        <v>78</v>
      </c>
      <c r="I5" s="164" t="s">
        <v>280</v>
      </c>
      <c r="J5" s="163"/>
      <c r="K5" s="164" t="s">
        <v>61</v>
      </c>
      <c r="L5" s="160"/>
      <c r="M5" s="164"/>
      <c r="N5" s="164" t="s">
        <v>315</v>
      </c>
      <c r="O5" s="164" t="s">
        <v>62</v>
      </c>
      <c r="P5" s="173">
        <v>44404</v>
      </c>
      <c r="Q5" s="164" t="s">
        <v>1210</v>
      </c>
      <c r="R5" s="164" t="s">
        <v>1521</v>
      </c>
      <c r="S5" s="164" t="s">
        <v>305</v>
      </c>
      <c r="T5" s="171">
        <v>45199</v>
      </c>
      <c r="U5" s="167">
        <v>3.7410000000000001</v>
      </c>
      <c r="V5" s="167">
        <v>1365.3971339310001</v>
      </c>
      <c r="W5" s="167">
        <v>5026.0268500000002</v>
      </c>
      <c r="X5" s="168">
        <v>1.0240024602004001E-2</v>
      </c>
      <c r="Y5" s="168">
        <v>1.506307458E-3</v>
      </c>
      <c r="Z5" s="168">
        <v>5.2860231400000002E-4</v>
      </c>
    </row>
    <row r="6" spans="1:27" ht="15.75" thickBot="1">
      <c r="A6" s="159">
        <v>7891</v>
      </c>
      <c r="B6" s="159">
        <v>7897</v>
      </c>
      <c r="C6" s="160"/>
      <c r="D6" s="160"/>
      <c r="E6" s="160"/>
      <c r="F6" s="164" t="s">
        <v>1528</v>
      </c>
      <c r="G6" s="164" t="s">
        <v>1529</v>
      </c>
      <c r="H6" s="164" t="s">
        <v>78</v>
      </c>
      <c r="I6" s="164" t="s">
        <v>280</v>
      </c>
      <c r="J6" s="163"/>
      <c r="K6" s="164" t="s">
        <v>61</v>
      </c>
      <c r="L6" s="160"/>
      <c r="M6" s="164"/>
      <c r="N6" s="164" t="s">
        <v>314</v>
      </c>
      <c r="O6" s="164" t="s">
        <v>62</v>
      </c>
      <c r="P6" s="173">
        <v>44530</v>
      </c>
      <c r="Q6" s="164" t="s">
        <v>1208</v>
      </c>
      <c r="R6" s="164" t="s">
        <v>1521</v>
      </c>
      <c r="S6" s="164" t="s">
        <v>305</v>
      </c>
      <c r="T6" s="171">
        <v>45351</v>
      </c>
      <c r="U6" s="167">
        <v>1</v>
      </c>
      <c r="V6" s="167">
        <v>1387.7150203749</v>
      </c>
      <c r="W6" s="167">
        <v>5108.1789900000003</v>
      </c>
      <c r="X6" s="168">
        <v>2.0198214148849799E-3</v>
      </c>
      <c r="Y6" s="168">
        <v>1.5309285730000001E-3</v>
      </c>
      <c r="Z6" s="168">
        <v>5.3724250100000001E-4</v>
      </c>
    </row>
    <row r="7" spans="1:27" ht="15.75" thickBot="1">
      <c r="A7" s="159">
        <v>7891</v>
      </c>
      <c r="B7" s="159">
        <v>7897</v>
      </c>
      <c r="C7" s="160"/>
      <c r="D7" s="160"/>
      <c r="E7" s="160"/>
      <c r="F7" s="164" t="s">
        <v>1530</v>
      </c>
      <c r="G7" s="164" t="s">
        <v>1531</v>
      </c>
      <c r="H7" s="164" t="s">
        <v>78</v>
      </c>
      <c r="I7" s="164" t="s">
        <v>280</v>
      </c>
      <c r="J7" s="172"/>
      <c r="K7" s="164" t="s">
        <v>61</v>
      </c>
      <c r="L7" s="160"/>
      <c r="M7" s="164"/>
      <c r="N7" s="164" t="s">
        <v>314</v>
      </c>
      <c r="O7" s="164" t="s">
        <v>62</v>
      </c>
      <c r="P7" s="173">
        <v>44655</v>
      </c>
      <c r="Q7" s="164" t="s">
        <v>1210</v>
      </c>
      <c r="R7" s="164" t="s">
        <v>1521</v>
      </c>
      <c r="S7" s="164" t="s">
        <v>305</v>
      </c>
      <c r="T7" s="171">
        <v>45291</v>
      </c>
      <c r="U7" s="167">
        <v>3.7410000000000001</v>
      </c>
      <c r="V7" s="167">
        <v>751.30388209725595</v>
      </c>
      <c r="W7" s="167">
        <v>2765.5495900000001</v>
      </c>
      <c r="X7" s="168">
        <v>6.2630120829827599E-4</v>
      </c>
      <c r="Y7" s="168">
        <v>8.2883917999999998E-4</v>
      </c>
      <c r="Z7" s="168">
        <v>2.9086114199999998E-4</v>
      </c>
    </row>
    <row r="8" spans="1:27" ht="15.75" thickBot="1">
      <c r="A8" s="159">
        <v>7891</v>
      </c>
      <c r="B8" s="159">
        <v>7897</v>
      </c>
      <c r="C8" s="160"/>
      <c r="D8" s="160"/>
      <c r="E8" s="160"/>
      <c r="F8" s="164" t="s">
        <v>1532</v>
      </c>
      <c r="G8" s="164" t="s">
        <v>1533</v>
      </c>
      <c r="H8" s="164" t="s">
        <v>78</v>
      </c>
      <c r="I8" s="164" t="s">
        <v>280</v>
      </c>
      <c r="J8" s="172"/>
      <c r="K8" s="164" t="s">
        <v>61</v>
      </c>
      <c r="L8" s="160"/>
      <c r="M8" s="164"/>
      <c r="N8" s="164" t="s">
        <v>314</v>
      </c>
      <c r="O8" s="164" t="s">
        <v>62</v>
      </c>
      <c r="P8" s="173">
        <v>45015</v>
      </c>
      <c r="Q8" s="164" t="s">
        <v>1210</v>
      </c>
      <c r="R8" s="164" t="s">
        <v>1521</v>
      </c>
      <c r="S8" s="164" t="s">
        <v>305</v>
      </c>
      <c r="T8" s="171">
        <v>45291</v>
      </c>
      <c r="U8" s="167">
        <v>3.7410000000000001</v>
      </c>
      <c r="V8" s="167">
        <v>840.80076066286301</v>
      </c>
      <c r="W8" s="167">
        <v>3094.9875999999999</v>
      </c>
      <c r="X8" s="168">
        <v>6.1220944129679496E-3</v>
      </c>
      <c r="Y8" s="168">
        <v>9.2757222399999996E-4</v>
      </c>
      <c r="Z8" s="168">
        <v>3.2550912600000001E-4</v>
      </c>
    </row>
    <row r="9" spans="1:27" ht="15.75" thickBot="1">
      <c r="A9" s="159">
        <v>7891</v>
      </c>
      <c r="B9" s="159">
        <v>7900</v>
      </c>
      <c r="C9" s="159"/>
      <c r="D9" s="159"/>
      <c r="E9" s="159"/>
      <c r="F9" s="164" t="s">
        <v>1534</v>
      </c>
      <c r="G9" s="164" t="s">
        <v>1535</v>
      </c>
      <c r="H9" s="164" t="s">
        <v>78</v>
      </c>
      <c r="I9" s="164" t="s">
        <v>1536</v>
      </c>
      <c r="J9" s="163"/>
      <c r="K9" s="164" t="s">
        <v>53</v>
      </c>
      <c r="L9" s="164"/>
      <c r="M9" s="164"/>
      <c r="N9" s="164" t="s">
        <v>53</v>
      </c>
      <c r="O9" s="164" t="s">
        <v>62</v>
      </c>
      <c r="P9" s="173">
        <v>44165</v>
      </c>
      <c r="Q9" s="164" t="s">
        <v>1208</v>
      </c>
      <c r="R9" s="164" t="s">
        <v>1521</v>
      </c>
      <c r="S9" s="164" t="s">
        <v>305</v>
      </c>
      <c r="T9" s="171">
        <v>45382</v>
      </c>
      <c r="U9" s="167">
        <v>1</v>
      </c>
      <c r="V9" s="167">
        <v>808.56334000000004</v>
      </c>
      <c r="W9" s="167">
        <v>808.56334000000004</v>
      </c>
      <c r="X9" s="168">
        <v>3.6611975107785397E-4</v>
      </c>
      <c r="Y9" s="168">
        <v>1.32317886E-3</v>
      </c>
      <c r="Z9" s="168">
        <v>6.8465155400000005E-4</v>
      </c>
    </row>
    <row r="10" spans="1:27" ht="15.75" thickBot="1">
      <c r="A10" s="159">
        <v>7891</v>
      </c>
      <c r="B10" s="159">
        <v>7900</v>
      </c>
      <c r="C10" s="159"/>
      <c r="D10" s="159"/>
      <c r="E10" s="159"/>
      <c r="F10" s="164" t="s">
        <v>1537</v>
      </c>
      <c r="G10" s="164" t="s">
        <v>1538</v>
      </c>
      <c r="H10" s="164" t="s">
        <v>78</v>
      </c>
      <c r="I10" s="164" t="s">
        <v>1536</v>
      </c>
      <c r="J10" s="163"/>
      <c r="K10" s="164" t="s">
        <v>53</v>
      </c>
      <c r="L10" s="164"/>
      <c r="M10" s="164"/>
      <c r="N10" s="164" t="s">
        <v>53</v>
      </c>
      <c r="O10" s="164" t="s">
        <v>62</v>
      </c>
      <c r="P10" s="173">
        <v>43493</v>
      </c>
      <c r="Q10" s="164" t="s">
        <v>1208</v>
      </c>
      <c r="R10" s="164" t="s">
        <v>1521</v>
      </c>
      <c r="S10" s="164" t="s">
        <v>305</v>
      </c>
      <c r="T10" s="171">
        <v>45382</v>
      </c>
      <c r="U10" s="167">
        <v>1</v>
      </c>
      <c r="V10" s="167">
        <v>779.37298999999996</v>
      </c>
      <c r="W10" s="167">
        <v>779.37298999999996</v>
      </c>
      <c r="X10" s="168">
        <v>6.8001866704670401E-4</v>
      </c>
      <c r="Y10" s="168">
        <v>1.275410117E-3</v>
      </c>
      <c r="Z10" s="168">
        <v>6.5993460500000001E-4</v>
      </c>
    </row>
    <row r="11" spans="1:27" ht="15.75" thickBot="1">
      <c r="A11" s="159">
        <v>7891</v>
      </c>
      <c r="B11" s="159">
        <v>7900</v>
      </c>
      <c r="C11" s="159"/>
      <c r="D11" s="159"/>
      <c r="E11" s="159"/>
      <c r="F11" s="164" t="s">
        <v>1539</v>
      </c>
      <c r="G11" s="164" t="s">
        <v>1540</v>
      </c>
      <c r="H11" s="164" t="s">
        <v>78</v>
      </c>
      <c r="I11" s="164" t="s">
        <v>1536</v>
      </c>
      <c r="J11" s="163"/>
      <c r="K11" s="164" t="s">
        <v>53</v>
      </c>
      <c r="L11" s="164"/>
      <c r="M11" s="164"/>
      <c r="N11" s="164" t="s">
        <v>314</v>
      </c>
      <c r="O11" s="164" t="s">
        <v>62</v>
      </c>
      <c r="P11" s="173">
        <v>44012</v>
      </c>
      <c r="Q11" s="164" t="s">
        <v>1210</v>
      </c>
      <c r="R11" s="164" t="s">
        <v>1521</v>
      </c>
      <c r="S11" s="164" t="s">
        <v>305</v>
      </c>
      <c r="T11" s="171">
        <v>45382</v>
      </c>
      <c r="U11" s="167">
        <v>3.681</v>
      </c>
      <c r="V11" s="167">
        <v>78.049649551751997</v>
      </c>
      <c r="W11" s="167">
        <v>287.30076000000003</v>
      </c>
      <c r="X11" s="168">
        <v>1.9583386072038302E-3</v>
      </c>
      <c r="Y11" s="168">
        <v>4.70155241E-4</v>
      </c>
      <c r="Z11" s="168">
        <v>2.4327211200000001E-4</v>
      </c>
    </row>
    <row r="12" spans="1:27" ht="15.75" thickBot="1">
      <c r="A12" s="159">
        <v>7891</v>
      </c>
      <c r="B12" s="159">
        <v>7900</v>
      </c>
      <c r="C12" s="159"/>
      <c r="D12" s="159"/>
      <c r="E12" s="159"/>
      <c r="F12" s="164" t="s">
        <v>1541</v>
      </c>
      <c r="G12" s="164" t="s">
        <v>1542</v>
      </c>
      <c r="H12" s="164" t="s">
        <v>78</v>
      </c>
      <c r="I12" s="164" t="s">
        <v>1536</v>
      </c>
      <c r="J12" s="163"/>
      <c r="K12" s="164" t="s">
        <v>53</v>
      </c>
      <c r="L12" s="164"/>
      <c r="M12" s="164"/>
      <c r="N12" s="164" t="s">
        <v>314</v>
      </c>
      <c r="O12" s="164" t="s">
        <v>62</v>
      </c>
      <c r="P12" s="173">
        <v>44165</v>
      </c>
      <c r="Q12" s="164" t="s">
        <v>1210</v>
      </c>
      <c r="R12" s="164" t="s">
        <v>1521</v>
      </c>
      <c r="S12" s="164" t="s">
        <v>305</v>
      </c>
      <c r="T12" s="171">
        <v>45382</v>
      </c>
      <c r="U12" s="167">
        <v>3.681</v>
      </c>
      <c r="V12" s="167">
        <v>218.273933713665</v>
      </c>
      <c r="W12" s="167">
        <v>803.46635000000003</v>
      </c>
      <c r="X12" s="168">
        <v>3.55455393826167E-3</v>
      </c>
      <c r="Y12" s="168">
        <v>1.314837856E-3</v>
      </c>
      <c r="Z12" s="168">
        <v>6.8033567400000003E-4</v>
      </c>
    </row>
    <row r="13" spans="1:27" ht="15.75" thickBot="1">
      <c r="A13" s="159">
        <v>7891</v>
      </c>
      <c r="B13" s="159">
        <v>7900</v>
      </c>
      <c r="C13" s="159"/>
      <c r="D13" s="159"/>
      <c r="E13" s="159"/>
      <c r="F13" s="164" t="s">
        <v>1543</v>
      </c>
      <c r="G13" s="164" t="s">
        <v>1544</v>
      </c>
      <c r="H13" s="164" t="s">
        <v>78</v>
      </c>
      <c r="I13" s="164" t="s">
        <v>1536</v>
      </c>
      <c r="J13" s="163"/>
      <c r="K13" s="164" t="s">
        <v>53</v>
      </c>
      <c r="L13" s="164"/>
      <c r="M13" s="164"/>
      <c r="N13" s="164" t="s">
        <v>314</v>
      </c>
      <c r="O13" s="164" t="s">
        <v>62</v>
      </c>
      <c r="P13" s="173">
        <v>44012</v>
      </c>
      <c r="Q13" s="164" t="s">
        <v>1210</v>
      </c>
      <c r="R13" s="164" t="s">
        <v>1521</v>
      </c>
      <c r="S13" s="164" t="s">
        <v>305</v>
      </c>
      <c r="T13" s="171">
        <v>45382</v>
      </c>
      <c r="U13" s="167">
        <v>3.681</v>
      </c>
      <c r="V13" s="167">
        <v>94.489530019016001</v>
      </c>
      <c r="W13" s="167">
        <v>347.81596000000002</v>
      </c>
      <c r="X13" s="168">
        <v>6.3442523089944603E-4</v>
      </c>
      <c r="Y13" s="168">
        <v>5.6918574300000001E-4</v>
      </c>
      <c r="Z13" s="168">
        <v>2.9451339900000002E-4</v>
      </c>
    </row>
    <row r="14" spans="1:27" ht="15.75" thickBot="1">
      <c r="A14" s="159">
        <v>7891</v>
      </c>
      <c r="B14" s="159">
        <v>7900</v>
      </c>
      <c r="C14" s="159"/>
      <c r="D14" s="159"/>
      <c r="E14" s="159"/>
      <c r="F14" s="164" t="s">
        <v>1545</v>
      </c>
      <c r="G14" s="164" t="s">
        <v>1546</v>
      </c>
      <c r="H14" s="164" t="s">
        <v>78</v>
      </c>
      <c r="I14" s="164" t="s">
        <v>1536</v>
      </c>
      <c r="J14" s="163"/>
      <c r="K14" s="164" t="s">
        <v>53</v>
      </c>
      <c r="L14" s="164"/>
      <c r="M14" s="164"/>
      <c r="N14" s="164" t="s">
        <v>53</v>
      </c>
      <c r="O14" s="164" t="s">
        <v>62</v>
      </c>
      <c r="P14" s="173">
        <v>44377</v>
      </c>
      <c r="Q14" s="164" t="s">
        <v>1208</v>
      </c>
      <c r="R14" s="164" t="s">
        <v>1521</v>
      </c>
      <c r="S14" s="164" t="s">
        <v>305</v>
      </c>
      <c r="T14" s="171">
        <v>45382</v>
      </c>
      <c r="U14" s="167">
        <v>1</v>
      </c>
      <c r="V14" s="167">
        <v>784.48695999999995</v>
      </c>
      <c r="W14" s="167">
        <v>784.48695999999995</v>
      </c>
      <c r="X14" s="168">
        <v>9.4326430038901895E-3</v>
      </c>
      <c r="Y14" s="168">
        <v>1.283778907E-3</v>
      </c>
      <c r="Z14" s="168">
        <v>6.6426486300000004E-4</v>
      </c>
    </row>
    <row r="15" spans="1:27" ht="15.75" thickBot="1">
      <c r="A15" s="159">
        <v>7891</v>
      </c>
      <c r="B15" s="159">
        <v>7900</v>
      </c>
      <c r="C15" s="159"/>
      <c r="D15" s="159"/>
      <c r="E15" s="159"/>
      <c r="F15" s="164" t="s">
        <v>1547</v>
      </c>
      <c r="G15" s="164" t="s">
        <v>1548</v>
      </c>
      <c r="H15" s="164" t="s">
        <v>78</v>
      </c>
      <c r="I15" s="164" t="s">
        <v>1536</v>
      </c>
      <c r="J15" s="163"/>
      <c r="K15" s="164" t="s">
        <v>53</v>
      </c>
      <c r="L15" s="164"/>
      <c r="M15" s="164"/>
      <c r="N15" s="164" t="s">
        <v>53</v>
      </c>
      <c r="O15" s="164" t="s">
        <v>62</v>
      </c>
      <c r="P15" s="173">
        <v>44377</v>
      </c>
      <c r="Q15" s="164" t="s">
        <v>1208</v>
      </c>
      <c r="R15" s="164" t="s">
        <v>1521</v>
      </c>
      <c r="S15" s="164" t="s">
        <v>305</v>
      </c>
      <c r="T15" s="171">
        <v>45382</v>
      </c>
      <c r="U15" s="167">
        <v>1</v>
      </c>
      <c r="V15" s="167">
        <v>733.10050999999999</v>
      </c>
      <c r="W15" s="167">
        <v>733.10050999999999</v>
      </c>
      <c r="X15" s="168">
        <v>2.4494590635611999E-3</v>
      </c>
      <c r="Y15" s="168">
        <v>1.1996872090000001E-3</v>
      </c>
      <c r="Z15" s="168">
        <v>6.2075335200000004E-4</v>
      </c>
    </row>
    <row r="16" spans="1:27" ht="15.75" thickBot="1">
      <c r="A16" s="159">
        <v>7891</v>
      </c>
      <c r="B16" s="159">
        <v>7900</v>
      </c>
      <c r="C16" s="159"/>
      <c r="D16" s="159"/>
      <c r="E16" s="159"/>
      <c r="F16" s="164" t="s">
        <v>1549</v>
      </c>
      <c r="G16" s="164" t="s">
        <v>1550</v>
      </c>
      <c r="H16" s="164" t="s">
        <v>78</v>
      </c>
      <c r="I16" s="164" t="s">
        <v>1536</v>
      </c>
      <c r="J16" s="163"/>
      <c r="K16" s="164" t="s">
        <v>53</v>
      </c>
      <c r="L16" s="164"/>
      <c r="M16" s="164"/>
      <c r="N16" s="164" t="s">
        <v>53</v>
      </c>
      <c r="O16" s="164" t="s">
        <v>62</v>
      </c>
      <c r="P16" s="173">
        <v>44523</v>
      </c>
      <c r="Q16" s="164" t="s">
        <v>1208</v>
      </c>
      <c r="R16" s="164" t="s">
        <v>1521</v>
      </c>
      <c r="S16" s="164" t="s">
        <v>305</v>
      </c>
      <c r="T16" s="171">
        <v>45382</v>
      </c>
      <c r="U16" s="167">
        <v>1</v>
      </c>
      <c r="V16" s="167">
        <v>782.55912999999998</v>
      </c>
      <c r="W16" s="167">
        <v>782.55912999999998</v>
      </c>
      <c r="X16" s="168">
        <v>6.0730373788244196E-3</v>
      </c>
      <c r="Y16" s="168">
        <v>1.280624097E-3</v>
      </c>
      <c r="Z16" s="168">
        <v>6.6263247199999998E-4</v>
      </c>
    </row>
    <row r="17" spans="1:26" ht="15.75" thickBot="1">
      <c r="A17" s="159">
        <v>7891</v>
      </c>
      <c r="B17" s="159">
        <v>7900</v>
      </c>
      <c r="C17" s="159"/>
      <c r="D17" s="159"/>
      <c r="E17" s="159"/>
      <c r="F17" s="164" t="s">
        <v>1551</v>
      </c>
      <c r="G17" s="164" t="s">
        <v>1552</v>
      </c>
      <c r="H17" s="164" t="s">
        <v>78</v>
      </c>
      <c r="I17" s="164" t="s">
        <v>1536</v>
      </c>
      <c r="J17" s="163"/>
      <c r="K17" s="164" t="s">
        <v>53</v>
      </c>
      <c r="L17" s="164"/>
      <c r="M17" s="164"/>
      <c r="N17" s="164" t="s">
        <v>53</v>
      </c>
      <c r="O17" s="164" t="s">
        <v>62</v>
      </c>
      <c r="P17" s="173">
        <v>44651</v>
      </c>
      <c r="Q17" s="164" t="s">
        <v>1208</v>
      </c>
      <c r="R17" s="164" t="s">
        <v>1521</v>
      </c>
      <c r="S17" s="164" t="s">
        <v>305</v>
      </c>
      <c r="T17" s="171">
        <v>45382</v>
      </c>
      <c r="U17" s="167">
        <v>1</v>
      </c>
      <c r="V17" s="167">
        <v>196.68494999999999</v>
      </c>
      <c r="W17" s="167">
        <v>196.68494999999999</v>
      </c>
      <c r="X17" s="168">
        <v>1.47930059009474E-3</v>
      </c>
      <c r="Y17" s="168">
        <v>3.2186639500000002E-4</v>
      </c>
      <c r="Z17" s="168">
        <v>1.6654311400000001E-4</v>
      </c>
    </row>
    <row r="18" spans="1:26" ht="15.75" thickBot="1">
      <c r="A18" s="159">
        <v>7891</v>
      </c>
      <c r="B18" s="159">
        <v>7900</v>
      </c>
      <c r="C18" s="159"/>
      <c r="D18" s="159"/>
      <c r="E18" s="159"/>
      <c r="F18" s="164" t="s">
        <v>1553</v>
      </c>
      <c r="G18" s="164" t="s">
        <v>1554</v>
      </c>
      <c r="H18" s="164" t="s">
        <v>78</v>
      </c>
      <c r="I18" s="164" t="s">
        <v>1536</v>
      </c>
      <c r="J18" s="163"/>
      <c r="K18" s="164" t="s">
        <v>53</v>
      </c>
      <c r="L18" s="164"/>
      <c r="M18" s="164"/>
      <c r="N18" s="164" t="s">
        <v>53</v>
      </c>
      <c r="O18" s="164" t="s">
        <v>62</v>
      </c>
      <c r="P18" s="173">
        <v>44679</v>
      </c>
      <c r="Q18" s="164" t="s">
        <v>1208</v>
      </c>
      <c r="R18" s="164" t="s">
        <v>1521</v>
      </c>
      <c r="S18" s="164" t="s">
        <v>305</v>
      </c>
      <c r="T18" s="171">
        <v>45382</v>
      </c>
      <c r="U18" s="167">
        <v>1</v>
      </c>
      <c r="V18" s="167">
        <v>200.76965999999999</v>
      </c>
      <c r="W18" s="167">
        <v>200.76965999999999</v>
      </c>
      <c r="X18" s="168">
        <v>2.0051692033001699E-3</v>
      </c>
      <c r="Y18" s="168">
        <v>3.2855084600000002E-4</v>
      </c>
      <c r="Z18" s="168">
        <v>1.7000184500000001E-4</v>
      </c>
    </row>
    <row r="19" spans="1:26" ht="15.75" thickBot="1">
      <c r="A19" s="159">
        <v>7891</v>
      </c>
      <c r="B19" s="159">
        <v>7900</v>
      </c>
      <c r="C19" s="159"/>
      <c r="D19" s="159"/>
      <c r="E19" s="159"/>
      <c r="F19" s="164" t="s">
        <v>1555</v>
      </c>
      <c r="G19" s="164" t="s">
        <v>1556</v>
      </c>
      <c r="H19" s="164" t="s">
        <v>78</v>
      </c>
      <c r="I19" s="164" t="s">
        <v>1536</v>
      </c>
      <c r="J19" s="163"/>
      <c r="K19" s="164" t="s">
        <v>61</v>
      </c>
      <c r="L19" s="164"/>
      <c r="M19" s="164"/>
      <c r="N19" s="164" t="s">
        <v>314</v>
      </c>
      <c r="O19" s="164" t="s">
        <v>62</v>
      </c>
      <c r="P19" s="173">
        <v>44679</v>
      </c>
      <c r="Q19" s="164" t="s">
        <v>1210</v>
      </c>
      <c r="R19" s="164" t="s">
        <v>1521</v>
      </c>
      <c r="S19" s="164" t="s">
        <v>305</v>
      </c>
      <c r="T19" s="171">
        <v>45382</v>
      </c>
      <c r="U19" s="167">
        <v>3.681</v>
      </c>
      <c r="V19" s="167">
        <v>47.608674273295001</v>
      </c>
      <c r="W19" s="167">
        <v>175.24753000000001</v>
      </c>
      <c r="X19" s="168">
        <v>2.13921228877145E-3</v>
      </c>
      <c r="Y19" s="168">
        <v>2.8678498700000001E-4</v>
      </c>
      <c r="Z19" s="168">
        <v>1.48390964E-4</v>
      </c>
    </row>
    <row r="20" spans="1:26" ht="15.75" thickBot="1">
      <c r="A20" s="159">
        <v>7891</v>
      </c>
      <c r="B20" s="159">
        <v>7900</v>
      </c>
      <c r="C20" s="159"/>
      <c r="D20" s="159"/>
      <c r="E20" s="159"/>
      <c r="F20" s="164" t="s">
        <v>1557</v>
      </c>
      <c r="G20" s="164" t="s">
        <v>1558</v>
      </c>
      <c r="H20" s="164" t="s">
        <v>78</v>
      </c>
      <c r="I20" s="164" t="s">
        <v>1536</v>
      </c>
      <c r="J20" s="163"/>
      <c r="K20" s="164" t="s">
        <v>61</v>
      </c>
      <c r="L20" s="164"/>
      <c r="M20" s="164"/>
      <c r="N20" s="164" t="s">
        <v>314</v>
      </c>
      <c r="O20" s="164" t="s">
        <v>62</v>
      </c>
      <c r="P20" s="173">
        <v>44560</v>
      </c>
      <c r="Q20" s="164" t="s">
        <v>1210</v>
      </c>
      <c r="R20" s="164" t="s">
        <v>1521</v>
      </c>
      <c r="S20" s="164" t="s">
        <v>305</v>
      </c>
      <c r="T20" s="171">
        <v>45382</v>
      </c>
      <c r="U20" s="167">
        <v>3.681</v>
      </c>
      <c r="V20" s="167">
        <v>57.428850855744997</v>
      </c>
      <c r="W20" s="167">
        <v>211.3956</v>
      </c>
      <c r="X20" s="168">
        <v>8.4764492517834401E-3</v>
      </c>
      <c r="Y20" s="168">
        <v>3.4593973600000001E-4</v>
      </c>
      <c r="Z20" s="168">
        <v>1.78999367E-4</v>
      </c>
    </row>
    <row r="21" spans="1:26" s="43" customFormat="1" ht="15.75" thickBot="1">
      <c r="A21" s="159">
        <v>11925</v>
      </c>
      <c r="B21" s="159">
        <v>11926</v>
      </c>
      <c r="C21" s="159"/>
      <c r="D21" s="159"/>
      <c r="E21" s="159"/>
      <c r="F21" s="164" t="s">
        <v>1534</v>
      </c>
      <c r="G21" s="164" t="s">
        <v>1535</v>
      </c>
      <c r="H21" s="164" t="s">
        <v>78</v>
      </c>
      <c r="I21" s="164" t="s">
        <v>1536</v>
      </c>
      <c r="J21" s="163"/>
      <c r="K21" s="164" t="s">
        <v>53</v>
      </c>
      <c r="L21" s="164"/>
      <c r="M21" s="164"/>
      <c r="N21" s="164" t="s">
        <v>53</v>
      </c>
      <c r="O21" s="164" t="s">
        <v>62</v>
      </c>
      <c r="P21" s="173">
        <v>44165</v>
      </c>
      <c r="Q21" s="164" t="s">
        <v>1208</v>
      </c>
      <c r="R21" s="164" t="s">
        <v>1521</v>
      </c>
      <c r="S21" s="164" t="s">
        <v>305</v>
      </c>
      <c r="T21" s="171">
        <v>45382</v>
      </c>
      <c r="U21" s="167">
        <v>1</v>
      </c>
      <c r="V21" s="167">
        <v>1656.4091599999999</v>
      </c>
      <c r="W21" s="167">
        <v>1656.4091599999999</v>
      </c>
      <c r="X21" s="168">
        <v>7.5002671941851499E-4</v>
      </c>
      <c r="Y21" s="168">
        <v>1.255838497E-3</v>
      </c>
      <c r="Z21" s="168">
        <v>6.3274709699999996E-4</v>
      </c>
    </row>
    <row r="22" spans="1:26" ht="15.75" thickBot="1">
      <c r="A22" s="159">
        <v>11925</v>
      </c>
      <c r="B22" s="159">
        <v>11926</v>
      </c>
      <c r="C22" s="159"/>
      <c r="D22" s="159"/>
      <c r="E22" s="159"/>
      <c r="F22" s="164" t="s">
        <v>1537</v>
      </c>
      <c r="G22" s="164" t="s">
        <v>1538</v>
      </c>
      <c r="H22" s="164" t="s">
        <v>78</v>
      </c>
      <c r="I22" s="164" t="s">
        <v>1536</v>
      </c>
      <c r="J22" s="163"/>
      <c r="K22" s="164" t="s">
        <v>53</v>
      </c>
      <c r="L22" s="164"/>
      <c r="M22" s="164"/>
      <c r="N22" s="164" t="s">
        <v>53</v>
      </c>
      <c r="O22" s="164" t="s">
        <v>62</v>
      </c>
      <c r="P22" s="173">
        <v>43493</v>
      </c>
      <c r="Q22" s="164" t="s">
        <v>1208</v>
      </c>
      <c r="R22" s="164" t="s">
        <v>1521</v>
      </c>
      <c r="S22" s="164" t="s">
        <v>305</v>
      </c>
      <c r="T22" s="171">
        <v>45382</v>
      </c>
      <c r="U22" s="167">
        <v>1</v>
      </c>
      <c r="V22" s="167">
        <v>1484.0158699999999</v>
      </c>
      <c r="W22" s="167">
        <v>1484.0158699999999</v>
      </c>
      <c r="X22" s="168">
        <v>1.2948338045350499E-3</v>
      </c>
      <c r="Y22" s="168">
        <v>1.125135205E-3</v>
      </c>
      <c r="Z22" s="168">
        <v>5.6689298500000001E-4</v>
      </c>
    </row>
    <row r="23" spans="1:26" ht="15.75" thickBot="1">
      <c r="A23" s="159">
        <v>11925</v>
      </c>
      <c r="B23" s="159">
        <v>11926</v>
      </c>
      <c r="C23" s="159"/>
      <c r="D23" s="159"/>
      <c r="E23" s="159"/>
      <c r="F23" s="164" t="s">
        <v>1539</v>
      </c>
      <c r="G23" s="164" t="s">
        <v>1540</v>
      </c>
      <c r="H23" s="164" t="s">
        <v>78</v>
      </c>
      <c r="I23" s="164" t="s">
        <v>1536</v>
      </c>
      <c r="J23" s="163"/>
      <c r="K23" s="164" t="s">
        <v>53</v>
      </c>
      <c r="L23" s="164"/>
      <c r="M23" s="164"/>
      <c r="N23" s="164" t="s">
        <v>314</v>
      </c>
      <c r="O23" s="164" t="s">
        <v>62</v>
      </c>
      <c r="P23" s="173">
        <v>44012</v>
      </c>
      <c r="Q23" s="164" t="s">
        <v>1210</v>
      </c>
      <c r="R23" s="164" t="s">
        <v>1521</v>
      </c>
      <c r="S23" s="164" t="s">
        <v>305</v>
      </c>
      <c r="T23" s="171">
        <v>45382</v>
      </c>
      <c r="U23" s="167">
        <v>3.681</v>
      </c>
      <c r="V23" s="167">
        <v>126.927527845694</v>
      </c>
      <c r="W23" s="167">
        <v>467.22023000000002</v>
      </c>
      <c r="X23" s="168">
        <v>3.1847302265251699E-3</v>
      </c>
      <c r="Y23" s="168">
        <v>3.5423201300000001E-4</v>
      </c>
      <c r="Z23" s="168">
        <v>1.7847778799999999E-4</v>
      </c>
    </row>
    <row r="24" spans="1:26" ht="15.75" thickBot="1">
      <c r="A24" s="159">
        <v>11925</v>
      </c>
      <c r="B24" s="159">
        <v>11926</v>
      </c>
      <c r="C24" s="159"/>
      <c r="D24" s="159"/>
      <c r="E24" s="159"/>
      <c r="F24" s="164" t="s">
        <v>1541</v>
      </c>
      <c r="G24" s="164" t="s">
        <v>1542</v>
      </c>
      <c r="H24" s="164" t="s">
        <v>78</v>
      </c>
      <c r="I24" s="164" t="s">
        <v>1536</v>
      </c>
      <c r="J24" s="163"/>
      <c r="K24" s="164" t="s">
        <v>53</v>
      </c>
      <c r="L24" s="164"/>
      <c r="M24" s="164"/>
      <c r="N24" s="164" t="s">
        <v>314</v>
      </c>
      <c r="O24" s="164" t="s">
        <v>62</v>
      </c>
      <c r="P24" s="173">
        <v>44165</v>
      </c>
      <c r="Q24" s="164" t="s">
        <v>1210</v>
      </c>
      <c r="R24" s="164" t="s">
        <v>1521</v>
      </c>
      <c r="S24" s="164" t="s">
        <v>305</v>
      </c>
      <c r="T24" s="171">
        <v>45382</v>
      </c>
      <c r="U24" s="167">
        <v>3.681</v>
      </c>
      <c r="V24" s="167">
        <v>332.23302091822899</v>
      </c>
      <c r="W24" s="167">
        <v>1222.94975</v>
      </c>
      <c r="X24" s="168">
        <v>5.4103583182526904E-3</v>
      </c>
      <c r="Y24" s="168">
        <v>9.27202899E-4</v>
      </c>
      <c r="Z24" s="168">
        <v>4.6716591699999999E-4</v>
      </c>
    </row>
    <row r="25" spans="1:26" ht="15.75" thickBot="1">
      <c r="A25" s="159">
        <v>11925</v>
      </c>
      <c r="B25" s="159">
        <v>11926</v>
      </c>
      <c r="C25" s="159"/>
      <c r="D25" s="159"/>
      <c r="E25" s="159"/>
      <c r="F25" s="164" t="s">
        <v>1543</v>
      </c>
      <c r="G25" s="164" t="s">
        <v>1544</v>
      </c>
      <c r="H25" s="164" t="s">
        <v>78</v>
      </c>
      <c r="I25" s="164" t="s">
        <v>1536</v>
      </c>
      <c r="J25" s="163"/>
      <c r="K25" s="164" t="s">
        <v>53</v>
      </c>
      <c r="L25" s="164"/>
      <c r="M25" s="164"/>
      <c r="N25" s="164" t="s">
        <v>314</v>
      </c>
      <c r="O25" s="164" t="s">
        <v>62</v>
      </c>
      <c r="P25" s="173">
        <v>44012</v>
      </c>
      <c r="Q25" s="164" t="s">
        <v>1210</v>
      </c>
      <c r="R25" s="164" t="s">
        <v>1521</v>
      </c>
      <c r="S25" s="164" t="s">
        <v>305</v>
      </c>
      <c r="T25" s="171">
        <v>45382</v>
      </c>
      <c r="U25" s="167">
        <v>3.681</v>
      </c>
      <c r="V25" s="167">
        <v>376.29989948383599</v>
      </c>
      <c r="W25" s="167">
        <v>1385.15993</v>
      </c>
      <c r="X25" s="168">
        <v>2.52656723522092E-3</v>
      </c>
      <c r="Y25" s="168">
        <v>1.0501856710000001E-3</v>
      </c>
      <c r="Z25" s="168">
        <v>5.2913008800000003E-4</v>
      </c>
    </row>
    <row r="26" spans="1:26" ht="15.75" thickBot="1">
      <c r="A26" s="159">
        <v>11925</v>
      </c>
      <c r="B26" s="159">
        <v>11926</v>
      </c>
      <c r="C26" s="159"/>
      <c r="D26" s="159"/>
      <c r="E26" s="159"/>
      <c r="F26" s="164" t="s">
        <v>1545</v>
      </c>
      <c r="G26" s="164" t="s">
        <v>1546</v>
      </c>
      <c r="H26" s="164" t="s">
        <v>78</v>
      </c>
      <c r="I26" s="164" t="s">
        <v>1536</v>
      </c>
      <c r="J26" s="163"/>
      <c r="K26" s="164" t="s">
        <v>53</v>
      </c>
      <c r="L26" s="164"/>
      <c r="M26" s="164"/>
      <c r="N26" s="164" t="s">
        <v>53</v>
      </c>
      <c r="O26" s="164" t="s">
        <v>62</v>
      </c>
      <c r="P26" s="173">
        <v>44377</v>
      </c>
      <c r="Q26" s="164" t="s">
        <v>1208</v>
      </c>
      <c r="R26" s="164" t="s">
        <v>1521</v>
      </c>
      <c r="S26" s="164" t="s">
        <v>305</v>
      </c>
      <c r="T26" s="171">
        <v>45382</v>
      </c>
      <c r="U26" s="167">
        <v>1</v>
      </c>
      <c r="V26" s="167">
        <v>1830.4289900000001</v>
      </c>
      <c r="W26" s="167">
        <v>1830.4289900000001</v>
      </c>
      <c r="X26" s="168">
        <v>2.2009012369869501E-2</v>
      </c>
      <c r="Y26" s="168">
        <v>1.387774982E-3</v>
      </c>
      <c r="Z26" s="168">
        <v>6.9922254599999998E-4</v>
      </c>
    </row>
    <row r="27" spans="1:26" ht="15.75" thickBot="1">
      <c r="A27" s="159">
        <v>11925</v>
      </c>
      <c r="B27" s="159">
        <v>11926</v>
      </c>
      <c r="C27" s="159"/>
      <c r="D27" s="159"/>
      <c r="E27" s="159"/>
      <c r="F27" s="164" t="s">
        <v>1547</v>
      </c>
      <c r="G27" s="164" t="s">
        <v>1548</v>
      </c>
      <c r="H27" s="164" t="s">
        <v>78</v>
      </c>
      <c r="I27" s="164" t="s">
        <v>1536</v>
      </c>
      <c r="J27" s="163"/>
      <c r="K27" s="164" t="s">
        <v>53</v>
      </c>
      <c r="L27" s="164"/>
      <c r="M27" s="164"/>
      <c r="N27" s="164" t="s">
        <v>53</v>
      </c>
      <c r="O27" s="164" t="s">
        <v>62</v>
      </c>
      <c r="P27" s="173">
        <v>44377</v>
      </c>
      <c r="Q27" s="164" t="s">
        <v>1208</v>
      </c>
      <c r="R27" s="164" t="s">
        <v>1521</v>
      </c>
      <c r="S27" s="164" t="s">
        <v>305</v>
      </c>
      <c r="T27" s="171">
        <v>45382</v>
      </c>
      <c r="U27" s="167">
        <v>1</v>
      </c>
      <c r="V27" s="167">
        <v>1498.79259</v>
      </c>
      <c r="W27" s="167">
        <v>1498.79259</v>
      </c>
      <c r="X27" s="168">
        <v>5.0078141317537296E-3</v>
      </c>
      <c r="Y27" s="168">
        <v>1.1363384600000001E-3</v>
      </c>
      <c r="Z27" s="168">
        <v>5.7253768200000001E-4</v>
      </c>
    </row>
    <row r="28" spans="1:26" ht="15.75" thickBot="1">
      <c r="A28" s="159">
        <v>11925</v>
      </c>
      <c r="B28" s="159">
        <v>11926</v>
      </c>
      <c r="C28" s="159"/>
      <c r="D28" s="159"/>
      <c r="E28" s="159"/>
      <c r="F28" s="164" t="s">
        <v>1549</v>
      </c>
      <c r="G28" s="164" t="s">
        <v>1550</v>
      </c>
      <c r="H28" s="164" t="s">
        <v>78</v>
      </c>
      <c r="I28" s="164" t="s">
        <v>1536</v>
      </c>
      <c r="J28" s="163"/>
      <c r="K28" s="164" t="s">
        <v>53</v>
      </c>
      <c r="L28" s="164"/>
      <c r="M28" s="164"/>
      <c r="N28" s="164" t="s">
        <v>53</v>
      </c>
      <c r="O28" s="164" t="s">
        <v>62</v>
      </c>
      <c r="P28" s="173">
        <v>44523</v>
      </c>
      <c r="Q28" s="164" t="s">
        <v>1208</v>
      </c>
      <c r="R28" s="164" t="s">
        <v>1521</v>
      </c>
      <c r="S28" s="164" t="s">
        <v>305</v>
      </c>
      <c r="T28" s="171">
        <v>45382</v>
      </c>
      <c r="U28" s="167">
        <v>1</v>
      </c>
      <c r="V28" s="167">
        <v>1007.43683</v>
      </c>
      <c r="W28" s="167">
        <v>1007.43683</v>
      </c>
      <c r="X28" s="168">
        <v>7.8181971059418705E-3</v>
      </c>
      <c r="Y28" s="168">
        <v>7.6380763E-4</v>
      </c>
      <c r="Z28" s="168">
        <v>3.84840138E-4</v>
      </c>
    </row>
    <row r="29" spans="1:26" ht="15.75" thickBot="1">
      <c r="A29" s="159">
        <v>11925</v>
      </c>
      <c r="B29" s="159">
        <v>11926</v>
      </c>
      <c r="C29" s="159"/>
      <c r="D29" s="159"/>
      <c r="E29" s="159"/>
      <c r="F29" s="164" t="s">
        <v>1551</v>
      </c>
      <c r="G29" s="164" t="s">
        <v>1552</v>
      </c>
      <c r="H29" s="164" t="s">
        <v>78</v>
      </c>
      <c r="I29" s="164" t="s">
        <v>1536</v>
      </c>
      <c r="J29" s="163"/>
      <c r="K29" s="164" t="s">
        <v>53</v>
      </c>
      <c r="L29" s="164"/>
      <c r="M29" s="164"/>
      <c r="N29" s="164" t="s">
        <v>53</v>
      </c>
      <c r="O29" s="164" t="s">
        <v>62</v>
      </c>
      <c r="P29" s="173">
        <v>44651</v>
      </c>
      <c r="Q29" s="164" t="s">
        <v>1208</v>
      </c>
      <c r="R29" s="164" t="s">
        <v>1521</v>
      </c>
      <c r="S29" s="164" t="s">
        <v>305</v>
      </c>
      <c r="T29" s="171">
        <v>45382</v>
      </c>
      <c r="U29" s="167">
        <v>1</v>
      </c>
      <c r="V29" s="167">
        <v>612.35758999999996</v>
      </c>
      <c r="W29" s="167">
        <v>612.35758999999996</v>
      </c>
      <c r="X29" s="168">
        <v>4.6056444290017802E-3</v>
      </c>
      <c r="Y29" s="168">
        <v>4.6427069700000001E-4</v>
      </c>
      <c r="Z29" s="168">
        <v>2.3392015499999999E-4</v>
      </c>
    </row>
    <row r="30" spans="1:26" ht="15.75" thickBot="1">
      <c r="A30" s="159">
        <v>11925</v>
      </c>
      <c r="B30" s="159">
        <v>11926</v>
      </c>
      <c r="C30" s="159"/>
      <c r="D30" s="159"/>
      <c r="E30" s="159"/>
      <c r="F30" s="164" t="s">
        <v>1553</v>
      </c>
      <c r="G30" s="164" t="s">
        <v>1554</v>
      </c>
      <c r="H30" s="164" t="s">
        <v>78</v>
      </c>
      <c r="I30" s="164" t="s">
        <v>1536</v>
      </c>
      <c r="J30" s="163"/>
      <c r="K30" s="164" t="s">
        <v>53</v>
      </c>
      <c r="L30" s="164"/>
      <c r="M30" s="164"/>
      <c r="N30" s="164" t="s">
        <v>53</v>
      </c>
      <c r="O30" s="164" t="s">
        <v>62</v>
      </c>
      <c r="P30" s="173">
        <v>44679</v>
      </c>
      <c r="Q30" s="164" t="s">
        <v>1208</v>
      </c>
      <c r="R30" s="164" t="s">
        <v>1521</v>
      </c>
      <c r="S30" s="164" t="s">
        <v>305</v>
      </c>
      <c r="T30" s="171">
        <v>45382</v>
      </c>
      <c r="U30" s="167">
        <v>1</v>
      </c>
      <c r="V30" s="167">
        <v>614.87630999999999</v>
      </c>
      <c r="W30" s="167">
        <v>614.87630999999999</v>
      </c>
      <c r="X30" s="168">
        <v>6.1410227055763702E-3</v>
      </c>
      <c r="Y30" s="168">
        <v>4.6618031300000001E-4</v>
      </c>
      <c r="Z30" s="168">
        <v>2.3488230400000001E-4</v>
      </c>
    </row>
    <row r="31" spans="1:26" ht="15.75" thickBot="1">
      <c r="A31" s="159">
        <v>11925</v>
      </c>
      <c r="B31" s="159">
        <v>11926</v>
      </c>
      <c r="C31" s="159"/>
      <c r="D31" s="159"/>
      <c r="E31" s="159"/>
      <c r="F31" s="164" t="s">
        <v>1555</v>
      </c>
      <c r="G31" s="164" t="s">
        <v>1556</v>
      </c>
      <c r="H31" s="164" t="s">
        <v>78</v>
      </c>
      <c r="I31" s="164" t="s">
        <v>1536</v>
      </c>
      <c r="J31" s="163"/>
      <c r="K31" s="164" t="s">
        <v>61</v>
      </c>
      <c r="L31" s="164"/>
      <c r="M31" s="164"/>
      <c r="N31" s="164" t="s">
        <v>314</v>
      </c>
      <c r="O31" s="164" t="s">
        <v>62</v>
      </c>
      <c r="P31" s="173">
        <v>44679</v>
      </c>
      <c r="Q31" s="164" t="s">
        <v>1210</v>
      </c>
      <c r="R31" s="164" t="s">
        <v>1521</v>
      </c>
      <c r="S31" s="164" t="s">
        <v>305</v>
      </c>
      <c r="T31" s="171">
        <v>45382</v>
      </c>
      <c r="U31" s="167">
        <v>3.681</v>
      </c>
      <c r="V31" s="167">
        <v>63.478234175494997</v>
      </c>
      <c r="W31" s="167">
        <v>233.66337999999999</v>
      </c>
      <c r="X31" s="168">
        <v>2.85228313307396E-3</v>
      </c>
      <c r="Y31" s="168">
        <v>1.7715639E-4</v>
      </c>
      <c r="Z31" s="168">
        <v>8.9259241667768202E-5</v>
      </c>
    </row>
    <row r="32" spans="1:26" ht="15.75" thickBot="1">
      <c r="A32" s="159">
        <v>11925</v>
      </c>
      <c r="B32" s="159">
        <v>11926</v>
      </c>
      <c r="C32" s="159"/>
      <c r="D32" s="159"/>
      <c r="E32" s="159"/>
      <c r="F32" s="164" t="s">
        <v>1559</v>
      </c>
      <c r="G32" s="164" t="s">
        <v>1560</v>
      </c>
      <c r="H32" s="164" t="s">
        <v>78</v>
      </c>
      <c r="I32" s="164" t="s">
        <v>1536</v>
      </c>
      <c r="J32" s="163"/>
      <c r="K32" s="164" t="s">
        <v>61</v>
      </c>
      <c r="L32" s="164"/>
      <c r="M32" s="164"/>
      <c r="N32" s="164" t="s">
        <v>314</v>
      </c>
      <c r="O32" s="164" t="s">
        <v>62</v>
      </c>
      <c r="P32" s="173">
        <v>44651</v>
      </c>
      <c r="Q32" s="164" t="s">
        <v>1210</v>
      </c>
      <c r="R32" s="164" t="s">
        <v>1521</v>
      </c>
      <c r="S32" s="164" t="s">
        <v>305</v>
      </c>
      <c r="T32" s="171">
        <v>45382</v>
      </c>
      <c r="U32" s="167">
        <v>3.681</v>
      </c>
      <c r="V32" s="167">
        <v>32.271005161639998</v>
      </c>
      <c r="W32" s="167">
        <v>118.78957</v>
      </c>
      <c r="X32" s="168">
        <v>1.45004102438349E-3</v>
      </c>
      <c r="Y32" s="168">
        <v>9.0062599692575606E-5</v>
      </c>
      <c r="Z32" s="168">
        <v>4.5377529573698102E-5</v>
      </c>
    </row>
    <row r="33" spans="1:26" ht="15.75" thickBot="1">
      <c r="A33" s="159">
        <v>11925</v>
      </c>
      <c r="B33" s="159">
        <v>11926</v>
      </c>
      <c r="C33" s="159"/>
      <c r="D33" s="159"/>
      <c r="E33" s="159"/>
      <c r="F33" s="164" t="s">
        <v>1555</v>
      </c>
      <c r="G33" s="164" t="s">
        <v>1561</v>
      </c>
      <c r="H33" s="164" t="s">
        <v>78</v>
      </c>
      <c r="I33" s="164" t="s">
        <v>1536</v>
      </c>
      <c r="J33" s="163"/>
      <c r="K33" s="164" t="s">
        <v>61</v>
      </c>
      <c r="L33" s="164"/>
      <c r="M33" s="164"/>
      <c r="N33" s="164" t="s">
        <v>314</v>
      </c>
      <c r="O33" s="164" t="s">
        <v>62</v>
      </c>
      <c r="P33" s="173">
        <v>44742</v>
      </c>
      <c r="Q33" s="164" t="s">
        <v>1210</v>
      </c>
      <c r="R33" s="164" t="s">
        <v>1521</v>
      </c>
      <c r="S33" s="164" t="s">
        <v>305</v>
      </c>
      <c r="T33" s="171">
        <v>45382</v>
      </c>
      <c r="U33" s="167">
        <v>3.681</v>
      </c>
      <c r="V33" s="167">
        <v>115.29900027166499</v>
      </c>
      <c r="W33" s="167">
        <v>424.41561999999999</v>
      </c>
      <c r="X33" s="168">
        <v>5.1807583813053004E-3</v>
      </c>
      <c r="Y33" s="168">
        <v>3.2177887400000003E-4</v>
      </c>
      <c r="Z33" s="168">
        <v>1.62126458E-4</v>
      </c>
    </row>
    <row r="34" spans="1:26" ht="15.75" thickBot="1">
      <c r="A34" s="159">
        <v>11925</v>
      </c>
      <c r="B34" s="159">
        <v>11926</v>
      </c>
      <c r="C34" s="159"/>
      <c r="D34" s="159"/>
      <c r="E34" s="159"/>
      <c r="F34" s="164" t="s">
        <v>1557</v>
      </c>
      <c r="G34" s="164" t="s">
        <v>1562</v>
      </c>
      <c r="H34" s="164" t="s">
        <v>78</v>
      </c>
      <c r="I34" s="164" t="s">
        <v>1536</v>
      </c>
      <c r="J34" s="163"/>
      <c r="K34" s="164" t="s">
        <v>61</v>
      </c>
      <c r="L34" s="164"/>
      <c r="M34" s="164"/>
      <c r="N34" s="164" t="s">
        <v>314</v>
      </c>
      <c r="O34" s="164" t="s">
        <v>62</v>
      </c>
      <c r="P34" s="173">
        <v>44560</v>
      </c>
      <c r="Q34" s="164" t="s">
        <v>1210</v>
      </c>
      <c r="R34" s="164" t="s">
        <v>1521</v>
      </c>
      <c r="S34" s="164" t="s">
        <v>305</v>
      </c>
      <c r="T34" s="171">
        <v>45382</v>
      </c>
      <c r="U34" s="167">
        <v>3.681</v>
      </c>
      <c r="V34" s="167">
        <v>77.603694648192999</v>
      </c>
      <c r="W34" s="167">
        <v>285.6592</v>
      </c>
      <c r="X34" s="168">
        <v>1.1454238934514501E-2</v>
      </c>
      <c r="Y34" s="168">
        <v>2.1657802200000001E-4</v>
      </c>
      <c r="Z34" s="168">
        <v>1.09121607E-4</v>
      </c>
    </row>
    <row r="35" spans="1:26" ht="15.75" thickBot="1">
      <c r="A35" s="159">
        <v>11925</v>
      </c>
      <c r="B35" s="159">
        <v>11926</v>
      </c>
      <c r="C35" s="159"/>
      <c r="D35" s="159"/>
      <c r="E35" s="159"/>
      <c r="F35" s="164" t="s">
        <v>1557</v>
      </c>
      <c r="G35" s="164" t="s">
        <v>1558</v>
      </c>
      <c r="H35" s="164" t="s">
        <v>78</v>
      </c>
      <c r="I35" s="164" t="s">
        <v>1536</v>
      </c>
      <c r="J35" s="163"/>
      <c r="K35" s="164" t="s">
        <v>61</v>
      </c>
      <c r="L35" s="164"/>
      <c r="M35" s="164"/>
      <c r="N35" s="164" t="s">
        <v>314</v>
      </c>
      <c r="O35" s="164" t="s">
        <v>62</v>
      </c>
      <c r="P35" s="173">
        <v>44560</v>
      </c>
      <c r="Q35" s="164" t="s">
        <v>1210</v>
      </c>
      <c r="R35" s="164" t="s">
        <v>1521</v>
      </c>
      <c r="S35" s="164" t="s">
        <v>305</v>
      </c>
      <c r="T35" s="171">
        <v>45382</v>
      </c>
      <c r="U35" s="167">
        <v>3.681</v>
      </c>
      <c r="V35" s="167">
        <v>94.401518609072994</v>
      </c>
      <c r="W35" s="167">
        <v>347.49198999999999</v>
      </c>
      <c r="X35" s="168">
        <v>1.39335833793903E-2</v>
      </c>
      <c r="Y35" s="168">
        <v>2.63457742E-4</v>
      </c>
      <c r="Z35" s="168">
        <v>1.3274168800000001E-4</v>
      </c>
    </row>
    <row r="36" spans="1:26" ht="15.75" thickBot="1">
      <c r="A36" s="159">
        <v>11925</v>
      </c>
      <c r="B36" s="159">
        <v>11928</v>
      </c>
      <c r="C36" s="159"/>
      <c r="D36" s="159"/>
      <c r="E36" s="159"/>
      <c r="F36" s="164" t="s">
        <v>1519</v>
      </c>
      <c r="G36" s="164" t="s">
        <v>1520</v>
      </c>
      <c r="H36" s="164" t="s">
        <v>78</v>
      </c>
      <c r="I36" s="164" t="s">
        <v>280</v>
      </c>
      <c r="J36" s="163"/>
      <c r="K36" s="164" t="s">
        <v>61</v>
      </c>
      <c r="L36" s="164"/>
      <c r="M36" s="164"/>
      <c r="N36" s="164" t="s">
        <v>314</v>
      </c>
      <c r="O36" s="164" t="s">
        <v>62</v>
      </c>
      <c r="P36" s="173">
        <v>45263</v>
      </c>
      <c r="Q36" s="164" t="s">
        <v>1210</v>
      </c>
      <c r="R36" s="164" t="s">
        <v>1521</v>
      </c>
      <c r="S36" s="164" t="s">
        <v>305</v>
      </c>
      <c r="T36" s="171">
        <v>45382</v>
      </c>
      <c r="U36" s="167">
        <v>3.7410000000000001</v>
      </c>
      <c r="V36" s="167">
        <v>3505.9626704699799</v>
      </c>
      <c r="W36" s="167">
        <v>12905.44859</v>
      </c>
      <c r="X36" s="168">
        <v>1.4754505556385101E-2</v>
      </c>
      <c r="Y36" s="168">
        <v>2.565314324E-3</v>
      </c>
      <c r="Z36" s="168">
        <v>9.5721719000000001E-4</v>
      </c>
    </row>
    <row r="37" spans="1:26" ht="15.75" thickBot="1">
      <c r="A37" s="159">
        <v>11925</v>
      </c>
      <c r="B37" s="159">
        <v>11928</v>
      </c>
      <c r="C37" s="159"/>
      <c r="D37" s="159"/>
      <c r="E37" s="159"/>
      <c r="F37" s="164" t="s">
        <v>1522</v>
      </c>
      <c r="G37" s="164" t="s">
        <v>1523</v>
      </c>
      <c r="H37" s="164" t="s">
        <v>78</v>
      </c>
      <c r="I37" s="164" t="s">
        <v>280</v>
      </c>
      <c r="J37" s="163"/>
      <c r="K37" s="164" t="s">
        <v>61</v>
      </c>
      <c r="L37" s="164"/>
      <c r="M37" s="164"/>
      <c r="N37" s="164" t="s">
        <v>313</v>
      </c>
      <c r="O37" s="164" t="s">
        <v>62</v>
      </c>
      <c r="P37" s="173">
        <v>43661</v>
      </c>
      <c r="Q37" s="164" t="s">
        <v>1211</v>
      </c>
      <c r="R37" s="164" t="s">
        <v>1521</v>
      </c>
      <c r="S37" s="164" t="s">
        <v>305</v>
      </c>
      <c r="T37" s="171">
        <v>45322</v>
      </c>
      <c r="U37" s="167">
        <v>4.0132000000000003</v>
      </c>
      <c r="V37" s="167">
        <v>2619.81360609183</v>
      </c>
      <c r="W37" s="167">
        <v>10424.500319999999</v>
      </c>
      <c r="X37" s="168">
        <v>8.2625228348693208E-3</v>
      </c>
      <c r="Y37" s="168">
        <v>2.0721573380000002E-3</v>
      </c>
      <c r="Z37" s="168">
        <v>7.7320139899999998E-4</v>
      </c>
    </row>
    <row r="38" spans="1:26" ht="15.75" thickBot="1">
      <c r="A38" s="159">
        <v>11925</v>
      </c>
      <c r="B38" s="159">
        <v>11928</v>
      </c>
      <c r="C38" s="159"/>
      <c r="D38" s="159"/>
      <c r="E38" s="159"/>
      <c r="F38" s="164" t="s">
        <v>1524</v>
      </c>
      <c r="G38" s="164" t="s">
        <v>1525</v>
      </c>
      <c r="H38" s="164" t="s">
        <v>78</v>
      </c>
      <c r="I38" s="164" t="s">
        <v>280</v>
      </c>
      <c r="J38" s="163"/>
      <c r="K38" s="164" t="s">
        <v>61</v>
      </c>
      <c r="L38" s="164"/>
      <c r="M38" s="164"/>
      <c r="N38" s="164" t="s">
        <v>947</v>
      </c>
      <c r="O38" s="164" t="s">
        <v>62</v>
      </c>
      <c r="P38" s="173">
        <v>43718</v>
      </c>
      <c r="Q38" s="164" t="s">
        <v>1210</v>
      </c>
      <c r="R38" s="164" t="s">
        <v>1521</v>
      </c>
      <c r="S38" s="164" t="s">
        <v>305</v>
      </c>
      <c r="T38" s="171">
        <v>45322</v>
      </c>
      <c r="U38" s="167">
        <v>3.7410000000000001</v>
      </c>
      <c r="V38" s="167">
        <v>777.47719913067101</v>
      </c>
      <c r="W38" s="167">
        <v>2861.8935700000002</v>
      </c>
      <c r="X38" s="168">
        <v>4.2492960794040403E-3</v>
      </c>
      <c r="Y38" s="168">
        <v>5.6888038499999999E-4</v>
      </c>
      <c r="Z38" s="168">
        <v>2.1227109600000001E-4</v>
      </c>
    </row>
    <row r="39" spans="1:26" ht="15.75" thickBot="1">
      <c r="A39" s="159">
        <v>11925</v>
      </c>
      <c r="B39" s="159">
        <v>11928</v>
      </c>
      <c r="C39" s="159"/>
      <c r="D39" s="159"/>
      <c r="E39" s="159"/>
      <c r="F39" s="164" t="s">
        <v>1526</v>
      </c>
      <c r="G39" s="164" t="s">
        <v>1527</v>
      </c>
      <c r="H39" s="164" t="s">
        <v>78</v>
      </c>
      <c r="I39" s="164" t="s">
        <v>280</v>
      </c>
      <c r="J39" s="163"/>
      <c r="K39" s="164" t="s">
        <v>61</v>
      </c>
      <c r="L39" s="164"/>
      <c r="M39" s="164"/>
      <c r="N39" s="164" t="s">
        <v>315</v>
      </c>
      <c r="O39" s="164" t="s">
        <v>62</v>
      </c>
      <c r="P39" s="173">
        <v>44404</v>
      </c>
      <c r="Q39" s="164" t="s">
        <v>1210</v>
      </c>
      <c r="R39" s="164" t="s">
        <v>1521</v>
      </c>
      <c r="S39" s="164" t="s">
        <v>305</v>
      </c>
      <c r="T39" s="171">
        <v>45199</v>
      </c>
      <c r="U39" s="167">
        <v>3.7410000000000001</v>
      </c>
      <c r="V39" s="167">
        <v>2058.6398886172201</v>
      </c>
      <c r="W39" s="167">
        <v>7577.8534300000001</v>
      </c>
      <c r="X39" s="168">
        <v>1.543911480568E-2</v>
      </c>
      <c r="Y39" s="168">
        <v>1.5063076509999999E-3</v>
      </c>
      <c r="Z39" s="168">
        <v>5.6206117199999995E-4</v>
      </c>
    </row>
    <row r="40" spans="1:26" ht="15.75" thickBot="1">
      <c r="A40" s="159">
        <v>11925</v>
      </c>
      <c r="B40" s="159">
        <v>11928</v>
      </c>
      <c r="C40" s="159"/>
      <c r="D40" s="159"/>
      <c r="E40" s="159"/>
      <c r="F40" s="164" t="s">
        <v>1528</v>
      </c>
      <c r="G40" s="164" t="s">
        <v>1529</v>
      </c>
      <c r="H40" s="164" t="s">
        <v>78</v>
      </c>
      <c r="I40" s="164" t="s">
        <v>280</v>
      </c>
      <c r="J40" s="163"/>
      <c r="K40" s="164" t="s">
        <v>61</v>
      </c>
      <c r="L40" s="164"/>
      <c r="M40" s="164"/>
      <c r="N40" s="164" t="s">
        <v>314</v>
      </c>
      <c r="O40" s="164" t="s">
        <v>62</v>
      </c>
      <c r="P40" s="173">
        <v>44530</v>
      </c>
      <c r="Q40" s="164" t="s">
        <v>1208</v>
      </c>
      <c r="R40" s="164" t="s">
        <v>1521</v>
      </c>
      <c r="S40" s="164" t="s">
        <v>305</v>
      </c>
      <c r="T40" s="171">
        <v>45351</v>
      </c>
      <c r="U40" s="167">
        <v>1</v>
      </c>
      <c r="V40" s="167">
        <v>2092.2890084216201</v>
      </c>
      <c r="W40" s="167">
        <v>7701.7158399999998</v>
      </c>
      <c r="X40" s="168">
        <v>3.04532997286198E-3</v>
      </c>
      <c r="Y40" s="168">
        <v>1.5309287259999999E-3</v>
      </c>
      <c r="Z40" s="168">
        <v>5.7124824000000002E-4</v>
      </c>
    </row>
    <row r="41" spans="1:26" ht="15.75" thickBot="1">
      <c r="A41" s="159">
        <v>11925</v>
      </c>
      <c r="B41" s="159">
        <v>11928</v>
      </c>
      <c r="C41" s="159"/>
      <c r="D41" s="159"/>
      <c r="E41" s="159"/>
      <c r="F41" s="164" t="s">
        <v>1530</v>
      </c>
      <c r="G41" s="164" t="s">
        <v>1531</v>
      </c>
      <c r="H41" s="164" t="s">
        <v>78</v>
      </c>
      <c r="I41" s="164" t="s">
        <v>280</v>
      </c>
      <c r="J41" s="163"/>
      <c r="K41" s="164" t="s">
        <v>61</v>
      </c>
      <c r="L41" s="164"/>
      <c r="M41" s="164"/>
      <c r="N41" s="164" t="s">
        <v>314</v>
      </c>
      <c r="O41" s="164" t="s">
        <v>62</v>
      </c>
      <c r="P41" s="173">
        <v>44655</v>
      </c>
      <c r="Q41" s="164" t="s">
        <v>1210</v>
      </c>
      <c r="R41" s="164" t="s">
        <v>1521</v>
      </c>
      <c r="S41" s="164" t="s">
        <v>305</v>
      </c>
      <c r="T41" s="171">
        <v>45291</v>
      </c>
      <c r="U41" s="167">
        <v>3.7410000000000001</v>
      </c>
      <c r="V41" s="167">
        <v>1132.75769356153</v>
      </c>
      <c r="W41" s="167">
        <v>4169.6810699999996</v>
      </c>
      <c r="X41" s="168">
        <v>9.4428836199586996E-4</v>
      </c>
      <c r="Y41" s="168">
        <v>8.2883926899999995E-4</v>
      </c>
      <c r="Z41" s="168">
        <v>3.0927172899999997E-4</v>
      </c>
    </row>
    <row r="42" spans="1:26" ht="15.75" thickBot="1">
      <c r="A42" s="159">
        <v>11925</v>
      </c>
      <c r="B42" s="159">
        <v>11928</v>
      </c>
      <c r="C42" s="159"/>
      <c r="D42" s="159"/>
      <c r="E42" s="159"/>
      <c r="F42" s="164" t="s">
        <v>1532</v>
      </c>
      <c r="G42" s="164" t="s">
        <v>1533</v>
      </c>
      <c r="H42" s="164" t="s">
        <v>78</v>
      </c>
      <c r="I42" s="164" t="s">
        <v>280</v>
      </c>
      <c r="J42" s="163"/>
      <c r="K42" s="164" t="s">
        <v>61</v>
      </c>
      <c r="L42" s="164"/>
      <c r="M42" s="164"/>
      <c r="N42" s="164" t="s">
        <v>314</v>
      </c>
      <c r="O42" s="164" t="s">
        <v>62</v>
      </c>
      <c r="P42" s="173">
        <v>45015</v>
      </c>
      <c r="Q42" s="164" t="s">
        <v>1210</v>
      </c>
      <c r="R42" s="164" t="s">
        <v>1521</v>
      </c>
      <c r="S42" s="164" t="s">
        <v>305</v>
      </c>
      <c r="T42" s="171">
        <v>45291</v>
      </c>
      <c r="U42" s="167">
        <v>3.7410000000000001</v>
      </c>
      <c r="V42" s="167">
        <v>1267.69411572942</v>
      </c>
      <c r="W42" s="167">
        <v>4666.3820400000004</v>
      </c>
      <c r="X42" s="168">
        <v>9.2304186988852507E-3</v>
      </c>
      <c r="Y42" s="168">
        <v>9.2757230399999997E-4</v>
      </c>
      <c r="Z42" s="168">
        <v>3.4611281199999999E-4</v>
      </c>
    </row>
    <row r="43" spans="1:26" ht="15.75" thickBot="1">
      <c r="A43" s="159">
        <v>11939</v>
      </c>
      <c r="B43" s="159">
        <v>11942</v>
      </c>
      <c r="C43" s="159"/>
      <c r="D43" s="159"/>
      <c r="E43" s="159"/>
      <c r="F43" s="164" t="s">
        <v>1519</v>
      </c>
      <c r="G43" s="164" t="s">
        <v>1520</v>
      </c>
      <c r="H43" s="164" t="s">
        <v>78</v>
      </c>
      <c r="I43" s="164" t="s">
        <v>280</v>
      </c>
      <c r="J43" s="163"/>
      <c r="K43" s="164" t="s">
        <v>61</v>
      </c>
      <c r="L43" s="164"/>
      <c r="M43" s="164"/>
      <c r="N43" s="164" t="s">
        <v>314</v>
      </c>
      <c r="O43" s="164" t="s">
        <v>62</v>
      </c>
      <c r="P43" s="173">
        <v>45263</v>
      </c>
      <c r="Q43" s="164" t="s">
        <v>1210</v>
      </c>
      <c r="R43" s="164" t="s">
        <v>1521</v>
      </c>
      <c r="S43" s="164" t="s">
        <v>305</v>
      </c>
      <c r="T43" s="171">
        <v>45382</v>
      </c>
      <c r="U43" s="167">
        <v>3.7410000000000001</v>
      </c>
      <c r="V43" s="167">
        <v>9019.9378348274895</v>
      </c>
      <c r="W43" s="167">
        <v>33202.391170000003</v>
      </c>
      <c r="X43" s="168">
        <v>3.7959537910416397E-2</v>
      </c>
      <c r="Y43" s="168">
        <v>2.5653142820000001E-3</v>
      </c>
      <c r="Z43" s="168">
        <v>9.8036174599999996E-4</v>
      </c>
    </row>
    <row r="44" spans="1:26" ht="15.75" thickBot="1">
      <c r="A44" s="159">
        <v>11939</v>
      </c>
      <c r="B44" s="159">
        <v>11942</v>
      </c>
      <c r="C44" s="159"/>
      <c r="D44" s="159"/>
      <c r="E44" s="159"/>
      <c r="F44" s="164" t="s">
        <v>1522</v>
      </c>
      <c r="G44" s="164" t="s">
        <v>1523</v>
      </c>
      <c r="H44" s="164" t="s">
        <v>78</v>
      </c>
      <c r="I44" s="164" t="s">
        <v>280</v>
      </c>
      <c r="J44" s="163"/>
      <c r="K44" s="164" t="s">
        <v>61</v>
      </c>
      <c r="L44" s="164"/>
      <c r="M44" s="164"/>
      <c r="N44" s="164" t="s">
        <v>313</v>
      </c>
      <c r="O44" s="164" t="s">
        <v>62</v>
      </c>
      <c r="P44" s="173">
        <v>43661</v>
      </c>
      <c r="Q44" s="164" t="s">
        <v>1211</v>
      </c>
      <c r="R44" s="164" t="s">
        <v>1521</v>
      </c>
      <c r="S44" s="164" t="s">
        <v>305</v>
      </c>
      <c r="T44" s="171">
        <v>45322</v>
      </c>
      <c r="U44" s="167">
        <v>4.0132000000000003</v>
      </c>
      <c r="V44" s="167">
        <v>6740.1049986177804</v>
      </c>
      <c r="W44" s="167">
        <v>26819.551800000001</v>
      </c>
      <c r="X44" s="168">
        <v>2.1257341106634499E-2</v>
      </c>
      <c r="Y44" s="168">
        <v>2.0721573610000001E-3</v>
      </c>
      <c r="Z44" s="168">
        <v>7.9189665900000002E-4</v>
      </c>
    </row>
    <row r="45" spans="1:26" ht="15.75" thickBot="1">
      <c r="A45" s="159">
        <v>11939</v>
      </c>
      <c r="B45" s="159">
        <v>11942</v>
      </c>
      <c r="C45" s="159"/>
      <c r="D45" s="159"/>
      <c r="E45" s="159"/>
      <c r="F45" s="164" t="s">
        <v>1524</v>
      </c>
      <c r="G45" s="164" t="s">
        <v>1525</v>
      </c>
      <c r="H45" s="164" t="s">
        <v>78</v>
      </c>
      <c r="I45" s="164" t="s">
        <v>280</v>
      </c>
      <c r="J45" s="163"/>
      <c r="K45" s="164" t="s">
        <v>61</v>
      </c>
      <c r="L45" s="164"/>
      <c r="M45" s="164"/>
      <c r="N45" s="164" t="s">
        <v>947</v>
      </c>
      <c r="O45" s="164" t="s">
        <v>62</v>
      </c>
      <c r="P45" s="173">
        <v>43718</v>
      </c>
      <c r="Q45" s="164" t="s">
        <v>1210</v>
      </c>
      <c r="R45" s="164" t="s">
        <v>1521</v>
      </c>
      <c r="S45" s="164" t="s">
        <v>305</v>
      </c>
      <c r="T45" s="171">
        <v>45322</v>
      </c>
      <c r="U45" s="167">
        <v>3.7410000000000001</v>
      </c>
      <c r="V45" s="167">
        <v>2000.2488508557501</v>
      </c>
      <c r="W45" s="167">
        <v>7362.9160199999997</v>
      </c>
      <c r="X45" s="168">
        <v>1.09323458093402E-2</v>
      </c>
      <c r="Y45" s="168">
        <v>5.6888052199999999E-4</v>
      </c>
      <c r="Z45" s="168">
        <v>2.17403655E-4</v>
      </c>
    </row>
    <row r="46" spans="1:26" ht="15.75" thickBot="1">
      <c r="A46" s="159">
        <v>11939</v>
      </c>
      <c r="B46" s="159">
        <v>11942</v>
      </c>
      <c r="C46" s="159"/>
      <c r="D46" s="159"/>
      <c r="E46" s="159"/>
      <c r="F46" s="164" t="s">
        <v>1526</v>
      </c>
      <c r="G46" s="164" t="s">
        <v>1527</v>
      </c>
      <c r="H46" s="164" t="s">
        <v>78</v>
      </c>
      <c r="I46" s="164" t="s">
        <v>280</v>
      </c>
      <c r="J46" s="163"/>
      <c r="K46" s="164" t="s">
        <v>61</v>
      </c>
      <c r="L46" s="164"/>
      <c r="M46" s="164"/>
      <c r="N46" s="164" t="s">
        <v>315</v>
      </c>
      <c r="O46" s="164" t="s">
        <v>62</v>
      </c>
      <c r="P46" s="173">
        <v>44404</v>
      </c>
      <c r="Q46" s="164" t="s">
        <v>1210</v>
      </c>
      <c r="R46" s="164" t="s">
        <v>1521</v>
      </c>
      <c r="S46" s="164" t="s">
        <v>305</v>
      </c>
      <c r="T46" s="171">
        <v>45199</v>
      </c>
      <c r="U46" s="167">
        <v>3.7410000000000001</v>
      </c>
      <c r="V46" s="167">
        <v>5296.3495028524903</v>
      </c>
      <c r="W46" s="167">
        <v>19495.862519999999</v>
      </c>
      <c r="X46" s="168">
        <v>3.9720860592315999E-2</v>
      </c>
      <c r="Y46" s="168">
        <v>1.5063076120000001E-3</v>
      </c>
      <c r="Z46" s="168">
        <v>5.7565124500000005E-4</v>
      </c>
    </row>
    <row r="47" spans="1:26" ht="15.75" thickBot="1">
      <c r="A47" s="159">
        <v>11939</v>
      </c>
      <c r="B47" s="159">
        <v>11942</v>
      </c>
      <c r="C47" s="159"/>
      <c r="D47" s="159"/>
      <c r="E47" s="159"/>
      <c r="F47" s="164" t="s">
        <v>1528</v>
      </c>
      <c r="G47" s="164" t="s">
        <v>1529</v>
      </c>
      <c r="H47" s="164" t="s">
        <v>78</v>
      </c>
      <c r="I47" s="164" t="s">
        <v>280</v>
      </c>
      <c r="J47" s="163"/>
      <c r="K47" s="164" t="s">
        <v>61</v>
      </c>
      <c r="L47" s="164"/>
      <c r="M47" s="164"/>
      <c r="N47" s="164" t="s">
        <v>314</v>
      </c>
      <c r="O47" s="164" t="s">
        <v>62</v>
      </c>
      <c r="P47" s="173">
        <v>44530</v>
      </c>
      <c r="Q47" s="164" t="s">
        <v>1208</v>
      </c>
      <c r="R47" s="164" t="s">
        <v>1521</v>
      </c>
      <c r="S47" s="164" t="s">
        <v>305</v>
      </c>
      <c r="T47" s="171">
        <v>45351</v>
      </c>
      <c r="U47" s="167">
        <v>1</v>
      </c>
      <c r="V47" s="167">
        <v>5382.9200054333096</v>
      </c>
      <c r="W47" s="167">
        <v>19814.528539999999</v>
      </c>
      <c r="X47" s="168">
        <v>7.8348486122530297E-3</v>
      </c>
      <c r="Y47" s="168">
        <v>1.5309286850000001E-3</v>
      </c>
      <c r="Z47" s="168">
        <v>5.8506044600000005E-4</v>
      </c>
    </row>
    <row r="48" spans="1:26" ht="15.75" thickBot="1">
      <c r="A48" s="159">
        <v>11939</v>
      </c>
      <c r="B48" s="159">
        <v>11942</v>
      </c>
      <c r="C48" s="159"/>
      <c r="D48" s="159"/>
      <c r="E48" s="159"/>
      <c r="F48" s="164" t="s">
        <v>1530</v>
      </c>
      <c r="G48" s="164" t="s">
        <v>1531</v>
      </c>
      <c r="H48" s="164" t="s">
        <v>78</v>
      </c>
      <c r="I48" s="164" t="s">
        <v>280</v>
      </c>
      <c r="J48" s="163"/>
      <c r="K48" s="164" t="s">
        <v>61</v>
      </c>
      <c r="L48" s="164"/>
      <c r="M48" s="164"/>
      <c r="N48" s="164" t="s">
        <v>314</v>
      </c>
      <c r="O48" s="164" t="s">
        <v>62</v>
      </c>
      <c r="P48" s="173">
        <v>44655</v>
      </c>
      <c r="Q48" s="164" t="s">
        <v>1210</v>
      </c>
      <c r="R48" s="164" t="s">
        <v>1521</v>
      </c>
      <c r="S48" s="164" t="s">
        <v>305</v>
      </c>
      <c r="T48" s="171">
        <v>45291</v>
      </c>
      <c r="U48" s="167">
        <v>3.7410000000000001</v>
      </c>
      <c r="V48" s="167">
        <v>2914.29341483293</v>
      </c>
      <c r="W48" s="167">
        <v>10727.51406</v>
      </c>
      <c r="X48" s="168">
        <v>2.4294104297058498E-3</v>
      </c>
      <c r="Y48" s="168">
        <v>8.2883925100000002E-4</v>
      </c>
      <c r="Z48" s="168">
        <v>3.1674960800000002E-4</v>
      </c>
    </row>
    <row r="49" spans="1:26" ht="15.75" thickBot="1">
      <c r="A49" s="159">
        <v>11939</v>
      </c>
      <c r="B49" s="159">
        <v>11942</v>
      </c>
      <c r="C49" s="159"/>
      <c r="D49" s="159"/>
      <c r="E49" s="159"/>
      <c r="F49" s="164" t="s">
        <v>1532</v>
      </c>
      <c r="G49" s="164" t="s">
        <v>1533</v>
      </c>
      <c r="H49" s="164" t="s">
        <v>78</v>
      </c>
      <c r="I49" s="164" t="s">
        <v>280</v>
      </c>
      <c r="J49" s="163"/>
      <c r="K49" s="164" t="s">
        <v>61</v>
      </c>
      <c r="L49" s="164"/>
      <c r="M49" s="164"/>
      <c r="N49" s="164" t="s">
        <v>314</v>
      </c>
      <c r="O49" s="164" t="s">
        <v>62</v>
      </c>
      <c r="P49" s="173">
        <v>45015</v>
      </c>
      <c r="Q49" s="164" t="s">
        <v>1210</v>
      </c>
      <c r="R49" s="164" t="s">
        <v>1521</v>
      </c>
      <c r="S49" s="164" t="s">
        <v>305</v>
      </c>
      <c r="T49" s="171">
        <v>45291</v>
      </c>
      <c r="U49" s="167">
        <v>3.7410000000000001</v>
      </c>
      <c r="V49" s="167">
        <v>3261.4500353164899</v>
      </c>
      <c r="W49" s="167">
        <v>12005.397580000001</v>
      </c>
      <c r="X49" s="168">
        <v>2.3747486888146801E-2</v>
      </c>
      <c r="Y49" s="168">
        <v>9.2757228500000004E-4</v>
      </c>
      <c r="Z49" s="168">
        <v>3.5448147299999998E-4</v>
      </c>
    </row>
    <row r="50" spans="1:26" ht="15.75" thickBot="1">
      <c r="A50" s="159">
        <v>11939</v>
      </c>
      <c r="B50" s="159">
        <v>11943</v>
      </c>
      <c r="C50" s="159"/>
      <c r="D50" s="159"/>
      <c r="E50" s="159"/>
      <c r="F50" s="164" t="s">
        <v>1534</v>
      </c>
      <c r="G50" s="164" t="s">
        <v>1535</v>
      </c>
      <c r="H50" s="164" t="s">
        <v>78</v>
      </c>
      <c r="I50" s="164" t="s">
        <v>1536</v>
      </c>
      <c r="J50" s="163"/>
      <c r="K50" s="164" t="s">
        <v>53</v>
      </c>
      <c r="L50" s="164"/>
      <c r="M50" s="164"/>
      <c r="N50" s="164" t="s">
        <v>53</v>
      </c>
      <c r="O50" s="164" t="s">
        <v>62</v>
      </c>
      <c r="P50" s="173">
        <v>44165</v>
      </c>
      <c r="Q50" s="164" t="s">
        <v>1208</v>
      </c>
      <c r="R50" s="164" t="s">
        <v>1521</v>
      </c>
      <c r="S50" s="164" t="s">
        <v>305</v>
      </c>
      <c r="T50" s="171">
        <v>45382</v>
      </c>
      <c r="U50" s="167">
        <v>1</v>
      </c>
      <c r="V50" s="167">
        <v>784.01197999999999</v>
      </c>
      <c r="W50" s="167">
        <v>784.01197999999999</v>
      </c>
      <c r="X50" s="168">
        <v>3.5500282632113298E-4</v>
      </c>
      <c r="Y50" s="168">
        <v>1.040657151E-3</v>
      </c>
      <c r="Z50" s="168">
        <v>5.1803885300000002E-4</v>
      </c>
    </row>
    <row r="51" spans="1:26" ht="15.75" thickBot="1">
      <c r="A51" s="159">
        <v>11939</v>
      </c>
      <c r="B51" s="159">
        <v>11943</v>
      </c>
      <c r="C51" s="159"/>
      <c r="D51" s="159"/>
      <c r="E51" s="159"/>
      <c r="F51" s="164" t="s">
        <v>1541</v>
      </c>
      <c r="G51" s="164" t="s">
        <v>1542</v>
      </c>
      <c r="H51" s="164" t="s">
        <v>78</v>
      </c>
      <c r="I51" s="164" t="s">
        <v>1536</v>
      </c>
      <c r="J51" s="163"/>
      <c r="K51" s="164" t="s">
        <v>53</v>
      </c>
      <c r="L51" s="164"/>
      <c r="M51" s="164"/>
      <c r="N51" s="164" t="s">
        <v>314</v>
      </c>
      <c r="O51" s="164" t="s">
        <v>62</v>
      </c>
      <c r="P51" s="173">
        <v>44165</v>
      </c>
      <c r="Q51" s="164" t="s">
        <v>1210</v>
      </c>
      <c r="R51" s="164" t="s">
        <v>1521</v>
      </c>
      <c r="S51" s="164" t="s">
        <v>305</v>
      </c>
      <c r="T51" s="171">
        <v>45382</v>
      </c>
      <c r="U51" s="167">
        <v>3.681</v>
      </c>
      <c r="V51" s="167">
        <v>198.97953545232301</v>
      </c>
      <c r="W51" s="167">
        <v>732.44367</v>
      </c>
      <c r="X51" s="168">
        <v>3.2403479395911598E-3</v>
      </c>
      <c r="Y51" s="168">
        <v>9.7220803E-4</v>
      </c>
      <c r="Z51" s="168">
        <v>4.8396489900000002E-4</v>
      </c>
    </row>
    <row r="52" spans="1:26" ht="15.75" thickBot="1">
      <c r="A52" s="159">
        <v>11939</v>
      </c>
      <c r="B52" s="159">
        <v>11943</v>
      </c>
      <c r="C52" s="159"/>
      <c r="D52" s="159"/>
      <c r="E52" s="159"/>
      <c r="F52" s="164" t="s">
        <v>1543</v>
      </c>
      <c r="G52" s="164" t="s">
        <v>1544</v>
      </c>
      <c r="H52" s="164" t="s">
        <v>78</v>
      </c>
      <c r="I52" s="164" t="s">
        <v>1536</v>
      </c>
      <c r="J52" s="163"/>
      <c r="K52" s="164" t="s">
        <v>53</v>
      </c>
      <c r="L52" s="164"/>
      <c r="M52" s="164"/>
      <c r="N52" s="164" t="s">
        <v>314</v>
      </c>
      <c r="O52" s="164" t="s">
        <v>62</v>
      </c>
      <c r="P52" s="173">
        <v>44012</v>
      </c>
      <c r="Q52" s="164" t="s">
        <v>1210</v>
      </c>
      <c r="R52" s="164" t="s">
        <v>1521</v>
      </c>
      <c r="S52" s="164" t="s">
        <v>305</v>
      </c>
      <c r="T52" s="171">
        <v>45382</v>
      </c>
      <c r="U52" s="167">
        <v>3.681</v>
      </c>
      <c r="V52" s="167">
        <v>262.06969301820197</v>
      </c>
      <c r="W52" s="167">
        <v>964.67854</v>
      </c>
      <c r="X52" s="168">
        <v>1.7595983964716301E-3</v>
      </c>
      <c r="Y52" s="168">
        <v>1.2804646440000001E-3</v>
      </c>
      <c r="Z52" s="168">
        <v>6.3741495999999995E-4</v>
      </c>
    </row>
    <row r="53" spans="1:26" ht="15.75" thickBot="1">
      <c r="A53" s="159">
        <v>11939</v>
      </c>
      <c r="B53" s="159">
        <v>11943</v>
      </c>
      <c r="C53" s="159"/>
      <c r="D53" s="159"/>
      <c r="E53" s="159"/>
      <c r="F53" s="164" t="s">
        <v>1545</v>
      </c>
      <c r="G53" s="164" t="s">
        <v>1546</v>
      </c>
      <c r="H53" s="164" t="s">
        <v>78</v>
      </c>
      <c r="I53" s="164" t="s">
        <v>1536</v>
      </c>
      <c r="J53" s="163"/>
      <c r="K53" s="164" t="s">
        <v>53</v>
      </c>
      <c r="L53" s="164"/>
      <c r="M53" s="164"/>
      <c r="N53" s="164" t="s">
        <v>53</v>
      </c>
      <c r="O53" s="164" t="s">
        <v>62</v>
      </c>
      <c r="P53" s="173">
        <v>44377</v>
      </c>
      <c r="Q53" s="164" t="s">
        <v>1208</v>
      </c>
      <c r="R53" s="164" t="s">
        <v>1521</v>
      </c>
      <c r="S53" s="164" t="s">
        <v>305</v>
      </c>
      <c r="T53" s="171">
        <v>45382</v>
      </c>
      <c r="U53" s="167">
        <v>1</v>
      </c>
      <c r="V53" s="167">
        <v>764.87959000000001</v>
      </c>
      <c r="W53" s="167">
        <v>764.87959000000001</v>
      </c>
      <c r="X53" s="168">
        <v>9.1968846919162194E-3</v>
      </c>
      <c r="Y53" s="168">
        <v>1.015261801E-3</v>
      </c>
      <c r="Z53" s="168">
        <v>5.0539705499999998E-4</v>
      </c>
    </row>
    <row r="54" spans="1:26" ht="15.75" thickBot="1">
      <c r="A54" s="159">
        <v>11939</v>
      </c>
      <c r="B54" s="159">
        <v>11943</v>
      </c>
      <c r="C54" s="159"/>
      <c r="D54" s="159"/>
      <c r="E54" s="159"/>
      <c r="F54" s="164" t="s">
        <v>1547</v>
      </c>
      <c r="G54" s="164" t="s">
        <v>1548</v>
      </c>
      <c r="H54" s="164" t="s">
        <v>78</v>
      </c>
      <c r="I54" s="164" t="s">
        <v>1536</v>
      </c>
      <c r="J54" s="163"/>
      <c r="K54" s="164" t="s">
        <v>53</v>
      </c>
      <c r="L54" s="164"/>
      <c r="M54" s="164"/>
      <c r="N54" s="164" t="s">
        <v>53</v>
      </c>
      <c r="O54" s="164" t="s">
        <v>62</v>
      </c>
      <c r="P54" s="173">
        <v>44377</v>
      </c>
      <c r="Q54" s="164" t="s">
        <v>1208</v>
      </c>
      <c r="R54" s="164" t="s">
        <v>1521</v>
      </c>
      <c r="S54" s="164" t="s">
        <v>305</v>
      </c>
      <c r="T54" s="171">
        <v>45382</v>
      </c>
      <c r="U54" s="167">
        <v>1</v>
      </c>
      <c r="V54" s="167">
        <v>759.77922000000001</v>
      </c>
      <c r="W54" s="167">
        <v>759.77922000000001</v>
      </c>
      <c r="X54" s="168">
        <v>2.5385988296945301E-3</v>
      </c>
      <c r="Y54" s="168">
        <v>1.008491833E-3</v>
      </c>
      <c r="Z54" s="168">
        <v>5.0202696599999997E-4</v>
      </c>
    </row>
    <row r="55" spans="1:26" ht="15.75" thickBot="1">
      <c r="A55" s="159">
        <v>11939</v>
      </c>
      <c r="B55" s="159">
        <v>11943</v>
      </c>
      <c r="C55" s="159"/>
      <c r="D55" s="159"/>
      <c r="E55" s="159"/>
      <c r="F55" s="164" t="s">
        <v>1549</v>
      </c>
      <c r="G55" s="164" t="s">
        <v>1550</v>
      </c>
      <c r="H55" s="164" t="s">
        <v>78</v>
      </c>
      <c r="I55" s="164" t="s">
        <v>1536</v>
      </c>
      <c r="J55" s="163"/>
      <c r="K55" s="164" t="s">
        <v>53</v>
      </c>
      <c r="L55" s="164"/>
      <c r="M55" s="164"/>
      <c r="N55" s="164" t="s">
        <v>53</v>
      </c>
      <c r="O55" s="164" t="s">
        <v>62</v>
      </c>
      <c r="P55" s="173">
        <v>44523</v>
      </c>
      <c r="Q55" s="164" t="s">
        <v>1208</v>
      </c>
      <c r="R55" s="164" t="s">
        <v>1521</v>
      </c>
      <c r="S55" s="164" t="s">
        <v>305</v>
      </c>
      <c r="T55" s="171">
        <v>45382</v>
      </c>
      <c r="U55" s="167">
        <v>1</v>
      </c>
      <c r="V55" s="167">
        <v>753.71316000000002</v>
      </c>
      <c r="W55" s="167">
        <v>753.71316000000002</v>
      </c>
      <c r="X55" s="168">
        <v>5.8491786986011804E-3</v>
      </c>
      <c r="Y55" s="168">
        <v>1.000440057E-3</v>
      </c>
      <c r="Z55" s="168">
        <v>4.98018794E-4</v>
      </c>
    </row>
    <row r="56" spans="1:26" ht="15.75" thickBot="1">
      <c r="A56" s="159">
        <v>11939</v>
      </c>
      <c r="B56" s="159">
        <v>11943</v>
      </c>
      <c r="C56" s="159"/>
      <c r="D56" s="159"/>
      <c r="E56" s="159"/>
      <c r="F56" s="164" t="s">
        <v>1551</v>
      </c>
      <c r="G56" s="164" t="s">
        <v>1552</v>
      </c>
      <c r="H56" s="164" t="s">
        <v>78</v>
      </c>
      <c r="I56" s="164" t="s">
        <v>1536</v>
      </c>
      <c r="J56" s="163"/>
      <c r="K56" s="164" t="s">
        <v>53</v>
      </c>
      <c r="L56" s="164"/>
      <c r="M56" s="164"/>
      <c r="N56" s="164" t="s">
        <v>53</v>
      </c>
      <c r="O56" s="164" t="s">
        <v>62</v>
      </c>
      <c r="P56" s="173">
        <v>44651</v>
      </c>
      <c r="Q56" s="164" t="s">
        <v>1208</v>
      </c>
      <c r="R56" s="164" t="s">
        <v>1521</v>
      </c>
      <c r="S56" s="164" t="s">
        <v>305</v>
      </c>
      <c r="T56" s="171">
        <v>45382</v>
      </c>
      <c r="U56" s="167">
        <v>1</v>
      </c>
      <c r="V56" s="167">
        <v>739.62523999999996</v>
      </c>
      <c r="W56" s="167">
        <v>739.62523999999996</v>
      </c>
      <c r="X56" s="168">
        <v>5.5628458302527098E-3</v>
      </c>
      <c r="Y56" s="168">
        <v>9.8174047700000009E-4</v>
      </c>
      <c r="Z56" s="168">
        <v>4.88710149E-4</v>
      </c>
    </row>
    <row r="57" spans="1:26" ht="15.75" thickBot="1">
      <c r="A57" s="159">
        <v>11939</v>
      </c>
      <c r="B57" s="159">
        <v>11943</v>
      </c>
      <c r="C57" s="159"/>
      <c r="D57" s="159"/>
      <c r="E57" s="159"/>
      <c r="F57" s="164" t="s">
        <v>1553</v>
      </c>
      <c r="G57" s="164" t="s">
        <v>1554</v>
      </c>
      <c r="H57" s="164" t="s">
        <v>78</v>
      </c>
      <c r="I57" s="164" t="s">
        <v>1536</v>
      </c>
      <c r="J57" s="163"/>
      <c r="K57" s="164" t="s">
        <v>53</v>
      </c>
      <c r="L57" s="164"/>
      <c r="M57" s="164"/>
      <c r="N57" s="164" t="s">
        <v>53</v>
      </c>
      <c r="O57" s="164" t="s">
        <v>62</v>
      </c>
      <c r="P57" s="173">
        <v>44679</v>
      </c>
      <c r="Q57" s="164" t="s">
        <v>1208</v>
      </c>
      <c r="R57" s="164" t="s">
        <v>1521</v>
      </c>
      <c r="S57" s="164" t="s">
        <v>305</v>
      </c>
      <c r="T57" s="171">
        <v>45382</v>
      </c>
      <c r="U57" s="167">
        <v>1</v>
      </c>
      <c r="V57" s="167">
        <v>625.91513999999995</v>
      </c>
      <c r="W57" s="167">
        <v>625.91513999999995</v>
      </c>
      <c r="X57" s="168">
        <v>6.2512720428341299E-3</v>
      </c>
      <c r="Y57" s="168">
        <v>8.3080754200000003E-4</v>
      </c>
      <c r="Z57" s="168">
        <v>4.1357577400000001E-4</v>
      </c>
    </row>
    <row r="58" spans="1:26" ht="15.75" thickBot="1">
      <c r="A58" s="159">
        <v>11939</v>
      </c>
      <c r="B58" s="159">
        <v>11943</v>
      </c>
      <c r="C58" s="159"/>
      <c r="D58" s="159"/>
      <c r="E58" s="159"/>
      <c r="F58" s="164" t="s">
        <v>1555</v>
      </c>
      <c r="G58" s="164" t="s">
        <v>1563</v>
      </c>
      <c r="H58" s="164" t="s">
        <v>78</v>
      </c>
      <c r="I58" s="164" t="s">
        <v>1536</v>
      </c>
      <c r="J58" s="163"/>
      <c r="K58" s="164" t="s">
        <v>61</v>
      </c>
      <c r="L58" s="164"/>
      <c r="M58" s="164"/>
      <c r="N58" s="164" t="s">
        <v>314</v>
      </c>
      <c r="O58" s="164" t="s">
        <v>62</v>
      </c>
      <c r="P58" s="173">
        <v>44560</v>
      </c>
      <c r="Q58" s="164" t="s">
        <v>1210</v>
      </c>
      <c r="R58" s="164" t="s">
        <v>1521</v>
      </c>
      <c r="S58" s="164" t="s">
        <v>305</v>
      </c>
      <c r="T58" s="171">
        <v>45382</v>
      </c>
      <c r="U58" s="167">
        <v>3.681</v>
      </c>
      <c r="V58" s="167">
        <v>33.051977723443997</v>
      </c>
      <c r="W58" s="167">
        <v>121.66433000000001</v>
      </c>
      <c r="X58" s="168">
        <v>1.4851326568833499E-3</v>
      </c>
      <c r="Y58" s="168">
        <v>1.61490969E-4</v>
      </c>
      <c r="Z58" s="168">
        <v>8.0390161978515E-5</v>
      </c>
    </row>
    <row r="59" spans="1:26" ht="15.75" thickBot="1">
      <c r="A59" s="159">
        <v>11939</v>
      </c>
      <c r="B59" s="159">
        <v>11943</v>
      </c>
      <c r="C59" s="159"/>
      <c r="D59" s="159"/>
      <c r="E59" s="159"/>
      <c r="F59" s="164" t="s">
        <v>1555</v>
      </c>
      <c r="G59" s="164" t="s">
        <v>1564</v>
      </c>
      <c r="H59" s="164" t="s">
        <v>78</v>
      </c>
      <c r="I59" s="164" t="s">
        <v>1536</v>
      </c>
      <c r="J59" s="163"/>
      <c r="K59" s="164" t="s">
        <v>61</v>
      </c>
      <c r="L59" s="164"/>
      <c r="M59" s="164"/>
      <c r="N59" s="164" t="s">
        <v>314</v>
      </c>
      <c r="O59" s="164" t="s">
        <v>62</v>
      </c>
      <c r="P59" s="173">
        <v>44642</v>
      </c>
      <c r="Q59" s="164" t="s">
        <v>1210</v>
      </c>
      <c r="R59" s="164" t="s">
        <v>1521</v>
      </c>
      <c r="S59" s="164" t="s">
        <v>305</v>
      </c>
      <c r="T59" s="171">
        <v>45382</v>
      </c>
      <c r="U59" s="167">
        <v>3.681</v>
      </c>
      <c r="V59" s="167">
        <v>62.584659060038</v>
      </c>
      <c r="W59" s="167">
        <v>230.37413000000001</v>
      </c>
      <c r="X59" s="168">
        <v>2.81213190229289E-3</v>
      </c>
      <c r="Y59" s="168">
        <v>3.0578676299999999E-4</v>
      </c>
      <c r="Z59" s="168">
        <v>1.5222056900000001E-4</v>
      </c>
    </row>
    <row r="60" spans="1:26" ht="15.75" thickBot="1">
      <c r="A60" s="159">
        <v>11939</v>
      </c>
      <c r="B60" s="159">
        <v>11943</v>
      </c>
      <c r="C60" s="159"/>
      <c r="D60" s="159"/>
      <c r="E60" s="159"/>
      <c r="F60" s="164" t="s">
        <v>1555</v>
      </c>
      <c r="G60" s="164" t="s">
        <v>1565</v>
      </c>
      <c r="H60" s="164" t="s">
        <v>78</v>
      </c>
      <c r="I60" s="164" t="s">
        <v>1536</v>
      </c>
      <c r="J60" s="163"/>
      <c r="K60" s="164" t="s">
        <v>61</v>
      </c>
      <c r="L60" s="164"/>
      <c r="M60" s="164"/>
      <c r="N60" s="164" t="s">
        <v>314</v>
      </c>
      <c r="O60" s="164" t="s">
        <v>62</v>
      </c>
      <c r="P60" s="173">
        <v>44620</v>
      </c>
      <c r="Q60" s="164" t="s">
        <v>1210</v>
      </c>
      <c r="R60" s="164" t="s">
        <v>1521</v>
      </c>
      <c r="S60" s="164" t="s">
        <v>305</v>
      </c>
      <c r="T60" s="171">
        <v>45382</v>
      </c>
      <c r="U60" s="167">
        <v>3.681</v>
      </c>
      <c r="V60" s="167">
        <v>36.173422982885</v>
      </c>
      <c r="W60" s="167">
        <v>133.15437</v>
      </c>
      <c r="X60" s="168">
        <v>1.62538932564482E-3</v>
      </c>
      <c r="Y60" s="168">
        <v>1.76742257E-4</v>
      </c>
      <c r="Z60" s="168">
        <v>8.7982248966867398E-5</v>
      </c>
    </row>
    <row r="61" spans="1:26" ht="15.75" thickBot="1">
      <c r="A61" s="159">
        <v>11939</v>
      </c>
      <c r="B61" s="159">
        <v>11943</v>
      </c>
      <c r="C61" s="159"/>
      <c r="D61" s="159"/>
      <c r="E61" s="159"/>
      <c r="F61" s="164" t="s">
        <v>1557</v>
      </c>
      <c r="G61" s="164" t="s">
        <v>1566</v>
      </c>
      <c r="H61" s="164" t="s">
        <v>78</v>
      </c>
      <c r="I61" s="164" t="s">
        <v>1536</v>
      </c>
      <c r="J61" s="163"/>
      <c r="K61" s="164" t="s">
        <v>61</v>
      </c>
      <c r="L61" s="164"/>
      <c r="M61" s="164"/>
      <c r="N61" s="164" t="s">
        <v>314</v>
      </c>
      <c r="O61" s="164" t="s">
        <v>62</v>
      </c>
      <c r="P61" s="173">
        <v>44560</v>
      </c>
      <c r="Q61" s="164" t="s">
        <v>1210</v>
      </c>
      <c r="R61" s="164" t="s">
        <v>1521</v>
      </c>
      <c r="S61" s="164" t="s">
        <v>305</v>
      </c>
      <c r="T61" s="171">
        <v>45382</v>
      </c>
      <c r="U61" s="167">
        <v>3.681</v>
      </c>
      <c r="V61" s="167">
        <v>142.083273566965</v>
      </c>
      <c r="W61" s="167">
        <v>523.00852999999995</v>
      </c>
      <c r="X61" s="168">
        <v>2.09713696159942E-2</v>
      </c>
      <c r="Y61" s="168">
        <v>6.9421460500000004E-4</v>
      </c>
      <c r="Z61" s="168">
        <v>3.4557984599999997E-4</v>
      </c>
    </row>
    <row r="62" spans="1:26" ht="15.75" thickBot="1">
      <c r="A62" s="159">
        <v>11939</v>
      </c>
      <c r="B62" s="159">
        <v>11943</v>
      </c>
      <c r="C62" s="159"/>
      <c r="D62" s="159"/>
      <c r="E62" s="159"/>
      <c r="F62" s="164" t="s">
        <v>1557</v>
      </c>
      <c r="G62" s="164" t="s">
        <v>1567</v>
      </c>
      <c r="H62" s="164" t="s">
        <v>78</v>
      </c>
      <c r="I62" s="164" t="s">
        <v>1536</v>
      </c>
      <c r="J62" s="163"/>
      <c r="K62" s="164" t="s">
        <v>61</v>
      </c>
      <c r="L62" s="164"/>
      <c r="M62" s="164"/>
      <c r="N62" s="164" t="s">
        <v>314</v>
      </c>
      <c r="O62" s="164" t="s">
        <v>62</v>
      </c>
      <c r="P62" s="173">
        <v>44560</v>
      </c>
      <c r="Q62" s="164" t="s">
        <v>1210</v>
      </c>
      <c r="R62" s="164" t="s">
        <v>1521</v>
      </c>
      <c r="S62" s="164" t="s">
        <v>305</v>
      </c>
      <c r="T62" s="171">
        <v>45382</v>
      </c>
      <c r="U62" s="167">
        <v>3.681</v>
      </c>
      <c r="V62" s="167">
        <v>43.870556913881998</v>
      </c>
      <c r="W62" s="167">
        <v>161.48751999999999</v>
      </c>
      <c r="X62" s="168">
        <v>6.4752566660628902E-3</v>
      </c>
      <c r="Y62" s="168">
        <v>2.1435022200000001E-4</v>
      </c>
      <c r="Z62" s="168">
        <v>1.06703484E-4</v>
      </c>
    </row>
    <row r="63" spans="1:26" ht="15.75" thickBot="1">
      <c r="A63" s="159">
        <v>11939</v>
      </c>
      <c r="B63" s="159">
        <v>11943</v>
      </c>
      <c r="C63" s="159"/>
      <c r="D63" s="159"/>
      <c r="E63" s="159"/>
      <c r="F63" s="164" t="s">
        <v>1557</v>
      </c>
      <c r="G63" s="164" t="s">
        <v>1562</v>
      </c>
      <c r="H63" s="164" t="s">
        <v>78</v>
      </c>
      <c r="I63" s="164" t="s">
        <v>1536</v>
      </c>
      <c r="J63" s="163"/>
      <c r="K63" s="164" t="s">
        <v>61</v>
      </c>
      <c r="L63" s="164"/>
      <c r="M63" s="164"/>
      <c r="N63" s="164" t="s">
        <v>314</v>
      </c>
      <c r="O63" s="164" t="s">
        <v>62</v>
      </c>
      <c r="P63" s="173">
        <v>44560</v>
      </c>
      <c r="Q63" s="164" t="s">
        <v>1210</v>
      </c>
      <c r="R63" s="164" t="s">
        <v>1521</v>
      </c>
      <c r="S63" s="164" t="s">
        <v>305</v>
      </c>
      <c r="T63" s="171">
        <v>45382</v>
      </c>
      <c r="U63" s="167">
        <v>3.681</v>
      </c>
      <c r="V63" s="167">
        <v>64.949978266775005</v>
      </c>
      <c r="W63" s="167">
        <v>239.08087</v>
      </c>
      <c r="X63" s="168">
        <v>9.5865612227843608E-3</v>
      </c>
      <c r="Y63" s="168">
        <v>3.1734364200000002E-4</v>
      </c>
      <c r="Z63" s="168">
        <v>1.5797357999999999E-4</v>
      </c>
    </row>
    <row r="64" spans="1:26" ht="15.75" thickBot="1">
      <c r="A64" s="159">
        <v>11939</v>
      </c>
      <c r="B64" s="159">
        <v>11979</v>
      </c>
      <c r="C64" s="159"/>
      <c r="D64" s="159"/>
      <c r="E64" s="159"/>
      <c r="F64" s="164" t="s">
        <v>1568</v>
      </c>
      <c r="G64" s="164" t="s">
        <v>1569</v>
      </c>
      <c r="H64" s="164" t="s">
        <v>78</v>
      </c>
      <c r="I64" s="164" t="s">
        <v>1536</v>
      </c>
      <c r="J64" s="163"/>
      <c r="K64" s="164" t="s">
        <v>53</v>
      </c>
      <c r="L64" s="164"/>
      <c r="M64" s="164"/>
      <c r="N64" s="164" t="s">
        <v>53</v>
      </c>
      <c r="O64" s="164" t="s">
        <v>62</v>
      </c>
      <c r="P64" s="173">
        <v>43066</v>
      </c>
      <c r="Q64" s="164" t="s">
        <v>1210</v>
      </c>
      <c r="R64" s="164" t="s">
        <v>1521</v>
      </c>
      <c r="S64" s="164" t="s">
        <v>305</v>
      </c>
      <c r="T64" s="171">
        <v>45382</v>
      </c>
      <c r="U64" s="167">
        <v>3.681</v>
      </c>
      <c r="V64" s="167">
        <v>105.915998370008</v>
      </c>
      <c r="W64" s="167">
        <v>389.87679000000003</v>
      </c>
      <c r="X64" s="168">
        <v>3.2000000000000002E-3</v>
      </c>
      <c r="Y64" s="168">
        <v>1.4838080100000001E-4</v>
      </c>
      <c r="Z64" s="168">
        <v>6.2075864898513395E-5</v>
      </c>
    </row>
    <row r="65" spans="1:26" ht="15.75" thickBot="1">
      <c r="A65" s="159">
        <v>11939</v>
      </c>
      <c r="B65" s="159">
        <v>11979</v>
      </c>
      <c r="C65" s="159"/>
      <c r="D65" s="159"/>
      <c r="E65" s="159"/>
      <c r="F65" s="164" t="s">
        <v>1534</v>
      </c>
      <c r="G65" s="164" t="s">
        <v>1535</v>
      </c>
      <c r="H65" s="164" t="s">
        <v>78</v>
      </c>
      <c r="I65" s="164" t="s">
        <v>1536</v>
      </c>
      <c r="J65" s="163"/>
      <c r="K65" s="164" t="s">
        <v>53</v>
      </c>
      <c r="L65" s="164"/>
      <c r="M65" s="164"/>
      <c r="N65" s="164" t="s">
        <v>53</v>
      </c>
      <c r="O65" s="164" t="s">
        <v>62</v>
      </c>
      <c r="P65" s="173">
        <v>44165</v>
      </c>
      <c r="Q65" s="164" t="s">
        <v>1208</v>
      </c>
      <c r="R65" s="164" t="s">
        <v>1521</v>
      </c>
      <c r="S65" s="164" t="s">
        <v>305</v>
      </c>
      <c r="T65" s="171">
        <v>45382</v>
      </c>
      <c r="U65" s="167">
        <v>1</v>
      </c>
      <c r="V65" s="167">
        <v>2998.8776499999999</v>
      </c>
      <c r="W65" s="167">
        <v>2998.8776499999999</v>
      </c>
      <c r="X65" s="168">
        <v>1.35790022180692E-3</v>
      </c>
      <c r="Y65" s="168">
        <v>1.1413243369999999E-3</v>
      </c>
      <c r="Z65" s="168">
        <v>4.7747885599999998E-4</v>
      </c>
    </row>
    <row r="66" spans="1:26" ht="15.75" thickBot="1">
      <c r="A66" s="159">
        <v>11939</v>
      </c>
      <c r="B66" s="159">
        <v>11979</v>
      </c>
      <c r="C66" s="159"/>
      <c r="D66" s="159"/>
      <c r="E66" s="159"/>
      <c r="F66" s="164" t="s">
        <v>1537</v>
      </c>
      <c r="G66" s="164" t="s">
        <v>1538</v>
      </c>
      <c r="H66" s="164" t="s">
        <v>78</v>
      </c>
      <c r="I66" s="164" t="s">
        <v>1536</v>
      </c>
      <c r="J66" s="163"/>
      <c r="K66" s="164" t="s">
        <v>53</v>
      </c>
      <c r="L66" s="164"/>
      <c r="M66" s="164"/>
      <c r="N66" s="164" t="s">
        <v>53</v>
      </c>
      <c r="O66" s="164" t="s">
        <v>62</v>
      </c>
      <c r="P66" s="173">
        <v>43493</v>
      </c>
      <c r="Q66" s="164" t="s">
        <v>1208</v>
      </c>
      <c r="R66" s="164" t="s">
        <v>1521</v>
      </c>
      <c r="S66" s="164" t="s">
        <v>305</v>
      </c>
      <c r="T66" s="171">
        <v>45382</v>
      </c>
      <c r="U66" s="167">
        <v>1</v>
      </c>
      <c r="V66" s="167">
        <v>3133.5628299999998</v>
      </c>
      <c r="W66" s="167">
        <v>3133.5628299999998</v>
      </c>
      <c r="X66" s="168">
        <v>2.7340968266859E-3</v>
      </c>
      <c r="Y66" s="168">
        <v>1.192583339E-3</v>
      </c>
      <c r="Z66" s="168">
        <v>4.9892332099999998E-4</v>
      </c>
    </row>
    <row r="67" spans="1:26" ht="15.75" thickBot="1">
      <c r="A67" s="159">
        <v>11939</v>
      </c>
      <c r="B67" s="159">
        <v>11979</v>
      </c>
      <c r="C67" s="159"/>
      <c r="D67" s="159"/>
      <c r="E67" s="159"/>
      <c r="F67" s="164" t="s">
        <v>1539</v>
      </c>
      <c r="G67" s="164" t="s">
        <v>1540</v>
      </c>
      <c r="H67" s="164" t="s">
        <v>78</v>
      </c>
      <c r="I67" s="164" t="s">
        <v>1536</v>
      </c>
      <c r="J67" s="163"/>
      <c r="K67" s="164" t="s">
        <v>53</v>
      </c>
      <c r="L67" s="164"/>
      <c r="M67" s="164"/>
      <c r="N67" s="164" t="s">
        <v>314</v>
      </c>
      <c r="O67" s="164" t="s">
        <v>62</v>
      </c>
      <c r="P67" s="173">
        <v>44012</v>
      </c>
      <c r="Q67" s="164" t="s">
        <v>1210</v>
      </c>
      <c r="R67" s="164" t="s">
        <v>1521</v>
      </c>
      <c r="S67" s="164" t="s">
        <v>305</v>
      </c>
      <c r="T67" s="171">
        <v>45382</v>
      </c>
      <c r="U67" s="167">
        <v>3.681</v>
      </c>
      <c r="V67" s="167">
        <v>354.44465091007902</v>
      </c>
      <c r="W67" s="167">
        <v>1304.7107599999999</v>
      </c>
      <c r="X67" s="168">
        <v>8.8933473498025301E-3</v>
      </c>
      <c r="Y67" s="168">
        <v>4.9655181600000002E-4</v>
      </c>
      <c r="Z67" s="168">
        <v>2.07734984E-4</v>
      </c>
    </row>
    <row r="68" spans="1:26" ht="15.75" thickBot="1">
      <c r="A68" s="159">
        <v>11939</v>
      </c>
      <c r="B68" s="159">
        <v>11979</v>
      </c>
      <c r="C68" s="159"/>
      <c r="D68" s="159"/>
      <c r="E68" s="159"/>
      <c r="F68" s="164" t="s">
        <v>1541</v>
      </c>
      <c r="G68" s="164" t="s">
        <v>1542</v>
      </c>
      <c r="H68" s="164" t="s">
        <v>78</v>
      </c>
      <c r="I68" s="164" t="s">
        <v>1536</v>
      </c>
      <c r="J68" s="163"/>
      <c r="K68" s="164" t="s">
        <v>53</v>
      </c>
      <c r="L68" s="164"/>
      <c r="M68" s="164"/>
      <c r="N68" s="164" t="s">
        <v>314</v>
      </c>
      <c r="O68" s="164" t="s">
        <v>62</v>
      </c>
      <c r="P68" s="173">
        <v>44165</v>
      </c>
      <c r="Q68" s="164" t="s">
        <v>1210</v>
      </c>
      <c r="R68" s="164" t="s">
        <v>1521</v>
      </c>
      <c r="S68" s="164" t="s">
        <v>305</v>
      </c>
      <c r="T68" s="171">
        <v>45382</v>
      </c>
      <c r="U68" s="167">
        <v>3.681</v>
      </c>
      <c r="V68" s="167">
        <v>641.43224123879395</v>
      </c>
      <c r="W68" s="167">
        <v>2361.1120799999999</v>
      </c>
      <c r="X68" s="168">
        <v>1.0445615105898601E-2</v>
      </c>
      <c r="Y68" s="168">
        <v>8.9860107499999998E-4</v>
      </c>
      <c r="Z68" s="168">
        <v>3.7593434100000002E-4</v>
      </c>
    </row>
    <row r="69" spans="1:26" ht="15.75" thickBot="1">
      <c r="A69" s="159">
        <v>11939</v>
      </c>
      <c r="B69" s="159">
        <v>11979</v>
      </c>
      <c r="C69" s="159"/>
      <c r="D69" s="159"/>
      <c r="E69" s="159"/>
      <c r="F69" s="164" t="s">
        <v>1543</v>
      </c>
      <c r="G69" s="164" t="s">
        <v>1544</v>
      </c>
      <c r="H69" s="164" t="s">
        <v>78</v>
      </c>
      <c r="I69" s="164" t="s">
        <v>1536</v>
      </c>
      <c r="J69" s="163"/>
      <c r="K69" s="164" t="s">
        <v>53</v>
      </c>
      <c r="L69" s="164"/>
      <c r="M69" s="164"/>
      <c r="N69" s="164" t="s">
        <v>314</v>
      </c>
      <c r="O69" s="164" t="s">
        <v>62</v>
      </c>
      <c r="P69" s="173">
        <v>44012</v>
      </c>
      <c r="Q69" s="164" t="s">
        <v>1210</v>
      </c>
      <c r="R69" s="164" t="s">
        <v>1521</v>
      </c>
      <c r="S69" s="164" t="s">
        <v>305</v>
      </c>
      <c r="T69" s="171">
        <v>45382</v>
      </c>
      <c r="U69" s="167">
        <v>3.681</v>
      </c>
      <c r="V69" s="167">
        <v>879.31664493344203</v>
      </c>
      <c r="W69" s="167">
        <v>3236.7645699999998</v>
      </c>
      <c r="X69" s="168">
        <v>5.9039415836162198E-3</v>
      </c>
      <c r="Y69" s="168">
        <v>1.2318602520000001E-3</v>
      </c>
      <c r="Z69" s="168">
        <v>5.1535501800000004E-4</v>
      </c>
    </row>
    <row r="70" spans="1:26" ht="15.75" thickBot="1">
      <c r="A70" s="159">
        <v>11939</v>
      </c>
      <c r="B70" s="159">
        <v>11979</v>
      </c>
      <c r="C70" s="159"/>
      <c r="D70" s="159"/>
      <c r="E70" s="159"/>
      <c r="F70" s="164" t="s">
        <v>1545</v>
      </c>
      <c r="G70" s="164" t="s">
        <v>1546</v>
      </c>
      <c r="H70" s="164" t="s">
        <v>78</v>
      </c>
      <c r="I70" s="164" t="s">
        <v>1536</v>
      </c>
      <c r="J70" s="163"/>
      <c r="K70" s="164" t="s">
        <v>53</v>
      </c>
      <c r="L70" s="164"/>
      <c r="M70" s="164"/>
      <c r="N70" s="164" t="s">
        <v>53</v>
      </c>
      <c r="O70" s="164" t="s">
        <v>62</v>
      </c>
      <c r="P70" s="173">
        <v>44377</v>
      </c>
      <c r="Q70" s="164" t="s">
        <v>1208</v>
      </c>
      <c r="R70" s="164" t="s">
        <v>1521</v>
      </c>
      <c r="S70" s="164" t="s">
        <v>305</v>
      </c>
      <c r="T70" s="171">
        <v>45382</v>
      </c>
      <c r="U70" s="167">
        <v>1</v>
      </c>
      <c r="V70" s="167">
        <v>2936.95289</v>
      </c>
      <c r="W70" s="167">
        <v>2936.95289</v>
      </c>
      <c r="X70" s="168">
        <v>3.5313815962745299E-2</v>
      </c>
      <c r="Y70" s="168">
        <v>1.1177567750000001E-3</v>
      </c>
      <c r="Z70" s="168">
        <v>4.67619246E-4</v>
      </c>
    </row>
    <row r="71" spans="1:26" ht="15.75" thickBot="1">
      <c r="A71" s="159">
        <v>11939</v>
      </c>
      <c r="B71" s="159">
        <v>11979</v>
      </c>
      <c r="C71" s="159"/>
      <c r="D71" s="159"/>
      <c r="E71" s="159"/>
      <c r="F71" s="164" t="s">
        <v>1547</v>
      </c>
      <c r="G71" s="164" t="s">
        <v>1548</v>
      </c>
      <c r="H71" s="164" t="s">
        <v>78</v>
      </c>
      <c r="I71" s="164" t="s">
        <v>1536</v>
      </c>
      <c r="J71" s="163"/>
      <c r="K71" s="164" t="s">
        <v>53</v>
      </c>
      <c r="L71" s="164"/>
      <c r="M71" s="164"/>
      <c r="N71" s="164" t="s">
        <v>53</v>
      </c>
      <c r="O71" s="164" t="s">
        <v>62</v>
      </c>
      <c r="P71" s="173">
        <v>44377</v>
      </c>
      <c r="Q71" s="164" t="s">
        <v>1208</v>
      </c>
      <c r="R71" s="164" t="s">
        <v>1521</v>
      </c>
      <c r="S71" s="164" t="s">
        <v>305</v>
      </c>
      <c r="T71" s="171">
        <v>45382</v>
      </c>
      <c r="U71" s="167">
        <v>1</v>
      </c>
      <c r="V71" s="167">
        <v>2908.8424</v>
      </c>
      <c r="W71" s="167">
        <v>2908.8424</v>
      </c>
      <c r="X71" s="168">
        <v>9.7191180253729699E-3</v>
      </c>
      <c r="Y71" s="168">
        <v>1.107058377E-3</v>
      </c>
      <c r="Z71" s="168">
        <v>4.63143517E-4</v>
      </c>
    </row>
    <row r="72" spans="1:26" ht="15.75" thickBot="1">
      <c r="A72" s="159">
        <v>11939</v>
      </c>
      <c r="B72" s="159">
        <v>11979</v>
      </c>
      <c r="C72" s="159"/>
      <c r="D72" s="159"/>
      <c r="E72" s="159"/>
      <c r="F72" s="164" t="s">
        <v>1549</v>
      </c>
      <c r="G72" s="164" t="s">
        <v>1550</v>
      </c>
      <c r="H72" s="164" t="s">
        <v>78</v>
      </c>
      <c r="I72" s="164" t="s">
        <v>1536</v>
      </c>
      <c r="J72" s="163"/>
      <c r="K72" s="164" t="s">
        <v>53</v>
      </c>
      <c r="L72" s="164"/>
      <c r="M72" s="164"/>
      <c r="N72" s="164" t="s">
        <v>53</v>
      </c>
      <c r="O72" s="164" t="s">
        <v>62</v>
      </c>
      <c r="P72" s="173">
        <v>44523</v>
      </c>
      <c r="Q72" s="164" t="s">
        <v>1208</v>
      </c>
      <c r="R72" s="164" t="s">
        <v>1521</v>
      </c>
      <c r="S72" s="164" t="s">
        <v>305</v>
      </c>
      <c r="T72" s="171">
        <v>45382</v>
      </c>
      <c r="U72" s="167">
        <v>1</v>
      </c>
      <c r="V72" s="167">
        <v>2406.1236399999998</v>
      </c>
      <c r="W72" s="167">
        <v>2406.1236399999998</v>
      </c>
      <c r="X72" s="168">
        <v>1.8672683307385501E-2</v>
      </c>
      <c r="Y72" s="168">
        <v>9.1573174699999997E-4</v>
      </c>
      <c r="Z72" s="168">
        <v>3.8310104499999999E-4</v>
      </c>
    </row>
    <row r="73" spans="1:26" ht="15.75" thickBot="1">
      <c r="A73" s="159">
        <v>11939</v>
      </c>
      <c r="B73" s="159">
        <v>11979</v>
      </c>
      <c r="C73" s="159"/>
      <c r="D73" s="159"/>
      <c r="E73" s="159"/>
      <c r="F73" s="164" t="s">
        <v>1551</v>
      </c>
      <c r="G73" s="164" t="s">
        <v>1552</v>
      </c>
      <c r="H73" s="164" t="s">
        <v>78</v>
      </c>
      <c r="I73" s="164" t="s">
        <v>1536</v>
      </c>
      <c r="J73" s="163"/>
      <c r="K73" s="164" t="s">
        <v>53</v>
      </c>
      <c r="L73" s="164"/>
      <c r="M73" s="164"/>
      <c r="N73" s="164" t="s">
        <v>53</v>
      </c>
      <c r="O73" s="164" t="s">
        <v>62</v>
      </c>
      <c r="P73" s="173">
        <v>44651</v>
      </c>
      <c r="Q73" s="164" t="s">
        <v>1208</v>
      </c>
      <c r="R73" s="164" t="s">
        <v>1521</v>
      </c>
      <c r="S73" s="164" t="s">
        <v>305</v>
      </c>
      <c r="T73" s="171">
        <v>45382</v>
      </c>
      <c r="U73" s="167">
        <v>1</v>
      </c>
      <c r="V73" s="167">
        <v>1243.4516699999999</v>
      </c>
      <c r="W73" s="167">
        <v>1243.4516699999999</v>
      </c>
      <c r="X73" s="168">
        <v>9.3522091506507699E-3</v>
      </c>
      <c r="Y73" s="168">
        <v>4.73237597E-4</v>
      </c>
      <c r="Z73" s="168">
        <v>1.9798136100000001E-4</v>
      </c>
    </row>
    <row r="74" spans="1:26" ht="15.75" thickBot="1">
      <c r="A74" s="159">
        <v>11939</v>
      </c>
      <c r="B74" s="159">
        <v>11979</v>
      </c>
      <c r="C74" s="159"/>
      <c r="D74" s="159"/>
      <c r="E74" s="159"/>
      <c r="F74" s="164" t="s">
        <v>1553</v>
      </c>
      <c r="G74" s="164" t="s">
        <v>1554</v>
      </c>
      <c r="H74" s="164" t="s">
        <v>78</v>
      </c>
      <c r="I74" s="164" t="s">
        <v>1536</v>
      </c>
      <c r="J74" s="163"/>
      <c r="K74" s="164" t="s">
        <v>53</v>
      </c>
      <c r="L74" s="164"/>
      <c r="M74" s="164"/>
      <c r="N74" s="164" t="s">
        <v>53</v>
      </c>
      <c r="O74" s="164" t="s">
        <v>62</v>
      </c>
      <c r="P74" s="173">
        <v>44679</v>
      </c>
      <c r="Q74" s="164" t="s">
        <v>1208</v>
      </c>
      <c r="R74" s="164" t="s">
        <v>1521</v>
      </c>
      <c r="S74" s="164" t="s">
        <v>305</v>
      </c>
      <c r="T74" s="171">
        <v>45382</v>
      </c>
      <c r="U74" s="167">
        <v>1</v>
      </c>
      <c r="V74" s="167">
        <v>1171.72864</v>
      </c>
      <c r="W74" s="167">
        <v>1171.72864</v>
      </c>
      <c r="X74" s="168">
        <v>1.1702536048289299E-2</v>
      </c>
      <c r="Y74" s="168">
        <v>4.45940971E-4</v>
      </c>
      <c r="Z74" s="168">
        <v>1.8656167899999999E-4</v>
      </c>
    </row>
    <row r="75" spans="1:26" ht="15.75" thickBot="1">
      <c r="A75" s="159">
        <v>11939</v>
      </c>
      <c r="B75" s="159">
        <v>11979</v>
      </c>
      <c r="C75" s="159"/>
      <c r="D75" s="159"/>
      <c r="E75" s="159"/>
      <c r="F75" s="164" t="s">
        <v>1555</v>
      </c>
      <c r="G75" s="164" t="s">
        <v>1563</v>
      </c>
      <c r="H75" s="164" t="s">
        <v>78</v>
      </c>
      <c r="I75" s="164" t="s">
        <v>1536</v>
      </c>
      <c r="J75" s="163"/>
      <c r="K75" s="164" t="s">
        <v>61</v>
      </c>
      <c r="L75" s="164"/>
      <c r="M75" s="164"/>
      <c r="N75" s="164" t="s">
        <v>314</v>
      </c>
      <c r="O75" s="164" t="s">
        <v>62</v>
      </c>
      <c r="P75" s="173">
        <v>44560</v>
      </c>
      <c r="Q75" s="164" t="s">
        <v>1210</v>
      </c>
      <c r="R75" s="164" t="s">
        <v>1521</v>
      </c>
      <c r="S75" s="164" t="s">
        <v>305</v>
      </c>
      <c r="T75" s="171">
        <v>45382</v>
      </c>
      <c r="U75" s="167">
        <v>3.681</v>
      </c>
      <c r="V75" s="167">
        <v>6.0002444987769996</v>
      </c>
      <c r="W75" s="167">
        <v>22.0869</v>
      </c>
      <c r="X75" s="168">
        <v>2.6961046412959998E-4</v>
      </c>
      <c r="Y75" s="168">
        <v>8.4059169649471797E-6</v>
      </c>
      <c r="Z75" s="168">
        <v>3.51665822535108E-6</v>
      </c>
    </row>
    <row r="76" spans="1:26" ht="15.75" thickBot="1">
      <c r="A76" s="159">
        <v>11939</v>
      </c>
      <c r="B76" s="159">
        <v>11979</v>
      </c>
      <c r="C76" s="159"/>
      <c r="D76" s="159"/>
      <c r="E76" s="159"/>
      <c r="F76" s="164" t="s">
        <v>1555</v>
      </c>
      <c r="G76" s="164" t="s">
        <v>1564</v>
      </c>
      <c r="H76" s="164" t="s">
        <v>78</v>
      </c>
      <c r="I76" s="164" t="s">
        <v>1536</v>
      </c>
      <c r="J76" s="163"/>
      <c r="K76" s="164" t="s">
        <v>61</v>
      </c>
      <c r="L76" s="164"/>
      <c r="M76" s="164"/>
      <c r="N76" s="164" t="s">
        <v>314</v>
      </c>
      <c r="O76" s="164" t="s">
        <v>62</v>
      </c>
      <c r="P76" s="173">
        <v>44642</v>
      </c>
      <c r="Q76" s="164" t="s">
        <v>1210</v>
      </c>
      <c r="R76" s="164" t="s">
        <v>1521</v>
      </c>
      <c r="S76" s="164" t="s">
        <v>305</v>
      </c>
      <c r="T76" s="171">
        <v>45382</v>
      </c>
      <c r="U76" s="167">
        <v>3.681</v>
      </c>
      <c r="V76" s="167">
        <v>5.312341754957</v>
      </c>
      <c r="W76" s="167">
        <v>19.554729999999999</v>
      </c>
      <c r="X76" s="168">
        <v>2.3870076068751201E-4</v>
      </c>
      <c r="Y76" s="168">
        <v>7.44221401156168E-6</v>
      </c>
      <c r="Z76" s="168">
        <v>3.11348818073245E-6</v>
      </c>
    </row>
    <row r="77" spans="1:26" ht="15.75" thickBot="1">
      <c r="A77" s="159">
        <v>11939</v>
      </c>
      <c r="B77" s="159">
        <v>11979</v>
      </c>
      <c r="C77" s="159"/>
      <c r="D77" s="159"/>
      <c r="E77" s="159"/>
      <c r="F77" s="164" t="s">
        <v>1555</v>
      </c>
      <c r="G77" s="164" t="s">
        <v>1556</v>
      </c>
      <c r="H77" s="164" t="s">
        <v>78</v>
      </c>
      <c r="I77" s="164" t="s">
        <v>1536</v>
      </c>
      <c r="J77" s="163"/>
      <c r="K77" s="164" t="s">
        <v>61</v>
      </c>
      <c r="L77" s="164"/>
      <c r="M77" s="164"/>
      <c r="N77" s="164" t="s">
        <v>314</v>
      </c>
      <c r="O77" s="164" t="s">
        <v>62</v>
      </c>
      <c r="P77" s="173">
        <v>44679</v>
      </c>
      <c r="Q77" s="164" t="s">
        <v>1210</v>
      </c>
      <c r="R77" s="164" t="s">
        <v>1521</v>
      </c>
      <c r="S77" s="164" t="s">
        <v>305</v>
      </c>
      <c r="T77" s="171">
        <v>45382</v>
      </c>
      <c r="U77" s="167">
        <v>3.681</v>
      </c>
      <c r="V77" s="167">
        <v>218.999910350448</v>
      </c>
      <c r="W77" s="167">
        <v>806.13867000000005</v>
      </c>
      <c r="X77" s="168">
        <v>9.8403769189663801E-3</v>
      </c>
      <c r="Y77" s="168">
        <v>3.0680334100000002E-4</v>
      </c>
      <c r="Z77" s="168">
        <v>1.28352742E-4</v>
      </c>
    </row>
    <row r="78" spans="1:26" ht="15.75" thickBot="1">
      <c r="A78" s="159">
        <v>11939</v>
      </c>
      <c r="B78" s="159">
        <v>11979</v>
      </c>
      <c r="C78" s="159"/>
      <c r="D78" s="159"/>
      <c r="E78" s="159"/>
      <c r="F78" s="164" t="s">
        <v>1555</v>
      </c>
      <c r="G78" s="164" t="s">
        <v>1565</v>
      </c>
      <c r="H78" s="164" t="s">
        <v>78</v>
      </c>
      <c r="I78" s="164" t="s">
        <v>1536</v>
      </c>
      <c r="J78" s="163"/>
      <c r="K78" s="164" t="s">
        <v>61</v>
      </c>
      <c r="L78" s="164"/>
      <c r="M78" s="164"/>
      <c r="N78" s="164" t="s">
        <v>314</v>
      </c>
      <c r="O78" s="164" t="s">
        <v>62</v>
      </c>
      <c r="P78" s="173">
        <v>44620</v>
      </c>
      <c r="Q78" s="164" t="s">
        <v>1210</v>
      </c>
      <c r="R78" s="164" t="s">
        <v>1521</v>
      </c>
      <c r="S78" s="164" t="s">
        <v>305</v>
      </c>
      <c r="T78" s="171">
        <v>45382</v>
      </c>
      <c r="U78" s="167">
        <v>3.681</v>
      </c>
      <c r="V78" s="167">
        <v>3.0705487639219999</v>
      </c>
      <c r="W78" s="167">
        <v>11.30269</v>
      </c>
      <c r="X78" s="168">
        <v>1.37969723990827E-4</v>
      </c>
      <c r="Y78" s="168">
        <v>4.3016210342120804E-6</v>
      </c>
      <c r="Z78" s="168">
        <v>1.7996050942908899E-6</v>
      </c>
    </row>
    <row r="79" spans="1:26" ht="15.75" thickBot="1">
      <c r="A79" s="159">
        <v>11939</v>
      </c>
      <c r="B79" s="159">
        <v>11979</v>
      </c>
      <c r="C79" s="159"/>
      <c r="D79" s="159"/>
      <c r="E79" s="159"/>
      <c r="F79" s="164" t="s">
        <v>1557</v>
      </c>
      <c r="G79" s="164" t="s">
        <v>1566</v>
      </c>
      <c r="H79" s="164" t="s">
        <v>78</v>
      </c>
      <c r="I79" s="164" t="s">
        <v>1536</v>
      </c>
      <c r="J79" s="163"/>
      <c r="K79" s="164" t="s">
        <v>61</v>
      </c>
      <c r="L79" s="164"/>
      <c r="M79" s="164"/>
      <c r="N79" s="164" t="s">
        <v>314</v>
      </c>
      <c r="O79" s="164" t="s">
        <v>62</v>
      </c>
      <c r="P79" s="173">
        <v>44560</v>
      </c>
      <c r="Q79" s="164" t="s">
        <v>1210</v>
      </c>
      <c r="R79" s="164" t="s">
        <v>1521</v>
      </c>
      <c r="S79" s="164" t="s">
        <v>305</v>
      </c>
      <c r="T79" s="171">
        <v>45382</v>
      </c>
      <c r="U79" s="167">
        <v>3.681</v>
      </c>
      <c r="V79" s="167">
        <v>22.411760391198001</v>
      </c>
      <c r="W79" s="167">
        <v>82.497690000000006</v>
      </c>
      <c r="X79" s="168">
        <v>3.3079566588631098E-3</v>
      </c>
      <c r="Y79" s="168">
        <v>3.1397286714747401E-5</v>
      </c>
      <c r="Z79" s="168">
        <v>1.3135214996715799E-5</v>
      </c>
    </row>
    <row r="80" spans="1:26" ht="15.75" thickBot="1">
      <c r="A80" s="159">
        <v>11939</v>
      </c>
      <c r="B80" s="159">
        <v>11979</v>
      </c>
      <c r="C80" s="159"/>
      <c r="D80" s="159"/>
      <c r="E80" s="159"/>
      <c r="F80" s="164" t="s">
        <v>1557</v>
      </c>
      <c r="G80" s="164" t="s">
        <v>1567</v>
      </c>
      <c r="H80" s="164" t="s">
        <v>78</v>
      </c>
      <c r="I80" s="164" t="s">
        <v>1536</v>
      </c>
      <c r="J80" s="163"/>
      <c r="K80" s="164" t="s">
        <v>61</v>
      </c>
      <c r="L80" s="164"/>
      <c r="M80" s="164"/>
      <c r="N80" s="164" t="s">
        <v>314</v>
      </c>
      <c r="O80" s="164" t="s">
        <v>62</v>
      </c>
      <c r="P80" s="173">
        <v>44560</v>
      </c>
      <c r="Q80" s="164" t="s">
        <v>1210</v>
      </c>
      <c r="R80" s="164" t="s">
        <v>1521</v>
      </c>
      <c r="S80" s="164" t="s">
        <v>305</v>
      </c>
      <c r="T80" s="171">
        <v>45382</v>
      </c>
      <c r="U80" s="167">
        <v>3.681</v>
      </c>
      <c r="V80" s="167">
        <v>3.6834365661500001</v>
      </c>
      <c r="W80" s="167">
        <v>13.558730000000001</v>
      </c>
      <c r="X80" s="168">
        <v>5.43672085718121E-4</v>
      </c>
      <c r="Y80" s="168">
        <v>5.1602333749932396E-6</v>
      </c>
      <c r="Z80" s="168">
        <v>2.15880994525327E-6</v>
      </c>
    </row>
    <row r="81" spans="1:26" ht="15.75" thickBot="1">
      <c r="A81" s="159">
        <v>11939</v>
      </c>
      <c r="B81" s="159">
        <v>11979</v>
      </c>
      <c r="C81" s="159"/>
      <c r="D81" s="159"/>
      <c r="E81" s="159"/>
      <c r="F81" s="164" t="s">
        <v>1557</v>
      </c>
      <c r="G81" s="164" t="s">
        <v>1562</v>
      </c>
      <c r="H81" s="164" t="s">
        <v>78</v>
      </c>
      <c r="I81" s="164" t="s">
        <v>1536</v>
      </c>
      <c r="J81" s="163"/>
      <c r="K81" s="164" t="s">
        <v>61</v>
      </c>
      <c r="L81" s="164"/>
      <c r="M81" s="164"/>
      <c r="N81" s="164" t="s">
        <v>314</v>
      </c>
      <c r="O81" s="164" t="s">
        <v>62</v>
      </c>
      <c r="P81" s="173">
        <v>44560</v>
      </c>
      <c r="Q81" s="164" t="s">
        <v>1210</v>
      </c>
      <c r="R81" s="164" t="s">
        <v>1521</v>
      </c>
      <c r="S81" s="164" t="s">
        <v>305</v>
      </c>
      <c r="T81" s="171">
        <v>45382</v>
      </c>
      <c r="U81" s="167">
        <v>3.681</v>
      </c>
      <c r="V81" s="167">
        <v>5.4533632165170003</v>
      </c>
      <c r="W81" s="167">
        <v>20.073830000000001</v>
      </c>
      <c r="X81" s="168">
        <v>8.0491174501232804E-4</v>
      </c>
      <c r="Y81" s="168">
        <v>7.6397750770124194E-6</v>
      </c>
      <c r="Z81" s="168">
        <v>3.19613885985807E-6</v>
      </c>
    </row>
    <row r="82" spans="1:26" ht="15.75" thickBot="1">
      <c r="A82" s="159">
        <v>11939</v>
      </c>
      <c r="B82" s="159">
        <v>11979</v>
      </c>
      <c r="C82" s="159"/>
      <c r="D82" s="159"/>
      <c r="E82" s="159"/>
      <c r="F82" s="164" t="s">
        <v>1557</v>
      </c>
      <c r="G82" s="164" t="s">
        <v>1558</v>
      </c>
      <c r="H82" s="164" t="s">
        <v>78</v>
      </c>
      <c r="I82" s="164" t="s">
        <v>1536</v>
      </c>
      <c r="J82" s="163"/>
      <c r="K82" s="164" t="s">
        <v>61</v>
      </c>
      <c r="L82" s="164"/>
      <c r="M82" s="164"/>
      <c r="N82" s="164" t="s">
        <v>314</v>
      </c>
      <c r="O82" s="164" t="s">
        <v>62</v>
      </c>
      <c r="P82" s="173">
        <v>44560</v>
      </c>
      <c r="Q82" s="164" t="s">
        <v>1210</v>
      </c>
      <c r="R82" s="164" t="s">
        <v>1521</v>
      </c>
      <c r="S82" s="164" t="s">
        <v>305</v>
      </c>
      <c r="T82" s="171">
        <v>45382</v>
      </c>
      <c r="U82" s="167">
        <v>3.681</v>
      </c>
      <c r="V82" s="167">
        <v>328.226837815811</v>
      </c>
      <c r="W82" s="167">
        <v>1208.20299</v>
      </c>
      <c r="X82" s="168">
        <v>4.8446000439876798E-2</v>
      </c>
      <c r="Y82" s="168">
        <v>4.5982251900000002E-4</v>
      </c>
      <c r="Z82" s="168">
        <v>1.9236909499999999E-4</v>
      </c>
    </row>
    <row r="83" spans="1:26" ht="15.75" thickBot="1">
      <c r="A83" s="159">
        <v>11342</v>
      </c>
      <c r="B83" s="159">
        <v>11343</v>
      </c>
      <c r="C83" s="159"/>
      <c r="D83" s="159"/>
      <c r="E83" s="159"/>
      <c r="F83" s="164" t="s">
        <v>1534</v>
      </c>
      <c r="G83" s="164" t="s">
        <v>1535</v>
      </c>
      <c r="H83" s="164" t="s">
        <v>78</v>
      </c>
      <c r="I83" s="164" t="s">
        <v>1536</v>
      </c>
      <c r="J83" s="163"/>
      <c r="K83" s="164" t="s">
        <v>53</v>
      </c>
      <c r="L83" s="164"/>
      <c r="M83" s="164"/>
      <c r="N83" s="164" t="s">
        <v>53</v>
      </c>
      <c r="O83" s="164" t="s">
        <v>62</v>
      </c>
      <c r="P83" s="173">
        <v>44165</v>
      </c>
      <c r="Q83" s="164" t="s">
        <v>1208</v>
      </c>
      <c r="R83" s="164" t="s">
        <v>1521</v>
      </c>
      <c r="S83" s="164" t="s">
        <v>305</v>
      </c>
      <c r="T83" s="171">
        <v>45382</v>
      </c>
      <c r="U83" s="167">
        <v>1</v>
      </c>
      <c r="V83" s="167">
        <v>8362.5794399999995</v>
      </c>
      <c r="W83" s="167">
        <v>8362.5794399999995</v>
      </c>
      <c r="X83" s="168">
        <v>3.7865994554509299E-3</v>
      </c>
      <c r="Y83" s="168">
        <v>9.3230946899999995E-4</v>
      </c>
      <c r="Z83" s="168">
        <v>2.0127308299999999E-4</v>
      </c>
    </row>
    <row r="84" spans="1:26" ht="15.75" thickBot="1">
      <c r="A84" s="159">
        <v>11342</v>
      </c>
      <c r="B84" s="159">
        <v>11343</v>
      </c>
      <c r="C84" s="159"/>
      <c r="D84" s="159"/>
      <c r="E84" s="159"/>
      <c r="F84" s="164" t="s">
        <v>1537</v>
      </c>
      <c r="G84" s="164" t="s">
        <v>1538</v>
      </c>
      <c r="H84" s="164" t="s">
        <v>78</v>
      </c>
      <c r="I84" s="164" t="s">
        <v>1536</v>
      </c>
      <c r="J84" s="163"/>
      <c r="K84" s="164" t="s">
        <v>53</v>
      </c>
      <c r="L84" s="164"/>
      <c r="M84" s="164"/>
      <c r="N84" s="164" t="s">
        <v>53</v>
      </c>
      <c r="O84" s="164" t="s">
        <v>62</v>
      </c>
      <c r="P84" s="173">
        <v>43493</v>
      </c>
      <c r="Q84" s="164" t="s">
        <v>1208</v>
      </c>
      <c r="R84" s="164" t="s">
        <v>1521</v>
      </c>
      <c r="S84" s="164" t="s">
        <v>305</v>
      </c>
      <c r="T84" s="171">
        <v>45382</v>
      </c>
      <c r="U84" s="167">
        <v>1</v>
      </c>
      <c r="V84" s="167">
        <v>19059.100640000001</v>
      </c>
      <c r="W84" s="167">
        <v>19059.100640000001</v>
      </c>
      <c r="X84" s="168">
        <v>1.6629450056155799E-2</v>
      </c>
      <c r="Y84" s="168">
        <v>2.1248204730000002E-3</v>
      </c>
      <c r="Z84" s="168">
        <v>4.5872018000000001E-4</v>
      </c>
    </row>
    <row r="85" spans="1:26" ht="15.75" thickBot="1">
      <c r="A85" s="159">
        <v>11342</v>
      </c>
      <c r="B85" s="159">
        <v>11343</v>
      </c>
      <c r="C85" s="159"/>
      <c r="D85" s="159"/>
      <c r="E85" s="159"/>
      <c r="F85" s="164" t="s">
        <v>1539</v>
      </c>
      <c r="G85" s="164" t="s">
        <v>1540</v>
      </c>
      <c r="H85" s="164" t="s">
        <v>78</v>
      </c>
      <c r="I85" s="164" t="s">
        <v>1536</v>
      </c>
      <c r="J85" s="163"/>
      <c r="K85" s="164" t="s">
        <v>53</v>
      </c>
      <c r="L85" s="164"/>
      <c r="M85" s="164"/>
      <c r="N85" s="164" t="s">
        <v>314</v>
      </c>
      <c r="O85" s="164" t="s">
        <v>62</v>
      </c>
      <c r="P85" s="173">
        <v>44012</v>
      </c>
      <c r="Q85" s="164" t="s">
        <v>1210</v>
      </c>
      <c r="R85" s="164" t="s">
        <v>1521</v>
      </c>
      <c r="S85" s="164" t="s">
        <v>305</v>
      </c>
      <c r="T85" s="171">
        <v>45382</v>
      </c>
      <c r="U85" s="167">
        <v>3.681</v>
      </c>
      <c r="V85" s="167">
        <v>151.37175767454499</v>
      </c>
      <c r="W85" s="167">
        <v>557.19943999999998</v>
      </c>
      <c r="X85" s="168">
        <v>3.7980587843358098E-3</v>
      </c>
      <c r="Y85" s="168">
        <v>6.21198659917956E-5</v>
      </c>
      <c r="Z85" s="168">
        <v>1.34108441170389E-5</v>
      </c>
    </row>
    <row r="86" spans="1:26" ht="15.75" thickBot="1">
      <c r="A86" s="159">
        <v>11342</v>
      </c>
      <c r="B86" s="159">
        <v>11343</v>
      </c>
      <c r="C86" s="159"/>
      <c r="D86" s="159"/>
      <c r="E86" s="159"/>
      <c r="F86" s="164" t="s">
        <v>1541</v>
      </c>
      <c r="G86" s="164" t="s">
        <v>1542</v>
      </c>
      <c r="H86" s="164" t="s">
        <v>78</v>
      </c>
      <c r="I86" s="164" t="s">
        <v>1536</v>
      </c>
      <c r="J86" s="163"/>
      <c r="K86" s="164" t="s">
        <v>53</v>
      </c>
      <c r="L86" s="164"/>
      <c r="M86" s="164"/>
      <c r="N86" s="164" t="s">
        <v>314</v>
      </c>
      <c r="O86" s="164" t="s">
        <v>62</v>
      </c>
      <c r="P86" s="173">
        <v>44165</v>
      </c>
      <c r="Q86" s="164" t="s">
        <v>1210</v>
      </c>
      <c r="R86" s="164" t="s">
        <v>1521</v>
      </c>
      <c r="S86" s="164" t="s">
        <v>305</v>
      </c>
      <c r="T86" s="171">
        <v>45382</v>
      </c>
      <c r="U86" s="167">
        <v>3.681</v>
      </c>
      <c r="V86" s="167">
        <v>561.81885900570501</v>
      </c>
      <c r="W86" s="167">
        <v>2068.0552200000002</v>
      </c>
      <c r="X86" s="168">
        <v>9.1491246979958901E-3</v>
      </c>
      <c r="Y86" s="168">
        <v>2.3055894099999999E-4</v>
      </c>
      <c r="Z86" s="168">
        <v>4.9774576551707501E-5</v>
      </c>
    </row>
    <row r="87" spans="1:26" ht="15.75" thickBot="1">
      <c r="A87" s="159">
        <v>11342</v>
      </c>
      <c r="B87" s="159">
        <v>11343</v>
      </c>
      <c r="C87" s="159"/>
      <c r="D87" s="159"/>
      <c r="E87" s="159"/>
      <c r="F87" s="164" t="s">
        <v>1543</v>
      </c>
      <c r="G87" s="164" t="s">
        <v>1544</v>
      </c>
      <c r="H87" s="164" t="s">
        <v>78</v>
      </c>
      <c r="I87" s="164" t="s">
        <v>1536</v>
      </c>
      <c r="J87" s="163"/>
      <c r="K87" s="164" t="s">
        <v>53</v>
      </c>
      <c r="L87" s="164"/>
      <c r="M87" s="164"/>
      <c r="N87" s="164" t="s">
        <v>314</v>
      </c>
      <c r="O87" s="164" t="s">
        <v>62</v>
      </c>
      <c r="P87" s="173">
        <v>44012</v>
      </c>
      <c r="Q87" s="164" t="s">
        <v>1210</v>
      </c>
      <c r="R87" s="164" t="s">
        <v>1521</v>
      </c>
      <c r="S87" s="164" t="s">
        <v>305</v>
      </c>
      <c r="T87" s="171">
        <v>45382</v>
      </c>
      <c r="U87" s="167">
        <v>3.681</v>
      </c>
      <c r="V87" s="167">
        <v>404.27840804129301</v>
      </c>
      <c r="W87" s="167">
        <v>1488.1488199999999</v>
      </c>
      <c r="X87" s="168">
        <v>2.7144216117662798E-3</v>
      </c>
      <c r="Y87" s="168">
        <v>1.6590756999999999E-4</v>
      </c>
      <c r="Z87" s="168">
        <v>3.5817214475261098E-5</v>
      </c>
    </row>
    <row r="88" spans="1:26" ht="15.75" thickBot="1">
      <c r="A88" s="159">
        <v>11342</v>
      </c>
      <c r="B88" s="159">
        <v>11343</v>
      </c>
      <c r="C88" s="159"/>
      <c r="D88" s="159"/>
      <c r="E88" s="159"/>
      <c r="F88" s="164" t="s">
        <v>1570</v>
      </c>
      <c r="G88" s="164" t="s">
        <v>1571</v>
      </c>
      <c r="H88" s="164" t="s">
        <v>78</v>
      </c>
      <c r="I88" s="164" t="s">
        <v>943</v>
      </c>
      <c r="J88" s="163"/>
      <c r="K88" s="164" t="s">
        <v>53</v>
      </c>
      <c r="L88" s="164"/>
      <c r="M88" s="164"/>
      <c r="N88" s="164" t="s">
        <v>53</v>
      </c>
      <c r="O88" s="164" t="s">
        <v>62</v>
      </c>
      <c r="P88" s="173">
        <v>44220</v>
      </c>
      <c r="Q88" s="164" t="s">
        <v>1208</v>
      </c>
      <c r="R88" s="164" t="s">
        <v>1521</v>
      </c>
      <c r="S88" s="164" t="s">
        <v>305</v>
      </c>
      <c r="T88" s="171">
        <v>45382</v>
      </c>
      <c r="U88" s="167">
        <v>1</v>
      </c>
      <c r="V88" s="167">
        <v>7722.1687000000002</v>
      </c>
      <c r="W88" s="167">
        <v>7722.1687000000002</v>
      </c>
      <c r="X88" s="168">
        <v>1.8599999999999998E-2</v>
      </c>
      <c r="Y88" s="168">
        <v>8.6091271799999998E-4</v>
      </c>
      <c r="Z88" s="168">
        <v>1.8585948399999999E-4</v>
      </c>
    </row>
    <row r="89" spans="1:26" ht="15.75" thickBot="1">
      <c r="A89" s="159">
        <v>11342</v>
      </c>
      <c r="B89" s="159">
        <v>11343</v>
      </c>
      <c r="C89" s="159"/>
      <c r="D89" s="159"/>
      <c r="E89" s="159"/>
      <c r="F89" s="164" t="s">
        <v>1545</v>
      </c>
      <c r="G89" s="164" t="s">
        <v>1546</v>
      </c>
      <c r="H89" s="164" t="s">
        <v>78</v>
      </c>
      <c r="I89" s="164" t="s">
        <v>1536</v>
      </c>
      <c r="J89" s="163"/>
      <c r="K89" s="164" t="s">
        <v>53</v>
      </c>
      <c r="L89" s="164"/>
      <c r="M89" s="164"/>
      <c r="N89" s="164" t="s">
        <v>53</v>
      </c>
      <c r="O89" s="164" t="s">
        <v>62</v>
      </c>
      <c r="P89" s="173">
        <v>44377</v>
      </c>
      <c r="Q89" s="164" t="s">
        <v>1208</v>
      </c>
      <c r="R89" s="164" t="s">
        <v>1521</v>
      </c>
      <c r="S89" s="164" t="s">
        <v>305</v>
      </c>
      <c r="T89" s="171">
        <v>45382</v>
      </c>
      <c r="U89" s="167">
        <v>1</v>
      </c>
      <c r="V89" s="167">
        <v>4814.5392599999996</v>
      </c>
      <c r="W89" s="167">
        <v>4814.5392599999996</v>
      </c>
      <c r="X89" s="168">
        <v>5.7889846974376297E-2</v>
      </c>
      <c r="Y89" s="168">
        <v>5.3675311200000004E-4</v>
      </c>
      <c r="Z89" s="168">
        <v>1.1587778199999999E-4</v>
      </c>
    </row>
    <row r="90" spans="1:26" ht="15.75" thickBot="1">
      <c r="A90" s="159">
        <v>11342</v>
      </c>
      <c r="B90" s="159">
        <v>11343</v>
      </c>
      <c r="C90" s="159"/>
      <c r="D90" s="159"/>
      <c r="E90" s="159"/>
      <c r="F90" s="164" t="s">
        <v>1547</v>
      </c>
      <c r="G90" s="164" t="s">
        <v>1548</v>
      </c>
      <c r="H90" s="164" t="s">
        <v>78</v>
      </c>
      <c r="I90" s="164" t="s">
        <v>1536</v>
      </c>
      <c r="J90" s="163"/>
      <c r="K90" s="164" t="s">
        <v>53</v>
      </c>
      <c r="L90" s="164"/>
      <c r="M90" s="164"/>
      <c r="N90" s="164" t="s">
        <v>53</v>
      </c>
      <c r="O90" s="164" t="s">
        <v>62</v>
      </c>
      <c r="P90" s="173">
        <v>44377</v>
      </c>
      <c r="Q90" s="164" t="s">
        <v>1208</v>
      </c>
      <c r="R90" s="164" t="s">
        <v>1521</v>
      </c>
      <c r="S90" s="164" t="s">
        <v>305</v>
      </c>
      <c r="T90" s="171">
        <v>45382</v>
      </c>
      <c r="U90" s="167">
        <v>1</v>
      </c>
      <c r="V90" s="167">
        <v>3898.1185999999998</v>
      </c>
      <c r="W90" s="167">
        <v>3898.1185999999998</v>
      </c>
      <c r="X90" s="168">
        <v>1.3024519565E-2</v>
      </c>
      <c r="Y90" s="168">
        <v>4.34585155E-4</v>
      </c>
      <c r="Z90" s="168">
        <v>9.3821093743974099E-5</v>
      </c>
    </row>
    <row r="91" spans="1:26" ht="15.75" thickBot="1">
      <c r="A91" s="159">
        <v>11342</v>
      </c>
      <c r="B91" s="159">
        <v>11343</v>
      </c>
      <c r="C91" s="159"/>
      <c r="D91" s="159"/>
      <c r="E91" s="159"/>
      <c r="F91" s="164" t="s">
        <v>1549</v>
      </c>
      <c r="G91" s="164" t="s">
        <v>1550</v>
      </c>
      <c r="H91" s="164" t="s">
        <v>78</v>
      </c>
      <c r="I91" s="164" t="s">
        <v>1536</v>
      </c>
      <c r="J91" s="163"/>
      <c r="K91" s="164" t="s">
        <v>53</v>
      </c>
      <c r="L91" s="164"/>
      <c r="M91" s="164"/>
      <c r="N91" s="164" t="s">
        <v>53</v>
      </c>
      <c r="O91" s="164" t="s">
        <v>62</v>
      </c>
      <c r="P91" s="173">
        <v>44523</v>
      </c>
      <c r="Q91" s="164" t="s">
        <v>1208</v>
      </c>
      <c r="R91" s="164" t="s">
        <v>1521</v>
      </c>
      <c r="S91" s="164" t="s">
        <v>305</v>
      </c>
      <c r="T91" s="171">
        <v>45382</v>
      </c>
      <c r="U91" s="167">
        <v>1</v>
      </c>
      <c r="V91" s="167">
        <v>6125.6558999999997</v>
      </c>
      <c r="W91" s="167">
        <v>6125.6558999999997</v>
      </c>
      <c r="X91" s="168">
        <v>4.7538052812081302E-2</v>
      </c>
      <c r="Y91" s="168">
        <v>6.8292409499999995E-4</v>
      </c>
      <c r="Z91" s="168">
        <v>1.4743413300000001E-4</v>
      </c>
    </row>
    <row r="92" spans="1:26" ht="15.75" thickBot="1">
      <c r="A92" s="159">
        <v>11342</v>
      </c>
      <c r="B92" s="159">
        <v>11343</v>
      </c>
      <c r="C92" s="159"/>
      <c r="D92" s="159"/>
      <c r="E92" s="159"/>
      <c r="F92" s="164" t="s">
        <v>1572</v>
      </c>
      <c r="G92" s="164" t="s">
        <v>1573</v>
      </c>
      <c r="H92" s="164" t="s">
        <v>78</v>
      </c>
      <c r="I92" s="164" t="s">
        <v>280</v>
      </c>
      <c r="J92" s="163"/>
      <c r="K92" s="164" t="s">
        <v>53</v>
      </c>
      <c r="L92" s="164"/>
      <c r="M92" s="164"/>
      <c r="N92" s="164" t="s">
        <v>314</v>
      </c>
      <c r="O92" s="164" t="s">
        <v>62</v>
      </c>
      <c r="P92" s="173">
        <v>44818</v>
      </c>
      <c r="Q92" s="164" t="s">
        <v>1208</v>
      </c>
      <c r="R92" s="164" t="s">
        <v>1521</v>
      </c>
      <c r="S92" s="164" t="s">
        <v>305</v>
      </c>
      <c r="T92" s="171">
        <v>45382</v>
      </c>
      <c r="U92" s="167">
        <v>1</v>
      </c>
      <c r="V92" s="167">
        <v>17601.023410000002</v>
      </c>
      <c r="W92" s="167">
        <v>17601.023410000002</v>
      </c>
      <c r="X92" s="168">
        <v>1.0449999999999999E-2</v>
      </c>
      <c r="Y92" s="168">
        <v>1.9622654599999998E-3</v>
      </c>
      <c r="Z92" s="168">
        <v>4.23626738E-4</v>
      </c>
    </row>
    <row r="93" spans="1:26" ht="15.75" thickBot="1">
      <c r="A93" s="159">
        <v>11342</v>
      </c>
      <c r="B93" s="159">
        <v>11343</v>
      </c>
      <c r="C93" s="159"/>
      <c r="D93" s="159"/>
      <c r="E93" s="159"/>
      <c r="F93" s="164" t="s">
        <v>1555</v>
      </c>
      <c r="G93" s="164" t="s">
        <v>1563</v>
      </c>
      <c r="H93" s="164" t="s">
        <v>78</v>
      </c>
      <c r="I93" s="164" t="s">
        <v>1536</v>
      </c>
      <c r="J93" s="163"/>
      <c r="K93" s="164" t="s">
        <v>61</v>
      </c>
      <c r="L93" s="164"/>
      <c r="M93" s="164"/>
      <c r="N93" s="164" t="s">
        <v>314</v>
      </c>
      <c r="O93" s="164" t="s">
        <v>62</v>
      </c>
      <c r="P93" s="173">
        <v>44560</v>
      </c>
      <c r="Q93" s="164" t="s">
        <v>1210</v>
      </c>
      <c r="R93" s="164" t="s">
        <v>1521</v>
      </c>
      <c r="S93" s="164" t="s">
        <v>305</v>
      </c>
      <c r="T93" s="171">
        <v>45382</v>
      </c>
      <c r="U93" s="167">
        <v>3.681</v>
      </c>
      <c r="V93" s="167">
        <v>481.516476500951</v>
      </c>
      <c r="W93" s="167">
        <v>1772.4621500000001</v>
      </c>
      <c r="X93" s="168">
        <v>2.1636098452641601E-2</v>
      </c>
      <c r="Y93" s="168">
        <v>1.9760449000000001E-4</v>
      </c>
      <c r="Z93" s="168">
        <v>4.2660153421908697E-5</v>
      </c>
    </row>
    <row r="94" spans="1:26" ht="15.75" thickBot="1">
      <c r="A94" s="159">
        <v>11342</v>
      </c>
      <c r="B94" s="159">
        <v>11343</v>
      </c>
      <c r="C94" s="159"/>
      <c r="D94" s="159"/>
      <c r="E94" s="159"/>
      <c r="F94" s="164" t="s">
        <v>1574</v>
      </c>
      <c r="G94" s="164" t="s">
        <v>1575</v>
      </c>
      <c r="H94" s="164" t="s">
        <v>78</v>
      </c>
      <c r="I94" s="164" t="s">
        <v>943</v>
      </c>
      <c r="J94" s="163"/>
      <c r="K94" s="164" t="s">
        <v>61</v>
      </c>
      <c r="L94" s="164"/>
      <c r="M94" s="164"/>
      <c r="N94" s="164" t="s">
        <v>314</v>
      </c>
      <c r="O94" s="164" t="s">
        <v>62</v>
      </c>
      <c r="P94" s="173">
        <v>44629</v>
      </c>
      <c r="Q94" s="164" t="s">
        <v>1210</v>
      </c>
      <c r="R94" s="164" t="s">
        <v>1521</v>
      </c>
      <c r="S94" s="164" t="s">
        <v>305</v>
      </c>
      <c r="T94" s="171">
        <v>45382</v>
      </c>
      <c r="U94" s="167">
        <v>3.681</v>
      </c>
      <c r="V94" s="167">
        <v>3086.17006248302</v>
      </c>
      <c r="W94" s="167">
        <v>11360.191999999999</v>
      </c>
      <c r="X94" s="168">
        <v>8.0100000000000005E-2</v>
      </c>
      <c r="Y94" s="168">
        <v>1.266500922E-3</v>
      </c>
      <c r="Z94" s="168">
        <v>2.7342052599999998E-4</v>
      </c>
    </row>
    <row r="95" spans="1:26" ht="15.75" thickBot="1">
      <c r="A95" s="159">
        <v>11342</v>
      </c>
      <c r="B95" s="159">
        <v>11343</v>
      </c>
      <c r="C95" s="159"/>
      <c r="D95" s="159"/>
      <c r="E95" s="159"/>
      <c r="F95" s="164" t="s">
        <v>1576</v>
      </c>
      <c r="G95" s="164" t="s">
        <v>1577</v>
      </c>
      <c r="H95" s="164" t="s">
        <v>78</v>
      </c>
      <c r="I95" s="164" t="s">
        <v>943</v>
      </c>
      <c r="J95" s="163"/>
      <c r="K95" s="164" t="s">
        <v>61</v>
      </c>
      <c r="L95" s="164"/>
      <c r="M95" s="164"/>
      <c r="N95" s="164" t="s">
        <v>53</v>
      </c>
      <c r="O95" s="164" t="s">
        <v>62</v>
      </c>
      <c r="P95" s="173">
        <v>44712</v>
      </c>
      <c r="Q95" s="164" t="s">
        <v>1210</v>
      </c>
      <c r="R95" s="164" t="s">
        <v>1521</v>
      </c>
      <c r="S95" s="164" t="s">
        <v>305</v>
      </c>
      <c r="T95" s="171">
        <v>45382</v>
      </c>
      <c r="U95" s="167">
        <v>3.681</v>
      </c>
      <c r="V95" s="167">
        <v>1322.5264113012799</v>
      </c>
      <c r="W95" s="167">
        <v>4868.2197200000001</v>
      </c>
      <c r="X95" s="168">
        <v>0.182</v>
      </c>
      <c r="Y95" s="168">
        <v>5.4273772499999998E-4</v>
      </c>
      <c r="Z95" s="168">
        <v>1.1716977899999999E-4</v>
      </c>
    </row>
    <row r="96" spans="1:26" ht="15.75" thickBot="1">
      <c r="A96" s="159">
        <v>11342</v>
      </c>
      <c r="B96" s="159">
        <v>11344</v>
      </c>
      <c r="C96" s="159"/>
      <c r="D96" s="159"/>
      <c r="E96" s="159"/>
      <c r="F96" s="164" t="s">
        <v>1534</v>
      </c>
      <c r="G96" s="164" t="s">
        <v>1535</v>
      </c>
      <c r="H96" s="164" t="s">
        <v>78</v>
      </c>
      <c r="I96" s="164" t="s">
        <v>1536</v>
      </c>
      <c r="J96" s="163"/>
      <c r="K96" s="164" t="s">
        <v>53</v>
      </c>
      <c r="L96" s="164"/>
      <c r="M96" s="164"/>
      <c r="N96" s="164" t="s">
        <v>53</v>
      </c>
      <c r="O96" s="164" t="s">
        <v>62</v>
      </c>
      <c r="P96" s="173">
        <v>44165</v>
      </c>
      <c r="Q96" s="164" t="s">
        <v>1208</v>
      </c>
      <c r="R96" s="164" t="s">
        <v>1521</v>
      </c>
      <c r="S96" s="164" t="s">
        <v>305</v>
      </c>
      <c r="T96" s="171">
        <v>45382</v>
      </c>
      <c r="U96" s="167">
        <v>1</v>
      </c>
      <c r="V96" s="167">
        <v>53.795000000000002</v>
      </c>
      <c r="W96" s="167">
        <v>53.795000000000002</v>
      </c>
      <c r="X96" s="168">
        <v>2.4358527074988499E-5</v>
      </c>
      <c r="Y96" s="168">
        <v>2.073927906E-3</v>
      </c>
      <c r="Z96" s="168">
        <v>1.9202781800000001E-4</v>
      </c>
    </row>
    <row r="97" spans="1:26" ht="15.75" thickBot="1">
      <c r="A97" s="159">
        <v>11342</v>
      </c>
      <c r="B97" s="159">
        <v>11344</v>
      </c>
      <c r="C97" s="159"/>
      <c r="D97" s="159"/>
      <c r="E97" s="159"/>
      <c r="F97" s="164" t="s">
        <v>1537</v>
      </c>
      <c r="G97" s="164" t="s">
        <v>1538</v>
      </c>
      <c r="H97" s="164" t="s">
        <v>78</v>
      </c>
      <c r="I97" s="164" t="s">
        <v>1536</v>
      </c>
      <c r="J97" s="163"/>
      <c r="K97" s="164" t="s">
        <v>53</v>
      </c>
      <c r="L97" s="164"/>
      <c r="M97" s="164"/>
      <c r="N97" s="164" t="s">
        <v>53</v>
      </c>
      <c r="O97" s="164" t="s">
        <v>62</v>
      </c>
      <c r="P97" s="173">
        <v>43493</v>
      </c>
      <c r="Q97" s="164" t="s">
        <v>1208</v>
      </c>
      <c r="R97" s="164" t="s">
        <v>1521</v>
      </c>
      <c r="S97" s="164" t="s">
        <v>305</v>
      </c>
      <c r="T97" s="171">
        <v>45382</v>
      </c>
      <c r="U97" s="167">
        <v>1</v>
      </c>
      <c r="V97" s="167">
        <v>63.234470000000002</v>
      </c>
      <c r="W97" s="167">
        <v>63.234470000000002</v>
      </c>
      <c r="X97" s="168">
        <v>5.5173351594856801E-5</v>
      </c>
      <c r="Y97" s="168">
        <v>2.4378424000000001E-3</v>
      </c>
      <c r="Z97" s="168">
        <v>2.2572315900000001E-4</v>
      </c>
    </row>
    <row r="98" spans="1:26" ht="15.75" thickBot="1">
      <c r="A98" s="159">
        <v>11342</v>
      </c>
      <c r="B98" s="159">
        <v>11344</v>
      </c>
      <c r="C98" s="159"/>
      <c r="D98" s="159"/>
      <c r="E98" s="159"/>
      <c r="F98" s="164" t="s">
        <v>1539</v>
      </c>
      <c r="G98" s="164" t="s">
        <v>1540</v>
      </c>
      <c r="H98" s="164" t="s">
        <v>78</v>
      </c>
      <c r="I98" s="164" t="s">
        <v>1536</v>
      </c>
      <c r="J98" s="163"/>
      <c r="K98" s="164" t="s">
        <v>53</v>
      </c>
      <c r="L98" s="164"/>
      <c r="M98" s="164"/>
      <c r="N98" s="164" t="s">
        <v>314</v>
      </c>
      <c r="O98" s="164" t="s">
        <v>62</v>
      </c>
      <c r="P98" s="173">
        <v>44012</v>
      </c>
      <c r="Q98" s="164" t="s">
        <v>1210</v>
      </c>
      <c r="R98" s="164" t="s">
        <v>1521</v>
      </c>
      <c r="S98" s="164" t="s">
        <v>305</v>
      </c>
      <c r="T98" s="171">
        <v>45382</v>
      </c>
      <c r="U98" s="167">
        <v>3.681</v>
      </c>
      <c r="V98" s="167">
        <v>2.611502309155</v>
      </c>
      <c r="W98" s="167">
        <v>9.61294</v>
      </c>
      <c r="X98" s="168">
        <v>6.5525032132647394E-5</v>
      </c>
      <c r="Y98" s="168">
        <v>3.7060218400000001E-4</v>
      </c>
      <c r="Z98" s="168">
        <v>3.4314562706554797E-5</v>
      </c>
    </row>
    <row r="99" spans="1:26" ht="15.75" thickBot="1">
      <c r="A99" s="159">
        <v>11342</v>
      </c>
      <c r="B99" s="159">
        <v>11344</v>
      </c>
      <c r="C99" s="159"/>
      <c r="D99" s="159"/>
      <c r="E99" s="159"/>
      <c r="F99" s="164" t="s">
        <v>1543</v>
      </c>
      <c r="G99" s="164" t="s">
        <v>1544</v>
      </c>
      <c r="H99" s="164" t="s">
        <v>78</v>
      </c>
      <c r="I99" s="164" t="s">
        <v>1536</v>
      </c>
      <c r="J99" s="163"/>
      <c r="K99" s="164" t="s">
        <v>53</v>
      </c>
      <c r="L99" s="164"/>
      <c r="M99" s="164"/>
      <c r="N99" s="164" t="s">
        <v>314</v>
      </c>
      <c r="O99" s="164" t="s">
        <v>62</v>
      </c>
      <c r="P99" s="173">
        <v>44012</v>
      </c>
      <c r="Q99" s="164" t="s">
        <v>1210</v>
      </c>
      <c r="R99" s="164" t="s">
        <v>1521</v>
      </c>
      <c r="S99" s="164" t="s">
        <v>305</v>
      </c>
      <c r="T99" s="171">
        <v>45382</v>
      </c>
      <c r="U99" s="167">
        <v>3.681</v>
      </c>
      <c r="V99" s="167">
        <v>6.3120293398529999</v>
      </c>
      <c r="W99" s="167">
        <v>23.234580000000001</v>
      </c>
      <c r="X99" s="168">
        <v>4.2380469778763603E-5</v>
      </c>
      <c r="Y99" s="168">
        <v>8.9574949000000004E-4</v>
      </c>
      <c r="Z99" s="168">
        <v>8.2938669373830003E-5</v>
      </c>
    </row>
    <row r="100" spans="1:26" ht="15.75" thickBot="1">
      <c r="A100" s="159">
        <v>11342</v>
      </c>
      <c r="B100" s="159">
        <v>11344</v>
      </c>
      <c r="C100" s="159"/>
      <c r="D100" s="159"/>
      <c r="E100" s="159"/>
      <c r="F100" s="164" t="s">
        <v>1545</v>
      </c>
      <c r="G100" s="164" t="s">
        <v>1546</v>
      </c>
      <c r="H100" s="164" t="s">
        <v>78</v>
      </c>
      <c r="I100" s="164" t="s">
        <v>1536</v>
      </c>
      <c r="J100" s="163"/>
      <c r="K100" s="164" t="s">
        <v>53</v>
      </c>
      <c r="L100" s="164"/>
      <c r="M100" s="164"/>
      <c r="N100" s="164" t="s">
        <v>53</v>
      </c>
      <c r="O100" s="164" t="s">
        <v>62</v>
      </c>
      <c r="P100" s="173">
        <v>44377</v>
      </c>
      <c r="Q100" s="164" t="s">
        <v>1208</v>
      </c>
      <c r="R100" s="164" t="s">
        <v>1521</v>
      </c>
      <c r="S100" s="164" t="s">
        <v>305</v>
      </c>
      <c r="T100" s="171">
        <v>45382</v>
      </c>
      <c r="U100" s="167">
        <v>1</v>
      </c>
      <c r="V100" s="167">
        <v>36.109050000000003</v>
      </c>
      <c r="W100" s="167">
        <v>36.109050000000003</v>
      </c>
      <c r="X100" s="168">
        <v>4.3417391904082298E-4</v>
      </c>
      <c r="Y100" s="168">
        <v>1.3920915780000001E-3</v>
      </c>
      <c r="Z100" s="168">
        <v>1.2889566100000001E-4</v>
      </c>
    </row>
    <row r="101" spans="1:26" ht="15.75" thickBot="1">
      <c r="A101" s="159">
        <v>11342</v>
      </c>
      <c r="B101" s="159">
        <v>11344</v>
      </c>
      <c r="C101" s="159"/>
      <c r="D101" s="159"/>
      <c r="E101" s="159"/>
      <c r="F101" s="164" t="s">
        <v>1547</v>
      </c>
      <c r="G101" s="164" t="s">
        <v>1548</v>
      </c>
      <c r="H101" s="164" t="s">
        <v>78</v>
      </c>
      <c r="I101" s="164" t="s">
        <v>1536</v>
      </c>
      <c r="J101" s="163"/>
      <c r="K101" s="164" t="s">
        <v>53</v>
      </c>
      <c r="L101" s="164"/>
      <c r="M101" s="164"/>
      <c r="N101" s="164" t="s">
        <v>53</v>
      </c>
      <c r="O101" s="164" t="s">
        <v>62</v>
      </c>
      <c r="P101" s="173">
        <v>44377</v>
      </c>
      <c r="Q101" s="164" t="s">
        <v>1208</v>
      </c>
      <c r="R101" s="164" t="s">
        <v>1521</v>
      </c>
      <c r="S101" s="164" t="s">
        <v>305</v>
      </c>
      <c r="T101" s="171">
        <v>45382</v>
      </c>
      <c r="U101" s="167">
        <v>1</v>
      </c>
      <c r="V101" s="167">
        <v>29.235890000000001</v>
      </c>
      <c r="W101" s="167">
        <v>29.235890000000001</v>
      </c>
      <c r="X101" s="168">
        <v>9.7683898408116394E-5</v>
      </c>
      <c r="Y101" s="168">
        <v>1.1271145659999999E-3</v>
      </c>
      <c r="Z101" s="168">
        <v>1.04361077E-4</v>
      </c>
    </row>
    <row r="102" spans="1:26" ht="15.75" thickBot="1">
      <c r="A102" s="159">
        <v>11342</v>
      </c>
      <c r="B102" s="159">
        <v>11344</v>
      </c>
      <c r="C102" s="159"/>
      <c r="D102" s="159"/>
      <c r="E102" s="159"/>
      <c r="F102" s="164" t="s">
        <v>1549</v>
      </c>
      <c r="G102" s="164" t="s">
        <v>1550</v>
      </c>
      <c r="H102" s="164" t="s">
        <v>78</v>
      </c>
      <c r="I102" s="164" t="s">
        <v>1536</v>
      </c>
      <c r="J102" s="163"/>
      <c r="K102" s="164" t="s">
        <v>53</v>
      </c>
      <c r="L102" s="164"/>
      <c r="M102" s="164"/>
      <c r="N102" s="164" t="s">
        <v>53</v>
      </c>
      <c r="O102" s="164" t="s">
        <v>62</v>
      </c>
      <c r="P102" s="173">
        <v>44523</v>
      </c>
      <c r="Q102" s="164" t="s">
        <v>1208</v>
      </c>
      <c r="R102" s="164" t="s">
        <v>1521</v>
      </c>
      <c r="S102" s="164" t="s">
        <v>305</v>
      </c>
      <c r="T102" s="171">
        <v>45382</v>
      </c>
      <c r="U102" s="167">
        <v>1</v>
      </c>
      <c r="V102" s="167">
        <v>32.066389999999998</v>
      </c>
      <c r="W102" s="167">
        <v>32.066389999999998</v>
      </c>
      <c r="X102" s="168">
        <v>2.4885069716579997E-4</v>
      </c>
      <c r="Y102" s="168">
        <v>1.2362372160000001E-3</v>
      </c>
      <c r="Z102" s="168">
        <v>1.14464893E-4</v>
      </c>
    </row>
    <row r="103" spans="1:26" ht="15.75" thickBot="1">
      <c r="A103" s="159">
        <v>11342</v>
      </c>
      <c r="B103" s="159">
        <v>11344</v>
      </c>
      <c r="C103" s="159"/>
      <c r="D103" s="159"/>
      <c r="E103" s="159"/>
      <c r="F103" s="164" t="s">
        <v>1555</v>
      </c>
      <c r="G103" s="164" t="s">
        <v>1563</v>
      </c>
      <c r="H103" s="164" t="s">
        <v>78</v>
      </c>
      <c r="I103" s="164" t="s">
        <v>1536</v>
      </c>
      <c r="J103" s="163"/>
      <c r="K103" s="164" t="s">
        <v>61</v>
      </c>
      <c r="L103" s="164"/>
      <c r="M103" s="164"/>
      <c r="N103" s="164" t="s">
        <v>314</v>
      </c>
      <c r="O103" s="164" t="s">
        <v>62</v>
      </c>
      <c r="P103" s="173">
        <v>44560</v>
      </c>
      <c r="Q103" s="164" t="s">
        <v>1210</v>
      </c>
      <c r="R103" s="164" t="s">
        <v>1521</v>
      </c>
      <c r="S103" s="164" t="s">
        <v>305</v>
      </c>
      <c r="T103" s="171">
        <v>45382</v>
      </c>
      <c r="U103" s="167">
        <v>3.681</v>
      </c>
      <c r="V103" s="167">
        <v>3.2867997826669999</v>
      </c>
      <c r="W103" s="167">
        <v>12.098710000000001</v>
      </c>
      <c r="X103" s="168">
        <v>1.47686584286135E-4</v>
      </c>
      <c r="Y103" s="168">
        <v>4.6643465499999998E-4</v>
      </c>
      <c r="Z103" s="168">
        <v>4.3187822140096797E-5</v>
      </c>
    </row>
    <row r="104" spans="1:26" ht="15.75" thickBot="1">
      <c r="A104" s="159">
        <v>11342</v>
      </c>
      <c r="B104" s="159">
        <v>11345</v>
      </c>
      <c r="C104" s="159"/>
      <c r="D104" s="159"/>
      <c r="E104" s="159"/>
      <c r="F104" s="164" t="s">
        <v>1534</v>
      </c>
      <c r="G104" s="164" t="s">
        <v>1535</v>
      </c>
      <c r="H104" s="164" t="s">
        <v>78</v>
      </c>
      <c r="I104" s="164" t="s">
        <v>1536</v>
      </c>
      <c r="J104" s="163"/>
      <c r="K104" s="164" t="s">
        <v>53</v>
      </c>
      <c r="L104" s="164"/>
      <c r="M104" s="164"/>
      <c r="N104" s="164" t="s">
        <v>53</v>
      </c>
      <c r="O104" s="164" t="s">
        <v>62</v>
      </c>
      <c r="P104" s="173">
        <v>44165</v>
      </c>
      <c r="Q104" s="164" t="s">
        <v>1208</v>
      </c>
      <c r="R104" s="164" t="s">
        <v>1521</v>
      </c>
      <c r="S104" s="164" t="s">
        <v>305</v>
      </c>
      <c r="T104" s="171">
        <v>45382</v>
      </c>
      <c r="U104" s="167">
        <v>1</v>
      </c>
      <c r="V104" s="167">
        <v>66.237440000000007</v>
      </c>
      <c r="W104" s="167">
        <v>66.237440000000007</v>
      </c>
      <c r="X104" s="168">
        <v>2.9992498849668699E-5</v>
      </c>
      <c r="Y104" s="168">
        <v>2.069935589E-3</v>
      </c>
      <c r="Z104" s="168">
        <v>5.06939801510075E-5</v>
      </c>
    </row>
    <row r="105" spans="1:26" ht="15.75" thickBot="1">
      <c r="A105" s="159">
        <v>11342</v>
      </c>
      <c r="B105" s="159">
        <v>11345</v>
      </c>
      <c r="C105" s="159"/>
      <c r="D105" s="159"/>
      <c r="E105" s="159"/>
      <c r="F105" s="164" t="s">
        <v>1537</v>
      </c>
      <c r="G105" s="164" t="s">
        <v>1538</v>
      </c>
      <c r="H105" s="164" t="s">
        <v>78</v>
      </c>
      <c r="I105" s="164" t="s">
        <v>1536</v>
      </c>
      <c r="J105" s="163"/>
      <c r="K105" s="164" t="s">
        <v>53</v>
      </c>
      <c r="L105" s="164"/>
      <c r="M105" s="164"/>
      <c r="N105" s="164" t="s">
        <v>53</v>
      </c>
      <c r="O105" s="164" t="s">
        <v>62</v>
      </c>
      <c r="P105" s="173">
        <v>43493</v>
      </c>
      <c r="Q105" s="164" t="s">
        <v>1208</v>
      </c>
      <c r="R105" s="164" t="s">
        <v>1521</v>
      </c>
      <c r="S105" s="164" t="s">
        <v>305</v>
      </c>
      <c r="T105" s="171">
        <v>45382</v>
      </c>
      <c r="U105" s="167">
        <v>1</v>
      </c>
      <c r="V105" s="167">
        <v>64.671620000000004</v>
      </c>
      <c r="W105" s="167">
        <v>64.671620000000004</v>
      </c>
      <c r="X105" s="168">
        <v>5.6427293981731401E-5</v>
      </c>
      <c r="Y105" s="168">
        <v>2.0210033449999999E-3</v>
      </c>
      <c r="Z105" s="168">
        <v>4.9495599778818401E-5</v>
      </c>
    </row>
    <row r="106" spans="1:26" ht="15.75" thickBot="1">
      <c r="A106" s="159">
        <v>11342</v>
      </c>
      <c r="B106" s="159">
        <v>11345</v>
      </c>
      <c r="C106" s="159"/>
      <c r="D106" s="159"/>
      <c r="E106" s="159"/>
      <c r="F106" s="164" t="s">
        <v>1543</v>
      </c>
      <c r="G106" s="164" t="s">
        <v>1544</v>
      </c>
      <c r="H106" s="164" t="s">
        <v>78</v>
      </c>
      <c r="I106" s="164" t="s">
        <v>1536</v>
      </c>
      <c r="J106" s="163"/>
      <c r="K106" s="164" t="s">
        <v>53</v>
      </c>
      <c r="L106" s="164"/>
      <c r="M106" s="164"/>
      <c r="N106" s="164" t="s">
        <v>314</v>
      </c>
      <c r="O106" s="164" t="s">
        <v>62</v>
      </c>
      <c r="P106" s="173">
        <v>44012</v>
      </c>
      <c r="Q106" s="164" t="s">
        <v>1210</v>
      </c>
      <c r="R106" s="164" t="s">
        <v>1521</v>
      </c>
      <c r="S106" s="164" t="s">
        <v>305</v>
      </c>
      <c r="T106" s="171">
        <v>45382</v>
      </c>
      <c r="U106" s="167">
        <v>3.681</v>
      </c>
      <c r="V106" s="167">
        <v>17.673705514805</v>
      </c>
      <c r="W106" s="167">
        <v>65.056910000000002</v>
      </c>
      <c r="X106" s="168">
        <v>1.18665472246743E-4</v>
      </c>
      <c r="Y106" s="168">
        <v>2.033043748E-3</v>
      </c>
      <c r="Z106" s="168">
        <v>4.97904765677219E-5</v>
      </c>
    </row>
    <row r="107" spans="1:26" ht="15.75" thickBot="1">
      <c r="A107" s="159">
        <v>11342</v>
      </c>
      <c r="B107" s="159">
        <v>11345</v>
      </c>
      <c r="C107" s="159"/>
      <c r="D107" s="159"/>
      <c r="E107" s="159"/>
      <c r="F107" s="164" t="s">
        <v>1545</v>
      </c>
      <c r="G107" s="164" t="s">
        <v>1546</v>
      </c>
      <c r="H107" s="164" t="s">
        <v>78</v>
      </c>
      <c r="I107" s="164" t="s">
        <v>1536</v>
      </c>
      <c r="J107" s="163"/>
      <c r="K107" s="164" t="s">
        <v>53</v>
      </c>
      <c r="L107" s="164"/>
      <c r="M107" s="164"/>
      <c r="N107" s="164" t="s">
        <v>53</v>
      </c>
      <c r="O107" s="164" t="s">
        <v>62</v>
      </c>
      <c r="P107" s="173">
        <v>44377</v>
      </c>
      <c r="Q107" s="164" t="s">
        <v>1208</v>
      </c>
      <c r="R107" s="164" t="s">
        <v>1521</v>
      </c>
      <c r="S107" s="164" t="s">
        <v>305</v>
      </c>
      <c r="T107" s="171">
        <v>45382</v>
      </c>
      <c r="U107" s="167">
        <v>1</v>
      </c>
      <c r="V107" s="167">
        <v>60.181739999999998</v>
      </c>
      <c r="W107" s="167">
        <v>60.181739999999998</v>
      </c>
      <c r="X107" s="168">
        <v>7.2362307816172997E-4</v>
      </c>
      <c r="Y107" s="168">
        <v>1.8806935379999999E-3</v>
      </c>
      <c r="Z107" s="168">
        <v>4.6059327368525897E-5</v>
      </c>
    </row>
    <row r="108" spans="1:26" ht="15.75" thickBot="1">
      <c r="A108" s="159">
        <v>11342</v>
      </c>
      <c r="B108" s="159">
        <v>11345</v>
      </c>
      <c r="C108" s="159"/>
      <c r="D108" s="159"/>
      <c r="E108" s="159"/>
      <c r="F108" s="164" t="s">
        <v>1547</v>
      </c>
      <c r="G108" s="164" t="s">
        <v>1548</v>
      </c>
      <c r="H108" s="164" t="s">
        <v>78</v>
      </c>
      <c r="I108" s="164" t="s">
        <v>1536</v>
      </c>
      <c r="J108" s="163"/>
      <c r="K108" s="164" t="s">
        <v>53</v>
      </c>
      <c r="L108" s="164"/>
      <c r="M108" s="164"/>
      <c r="N108" s="164" t="s">
        <v>53</v>
      </c>
      <c r="O108" s="164" t="s">
        <v>62</v>
      </c>
      <c r="P108" s="173">
        <v>44377</v>
      </c>
      <c r="Q108" s="164" t="s">
        <v>1208</v>
      </c>
      <c r="R108" s="164" t="s">
        <v>1521</v>
      </c>
      <c r="S108" s="164" t="s">
        <v>305</v>
      </c>
      <c r="T108" s="171">
        <v>45382</v>
      </c>
      <c r="U108" s="167">
        <v>1</v>
      </c>
      <c r="V108" s="167">
        <v>48.726480000000002</v>
      </c>
      <c r="W108" s="167">
        <v>48.726480000000002</v>
      </c>
      <c r="X108" s="168">
        <v>1.6280648620941999E-4</v>
      </c>
      <c r="Y108" s="168">
        <v>1.522713967E-3</v>
      </c>
      <c r="Z108" s="168">
        <v>3.72921901865239E-5</v>
      </c>
    </row>
    <row r="109" spans="1:26" ht="15.75" thickBot="1">
      <c r="A109" s="159">
        <v>11342</v>
      </c>
      <c r="B109" s="159">
        <v>11345</v>
      </c>
      <c r="C109" s="159"/>
      <c r="D109" s="159"/>
      <c r="E109" s="159"/>
      <c r="F109" s="164" t="s">
        <v>1555</v>
      </c>
      <c r="G109" s="164" t="s">
        <v>1563</v>
      </c>
      <c r="H109" s="164" t="s">
        <v>78</v>
      </c>
      <c r="I109" s="164" t="s">
        <v>1536</v>
      </c>
      <c r="J109" s="163"/>
      <c r="K109" s="164" t="s">
        <v>61</v>
      </c>
      <c r="L109" s="164"/>
      <c r="M109" s="164"/>
      <c r="N109" s="164" t="s">
        <v>314</v>
      </c>
      <c r="O109" s="164" t="s">
        <v>62</v>
      </c>
      <c r="P109" s="173">
        <v>44560</v>
      </c>
      <c r="Q109" s="164" t="s">
        <v>1210</v>
      </c>
      <c r="R109" s="164" t="s">
        <v>1521</v>
      </c>
      <c r="S109" s="164" t="s">
        <v>305</v>
      </c>
      <c r="T109" s="171">
        <v>45382</v>
      </c>
      <c r="U109" s="167">
        <v>3.681</v>
      </c>
      <c r="V109" s="167">
        <v>4.1085031241510004</v>
      </c>
      <c r="W109" s="167">
        <v>15.1234</v>
      </c>
      <c r="X109" s="168">
        <v>1.84608382942721E-4</v>
      </c>
      <c r="Y109" s="168">
        <v>4.7260980899999999E-4</v>
      </c>
      <c r="Z109" s="168">
        <v>1.1574501360797601E-5</v>
      </c>
    </row>
    <row r="110" spans="1:26" ht="15.75" thickBot="1">
      <c r="A110" s="159">
        <v>7891</v>
      </c>
      <c r="B110" s="159">
        <v>7892</v>
      </c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7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</row>
    <row r="111" spans="1:26" ht="15.75" thickBot="1">
      <c r="A111" s="159">
        <v>7891</v>
      </c>
      <c r="B111" s="159">
        <v>7893</v>
      </c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7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</row>
    <row r="112" spans="1:26" ht="15.75" thickBot="1">
      <c r="A112" s="159">
        <v>7891</v>
      </c>
      <c r="B112" s="159">
        <v>7894</v>
      </c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7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</row>
    <row r="113" spans="1:26" ht="15.75" thickBot="1">
      <c r="A113" s="159">
        <v>7891</v>
      </c>
      <c r="B113" s="159">
        <v>7895</v>
      </c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7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</row>
    <row r="114" spans="1:26" ht="15.75" thickBot="1">
      <c r="A114" s="159">
        <v>7891</v>
      </c>
      <c r="B114" s="159">
        <v>7896</v>
      </c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</row>
    <row r="115" spans="1:26" ht="15.75" thickBot="1">
      <c r="A115" s="159">
        <v>7891</v>
      </c>
      <c r="B115" s="159">
        <v>7898</v>
      </c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</row>
    <row r="116" spans="1:26" ht="15.75" thickBot="1">
      <c r="A116" s="159">
        <v>7891</v>
      </c>
      <c r="B116" s="159">
        <v>7899</v>
      </c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 spans="1:26" ht="15.75" thickBot="1">
      <c r="A117" s="159">
        <v>7891</v>
      </c>
      <c r="B117" s="159">
        <v>7901</v>
      </c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 spans="1:26" ht="15.75" thickBot="1">
      <c r="A118" s="159">
        <v>7891</v>
      </c>
      <c r="B118" s="159">
        <v>7902</v>
      </c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 spans="1:26" ht="15.75" thickBot="1">
      <c r="A119" s="159">
        <v>11925</v>
      </c>
      <c r="B119" s="159">
        <v>11927</v>
      </c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</row>
    <row r="120" spans="1:26" ht="15.75" thickBot="1">
      <c r="A120" s="159">
        <v>11925</v>
      </c>
      <c r="B120" s="159">
        <v>11929</v>
      </c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</row>
    <row r="121" spans="1:26" ht="15.75" thickBot="1">
      <c r="A121" s="159">
        <v>11925</v>
      </c>
      <c r="B121" s="159">
        <v>11930</v>
      </c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</row>
    <row r="122" spans="1:26" ht="15.75" thickBot="1">
      <c r="A122" s="159">
        <v>11925</v>
      </c>
      <c r="B122" s="159">
        <v>11931</v>
      </c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</row>
    <row r="123" spans="1:26" ht="15.75" thickBot="1">
      <c r="A123" s="159">
        <v>11925</v>
      </c>
      <c r="B123" s="159">
        <v>11932</v>
      </c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</row>
    <row r="124" spans="1:26" ht="15.75" thickBot="1">
      <c r="A124" s="159">
        <v>11925</v>
      </c>
      <c r="B124" s="159">
        <v>11933</v>
      </c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</row>
    <row r="125" spans="1:26" ht="15.75" thickBot="1">
      <c r="A125" s="159">
        <v>11925</v>
      </c>
      <c r="B125" s="159">
        <v>11934</v>
      </c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</row>
    <row r="126" spans="1:26" ht="15.75" thickBot="1">
      <c r="A126" s="159">
        <v>11925</v>
      </c>
      <c r="B126" s="159">
        <v>11935</v>
      </c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</row>
    <row r="127" spans="1:26" ht="15.75" thickBot="1">
      <c r="A127" s="159">
        <v>11925</v>
      </c>
      <c r="B127" s="159">
        <v>11936</v>
      </c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</row>
    <row r="128" spans="1:26" ht="15.75" thickBot="1">
      <c r="A128" s="159">
        <v>11925</v>
      </c>
      <c r="B128" s="159">
        <v>11937</v>
      </c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 spans="1:26" ht="15.75" thickBot="1">
      <c r="A129" s="159">
        <v>11939</v>
      </c>
      <c r="B129" s="159">
        <v>11944</v>
      </c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</row>
    <row r="130" spans="1:26" ht="15.75" thickBot="1">
      <c r="A130" s="159">
        <v>11939</v>
      </c>
      <c r="B130" s="159">
        <v>11945</v>
      </c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</row>
    <row r="131" spans="1:26" ht="15.75" thickBot="1">
      <c r="A131" s="159">
        <v>11939</v>
      </c>
      <c r="B131" s="159">
        <v>11946</v>
      </c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</row>
    <row r="132" spans="1:26" ht="15.75" thickBot="1">
      <c r="A132" s="159">
        <v>11939</v>
      </c>
      <c r="B132" s="159">
        <v>11947</v>
      </c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</row>
    <row r="133" spans="1:26" ht="15.75" thickBot="1">
      <c r="A133" s="159">
        <v>11939</v>
      </c>
      <c r="B133" s="159">
        <v>11948</v>
      </c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</row>
    <row r="134" spans="1:26" ht="15.75" thickBot="1">
      <c r="A134" s="159">
        <v>11939</v>
      </c>
      <c r="B134" s="159">
        <v>11949</v>
      </c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</row>
    <row r="135" spans="1:26" ht="15.75" thickBot="1">
      <c r="A135" s="159">
        <v>11939</v>
      </c>
      <c r="B135" s="159">
        <v>11950</v>
      </c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</row>
    <row r="136" spans="1:26" ht="15.75" thickBot="1">
      <c r="A136" s="159">
        <v>11939</v>
      </c>
      <c r="B136" s="159">
        <v>11980</v>
      </c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</row>
    <row r="137" spans="1:26" ht="15.75" thickBot="1">
      <c r="A137" s="159">
        <v>11939</v>
      </c>
      <c r="B137" s="159">
        <v>11981</v>
      </c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</row>
    <row r="1048574" spans="12:12">
      <c r="L1048574" s="2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2">
    <dataValidation type="list" allowBlank="1" showInputMessage="1" showErrorMessage="1" sqref="J2:J8 J92 J96:J98 J104:J105 J94 J10:J88">
      <formula1>Fund_Strategy</formula1>
    </dataValidation>
    <dataValidation type="list" allowBlank="1" showInputMessage="1" showErrorMessage="1" sqref="L1048574:L1048576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'Q:\קופות גמל\חשבות\כללי\דוח נכסים רבעוני\רשימת נכסים-חוזר חדש 03.2023\[single_asset_template-סופי.xlsx]אפשרויות בחירה'!#REF!</xm:f>
          </x14:formula1>
          <xm:sqref>I2:I8 I36:I49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9" width="11.5703125" style="2" customWidth="1"/>
    <col min="30" max="16384" width="9" style="2"/>
  </cols>
  <sheetData>
    <row r="1" spans="1:28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620</v>
      </c>
      <c r="J1" s="20" t="s">
        <v>621</v>
      </c>
      <c r="K1" s="20" t="s">
        <v>625</v>
      </c>
      <c r="L1" s="20" t="s">
        <v>754</v>
      </c>
      <c r="M1" s="20" t="s">
        <v>9</v>
      </c>
      <c r="N1" s="20" t="s">
        <v>682</v>
      </c>
      <c r="O1" s="20" t="s">
        <v>622</v>
      </c>
      <c r="P1" s="20" t="s">
        <v>12</v>
      </c>
      <c r="Q1" s="20" t="s">
        <v>396</v>
      </c>
      <c r="R1" s="20" t="s">
        <v>933</v>
      </c>
      <c r="S1" s="20" t="s">
        <v>372</v>
      </c>
      <c r="T1" s="20" t="s">
        <v>16</v>
      </c>
      <c r="U1" s="20" t="s">
        <v>23</v>
      </c>
      <c r="V1" s="20" t="s">
        <v>629</v>
      </c>
      <c r="W1" s="20" t="s">
        <v>789</v>
      </c>
      <c r="X1" s="20" t="s">
        <v>15</v>
      </c>
      <c r="Y1" s="20" t="s">
        <v>11</v>
      </c>
      <c r="Z1" s="20" t="s">
        <v>1171</v>
      </c>
      <c r="AA1" s="20" t="s">
        <v>19</v>
      </c>
      <c r="AB1" s="20" t="s">
        <v>30</v>
      </c>
    </row>
    <row r="2" spans="1:28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21"/>
      <c r="I2" s="19"/>
      <c r="J2" s="19"/>
      <c r="K2" s="21"/>
      <c r="L2" s="22"/>
      <c r="M2" s="21"/>
      <c r="N2" s="21"/>
      <c r="O2" s="21"/>
      <c r="P2" s="21"/>
      <c r="Q2" s="19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21"/>
      <c r="I3" s="19"/>
      <c r="J3" s="19"/>
      <c r="K3" s="21"/>
      <c r="L3" s="21"/>
      <c r="M3" s="21"/>
      <c r="N3" s="21"/>
      <c r="O3" s="21"/>
      <c r="P3" s="21"/>
      <c r="Q3" s="19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21"/>
      <c r="I4" s="19"/>
      <c r="J4" s="19"/>
      <c r="K4" s="21"/>
      <c r="L4" s="21"/>
      <c r="M4" s="21"/>
      <c r="N4" s="21"/>
      <c r="O4" s="21"/>
      <c r="P4" s="21"/>
      <c r="Q4" s="1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21"/>
      <c r="I5" s="19"/>
      <c r="J5" s="19"/>
      <c r="K5" s="21"/>
      <c r="L5" s="21"/>
      <c r="M5" s="21"/>
      <c r="N5" s="21"/>
      <c r="O5" s="21"/>
      <c r="P5" s="21"/>
      <c r="Q5" s="19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21"/>
      <c r="I6" s="19"/>
      <c r="J6" s="19"/>
      <c r="K6" s="21"/>
      <c r="L6" s="21"/>
      <c r="M6" s="21"/>
      <c r="N6" s="21"/>
      <c r="O6" s="21"/>
      <c r="P6" s="21"/>
      <c r="Q6" s="19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21"/>
      <c r="I7" s="19"/>
      <c r="J7" s="19"/>
      <c r="K7" s="21"/>
      <c r="L7" s="21"/>
      <c r="M7" s="21"/>
      <c r="N7" s="21"/>
      <c r="O7" s="21"/>
      <c r="P7" s="21"/>
      <c r="Q7" s="19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21"/>
      <c r="I8" s="19"/>
      <c r="J8" s="19"/>
      <c r="K8" s="21"/>
      <c r="L8" s="21"/>
      <c r="M8" s="21"/>
      <c r="N8" s="21"/>
      <c r="O8" s="21"/>
      <c r="P8" s="21"/>
      <c r="Q8" s="19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21"/>
      <c r="I9" s="19"/>
      <c r="J9" s="19"/>
      <c r="K9" s="21"/>
      <c r="L9" s="21"/>
      <c r="M9" s="21"/>
      <c r="N9" s="21"/>
      <c r="O9" s="21"/>
      <c r="P9" s="21"/>
      <c r="Q9" s="19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21"/>
      <c r="I10" s="19"/>
      <c r="J10" s="19"/>
      <c r="K10" s="21"/>
      <c r="L10" s="21"/>
      <c r="M10" s="21"/>
      <c r="N10" s="21"/>
      <c r="O10" s="21"/>
      <c r="P10" s="21"/>
      <c r="Q10" s="19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21"/>
      <c r="I11" s="19"/>
      <c r="J11" s="19"/>
      <c r="K11" s="21"/>
      <c r="L11" s="21"/>
      <c r="M11" s="21"/>
      <c r="N11" s="21"/>
      <c r="O11" s="21"/>
      <c r="P11" s="21"/>
      <c r="Q11" s="19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21"/>
      <c r="I12" s="19"/>
      <c r="J12" s="19"/>
      <c r="K12" s="21"/>
      <c r="L12" s="21"/>
      <c r="M12" s="21"/>
      <c r="N12" s="21"/>
      <c r="O12" s="21"/>
      <c r="P12" s="21"/>
      <c r="Q12" s="19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21"/>
      <c r="I13" s="19"/>
      <c r="J13" s="19"/>
      <c r="K13" s="21"/>
      <c r="L13" s="21"/>
      <c r="M13" s="21"/>
      <c r="N13" s="21"/>
      <c r="O13" s="21"/>
      <c r="P13" s="21"/>
      <c r="Q13" s="19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21"/>
      <c r="I14" s="19"/>
      <c r="J14" s="19"/>
      <c r="K14" s="21"/>
      <c r="L14" s="21"/>
      <c r="M14" s="21"/>
      <c r="N14" s="21"/>
      <c r="O14" s="21"/>
      <c r="P14" s="21"/>
      <c r="Q14" s="19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21"/>
      <c r="I15" s="19"/>
      <c r="J15" s="19"/>
      <c r="K15" s="21"/>
      <c r="L15" s="21"/>
      <c r="M15" s="21"/>
      <c r="N15" s="21"/>
      <c r="O15" s="21"/>
      <c r="P15" s="21"/>
      <c r="Q15" s="19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21"/>
      <c r="I16" s="19"/>
      <c r="J16" s="19"/>
      <c r="K16" s="21"/>
      <c r="L16" s="21"/>
      <c r="M16" s="21"/>
      <c r="N16" s="21"/>
      <c r="O16" s="21"/>
      <c r="P16" s="21"/>
      <c r="Q16" s="19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21"/>
      <c r="I17" s="19"/>
      <c r="J17" s="19"/>
      <c r="K17" s="21"/>
      <c r="L17" s="21"/>
      <c r="M17" s="21"/>
      <c r="N17" s="21"/>
      <c r="O17" s="21"/>
      <c r="P17" s="21"/>
      <c r="Q17" s="19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21"/>
      <c r="I18" s="19"/>
      <c r="J18" s="19"/>
      <c r="K18" s="21"/>
      <c r="L18" s="21"/>
      <c r="M18" s="21"/>
      <c r="N18" s="21"/>
      <c r="O18" s="21"/>
      <c r="P18" s="21"/>
      <c r="Q18" s="19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21"/>
      <c r="I19" s="19"/>
      <c r="J19" s="19"/>
      <c r="K19" s="21"/>
      <c r="L19" s="21"/>
      <c r="M19" s="21"/>
      <c r="N19" s="21"/>
      <c r="O19" s="21"/>
      <c r="P19" s="21"/>
      <c r="Q19" s="19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5.75" thickBot="1">
      <c r="A20" s="159">
        <v>11925</v>
      </c>
      <c r="B20" s="159">
        <v>11933</v>
      </c>
      <c r="E20" s="19"/>
      <c r="H20" s="21"/>
      <c r="I20" s="19"/>
      <c r="J20" s="19"/>
      <c r="K20" s="21"/>
      <c r="M20" s="21"/>
      <c r="O20" s="21"/>
      <c r="S20" s="21"/>
    </row>
    <row r="21" spans="1:28" ht="15.75" thickBot="1">
      <c r="A21" s="159">
        <v>11925</v>
      </c>
      <c r="B21" s="159">
        <v>11934</v>
      </c>
      <c r="E21"/>
      <c r="H21"/>
      <c r="K21"/>
    </row>
    <row r="22" spans="1:28" ht="15.75" thickBot="1">
      <c r="A22" s="159">
        <v>11925</v>
      </c>
      <c r="B22" s="159">
        <v>11935</v>
      </c>
    </row>
    <row r="23" spans="1:28" ht="15.75" thickBot="1">
      <c r="A23" s="159">
        <v>11925</v>
      </c>
      <c r="B23" s="159">
        <v>11936</v>
      </c>
      <c r="H23" s="43"/>
    </row>
    <row r="24" spans="1:28" ht="15.75" thickBot="1">
      <c r="A24" s="159">
        <v>11925</v>
      </c>
      <c r="B24" s="159">
        <v>11937</v>
      </c>
      <c r="H24" s="43"/>
      <c r="K24" s="2"/>
    </row>
    <row r="25" spans="1:28" ht="15.75" thickBot="1">
      <c r="A25" s="159">
        <v>11939</v>
      </c>
      <c r="B25" s="159">
        <v>11942</v>
      </c>
      <c r="H25" s="43"/>
    </row>
    <row r="26" spans="1:28" ht="15.75" thickBot="1">
      <c r="A26" s="159">
        <v>11939</v>
      </c>
      <c r="B26" s="159">
        <v>11943</v>
      </c>
      <c r="H26" s="43"/>
    </row>
    <row r="27" spans="1:28" ht="15.75" thickBot="1">
      <c r="A27" s="159">
        <v>11939</v>
      </c>
      <c r="B27" s="159">
        <v>11944</v>
      </c>
    </row>
    <row r="28" spans="1:28" ht="15.75" thickBot="1">
      <c r="A28" s="159">
        <v>11939</v>
      </c>
      <c r="B28" s="159">
        <v>11945</v>
      </c>
    </row>
    <row r="29" spans="1:28" ht="15.75" thickBot="1">
      <c r="A29" s="159">
        <v>11939</v>
      </c>
      <c r="B29" s="159">
        <v>11946</v>
      </c>
    </row>
    <row r="30" spans="1:28" ht="15.75" thickBot="1">
      <c r="A30" s="159">
        <v>11939</v>
      </c>
      <c r="B30" s="159">
        <v>11947</v>
      </c>
    </row>
    <row r="31" spans="1:28" ht="15.75" thickBot="1">
      <c r="A31" s="159">
        <v>11939</v>
      </c>
      <c r="B31" s="159">
        <v>11948</v>
      </c>
    </row>
    <row r="32" spans="1:28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29" width="11.5703125" style="2" customWidth="1"/>
    <col min="30" max="16384" width="9" style="2"/>
  </cols>
  <sheetData>
    <row r="1" spans="1:28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9</v>
      </c>
      <c r="M1" s="20" t="s">
        <v>10</v>
      </c>
      <c r="N1" s="20" t="s">
        <v>682</v>
      </c>
      <c r="O1" s="20" t="s">
        <v>622</v>
      </c>
      <c r="P1" s="20" t="s">
        <v>12</v>
      </c>
      <c r="Q1" s="20" t="s">
        <v>396</v>
      </c>
      <c r="R1" s="20" t="s">
        <v>933</v>
      </c>
      <c r="S1" s="20" t="s">
        <v>372</v>
      </c>
      <c r="T1" s="20" t="s">
        <v>16</v>
      </c>
      <c r="U1" s="20" t="s">
        <v>23</v>
      </c>
      <c r="V1" s="20" t="s">
        <v>629</v>
      </c>
      <c r="W1" s="20" t="s">
        <v>789</v>
      </c>
      <c r="X1" s="20" t="s">
        <v>15</v>
      </c>
      <c r="Y1" s="20" t="s">
        <v>11</v>
      </c>
      <c r="Z1" s="20" t="s">
        <v>787</v>
      </c>
      <c r="AA1" s="20" t="s">
        <v>19</v>
      </c>
      <c r="AB1" s="20" t="s">
        <v>30</v>
      </c>
    </row>
    <row r="2" spans="1:28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21"/>
      <c r="I2" s="21"/>
      <c r="J2" s="19"/>
      <c r="K2" s="19"/>
      <c r="L2" s="21"/>
      <c r="M2" s="21"/>
      <c r="N2" s="21"/>
      <c r="O2" s="21"/>
      <c r="P2" s="21"/>
      <c r="Q2" s="19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21"/>
      <c r="I3" s="21"/>
      <c r="J3" s="19"/>
      <c r="K3" s="19"/>
      <c r="L3" s="21"/>
      <c r="M3" s="21"/>
      <c r="N3" s="21"/>
      <c r="O3" s="21"/>
      <c r="P3" s="21"/>
      <c r="Q3" s="19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21"/>
      <c r="I4" s="21"/>
      <c r="J4" s="19"/>
      <c r="K4" s="19"/>
      <c r="L4" s="21"/>
      <c r="M4" s="21"/>
      <c r="N4" s="21"/>
      <c r="O4" s="21"/>
      <c r="P4" s="21"/>
      <c r="Q4" s="1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21"/>
      <c r="I5" s="21"/>
      <c r="J5" s="19"/>
      <c r="K5" s="19"/>
      <c r="L5" s="21"/>
      <c r="M5" s="21"/>
      <c r="N5" s="21"/>
      <c r="O5" s="21"/>
      <c r="P5" s="21"/>
      <c r="Q5" s="19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21"/>
      <c r="I6" s="21"/>
      <c r="J6" s="19"/>
      <c r="K6" s="19"/>
      <c r="L6" s="21"/>
      <c r="M6" s="21"/>
      <c r="N6" s="21"/>
      <c r="O6" s="21"/>
      <c r="P6" s="21"/>
      <c r="Q6" s="19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21"/>
      <c r="I7" s="21"/>
      <c r="J7" s="19"/>
      <c r="K7" s="19"/>
      <c r="L7" s="21"/>
      <c r="M7" s="21"/>
      <c r="N7" s="21"/>
      <c r="O7" s="21"/>
      <c r="P7" s="21"/>
      <c r="Q7" s="19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21"/>
      <c r="I8" s="21"/>
      <c r="J8" s="19"/>
      <c r="K8" s="19"/>
      <c r="L8" s="21"/>
      <c r="M8" s="21"/>
      <c r="N8" s="21"/>
      <c r="O8" s="21"/>
      <c r="P8" s="21"/>
      <c r="Q8" s="19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21"/>
      <c r="I9" s="21"/>
      <c r="J9" s="19"/>
      <c r="K9" s="19"/>
      <c r="L9" s="21"/>
      <c r="M9" s="21"/>
      <c r="N9" s="21"/>
      <c r="O9" s="21"/>
      <c r="P9" s="21"/>
      <c r="Q9" s="19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21"/>
      <c r="I10" s="21"/>
      <c r="J10" s="19"/>
      <c r="K10" s="19"/>
      <c r="L10" s="21"/>
      <c r="M10" s="21"/>
      <c r="N10" s="21"/>
      <c r="O10" s="21"/>
      <c r="P10" s="21"/>
      <c r="Q10" s="19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21"/>
      <c r="I11" s="21"/>
      <c r="J11" s="19"/>
      <c r="K11" s="19"/>
      <c r="L11" s="21"/>
      <c r="M11" s="21"/>
      <c r="N11" s="21"/>
      <c r="O11" s="21"/>
      <c r="P11" s="21"/>
      <c r="Q11" s="19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21"/>
      <c r="I12" s="21"/>
      <c r="J12" s="19"/>
      <c r="K12" s="19"/>
      <c r="L12" s="21"/>
      <c r="M12" s="21"/>
      <c r="N12" s="21"/>
      <c r="O12" s="21"/>
      <c r="P12" s="21"/>
      <c r="Q12" s="19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21"/>
      <c r="I13" s="21"/>
      <c r="J13" s="19"/>
      <c r="K13" s="19"/>
      <c r="L13" s="21"/>
      <c r="M13" s="21"/>
      <c r="N13" s="21"/>
      <c r="O13" s="21"/>
      <c r="P13" s="21"/>
      <c r="Q13" s="19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21"/>
      <c r="I14" s="21"/>
      <c r="J14" s="19"/>
      <c r="K14" s="19"/>
      <c r="L14" s="21"/>
      <c r="M14" s="21"/>
      <c r="N14" s="21"/>
      <c r="O14" s="21"/>
      <c r="P14" s="21"/>
      <c r="Q14" s="19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21"/>
      <c r="I15" s="21"/>
      <c r="J15" s="19"/>
      <c r="K15" s="19"/>
      <c r="L15" s="21"/>
      <c r="M15" s="21"/>
      <c r="N15" s="21"/>
      <c r="O15" s="21"/>
      <c r="P15" s="21"/>
      <c r="Q15" s="19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21"/>
      <c r="I16" s="21"/>
      <c r="J16" s="19"/>
      <c r="K16" s="19"/>
      <c r="L16" s="21"/>
      <c r="M16" s="21"/>
      <c r="N16" s="21"/>
      <c r="O16" s="21"/>
      <c r="P16" s="21"/>
      <c r="Q16" s="19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21"/>
      <c r="I17" s="21"/>
      <c r="J17" s="19"/>
      <c r="K17" s="19"/>
      <c r="L17" s="21"/>
      <c r="M17" s="21"/>
      <c r="N17" s="21"/>
      <c r="O17" s="21"/>
      <c r="P17" s="21"/>
      <c r="Q17" s="19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21"/>
      <c r="I18" s="21"/>
      <c r="J18" s="19"/>
      <c r="K18" s="19"/>
      <c r="L18" s="21"/>
      <c r="M18" s="21"/>
      <c r="N18" s="21"/>
      <c r="O18" s="21"/>
      <c r="P18" s="21"/>
      <c r="Q18" s="19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21"/>
      <c r="I19" s="21"/>
      <c r="J19" s="19"/>
      <c r="K19" s="19"/>
      <c r="L19" s="21"/>
      <c r="M19" s="21"/>
      <c r="N19" s="21"/>
      <c r="O19" s="21"/>
      <c r="P19" s="21"/>
      <c r="Q19" s="19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5.75" thickBot="1">
      <c r="A20" s="159">
        <v>11925</v>
      </c>
      <c r="B20" s="159">
        <v>11933</v>
      </c>
      <c r="E20" s="19"/>
      <c r="H20" s="21"/>
      <c r="I20" s="21"/>
      <c r="J20" s="19"/>
      <c r="K20" s="19"/>
      <c r="L20" s="21"/>
      <c r="M20" s="21"/>
      <c r="O20" s="21"/>
      <c r="R20" s="21"/>
      <c r="S20" s="21"/>
    </row>
    <row r="21" spans="1:28" s="43" customFormat="1" ht="15.75" thickBot="1">
      <c r="A21" s="159">
        <v>11925</v>
      </c>
      <c r="B21" s="159">
        <v>11934</v>
      </c>
      <c r="E21"/>
      <c r="H21" s="42"/>
    </row>
    <row r="22" spans="1:28" ht="15.75" thickBot="1">
      <c r="A22" s="159">
        <v>11925</v>
      </c>
      <c r="B22" s="159">
        <v>11935</v>
      </c>
    </row>
    <row r="23" spans="1:28" ht="15.75" thickBot="1">
      <c r="A23" s="159">
        <v>11925</v>
      </c>
      <c r="B23" s="159">
        <v>11936</v>
      </c>
      <c r="H23" s="43"/>
    </row>
    <row r="24" spans="1:28" ht="15.75" thickBot="1">
      <c r="A24" s="159">
        <v>11925</v>
      </c>
      <c r="B24" s="159">
        <v>11937</v>
      </c>
      <c r="H24" s="43"/>
    </row>
    <row r="25" spans="1:28" ht="15.75" thickBot="1">
      <c r="A25" s="159">
        <v>11939</v>
      </c>
      <c r="B25" s="159">
        <v>11942</v>
      </c>
      <c r="H25" s="43"/>
    </row>
    <row r="26" spans="1:28" ht="15.75" thickBot="1">
      <c r="A26" s="159">
        <v>11939</v>
      </c>
      <c r="B26" s="159">
        <v>11943</v>
      </c>
      <c r="H26" s="43"/>
    </row>
    <row r="27" spans="1:28" ht="15.75" thickBot="1">
      <c r="A27" s="159">
        <v>11939</v>
      </c>
      <c r="B27" s="159">
        <v>11944</v>
      </c>
    </row>
    <row r="28" spans="1:28" ht="15.75" thickBot="1">
      <c r="A28" s="159">
        <v>11939</v>
      </c>
      <c r="B28" s="159">
        <v>11945</v>
      </c>
    </row>
    <row r="29" spans="1:28" ht="15.75" thickBot="1">
      <c r="A29" s="159">
        <v>11939</v>
      </c>
      <c r="B29" s="159">
        <v>11946</v>
      </c>
    </row>
    <row r="30" spans="1:28" ht="15.75" thickBot="1">
      <c r="A30" s="159">
        <v>11939</v>
      </c>
      <c r="B30" s="159">
        <v>11947</v>
      </c>
    </row>
    <row r="31" spans="1:28" ht="15.75" thickBot="1">
      <c r="A31" s="159">
        <v>11939</v>
      </c>
      <c r="B31" s="159">
        <v>11948</v>
      </c>
    </row>
    <row r="32" spans="1:28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76"/>
  <sheetViews>
    <sheetView rightToLeft="1" topLeftCell="U1" workbookViewId="0">
      <selection activeCell="AN2" sqref="AN2:AO10"/>
    </sheetView>
  </sheetViews>
  <sheetFormatPr defaultColWidth="9" defaultRowHeight="15"/>
  <cols>
    <col min="1" max="6" width="11.5703125" style="11" customWidth="1"/>
    <col min="7" max="7" width="14.28515625" style="11" customWidth="1"/>
    <col min="8" max="8" width="12.28515625" style="11" customWidth="1"/>
    <col min="9" max="33" width="11.5703125" style="11" customWidth="1"/>
    <col min="34" max="34" width="11.5703125" customWidth="1"/>
    <col min="35" max="38" width="11.5703125" style="11" customWidth="1"/>
    <col min="39" max="39" width="12.5703125" style="11" customWidth="1"/>
    <col min="40" max="41" width="11.5703125" style="2" customWidth="1"/>
    <col min="42" max="16384" width="9" style="11"/>
  </cols>
  <sheetData>
    <row r="1" spans="1:41" ht="66.75" customHeight="1">
      <c r="A1" s="20" t="s">
        <v>667</v>
      </c>
      <c r="B1" s="20" t="s">
        <v>0</v>
      </c>
      <c r="C1" s="20" t="s">
        <v>1</v>
      </c>
      <c r="D1" s="20" t="s">
        <v>418</v>
      </c>
      <c r="E1" s="20" t="s">
        <v>814</v>
      </c>
      <c r="F1" s="20" t="s">
        <v>11</v>
      </c>
      <c r="G1" s="20" t="s">
        <v>326</v>
      </c>
      <c r="H1" s="20" t="s">
        <v>330</v>
      </c>
      <c r="I1" s="20" t="s">
        <v>328</v>
      </c>
      <c r="J1" s="20" t="s">
        <v>329</v>
      </c>
      <c r="K1" s="20" t="s">
        <v>419</v>
      </c>
      <c r="L1" s="20" t="s">
        <v>815</v>
      </c>
      <c r="M1" s="20" t="s">
        <v>11</v>
      </c>
      <c r="N1" s="20" t="s">
        <v>327</v>
      </c>
      <c r="O1" s="20" t="s">
        <v>331</v>
      </c>
      <c r="P1" s="20" t="s">
        <v>960</v>
      </c>
      <c r="Q1" s="20" t="s">
        <v>348</v>
      </c>
      <c r="R1" s="20" t="s">
        <v>1173</v>
      </c>
      <c r="S1" s="20" t="s">
        <v>620</v>
      </c>
      <c r="T1" s="20" t="s">
        <v>621</v>
      </c>
      <c r="U1" s="20" t="s">
        <v>464</v>
      </c>
      <c r="V1" s="20" t="s">
        <v>343</v>
      </c>
      <c r="W1" s="20" t="s">
        <v>463</v>
      </c>
      <c r="X1" s="20" t="s">
        <v>99</v>
      </c>
      <c r="Y1" s="20" t="s">
        <v>622</v>
      </c>
      <c r="Z1" s="20" t="s">
        <v>365</v>
      </c>
      <c r="AA1" s="20" t="s">
        <v>366</v>
      </c>
      <c r="AB1" s="20" t="s">
        <v>628</v>
      </c>
      <c r="AC1" s="20" t="s">
        <v>308</v>
      </c>
      <c r="AD1" s="20" t="s">
        <v>368</v>
      </c>
      <c r="AE1" s="20" t="s">
        <v>753</v>
      </c>
      <c r="AF1" s="20" t="s">
        <v>309</v>
      </c>
      <c r="AG1" s="20" t="s">
        <v>310</v>
      </c>
      <c r="AH1" s="20" t="s">
        <v>349</v>
      </c>
      <c r="AI1" s="20" t="s">
        <v>367</v>
      </c>
      <c r="AJ1" s="20" t="s">
        <v>633</v>
      </c>
      <c r="AK1" s="20" t="s">
        <v>364</v>
      </c>
      <c r="AL1" s="20" t="s">
        <v>458</v>
      </c>
      <c r="AM1" s="20" t="s">
        <v>436</v>
      </c>
      <c r="AN1" s="20" t="s">
        <v>19</v>
      </c>
      <c r="AO1" s="20" t="s">
        <v>30</v>
      </c>
    </row>
    <row r="2" spans="1:41" ht="15.75" thickBot="1">
      <c r="A2" s="159">
        <v>7891</v>
      </c>
      <c r="B2" s="159">
        <v>7897</v>
      </c>
      <c r="C2" s="164" t="s">
        <v>351</v>
      </c>
      <c r="D2" s="164" t="s">
        <v>1578</v>
      </c>
      <c r="E2" s="164" t="s">
        <v>1211</v>
      </c>
      <c r="F2" s="163">
        <v>3.9790999999999999</v>
      </c>
      <c r="G2" s="167">
        <v>1769302.66</v>
      </c>
      <c r="H2" s="174">
        <v>37.769370000000002</v>
      </c>
      <c r="I2" s="163"/>
      <c r="J2" s="163"/>
      <c r="K2" s="163"/>
      <c r="L2" s="163"/>
      <c r="M2" s="163"/>
      <c r="N2" s="163"/>
      <c r="O2" s="163"/>
      <c r="P2" s="163"/>
      <c r="Q2" s="163"/>
      <c r="R2" s="174">
        <v>37.769370000000002</v>
      </c>
      <c r="S2" s="164" t="s">
        <v>53</v>
      </c>
      <c r="T2" s="164" t="s">
        <v>53</v>
      </c>
      <c r="U2" s="164" t="s">
        <v>1579</v>
      </c>
      <c r="V2" s="164" t="s">
        <v>1580</v>
      </c>
      <c r="W2" s="164" t="s">
        <v>1581</v>
      </c>
      <c r="X2" s="164" t="s">
        <v>1589</v>
      </c>
      <c r="Y2" s="164" t="s">
        <v>62</v>
      </c>
      <c r="Z2" s="163"/>
      <c r="AA2" s="175">
        <v>45397</v>
      </c>
      <c r="AB2" s="164" t="s">
        <v>1582</v>
      </c>
      <c r="AC2" s="164" t="s">
        <v>1583</v>
      </c>
      <c r="AD2" s="164" t="s">
        <v>1584</v>
      </c>
      <c r="AE2" s="164" t="s">
        <v>1585</v>
      </c>
      <c r="AF2" s="164" t="s">
        <v>362</v>
      </c>
      <c r="AG2" s="164" t="s">
        <v>1582</v>
      </c>
      <c r="AH2" s="176"/>
      <c r="AI2" s="163"/>
      <c r="AJ2" s="163"/>
      <c r="AK2" s="164"/>
      <c r="AL2" s="177"/>
      <c r="AM2" s="164" t="s">
        <v>1586</v>
      </c>
      <c r="AN2" s="180">
        <v>-0.67465904767348617</v>
      </c>
      <c r="AO2" s="180">
        <v>3.9723178925627259E-4</v>
      </c>
    </row>
    <row r="3" spans="1:41" ht="15.75" thickBot="1">
      <c r="A3" s="159">
        <v>7891</v>
      </c>
      <c r="B3" s="159">
        <v>7897</v>
      </c>
      <c r="C3" s="164" t="s">
        <v>351</v>
      </c>
      <c r="D3" s="164" t="s">
        <v>1587</v>
      </c>
      <c r="E3" s="164" t="s">
        <v>1210</v>
      </c>
      <c r="F3" s="163">
        <v>3.681</v>
      </c>
      <c r="G3" s="167">
        <v>3679520.96</v>
      </c>
      <c r="H3" s="174">
        <v>-86.303979999999996</v>
      </c>
      <c r="I3" s="163"/>
      <c r="J3" s="163"/>
      <c r="K3" s="163"/>
      <c r="L3" s="163"/>
      <c r="M3" s="163"/>
      <c r="N3" s="163"/>
      <c r="O3" s="163"/>
      <c r="P3" s="163"/>
      <c r="Q3" s="163"/>
      <c r="R3" s="174">
        <v>-86.303979999999996</v>
      </c>
      <c r="S3" s="164" t="s">
        <v>53</v>
      </c>
      <c r="T3" s="164" t="s">
        <v>53</v>
      </c>
      <c r="U3" s="164" t="s">
        <v>1579</v>
      </c>
      <c r="V3" s="164" t="s">
        <v>1580</v>
      </c>
      <c r="W3" s="164" t="s">
        <v>1581</v>
      </c>
      <c r="X3" s="164" t="s">
        <v>1590</v>
      </c>
      <c r="Y3" s="164" t="s">
        <v>62</v>
      </c>
      <c r="Z3" s="163"/>
      <c r="AA3" s="175">
        <v>45397</v>
      </c>
      <c r="AB3" s="164" t="s">
        <v>1582</v>
      </c>
      <c r="AC3" s="164" t="s">
        <v>1583</v>
      </c>
      <c r="AD3" s="164" t="s">
        <v>1584</v>
      </c>
      <c r="AE3" s="164" t="s">
        <v>1585</v>
      </c>
      <c r="AF3" s="164" t="s">
        <v>362</v>
      </c>
      <c r="AG3" s="164" t="s">
        <v>1582</v>
      </c>
      <c r="AH3" s="176"/>
      <c r="AI3" s="163"/>
      <c r="AJ3" s="163"/>
      <c r="AK3" s="164"/>
      <c r="AL3" s="177"/>
      <c r="AM3" s="164" t="s">
        <v>1586</v>
      </c>
      <c r="AN3" s="180">
        <v>1.5416132426151559</v>
      </c>
      <c r="AO3" s="180">
        <v>-9.0768483549864766E-4</v>
      </c>
    </row>
    <row r="4" spans="1:41" ht="15.75" thickBot="1">
      <c r="A4" s="159">
        <v>7891</v>
      </c>
      <c r="B4" s="159">
        <v>7897</v>
      </c>
      <c r="C4" s="164" t="s">
        <v>351</v>
      </c>
      <c r="D4" s="164" t="s">
        <v>1588</v>
      </c>
      <c r="E4" s="164" t="s">
        <v>1210</v>
      </c>
      <c r="F4" s="163">
        <v>3.681</v>
      </c>
      <c r="G4" s="167">
        <v>2458227.5</v>
      </c>
      <c r="H4" s="174">
        <v>-7.4482900000000001</v>
      </c>
      <c r="I4" s="163"/>
      <c r="J4" s="163"/>
      <c r="K4" s="163"/>
      <c r="L4" s="163"/>
      <c r="M4" s="163"/>
      <c r="N4" s="163"/>
      <c r="O4" s="163"/>
      <c r="P4" s="163"/>
      <c r="Q4" s="163"/>
      <c r="R4" s="174">
        <v>-7.4482900000000001</v>
      </c>
      <c r="S4" s="164" t="s">
        <v>53</v>
      </c>
      <c r="T4" s="164" t="s">
        <v>53</v>
      </c>
      <c r="U4" s="164" t="s">
        <v>1579</v>
      </c>
      <c r="V4" s="164" t="s">
        <v>1580</v>
      </c>
      <c r="W4" s="164" t="s">
        <v>1581</v>
      </c>
      <c r="X4" s="164" t="s">
        <v>1590</v>
      </c>
      <c r="Y4" s="164" t="s">
        <v>62</v>
      </c>
      <c r="Z4" s="163"/>
      <c r="AA4" s="175">
        <v>45397</v>
      </c>
      <c r="AB4" s="164" t="s">
        <v>1582</v>
      </c>
      <c r="AC4" s="164" t="s">
        <v>1583</v>
      </c>
      <c r="AD4" s="164" t="s">
        <v>1584</v>
      </c>
      <c r="AE4" s="164" t="s">
        <v>1585</v>
      </c>
      <c r="AF4" s="164" t="s">
        <v>362</v>
      </c>
      <c r="AG4" s="164" t="s">
        <v>1582</v>
      </c>
      <c r="AH4" s="176"/>
      <c r="AI4" s="163"/>
      <c r="AJ4" s="163"/>
      <c r="AK4" s="164"/>
      <c r="AL4" s="177"/>
      <c r="AM4" s="164" t="s">
        <v>1586</v>
      </c>
      <c r="AN4" s="180">
        <v>0.13304580505833033</v>
      </c>
      <c r="AO4" s="180">
        <v>-7.8335899264393407E-5</v>
      </c>
    </row>
    <row r="5" spans="1:41" ht="15.75" thickBot="1">
      <c r="A5" s="159">
        <v>11925</v>
      </c>
      <c r="B5" s="159">
        <v>11928</v>
      </c>
      <c r="C5" s="164" t="s">
        <v>351</v>
      </c>
      <c r="D5" s="164" t="s">
        <v>1578</v>
      </c>
      <c r="E5" s="164" t="s">
        <v>1211</v>
      </c>
      <c r="F5" s="163">
        <v>3.9790999999999999</v>
      </c>
      <c r="G5" s="167">
        <v>2667614.79</v>
      </c>
      <c r="H5" s="174">
        <v>56.94567</v>
      </c>
      <c r="I5" s="163"/>
      <c r="J5" s="163"/>
      <c r="K5" s="163"/>
      <c r="L5" s="163"/>
      <c r="M5" s="163"/>
      <c r="N5" s="163"/>
      <c r="O5" s="163"/>
      <c r="P5" s="163"/>
      <c r="Q5" s="163"/>
      <c r="R5" s="174">
        <v>56.94567</v>
      </c>
      <c r="S5" s="164" t="s">
        <v>53</v>
      </c>
      <c r="T5" s="164" t="s">
        <v>53</v>
      </c>
      <c r="U5" s="164" t="s">
        <v>1579</v>
      </c>
      <c r="V5" s="164" t="s">
        <v>1580</v>
      </c>
      <c r="W5" s="164" t="s">
        <v>1581</v>
      </c>
      <c r="X5" s="164" t="s">
        <v>1589</v>
      </c>
      <c r="Y5" s="164" t="s">
        <v>62</v>
      </c>
      <c r="Z5" s="163"/>
      <c r="AA5" s="175">
        <v>45397</v>
      </c>
      <c r="AB5" s="164" t="s">
        <v>1582</v>
      </c>
      <c r="AC5" s="164" t="s">
        <v>1583</v>
      </c>
      <c r="AD5" s="164" t="s">
        <v>1584</v>
      </c>
      <c r="AE5" s="164" t="s">
        <v>1585</v>
      </c>
      <c r="AF5" s="164" t="s">
        <v>362</v>
      </c>
      <c r="AG5" s="164" t="s">
        <v>1582</v>
      </c>
      <c r="AH5" s="176"/>
      <c r="AI5" s="163"/>
      <c r="AJ5" s="163"/>
      <c r="AK5" s="164"/>
      <c r="AL5" s="177"/>
      <c r="AM5" s="164" t="s">
        <v>1586</v>
      </c>
      <c r="AN5" s="180">
        <v>-0.67465793308187616</v>
      </c>
      <c r="AO5" s="180">
        <v>4.2237488970209497E-4</v>
      </c>
    </row>
    <row r="6" spans="1:41" ht="15.75" thickBot="1">
      <c r="A6" s="159">
        <v>11925</v>
      </c>
      <c r="B6" s="159">
        <v>11928</v>
      </c>
      <c r="C6" s="164" t="s">
        <v>351</v>
      </c>
      <c r="D6" s="164" t="s">
        <v>1587</v>
      </c>
      <c r="E6" s="164" t="s">
        <v>1210</v>
      </c>
      <c r="F6" s="163">
        <v>3.681</v>
      </c>
      <c r="G6" s="167">
        <v>5547696.0899999999</v>
      </c>
      <c r="H6" s="174">
        <v>-130.12244000000001</v>
      </c>
      <c r="I6" s="163"/>
      <c r="J6" s="163"/>
      <c r="K6" s="163"/>
      <c r="L6" s="163"/>
      <c r="M6" s="163"/>
      <c r="N6" s="163"/>
      <c r="O6" s="163"/>
      <c r="P6" s="163"/>
      <c r="Q6" s="163"/>
      <c r="R6" s="174">
        <v>-130.12244000000001</v>
      </c>
      <c r="S6" s="164" t="s">
        <v>53</v>
      </c>
      <c r="T6" s="164" t="s">
        <v>53</v>
      </c>
      <c r="U6" s="164" t="s">
        <v>1579</v>
      </c>
      <c r="V6" s="164" t="s">
        <v>1580</v>
      </c>
      <c r="W6" s="164" t="s">
        <v>1581</v>
      </c>
      <c r="X6" s="164" t="s">
        <v>1590</v>
      </c>
      <c r="Y6" s="164" t="s">
        <v>62</v>
      </c>
      <c r="Z6" s="163"/>
      <c r="AA6" s="175">
        <v>45397</v>
      </c>
      <c r="AB6" s="164" t="s">
        <v>1582</v>
      </c>
      <c r="AC6" s="164" t="s">
        <v>1583</v>
      </c>
      <c r="AD6" s="164" t="s">
        <v>1584</v>
      </c>
      <c r="AE6" s="164" t="s">
        <v>1585</v>
      </c>
      <c r="AF6" s="164" t="s">
        <v>362</v>
      </c>
      <c r="AG6" s="164" t="s">
        <v>1582</v>
      </c>
      <c r="AH6" s="176"/>
      <c r="AI6" s="163"/>
      <c r="AJ6" s="163"/>
      <c r="AK6" s="164"/>
      <c r="AL6" s="177"/>
      <c r="AM6" s="164" t="s">
        <v>1586</v>
      </c>
      <c r="AN6" s="180">
        <v>1.5416121439605586</v>
      </c>
      <c r="AO6" s="180">
        <v>-9.6513837211446418E-4</v>
      </c>
    </row>
    <row r="7" spans="1:41" ht="15.75" thickBot="1">
      <c r="A7" s="159">
        <v>11925</v>
      </c>
      <c r="B7" s="159">
        <v>11928</v>
      </c>
      <c r="C7" s="164" t="s">
        <v>351</v>
      </c>
      <c r="D7" s="164" t="s">
        <v>1588</v>
      </c>
      <c r="E7" s="164" t="s">
        <v>1210</v>
      </c>
      <c r="F7" s="163">
        <v>3.681</v>
      </c>
      <c r="G7" s="167">
        <v>3706330.4</v>
      </c>
      <c r="H7" s="174">
        <v>-11.22996</v>
      </c>
      <c r="I7" s="163"/>
      <c r="J7" s="163"/>
      <c r="K7" s="163"/>
      <c r="L7" s="163"/>
      <c r="M7" s="163"/>
      <c r="N7" s="163"/>
      <c r="O7" s="163"/>
      <c r="P7" s="163"/>
      <c r="Q7" s="163"/>
      <c r="R7" s="174">
        <v>-11.22996</v>
      </c>
      <c r="S7" s="164" t="s">
        <v>53</v>
      </c>
      <c r="T7" s="164" t="s">
        <v>53</v>
      </c>
      <c r="U7" s="164" t="s">
        <v>1579</v>
      </c>
      <c r="V7" s="164" t="s">
        <v>1580</v>
      </c>
      <c r="W7" s="164" t="s">
        <v>1581</v>
      </c>
      <c r="X7" s="164" t="s">
        <v>1590</v>
      </c>
      <c r="Y7" s="164" t="s">
        <v>62</v>
      </c>
      <c r="Z7" s="163"/>
      <c r="AA7" s="175">
        <v>45397</v>
      </c>
      <c r="AB7" s="164" t="s">
        <v>1582</v>
      </c>
      <c r="AC7" s="164" t="s">
        <v>1583</v>
      </c>
      <c r="AD7" s="164" t="s">
        <v>1584</v>
      </c>
      <c r="AE7" s="164" t="s">
        <v>1585</v>
      </c>
      <c r="AF7" s="164" t="s">
        <v>362</v>
      </c>
      <c r="AG7" s="164" t="s">
        <v>1582</v>
      </c>
      <c r="AH7" s="176"/>
      <c r="AI7" s="163"/>
      <c r="AJ7" s="163"/>
      <c r="AK7" s="164"/>
      <c r="AL7" s="177"/>
      <c r="AM7" s="164" t="s">
        <v>1586</v>
      </c>
      <c r="AN7" s="180">
        <v>0.13304578912131768</v>
      </c>
      <c r="AO7" s="180">
        <v>-8.3294359630134096E-5</v>
      </c>
    </row>
    <row r="8" spans="1:41" ht="15.75" thickBot="1">
      <c r="A8" s="159">
        <v>11939</v>
      </c>
      <c r="B8" s="159">
        <v>11942</v>
      </c>
      <c r="C8" s="164" t="s">
        <v>351</v>
      </c>
      <c r="D8" s="164" t="s">
        <v>1578</v>
      </c>
      <c r="E8" s="164" t="s">
        <v>1211</v>
      </c>
      <c r="F8" s="163">
        <v>3.9790999999999999</v>
      </c>
      <c r="G8" s="167">
        <v>6863082.5499999998</v>
      </c>
      <c r="H8" s="174">
        <v>146.50647000000001</v>
      </c>
      <c r="I8" s="163"/>
      <c r="J8" s="163"/>
      <c r="K8" s="163"/>
      <c r="L8" s="163"/>
      <c r="M8" s="163"/>
      <c r="N8" s="163"/>
      <c r="O8" s="163"/>
      <c r="P8" s="163"/>
      <c r="Q8" s="163"/>
      <c r="R8" s="174">
        <v>146.50647000000001</v>
      </c>
      <c r="S8" s="164" t="s">
        <v>53</v>
      </c>
      <c r="T8" s="164" t="s">
        <v>53</v>
      </c>
      <c r="U8" s="164" t="s">
        <v>1579</v>
      </c>
      <c r="V8" s="164" t="s">
        <v>1580</v>
      </c>
      <c r="W8" s="164" t="s">
        <v>1581</v>
      </c>
      <c r="X8" s="164" t="s">
        <v>1589</v>
      </c>
      <c r="Y8" s="164" t="s">
        <v>62</v>
      </c>
      <c r="Z8" s="163"/>
      <c r="AA8" s="175">
        <v>45397</v>
      </c>
      <c r="AB8" s="164" t="s">
        <v>1582</v>
      </c>
      <c r="AC8" s="164" t="s">
        <v>1583</v>
      </c>
      <c r="AD8" s="164" t="s">
        <v>1584</v>
      </c>
      <c r="AE8" s="164" t="s">
        <v>1585</v>
      </c>
      <c r="AF8" s="164" t="s">
        <v>362</v>
      </c>
      <c r="AG8" s="164" t="s">
        <v>1582</v>
      </c>
      <c r="AH8" s="176"/>
      <c r="AI8" s="163"/>
      <c r="AJ8" s="163"/>
      <c r="AK8" s="164"/>
      <c r="AL8" s="177"/>
      <c r="AM8" s="164" t="s">
        <v>1586</v>
      </c>
      <c r="AN8" s="180">
        <v>-0.67465799458593601</v>
      </c>
      <c r="AO8" s="180">
        <v>4.3258733405509067E-4</v>
      </c>
    </row>
    <row r="9" spans="1:41" ht="15.75" thickBot="1">
      <c r="A9" s="159">
        <v>11939</v>
      </c>
      <c r="B9" s="159">
        <v>11942</v>
      </c>
      <c r="C9" s="164" t="s">
        <v>351</v>
      </c>
      <c r="D9" s="164" t="s">
        <v>1587</v>
      </c>
      <c r="E9" s="164" t="s">
        <v>1210</v>
      </c>
      <c r="F9" s="163">
        <v>3.681</v>
      </c>
      <c r="G9" s="167">
        <v>14272782.949999999</v>
      </c>
      <c r="H9" s="174">
        <v>-334.77129000000002</v>
      </c>
      <c r="I9" s="163"/>
      <c r="J9" s="163"/>
      <c r="K9" s="163"/>
      <c r="L9" s="163"/>
      <c r="M9" s="163"/>
      <c r="N9" s="163"/>
      <c r="O9" s="163"/>
      <c r="P9" s="163"/>
      <c r="Q9" s="163"/>
      <c r="R9" s="174">
        <v>-334.77129000000002</v>
      </c>
      <c r="S9" s="164" t="s">
        <v>53</v>
      </c>
      <c r="T9" s="164" t="s">
        <v>53</v>
      </c>
      <c r="U9" s="164" t="s">
        <v>1579</v>
      </c>
      <c r="V9" s="164" t="s">
        <v>1580</v>
      </c>
      <c r="W9" s="164" t="s">
        <v>1581</v>
      </c>
      <c r="X9" s="164" t="s">
        <v>1590</v>
      </c>
      <c r="Y9" s="164" t="s">
        <v>62</v>
      </c>
      <c r="Z9" s="163"/>
      <c r="AA9" s="175">
        <v>45397</v>
      </c>
      <c r="AB9" s="164" t="s">
        <v>1582</v>
      </c>
      <c r="AC9" s="164" t="s">
        <v>1583</v>
      </c>
      <c r="AD9" s="164" t="s">
        <v>1584</v>
      </c>
      <c r="AE9" s="164" t="s">
        <v>1585</v>
      </c>
      <c r="AF9" s="164" t="s">
        <v>362</v>
      </c>
      <c r="AG9" s="164" t="s">
        <v>1582</v>
      </c>
      <c r="AH9" s="176"/>
      <c r="AI9" s="163"/>
      <c r="AJ9" s="163"/>
      <c r="AK9" s="164"/>
      <c r="AL9" s="177"/>
      <c r="AM9" s="164" t="s">
        <v>1586</v>
      </c>
      <c r="AN9" s="180">
        <v>1.5416119653715417</v>
      </c>
      <c r="AO9" s="180">
        <v>-9.8847388691628187E-4</v>
      </c>
    </row>
    <row r="10" spans="1:41" ht="15.75" thickBot="1">
      <c r="A10" s="159">
        <v>11939</v>
      </c>
      <c r="B10" s="159">
        <v>11942</v>
      </c>
      <c r="C10" s="164" t="s">
        <v>351</v>
      </c>
      <c r="D10" s="164" t="s">
        <v>1588</v>
      </c>
      <c r="E10" s="164" t="s">
        <v>1210</v>
      </c>
      <c r="F10" s="163">
        <v>3.681</v>
      </c>
      <c r="G10" s="167">
        <v>9535442.0999999996</v>
      </c>
      <c r="H10" s="174">
        <v>-28.891829999999999</v>
      </c>
      <c r="I10" s="163"/>
      <c r="J10" s="163"/>
      <c r="K10" s="163"/>
      <c r="L10" s="163"/>
      <c r="M10" s="163"/>
      <c r="N10" s="163"/>
      <c r="O10" s="163"/>
      <c r="P10" s="163"/>
      <c r="Q10" s="163"/>
      <c r="R10" s="174">
        <v>-28.891829999999999</v>
      </c>
      <c r="S10" s="164" t="s">
        <v>53</v>
      </c>
      <c r="T10" s="164" t="s">
        <v>53</v>
      </c>
      <c r="U10" s="164" t="s">
        <v>1579</v>
      </c>
      <c r="V10" s="164" t="s">
        <v>1580</v>
      </c>
      <c r="W10" s="164" t="s">
        <v>1581</v>
      </c>
      <c r="X10" s="164" t="s">
        <v>1590</v>
      </c>
      <c r="Y10" s="164" t="s">
        <v>62</v>
      </c>
      <c r="Z10" s="163"/>
      <c r="AA10" s="175">
        <v>45397</v>
      </c>
      <c r="AB10" s="164" t="s">
        <v>1582</v>
      </c>
      <c r="AC10" s="164" t="s">
        <v>1583</v>
      </c>
      <c r="AD10" s="164" t="s">
        <v>1584</v>
      </c>
      <c r="AE10" s="164" t="s">
        <v>1585</v>
      </c>
      <c r="AF10" s="164" t="s">
        <v>362</v>
      </c>
      <c r="AG10" s="164" t="s">
        <v>1582</v>
      </c>
      <c r="AH10" s="176"/>
      <c r="AI10" s="163"/>
      <c r="AJ10" s="163"/>
      <c r="AK10" s="164"/>
      <c r="AL10" s="177"/>
      <c r="AM10" s="164" t="s">
        <v>1586</v>
      </c>
      <c r="AN10" s="180">
        <v>0.13304602921439429</v>
      </c>
      <c r="AO10" s="180">
        <v>-8.5308448942035732E-5</v>
      </c>
    </row>
    <row r="11" spans="1:41" ht="15.75" thickBot="1">
      <c r="A11" s="159">
        <v>7891</v>
      </c>
      <c r="B11" s="159">
        <v>7892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</row>
    <row r="12" spans="1:41" ht="15.75" thickBot="1">
      <c r="A12" s="159">
        <v>7891</v>
      </c>
      <c r="B12" s="159">
        <v>7893</v>
      </c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</row>
    <row r="13" spans="1:41" ht="15.75" thickBot="1">
      <c r="A13" s="159">
        <v>7891</v>
      </c>
      <c r="B13" s="159">
        <v>7894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</row>
    <row r="14" spans="1:41" ht="15.75" thickBot="1">
      <c r="A14" s="159">
        <v>7891</v>
      </c>
      <c r="B14" s="159">
        <v>7895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</row>
    <row r="15" spans="1:41" ht="15.75" thickBot="1">
      <c r="A15" s="159">
        <v>7891</v>
      </c>
      <c r="B15" s="159">
        <v>7896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</row>
    <row r="16" spans="1:41" ht="15.75" thickBot="1">
      <c r="A16" s="159">
        <v>7891</v>
      </c>
      <c r="B16" s="159">
        <v>7898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</row>
    <row r="17" spans="1:41" ht="15.75" thickBot="1">
      <c r="A17" s="159">
        <v>7891</v>
      </c>
      <c r="B17" s="159">
        <v>7899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</row>
    <row r="18" spans="1:41" ht="15.75" thickBot="1">
      <c r="A18" s="159">
        <v>7891</v>
      </c>
      <c r="B18" s="159">
        <v>7900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</row>
    <row r="19" spans="1:41" ht="15.75" thickBot="1">
      <c r="A19" s="159">
        <v>7891</v>
      </c>
      <c r="B19" s="159">
        <v>7901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</row>
    <row r="20" spans="1:41" ht="15.75" thickBot="1">
      <c r="A20" s="159">
        <v>7891</v>
      </c>
      <c r="B20" s="159">
        <v>7902</v>
      </c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</row>
    <row r="21" spans="1:41" customFormat="1" ht="15.75" thickBot="1">
      <c r="A21" s="159">
        <v>11925</v>
      </c>
      <c r="B21" s="159">
        <v>11926</v>
      </c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</row>
    <row r="22" spans="1:41" ht="15.75" thickBot="1">
      <c r="A22" s="159">
        <v>11925</v>
      </c>
      <c r="B22" s="159">
        <v>11927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</row>
    <row r="23" spans="1:41" ht="15.75" thickBot="1">
      <c r="A23" s="159">
        <v>11925</v>
      </c>
      <c r="B23" s="159">
        <v>11929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</row>
    <row r="24" spans="1:41" ht="15.75" thickBot="1">
      <c r="A24" s="159">
        <v>11925</v>
      </c>
      <c r="B24" s="159">
        <v>11930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</row>
    <row r="25" spans="1:41" ht="15.75" thickBot="1">
      <c r="A25" s="159">
        <v>11925</v>
      </c>
      <c r="B25" s="159">
        <v>11931</v>
      </c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</row>
    <row r="26" spans="1:41" ht="15.75" thickBot="1">
      <c r="A26" s="159">
        <v>11925</v>
      </c>
      <c r="B26" s="159">
        <v>11932</v>
      </c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</row>
    <row r="27" spans="1:41" ht="15.75" thickBot="1">
      <c r="A27" s="159">
        <v>11925</v>
      </c>
      <c r="B27" s="159">
        <v>11933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</row>
    <row r="28" spans="1:41" ht="15.75" thickBot="1">
      <c r="A28" s="159">
        <v>11925</v>
      </c>
      <c r="B28" s="159">
        <v>11934</v>
      </c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</row>
    <row r="29" spans="1:41" ht="15.75" thickBot="1">
      <c r="A29" s="159">
        <v>11925</v>
      </c>
      <c r="B29" s="159">
        <v>11935</v>
      </c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</row>
    <row r="30" spans="1:41" ht="15.75" thickBot="1">
      <c r="A30" s="159">
        <v>11925</v>
      </c>
      <c r="B30" s="159">
        <v>11936</v>
      </c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</row>
    <row r="31" spans="1:41" ht="15.75" thickBot="1">
      <c r="A31" s="159">
        <v>11925</v>
      </c>
      <c r="B31" s="159">
        <v>11937</v>
      </c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</row>
    <row r="32" spans="1:41" ht="15.75" thickBot="1">
      <c r="A32" s="159">
        <v>11939</v>
      </c>
      <c r="B32" s="159">
        <v>11943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</row>
    <row r="33" spans="1:41" ht="15.75" thickBot="1">
      <c r="A33" s="159">
        <v>11939</v>
      </c>
      <c r="B33" s="159">
        <v>11944</v>
      </c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</row>
    <row r="34" spans="1:41" ht="15.75" thickBot="1">
      <c r="A34" s="159">
        <v>11939</v>
      </c>
      <c r="B34" s="159">
        <v>11945</v>
      </c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</row>
    <row r="35" spans="1:41" ht="15.75" thickBot="1">
      <c r="A35" s="159">
        <v>11939</v>
      </c>
      <c r="B35" s="159">
        <v>11946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</row>
    <row r="36" spans="1:41" ht="15.75" thickBot="1">
      <c r="A36" s="159">
        <v>11939</v>
      </c>
      <c r="B36" s="159">
        <v>11947</v>
      </c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</row>
    <row r="37" spans="1:41" ht="15.75" thickBot="1">
      <c r="A37" s="159">
        <v>11939</v>
      </c>
      <c r="B37" s="159">
        <v>11948</v>
      </c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</row>
    <row r="38" spans="1:41" ht="15.75" thickBot="1">
      <c r="A38" s="159">
        <v>11939</v>
      </c>
      <c r="B38" s="159">
        <v>11949</v>
      </c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</row>
    <row r="39" spans="1:41" ht="15.75" thickBot="1">
      <c r="A39" s="159">
        <v>11939</v>
      </c>
      <c r="B39" s="159">
        <v>11950</v>
      </c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</row>
    <row r="40" spans="1:41" ht="15.75" thickBot="1">
      <c r="A40" s="159">
        <v>11939</v>
      </c>
      <c r="B40" s="159">
        <v>11979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</row>
    <row r="41" spans="1:41" ht="15.75" thickBot="1">
      <c r="A41" s="159">
        <v>11939</v>
      </c>
      <c r="B41" s="159">
        <v>11980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</row>
    <row r="42" spans="1:41" ht="15.75" thickBot="1">
      <c r="A42" s="159">
        <v>11939</v>
      </c>
      <c r="B42" s="159">
        <v>11981</v>
      </c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</row>
    <row r="43" spans="1:41" ht="15.75" thickBot="1">
      <c r="A43" s="159">
        <v>11342</v>
      </c>
      <c r="B43" s="159">
        <v>11343</v>
      </c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</row>
    <row r="44" spans="1:41" ht="15.75" thickBot="1">
      <c r="A44" s="159">
        <v>11342</v>
      </c>
      <c r="B44" s="159">
        <v>11344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</row>
    <row r="45" spans="1:41" ht="15.75" thickBot="1">
      <c r="A45" s="159">
        <v>11342</v>
      </c>
      <c r="B45" s="159">
        <v>11345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</row>
    <row r="46" spans="1:41">
      <c r="C46" s="12"/>
    </row>
    <row r="47" spans="1:41">
      <c r="C47" s="12"/>
    </row>
    <row r="48" spans="1:41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2:S25 S2:S20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57"/>
  <sheetViews>
    <sheetView rightToLeft="1" workbookViewId="0">
      <selection activeCell="U2" sqref="U2:U22"/>
    </sheetView>
  </sheetViews>
  <sheetFormatPr defaultColWidth="9" defaultRowHeight="15"/>
  <cols>
    <col min="1" max="4" width="11.5703125" style="2" customWidth="1"/>
    <col min="5" max="5" width="21" style="2" bestFit="1" customWidth="1"/>
    <col min="6" max="10" width="11.5703125" style="2" customWidth="1"/>
    <col min="11" max="11" width="13.42578125" style="2" bestFit="1" customWidth="1"/>
    <col min="12" max="17" width="11.5703125" style="2" customWidth="1"/>
    <col min="18" max="18" width="13.5703125" style="2" customWidth="1"/>
    <col min="19" max="27" width="11.5703125" style="2" customWidth="1"/>
    <col min="28" max="28" width="11.5703125" style="4"/>
    <col min="29" max="42" width="11.5703125" style="2" customWidth="1"/>
    <col min="43" max="43" width="12.140625" style="2" bestFit="1" customWidth="1"/>
    <col min="44" max="49" width="11.5703125" style="2" customWidth="1"/>
    <col min="50" max="50" width="11.5703125" style="4" customWidth="1"/>
    <col min="51" max="53" width="11.5703125" style="2" customWidth="1"/>
    <col min="54" max="16384" width="9" style="2"/>
  </cols>
  <sheetData>
    <row r="1" spans="1:53" ht="66.75" customHeight="1">
      <c r="A1" s="20" t="s">
        <v>667</v>
      </c>
      <c r="B1" s="20" t="s">
        <v>0</v>
      </c>
      <c r="C1" s="20" t="s">
        <v>741</v>
      </c>
      <c r="D1" s="20" t="s">
        <v>742</v>
      </c>
      <c r="E1" s="20" t="s">
        <v>743</v>
      </c>
      <c r="F1" s="20" t="s">
        <v>744</v>
      </c>
      <c r="G1" s="20" t="s">
        <v>1</v>
      </c>
      <c r="H1" s="20" t="s">
        <v>932</v>
      </c>
      <c r="I1" s="20" t="s">
        <v>620</v>
      </c>
      <c r="J1" s="20" t="s">
        <v>621</v>
      </c>
      <c r="K1" s="20" t="s">
        <v>9</v>
      </c>
      <c r="L1" s="20" t="s">
        <v>622</v>
      </c>
      <c r="M1" s="20" t="s">
        <v>297</v>
      </c>
      <c r="N1" s="20" t="s">
        <v>608</v>
      </c>
      <c r="O1" s="20" t="s">
        <v>748</v>
      </c>
      <c r="P1" s="20" t="s">
        <v>6</v>
      </c>
      <c r="Q1" s="20" t="s">
        <v>8</v>
      </c>
      <c r="R1" s="20" t="s">
        <v>1166</v>
      </c>
      <c r="S1" s="20" t="s">
        <v>396</v>
      </c>
      <c r="T1" s="20" t="s">
        <v>13</v>
      </c>
      <c r="U1" s="20" t="s">
        <v>440</v>
      </c>
      <c r="V1" s="20" t="s">
        <v>14</v>
      </c>
      <c r="W1" s="20" t="s">
        <v>282</v>
      </c>
      <c r="X1" s="20" t="s">
        <v>309</v>
      </c>
      <c r="Y1" s="20" t="s">
        <v>689</v>
      </c>
      <c r="Z1" s="20" t="s">
        <v>637</v>
      </c>
      <c r="AA1" s="20" t="s">
        <v>421</v>
      </c>
      <c r="AB1" s="20" t="s">
        <v>942</v>
      </c>
      <c r="AC1" s="20" t="s">
        <v>20</v>
      </c>
      <c r="AD1" s="20" t="s">
        <v>784</v>
      </c>
      <c r="AE1" s="20" t="s">
        <v>674</v>
      </c>
      <c r="AF1" s="20" t="s">
        <v>675</v>
      </c>
      <c r="AG1" s="20" t="s">
        <v>866</v>
      </c>
      <c r="AH1" s="20" t="s">
        <v>420</v>
      </c>
      <c r="AI1" s="20" t="s">
        <v>21</v>
      </c>
      <c r="AJ1" s="20" t="s">
        <v>690</v>
      </c>
      <c r="AK1" s="20" t="s">
        <v>933</v>
      </c>
      <c r="AL1" s="20" t="s">
        <v>747</v>
      </c>
      <c r="AM1" s="20" t="s">
        <v>372</v>
      </c>
      <c r="AN1" s="20" t="s">
        <v>16</v>
      </c>
      <c r="AO1" s="20" t="s">
        <v>1165</v>
      </c>
      <c r="AP1" s="20" t="s">
        <v>638</v>
      </c>
      <c r="AQ1" s="20" t="s">
        <v>965</v>
      </c>
      <c r="AR1" s="20" t="s">
        <v>745</v>
      </c>
      <c r="AS1" s="20" t="s">
        <v>11</v>
      </c>
      <c r="AT1" s="20" t="s">
        <v>1171</v>
      </c>
      <c r="AU1" s="20" t="s">
        <v>803</v>
      </c>
      <c r="AV1" s="20" t="s">
        <v>1172</v>
      </c>
      <c r="AW1" s="20" t="s">
        <v>804</v>
      </c>
      <c r="AX1" s="20" t="s">
        <v>685</v>
      </c>
      <c r="AY1" s="20" t="s">
        <v>26</v>
      </c>
      <c r="AZ1" s="20" t="s">
        <v>19</v>
      </c>
      <c r="BA1" s="20" t="s">
        <v>30</v>
      </c>
    </row>
    <row r="2" spans="1:53" ht="15.75" thickBot="1">
      <c r="A2" s="159">
        <v>7891</v>
      </c>
      <c r="B2" s="159">
        <v>7897</v>
      </c>
      <c r="C2" s="164"/>
      <c r="D2" s="164"/>
      <c r="E2" s="164" t="s">
        <v>1600</v>
      </c>
      <c r="F2" s="164" t="s">
        <v>1591</v>
      </c>
      <c r="G2" s="164" t="s">
        <v>245</v>
      </c>
      <c r="H2" s="163"/>
      <c r="I2" s="164" t="s">
        <v>53</v>
      </c>
      <c r="J2" s="164"/>
      <c r="K2" s="164" t="s">
        <v>257</v>
      </c>
      <c r="L2" s="164" t="s">
        <v>62</v>
      </c>
      <c r="M2" s="164" t="s">
        <v>62</v>
      </c>
      <c r="N2" s="164"/>
      <c r="O2" s="181">
        <v>43621</v>
      </c>
      <c r="P2" s="164" t="s">
        <v>298</v>
      </c>
      <c r="Q2" s="164" t="s">
        <v>298</v>
      </c>
      <c r="R2" s="164" t="s">
        <v>298</v>
      </c>
      <c r="S2" s="164" t="s">
        <v>1208</v>
      </c>
      <c r="T2" s="178">
        <v>0</v>
      </c>
      <c r="U2" s="182" t="s">
        <v>362</v>
      </c>
      <c r="V2" s="168">
        <v>0</v>
      </c>
      <c r="W2" s="164"/>
      <c r="X2" s="164"/>
      <c r="Y2" s="176"/>
      <c r="Z2" s="176">
        <v>0</v>
      </c>
      <c r="AA2" s="175"/>
      <c r="AB2" s="164" t="s">
        <v>636</v>
      </c>
      <c r="AC2" s="164"/>
      <c r="AD2" s="164" t="s">
        <v>1586</v>
      </c>
      <c r="AE2" s="164" t="s">
        <v>1586</v>
      </c>
      <c r="AF2" s="164" t="s">
        <v>1586</v>
      </c>
      <c r="AG2" s="164"/>
      <c r="AH2" s="164"/>
      <c r="AI2" s="163"/>
      <c r="AJ2" s="164" t="s">
        <v>55</v>
      </c>
      <c r="AK2" s="164" t="s">
        <v>1592</v>
      </c>
      <c r="AL2" s="164"/>
      <c r="AM2" s="164" t="s">
        <v>305</v>
      </c>
      <c r="AN2" s="171">
        <v>45382</v>
      </c>
      <c r="AO2" s="175">
        <v>45382</v>
      </c>
      <c r="AP2" s="177"/>
      <c r="AQ2" s="167">
        <v>2497.8200000000002</v>
      </c>
      <c r="AR2" s="167">
        <v>100</v>
      </c>
      <c r="AS2" s="167">
        <v>1</v>
      </c>
      <c r="AT2" s="167">
        <v>2.4978199999999999</v>
      </c>
      <c r="AU2" s="167">
        <v>2.4978199999999999</v>
      </c>
      <c r="AV2" s="163"/>
      <c r="AW2" s="163"/>
      <c r="AX2" s="164"/>
      <c r="AY2" s="164" t="s">
        <v>1593</v>
      </c>
      <c r="AZ2" s="168">
        <v>3.0198957439698002E-4</v>
      </c>
      <c r="BA2" s="168">
        <v>2.6270321899467813E-5</v>
      </c>
    </row>
    <row r="3" spans="1:53" ht="15.75" thickBot="1">
      <c r="A3" s="159">
        <v>7891</v>
      </c>
      <c r="B3" s="159">
        <v>7897</v>
      </c>
      <c r="C3" s="164"/>
      <c r="D3" s="164"/>
      <c r="E3" s="164" t="s">
        <v>1601</v>
      </c>
      <c r="F3" s="164" t="s">
        <v>1594</v>
      </c>
      <c r="G3" s="164" t="s">
        <v>245</v>
      </c>
      <c r="H3" s="163"/>
      <c r="I3" s="164" t="s">
        <v>53</v>
      </c>
      <c r="J3" s="164"/>
      <c r="K3" s="164" t="s">
        <v>257</v>
      </c>
      <c r="L3" s="164" t="s">
        <v>62</v>
      </c>
      <c r="M3" s="164" t="s">
        <v>62</v>
      </c>
      <c r="N3" s="164"/>
      <c r="O3" s="181">
        <v>43621</v>
      </c>
      <c r="P3" s="164" t="s">
        <v>298</v>
      </c>
      <c r="Q3" s="164" t="s">
        <v>298</v>
      </c>
      <c r="R3" s="164" t="s">
        <v>298</v>
      </c>
      <c r="S3" s="164" t="s">
        <v>1208</v>
      </c>
      <c r="T3" s="178">
        <v>0</v>
      </c>
      <c r="U3" s="182" t="s">
        <v>362</v>
      </c>
      <c r="V3" s="168">
        <v>0</v>
      </c>
      <c r="W3" s="164"/>
      <c r="X3" s="164"/>
      <c r="Y3" s="176"/>
      <c r="Z3" s="176">
        <v>0</v>
      </c>
      <c r="AA3" s="175"/>
      <c r="AB3" s="164" t="s">
        <v>636</v>
      </c>
      <c r="AC3" s="164"/>
      <c r="AD3" s="164" t="s">
        <v>1586</v>
      </c>
      <c r="AE3" s="164" t="s">
        <v>1586</v>
      </c>
      <c r="AF3" s="164" t="s">
        <v>1586</v>
      </c>
      <c r="AG3" s="164"/>
      <c r="AH3" s="164"/>
      <c r="AI3" s="163"/>
      <c r="AJ3" s="164" t="s">
        <v>55</v>
      </c>
      <c r="AK3" s="164" t="s">
        <v>1592</v>
      </c>
      <c r="AL3" s="164"/>
      <c r="AM3" s="164" t="s">
        <v>305</v>
      </c>
      <c r="AN3" s="171">
        <v>45382</v>
      </c>
      <c r="AO3" s="175">
        <v>45382</v>
      </c>
      <c r="AP3" s="177"/>
      <c r="AQ3" s="167">
        <v>-782876.52</v>
      </c>
      <c r="AR3" s="167">
        <v>100</v>
      </c>
      <c r="AS3" s="167">
        <v>1</v>
      </c>
      <c r="AT3" s="167">
        <v>-782.87652000000003</v>
      </c>
      <c r="AU3" s="167">
        <v>-782.87652000000003</v>
      </c>
      <c r="AV3" s="163"/>
      <c r="AW3" s="163"/>
      <c r="AX3" s="164"/>
      <c r="AY3" s="164" t="s">
        <v>1593</v>
      </c>
      <c r="AZ3" s="168">
        <v>-9.4650754289816258E-2</v>
      </c>
      <c r="BA3" s="168">
        <v>-8.2337471026475706E-3</v>
      </c>
    </row>
    <row r="4" spans="1:53" ht="15.75" thickBot="1">
      <c r="A4" s="159">
        <v>7891</v>
      </c>
      <c r="B4" s="159">
        <v>7897</v>
      </c>
      <c r="C4" s="164"/>
      <c r="D4" s="164"/>
      <c r="E4" s="164" t="s">
        <v>1602</v>
      </c>
      <c r="F4" s="164" t="s">
        <v>1595</v>
      </c>
      <c r="G4" s="164" t="s">
        <v>245</v>
      </c>
      <c r="H4" s="163"/>
      <c r="I4" s="164" t="s">
        <v>53</v>
      </c>
      <c r="J4" s="164"/>
      <c r="K4" s="164" t="s">
        <v>257</v>
      </c>
      <c r="L4" s="164" t="s">
        <v>62</v>
      </c>
      <c r="M4" s="164" t="s">
        <v>62</v>
      </c>
      <c r="N4" s="164"/>
      <c r="O4" s="181">
        <v>43621</v>
      </c>
      <c r="P4" s="164" t="s">
        <v>298</v>
      </c>
      <c r="Q4" s="164" t="s">
        <v>298</v>
      </c>
      <c r="R4" s="164" t="s">
        <v>298</v>
      </c>
      <c r="S4" s="164" t="s">
        <v>1208</v>
      </c>
      <c r="T4" s="178">
        <v>7.61</v>
      </c>
      <c r="U4" s="182" t="s">
        <v>1614</v>
      </c>
      <c r="V4" s="168">
        <v>4.4999999999999998E-2</v>
      </c>
      <c r="W4" s="164"/>
      <c r="X4" s="164"/>
      <c r="Y4" s="176"/>
      <c r="Z4" s="176">
        <v>8.48E-2</v>
      </c>
      <c r="AA4" s="175"/>
      <c r="AB4" s="164" t="s">
        <v>636</v>
      </c>
      <c r="AC4" s="164"/>
      <c r="AD4" s="164" t="s">
        <v>1586</v>
      </c>
      <c r="AE4" s="164" t="s">
        <v>1586</v>
      </c>
      <c r="AF4" s="164" t="s">
        <v>1586</v>
      </c>
      <c r="AG4" s="164"/>
      <c r="AH4" s="164"/>
      <c r="AI4" s="163"/>
      <c r="AJ4" s="164" t="s">
        <v>55</v>
      </c>
      <c r="AK4" s="164" t="s">
        <v>1592</v>
      </c>
      <c r="AL4" s="164"/>
      <c r="AM4" s="164" t="s">
        <v>305</v>
      </c>
      <c r="AN4" s="171">
        <v>45382</v>
      </c>
      <c r="AO4" s="175">
        <v>45382</v>
      </c>
      <c r="AP4" s="177"/>
      <c r="AQ4" s="167">
        <v>488859.38</v>
      </c>
      <c r="AR4" s="167">
        <v>100.74</v>
      </c>
      <c r="AS4" s="167">
        <v>1</v>
      </c>
      <c r="AT4" s="167">
        <v>492.47694000000001</v>
      </c>
      <c r="AU4" s="167">
        <v>492.47694000000001</v>
      </c>
      <c r="AV4" s="163"/>
      <c r="AW4" s="163"/>
      <c r="AX4" s="164"/>
      <c r="AY4" s="164" t="s">
        <v>1593</v>
      </c>
      <c r="AZ4" s="168">
        <v>5.9541080426502746E-2</v>
      </c>
      <c r="BA4" s="168">
        <v>5.1795276448522703E-3</v>
      </c>
    </row>
    <row r="5" spans="1:53" ht="15.75" thickBot="1">
      <c r="A5" s="159">
        <v>7891</v>
      </c>
      <c r="B5" s="159">
        <v>7897</v>
      </c>
      <c r="C5" s="164"/>
      <c r="D5" s="164"/>
      <c r="E5" s="164" t="s">
        <v>1603</v>
      </c>
      <c r="F5" s="164" t="s">
        <v>1596</v>
      </c>
      <c r="G5" s="164" t="s">
        <v>245</v>
      </c>
      <c r="H5" s="163"/>
      <c r="I5" s="164" t="s">
        <v>53</v>
      </c>
      <c r="J5" s="164"/>
      <c r="K5" s="164" t="s">
        <v>257</v>
      </c>
      <c r="L5" s="164" t="s">
        <v>62</v>
      </c>
      <c r="M5" s="164" t="s">
        <v>62</v>
      </c>
      <c r="N5" s="164"/>
      <c r="O5" s="181">
        <v>43621</v>
      </c>
      <c r="P5" s="164" t="s">
        <v>298</v>
      </c>
      <c r="Q5" s="164" t="s">
        <v>298</v>
      </c>
      <c r="R5" s="164" t="s">
        <v>298</v>
      </c>
      <c r="S5" s="164" t="s">
        <v>1208</v>
      </c>
      <c r="T5" s="178">
        <v>0.6</v>
      </c>
      <c r="U5" s="182" t="s">
        <v>1615</v>
      </c>
      <c r="V5" s="168">
        <v>6.9000000000000006E-2</v>
      </c>
      <c r="W5" s="164"/>
      <c r="X5" s="164"/>
      <c r="Y5" s="176"/>
      <c r="Z5" s="176">
        <v>8.8200000000000001E-2</v>
      </c>
      <c r="AA5" s="175"/>
      <c r="AB5" s="164" t="s">
        <v>636</v>
      </c>
      <c r="AC5" s="164"/>
      <c r="AD5" s="164" t="s">
        <v>1586</v>
      </c>
      <c r="AE5" s="164" t="s">
        <v>1586</v>
      </c>
      <c r="AF5" s="164" t="s">
        <v>1586</v>
      </c>
      <c r="AG5" s="164"/>
      <c r="AH5" s="164"/>
      <c r="AI5" s="163"/>
      <c r="AJ5" s="164" t="s">
        <v>55</v>
      </c>
      <c r="AK5" s="164" t="s">
        <v>1592</v>
      </c>
      <c r="AL5" s="164"/>
      <c r="AM5" s="164" t="s">
        <v>305</v>
      </c>
      <c r="AN5" s="171">
        <v>45382</v>
      </c>
      <c r="AO5" s="175">
        <v>45382</v>
      </c>
      <c r="AP5" s="177"/>
      <c r="AQ5" s="167">
        <v>4008365.54</v>
      </c>
      <c r="AR5" s="167">
        <v>98.38</v>
      </c>
      <c r="AS5" s="167">
        <v>1</v>
      </c>
      <c r="AT5" s="167">
        <v>3943.4300199999998</v>
      </c>
      <c r="AU5" s="167">
        <v>3943.4300199999998</v>
      </c>
      <c r="AV5" s="163"/>
      <c r="AW5" s="163"/>
      <c r="AX5" s="164"/>
      <c r="AY5" s="164" t="s">
        <v>1593</v>
      </c>
      <c r="AZ5" s="168">
        <v>0.47676564100058227</v>
      </c>
      <c r="BA5" s="168">
        <v>4.1474235939108824E-2</v>
      </c>
    </row>
    <row r="6" spans="1:53" ht="15.75" thickBot="1">
      <c r="A6" s="159">
        <v>7891</v>
      </c>
      <c r="B6" s="159">
        <v>7897</v>
      </c>
      <c r="C6" s="164"/>
      <c r="D6" s="164"/>
      <c r="E6" s="164" t="s">
        <v>1604</v>
      </c>
      <c r="F6" s="164" t="s">
        <v>1597</v>
      </c>
      <c r="G6" s="164" t="s">
        <v>245</v>
      </c>
      <c r="H6" s="163"/>
      <c r="I6" s="164" t="s">
        <v>53</v>
      </c>
      <c r="J6" s="164"/>
      <c r="K6" s="164" t="s">
        <v>257</v>
      </c>
      <c r="L6" s="164" t="s">
        <v>62</v>
      </c>
      <c r="M6" s="164" t="s">
        <v>62</v>
      </c>
      <c r="N6" s="164"/>
      <c r="O6" s="181">
        <v>43621</v>
      </c>
      <c r="P6" s="164" t="s">
        <v>298</v>
      </c>
      <c r="Q6" s="164" t="s">
        <v>298</v>
      </c>
      <c r="R6" s="164" t="s">
        <v>298</v>
      </c>
      <c r="S6" s="164" t="s">
        <v>1208</v>
      </c>
      <c r="T6" s="178">
        <v>0.9</v>
      </c>
      <c r="U6" s="182" t="s">
        <v>1614</v>
      </c>
      <c r="V6" s="168">
        <v>6.2E-2</v>
      </c>
      <c r="W6" s="164"/>
      <c r="X6" s="164"/>
      <c r="Y6" s="176"/>
      <c r="Z6" s="176">
        <v>0.13750000000000001</v>
      </c>
      <c r="AA6" s="175"/>
      <c r="AB6" s="164" t="s">
        <v>636</v>
      </c>
      <c r="AC6" s="164"/>
      <c r="AD6" s="164" t="s">
        <v>1586</v>
      </c>
      <c r="AE6" s="164" t="s">
        <v>1586</v>
      </c>
      <c r="AF6" s="164" t="s">
        <v>1586</v>
      </c>
      <c r="AG6" s="164"/>
      <c r="AH6" s="164"/>
      <c r="AI6" s="163"/>
      <c r="AJ6" s="164" t="s">
        <v>55</v>
      </c>
      <c r="AK6" s="164" t="s">
        <v>1592</v>
      </c>
      <c r="AL6" s="164"/>
      <c r="AM6" s="164" t="s">
        <v>305</v>
      </c>
      <c r="AN6" s="171">
        <v>45382</v>
      </c>
      <c r="AO6" s="175">
        <v>45382</v>
      </c>
      <c r="AP6" s="177"/>
      <c r="AQ6" s="167">
        <v>4308823.6399999997</v>
      </c>
      <c r="AR6" s="167">
        <v>100.72</v>
      </c>
      <c r="AS6" s="167">
        <v>1</v>
      </c>
      <c r="AT6" s="167">
        <v>4339.84717</v>
      </c>
      <c r="AU6" s="167">
        <v>4339.84717</v>
      </c>
      <c r="AV6" s="163"/>
      <c r="AW6" s="163"/>
      <c r="AX6" s="164"/>
      <c r="AY6" s="164" t="s">
        <v>1593</v>
      </c>
      <c r="AZ6" s="168">
        <v>0.52469297219825217</v>
      </c>
      <c r="BA6" s="168">
        <v>4.5643473969459135E-2</v>
      </c>
    </row>
    <row r="7" spans="1:53" ht="15.75" thickBot="1">
      <c r="A7" s="159">
        <v>7891</v>
      </c>
      <c r="B7" s="159">
        <v>7897</v>
      </c>
      <c r="C7" s="164"/>
      <c r="D7" s="164"/>
      <c r="E7" s="164" t="s">
        <v>1605</v>
      </c>
      <c r="F7" s="164" t="s">
        <v>1598</v>
      </c>
      <c r="G7" s="164" t="s">
        <v>245</v>
      </c>
      <c r="H7" s="163"/>
      <c r="I7" s="164" t="s">
        <v>53</v>
      </c>
      <c r="J7" s="164"/>
      <c r="K7" s="164" t="s">
        <v>257</v>
      </c>
      <c r="L7" s="164" t="s">
        <v>62</v>
      </c>
      <c r="M7" s="164" t="s">
        <v>62</v>
      </c>
      <c r="N7" s="164"/>
      <c r="O7" s="181">
        <v>43621</v>
      </c>
      <c r="P7" s="164" t="s">
        <v>298</v>
      </c>
      <c r="Q7" s="164" t="s">
        <v>298</v>
      </c>
      <c r="R7" s="164" t="s">
        <v>298</v>
      </c>
      <c r="S7" s="164" t="s">
        <v>1208</v>
      </c>
      <c r="T7" s="178">
        <v>0.74</v>
      </c>
      <c r="U7" s="182" t="s">
        <v>1614</v>
      </c>
      <c r="V7" s="168">
        <v>5.7000000000000002E-2</v>
      </c>
      <c r="W7" s="164"/>
      <c r="X7" s="164"/>
      <c r="Y7" s="176"/>
      <c r="Z7" s="176">
        <v>6.3399999999999998E-2</v>
      </c>
      <c r="AA7" s="175"/>
      <c r="AB7" s="164" t="s">
        <v>636</v>
      </c>
      <c r="AC7" s="164"/>
      <c r="AD7" s="164" t="s">
        <v>1586</v>
      </c>
      <c r="AE7" s="164" t="s">
        <v>1586</v>
      </c>
      <c r="AF7" s="164" t="s">
        <v>1586</v>
      </c>
      <c r="AG7" s="164"/>
      <c r="AH7" s="164"/>
      <c r="AI7" s="163"/>
      <c r="AJ7" s="164" t="s">
        <v>55</v>
      </c>
      <c r="AK7" s="164" t="s">
        <v>1592</v>
      </c>
      <c r="AL7" s="164"/>
      <c r="AM7" s="164" t="s">
        <v>305</v>
      </c>
      <c r="AN7" s="171">
        <v>45382</v>
      </c>
      <c r="AO7" s="175">
        <v>45382</v>
      </c>
      <c r="AP7" s="177"/>
      <c r="AQ7" s="167">
        <v>273262.59000000003</v>
      </c>
      <c r="AR7" s="167">
        <v>99.26</v>
      </c>
      <c r="AS7" s="167">
        <v>1</v>
      </c>
      <c r="AT7" s="167">
        <v>271.24045000000001</v>
      </c>
      <c r="AU7" s="167">
        <v>271.24045000000001</v>
      </c>
      <c r="AV7" s="163"/>
      <c r="AW7" s="163"/>
      <c r="AX7" s="164"/>
      <c r="AY7" s="164" t="s">
        <v>1593</v>
      </c>
      <c r="AZ7" s="168">
        <v>3.2793310989080615E-2</v>
      </c>
      <c r="BA7" s="168">
        <v>2.8527171428111334E-3</v>
      </c>
    </row>
    <row r="8" spans="1:53" ht="15.75" thickBot="1">
      <c r="A8" s="159">
        <v>7891</v>
      </c>
      <c r="B8" s="159">
        <v>7897</v>
      </c>
      <c r="C8" s="164"/>
      <c r="D8" s="164"/>
      <c r="E8" s="164" t="s">
        <v>1606</v>
      </c>
      <c r="F8" s="164" t="s">
        <v>1599</v>
      </c>
      <c r="G8" s="164" t="s">
        <v>245</v>
      </c>
      <c r="H8" s="163"/>
      <c r="I8" s="164" t="s">
        <v>53</v>
      </c>
      <c r="J8" s="164"/>
      <c r="K8" s="164" t="s">
        <v>257</v>
      </c>
      <c r="L8" s="164" t="s">
        <v>62</v>
      </c>
      <c r="M8" s="164" t="s">
        <v>62</v>
      </c>
      <c r="N8" s="164"/>
      <c r="O8" s="181">
        <v>43621</v>
      </c>
      <c r="P8" s="164" t="s">
        <v>298</v>
      </c>
      <c r="Q8" s="164" t="s">
        <v>298</v>
      </c>
      <c r="R8" s="164" t="s">
        <v>298</v>
      </c>
      <c r="S8" s="164" t="s">
        <v>1208</v>
      </c>
      <c r="T8" s="178">
        <v>5.96</v>
      </c>
      <c r="U8" s="182" t="s">
        <v>1615</v>
      </c>
      <c r="V8" s="168">
        <v>5.2999999999999999E-2</v>
      </c>
      <c r="W8" s="164"/>
      <c r="X8" s="164"/>
      <c r="Y8" s="176"/>
      <c r="Z8" s="176">
        <v>0.11749999999999999</v>
      </c>
      <c r="AA8" s="175"/>
      <c r="AB8" s="164" t="s">
        <v>636</v>
      </c>
      <c r="AC8" s="164"/>
      <c r="AD8" s="164" t="s">
        <v>1586</v>
      </c>
      <c r="AE8" s="164" t="s">
        <v>1586</v>
      </c>
      <c r="AF8" s="164" t="s">
        <v>1586</v>
      </c>
      <c r="AG8" s="164"/>
      <c r="AH8" s="164"/>
      <c r="AI8" s="163"/>
      <c r="AJ8" s="164" t="s">
        <v>55</v>
      </c>
      <c r="AK8" s="164" t="s">
        <v>1592</v>
      </c>
      <c r="AL8" s="164"/>
      <c r="AM8" s="164" t="s">
        <v>305</v>
      </c>
      <c r="AN8" s="171">
        <v>45382</v>
      </c>
      <c r="AO8" s="175">
        <v>45382</v>
      </c>
      <c r="AP8" s="177"/>
      <c r="AQ8" s="167">
        <v>4589.01</v>
      </c>
      <c r="AR8" s="167">
        <v>100.17</v>
      </c>
      <c r="AS8" s="167">
        <v>1</v>
      </c>
      <c r="AT8" s="167">
        <v>4.5968099999999996</v>
      </c>
      <c r="AU8" s="167">
        <v>4.5968099999999996</v>
      </c>
      <c r="AV8" s="163"/>
      <c r="AW8" s="163"/>
      <c r="AX8" s="164"/>
      <c r="AY8" s="164" t="s">
        <v>1593</v>
      </c>
      <c r="AZ8" s="168">
        <v>5.5576010100158609E-4</v>
      </c>
      <c r="BA8" s="168">
        <v>4.8346029101653698E-5</v>
      </c>
    </row>
    <row r="9" spans="1:53" ht="15.75" thickBot="1">
      <c r="A9" s="159">
        <v>11925</v>
      </c>
      <c r="B9" s="159">
        <v>11928</v>
      </c>
      <c r="C9" s="164"/>
      <c r="D9" s="164"/>
      <c r="E9" s="164" t="s">
        <v>1600</v>
      </c>
      <c r="F9" s="164" t="s">
        <v>1591</v>
      </c>
      <c r="G9" s="164" t="s">
        <v>245</v>
      </c>
      <c r="H9" s="163"/>
      <c r="I9" s="164" t="s">
        <v>53</v>
      </c>
      <c r="J9" s="164"/>
      <c r="K9" s="164" t="s">
        <v>257</v>
      </c>
      <c r="L9" s="164" t="s">
        <v>62</v>
      </c>
      <c r="M9" s="164" t="s">
        <v>62</v>
      </c>
      <c r="N9" s="164"/>
      <c r="O9" s="181">
        <v>43621</v>
      </c>
      <c r="P9" s="164" t="s">
        <v>298</v>
      </c>
      <c r="Q9" s="164" t="s">
        <v>298</v>
      </c>
      <c r="R9" s="164" t="s">
        <v>298</v>
      </c>
      <c r="S9" s="164" t="s">
        <v>1208</v>
      </c>
      <c r="T9" s="178">
        <v>0</v>
      </c>
      <c r="U9" s="182" t="s">
        <v>362</v>
      </c>
      <c r="V9" s="168">
        <v>0</v>
      </c>
      <c r="W9" s="164"/>
      <c r="X9" s="164"/>
      <c r="Y9" s="176"/>
      <c r="Z9" s="176">
        <v>0</v>
      </c>
      <c r="AA9" s="175"/>
      <c r="AB9" s="164" t="s">
        <v>636</v>
      </c>
      <c r="AC9" s="164"/>
      <c r="AD9" s="164" t="s">
        <v>1586</v>
      </c>
      <c r="AE9" s="164" t="s">
        <v>1586</v>
      </c>
      <c r="AF9" s="164" t="s">
        <v>1586</v>
      </c>
      <c r="AG9" s="164"/>
      <c r="AH9" s="164"/>
      <c r="AI9" s="163"/>
      <c r="AJ9" s="164" t="s">
        <v>55</v>
      </c>
      <c r="AK9" s="164" t="s">
        <v>1592</v>
      </c>
      <c r="AL9" s="164"/>
      <c r="AM9" s="164" t="s">
        <v>305</v>
      </c>
      <c r="AN9" s="171">
        <v>45382</v>
      </c>
      <c r="AO9" s="175">
        <v>45382</v>
      </c>
      <c r="AP9" s="177"/>
      <c r="AQ9" s="167">
        <v>3766</v>
      </c>
      <c r="AR9" s="167">
        <v>100</v>
      </c>
      <c r="AS9" s="167">
        <v>1</v>
      </c>
      <c r="AT9" s="167">
        <v>3.766</v>
      </c>
      <c r="AU9" s="167">
        <v>3.766</v>
      </c>
      <c r="AV9" s="163"/>
      <c r="AW9" s="163"/>
      <c r="AX9" s="164"/>
      <c r="AY9" s="164" t="s">
        <v>1593</v>
      </c>
      <c r="AZ9" s="168">
        <v>3.0198804188778138E-4</v>
      </c>
      <c r="BA9" s="168">
        <v>2.793300763022175E-5</v>
      </c>
    </row>
    <row r="10" spans="1:53" ht="15.75" thickBot="1">
      <c r="A10" s="159">
        <v>11925</v>
      </c>
      <c r="B10" s="159">
        <v>11928</v>
      </c>
      <c r="C10" s="164"/>
      <c r="D10" s="164"/>
      <c r="E10" s="164" t="s">
        <v>1601</v>
      </c>
      <c r="F10" s="164" t="s">
        <v>1594</v>
      </c>
      <c r="G10" s="164" t="s">
        <v>245</v>
      </c>
      <c r="H10" s="163"/>
      <c r="I10" s="164" t="s">
        <v>53</v>
      </c>
      <c r="J10" s="164"/>
      <c r="K10" s="164" t="s">
        <v>257</v>
      </c>
      <c r="L10" s="164" t="s">
        <v>62</v>
      </c>
      <c r="M10" s="164" t="s">
        <v>62</v>
      </c>
      <c r="N10" s="164"/>
      <c r="O10" s="181">
        <v>43621</v>
      </c>
      <c r="P10" s="164" t="s">
        <v>298</v>
      </c>
      <c r="Q10" s="164" t="s">
        <v>298</v>
      </c>
      <c r="R10" s="164" t="s">
        <v>298</v>
      </c>
      <c r="S10" s="164" t="s">
        <v>1208</v>
      </c>
      <c r="T10" s="178">
        <v>0</v>
      </c>
      <c r="U10" s="182" t="s">
        <v>362</v>
      </c>
      <c r="V10" s="168">
        <v>0</v>
      </c>
      <c r="W10" s="164"/>
      <c r="X10" s="164"/>
      <c r="Y10" s="176"/>
      <c r="Z10" s="176">
        <v>0</v>
      </c>
      <c r="AA10" s="175"/>
      <c r="AB10" s="164" t="s">
        <v>636</v>
      </c>
      <c r="AC10" s="164"/>
      <c r="AD10" s="164" t="s">
        <v>1586</v>
      </c>
      <c r="AE10" s="164" t="s">
        <v>1586</v>
      </c>
      <c r="AF10" s="164" t="s">
        <v>1586</v>
      </c>
      <c r="AG10" s="164"/>
      <c r="AH10" s="164"/>
      <c r="AI10" s="163"/>
      <c r="AJ10" s="164" t="s">
        <v>55</v>
      </c>
      <c r="AK10" s="164" t="s">
        <v>1592</v>
      </c>
      <c r="AL10" s="164"/>
      <c r="AM10" s="164" t="s">
        <v>305</v>
      </c>
      <c r="AN10" s="171">
        <v>45382</v>
      </c>
      <c r="AO10" s="175">
        <v>45382</v>
      </c>
      <c r="AP10" s="177"/>
      <c r="AQ10" s="167">
        <v>-1180360.45</v>
      </c>
      <c r="AR10" s="167">
        <v>100</v>
      </c>
      <c r="AS10" s="167">
        <v>1</v>
      </c>
      <c r="AT10" s="167">
        <v>-1180.3604499999999</v>
      </c>
      <c r="AU10" s="167">
        <v>-1180.3604499999999</v>
      </c>
      <c r="AV10" s="163"/>
      <c r="AW10" s="163"/>
      <c r="AX10" s="164"/>
      <c r="AY10" s="164" t="s">
        <v>1593</v>
      </c>
      <c r="AZ10" s="168">
        <v>-9.4650754385894972E-2</v>
      </c>
      <c r="BA10" s="168">
        <v>-8.7549170090977096E-3</v>
      </c>
    </row>
    <row r="11" spans="1:53" ht="15.75" thickBot="1">
      <c r="A11" s="159">
        <v>11925</v>
      </c>
      <c r="B11" s="159">
        <v>11928</v>
      </c>
      <c r="C11" s="164"/>
      <c r="D11" s="164"/>
      <c r="E11" s="164" t="s">
        <v>1602</v>
      </c>
      <c r="F11" s="164" t="s">
        <v>1595</v>
      </c>
      <c r="G11" s="164" t="s">
        <v>245</v>
      </c>
      <c r="H11" s="163"/>
      <c r="I11" s="164" t="s">
        <v>53</v>
      </c>
      <c r="J11" s="164"/>
      <c r="K11" s="164" t="s">
        <v>257</v>
      </c>
      <c r="L11" s="164" t="s">
        <v>62</v>
      </c>
      <c r="M11" s="164" t="s">
        <v>62</v>
      </c>
      <c r="N11" s="164"/>
      <c r="O11" s="181">
        <v>43621</v>
      </c>
      <c r="P11" s="164" t="s">
        <v>298</v>
      </c>
      <c r="Q11" s="164" t="s">
        <v>298</v>
      </c>
      <c r="R11" s="164" t="s">
        <v>298</v>
      </c>
      <c r="S11" s="164" t="s">
        <v>1208</v>
      </c>
      <c r="T11" s="178">
        <v>7.61</v>
      </c>
      <c r="U11" s="182" t="s">
        <v>1614</v>
      </c>
      <c r="V11" s="168">
        <v>4.4999999999999998E-2</v>
      </c>
      <c r="W11" s="164"/>
      <c r="X11" s="164"/>
      <c r="Y11" s="176"/>
      <c r="Z11" s="176">
        <v>8.48E-2</v>
      </c>
      <c r="AA11" s="175"/>
      <c r="AB11" s="164" t="s">
        <v>636</v>
      </c>
      <c r="AC11" s="164"/>
      <c r="AD11" s="164" t="s">
        <v>1586</v>
      </c>
      <c r="AE11" s="164" t="s">
        <v>1586</v>
      </c>
      <c r="AF11" s="164" t="s">
        <v>1586</v>
      </c>
      <c r="AG11" s="164"/>
      <c r="AH11" s="164"/>
      <c r="AI11" s="163"/>
      <c r="AJ11" s="164" t="s">
        <v>55</v>
      </c>
      <c r="AK11" s="164" t="s">
        <v>1592</v>
      </c>
      <c r="AL11" s="164"/>
      <c r="AM11" s="164" t="s">
        <v>305</v>
      </c>
      <c r="AN11" s="171">
        <v>45382</v>
      </c>
      <c r="AO11" s="175">
        <v>45382</v>
      </c>
      <c r="AP11" s="177"/>
      <c r="AQ11" s="167">
        <v>737064.75</v>
      </c>
      <c r="AR11" s="167">
        <v>100.74</v>
      </c>
      <c r="AS11" s="167">
        <v>1</v>
      </c>
      <c r="AT11" s="167">
        <v>742.51903000000004</v>
      </c>
      <c r="AU11" s="167">
        <v>742.51903000000004</v>
      </c>
      <c r="AV11" s="163"/>
      <c r="AW11" s="163"/>
      <c r="AX11" s="164"/>
      <c r="AY11" s="164" t="s">
        <v>1593</v>
      </c>
      <c r="AZ11" s="168">
        <v>5.9541122659085191E-2</v>
      </c>
      <c r="BA11" s="168">
        <v>5.5073791106146717E-3</v>
      </c>
    </row>
    <row r="12" spans="1:53" ht="15.75" thickBot="1">
      <c r="A12" s="159">
        <v>11925</v>
      </c>
      <c r="B12" s="159">
        <v>11928</v>
      </c>
      <c r="C12" s="164"/>
      <c r="D12" s="164"/>
      <c r="E12" s="164" t="s">
        <v>1603</v>
      </c>
      <c r="F12" s="164" t="s">
        <v>1596</v>
      </c>
      <c r="G12" s="164" t="s">
        <v>245</v>
      </c>
      <c r="H12" s="163"/>
      <c r="I12" s="164" t="s">
        <v>53</v>
      </c>
      <c r="J12" s="164"/>
      <c r="K12" s="164" t="s">
        <v>257</v>
      </c>
      <c r="L12" s="164" t="s">
        <v>62</v>
      </c>
      <c r="M12" s="164" t="s">
        <v>62</v>
      </c>
      <c r="N12" s="164"/>
      <c r="O12" s="181">
        <v>43621</v>
      </c>
      <c r="P12" s="164" t="s">
        <v>298</v>
      </c>
      <c r="Q12" s="164" t="s">
        <v>298</v>
      </c>
      <c r="R12" s="164" t="s">
        <v>298</v>
      </c>
      <c r="S12" s="164" t="s">
        <v>1208</v>
      </c>
      <c r="T12" s="178">
        <v>0.6</v>
      </c>
      <c r="U12" s="182" t="s">
        <v>1615</v>
      </c>
      <c r="V12" s="168">
        <v>6.9000000000000006E-2</v>
      </c>
      <c r="W12" s="164"/>
      <c r="X12" s="164"/>
      <c r="Y12" s="176"/>
      <c r="Z12" s="176">
        <v>8.8200000000000001E-2</v>
      </c>
      <c r="AA12" s="175"/>
      <c r="AB12" s="164" t="s">
        <v>636</v>
      </c>
      <c r="AC12" s="164"/>
      <c r="AD12" s="164" t="s">
        <v>1586</v>
      </c>
      <c r="AE12" s="164" t="s">
        <v>1586</v>
      </c>
      <c r="AF12" s="164" t="s">
        <v>1586</v>
      </c>
      <c r="AG12" s="164"/>
      <c r="AH12" s="164"/>
      <c r="AI12" s="163"/>
      <c r="AJ12" s="164" t="s">
        <v>55</v>
      </c>
      <c r="AK12" s="164" t="s">
        <v>1592</v>
      </c>
      <c r="AL12" s="164"/>
      <c r="AM12" s="164" t="s">
        <v>305</v>
      </c>
      <c r="AN12" s="171">
        <v>45382</v>
      </c>
      <c r="AO12" s="175">
        <v>45382</v>
      </c>
      <c r="AP12" s="177"/>
      <c r="AQ12" s="167">
        <v>6043502.5300000003</v>
      </c>
      <c r="AR12" s="167">
        <v>98.38</v>
      </c>
      <c r="AS12" s="167">
        <v>1</v>
      </c>
      <c r="AT12" s="167">
        <v>5945.5977899999998</v>
      </c>
      <c r="AU12" s="167">
        <v>5945.5977899999998</v>
      </c>
      <c r="AV12" s="163"/>
      <c r="AW12" s="163"/>
      <c r="AX12" s="164"/>
      <c r="AY12" s="164" t="s">
        <v>1593</v>
      </c>
      <c r="AZ12" s="168">
        <v>0.47676564908508245</v>
      </c>
      <c r="BA12" s="168">
        <v>4.4099423376075295E-2</v>
      </c>
    </row>
    <row r="13" spans="1:53" ht="15.75" thickBot="1">
      <c r="A13" s="159">
        <v>11925</v>
      </c>
      <c r="B13" s="159">
        <v>11928</v>
      </c>
      <c r="C13" s="164"/>
      <c r="D13" s="164"/>
      <c r="E13" s="164" t="s">
        <v>1604</v>
      </c>
      <c r="F13" s="164" t="s">
        <v>1597</v>
      </c>
      <c r="G13" s="164" t="s">
        <v>245</v>
      </c>
      <c r="H13" s="163"/>
      <c r="I13" s="164" t="s">
        <v>53</v>
      </c>
      <c r="J13" s="164"/>
      <c r="K13" s="164" t="s">
        <v>257</v>
      </c>
      <c r="L13" s="164" t="s">
        <v>62</v>
      </c>
      <c r="M13" s="164" t="s">
        <v>62</v>
      </c>
      <c r="N13" s="164"/>
      <c r="O13" s="181">
        <v>43621</v>
      </c>
      <c r="P13" s="164" t="s">
        <v>298</v>
      </c>
      <c r="Q13" s="164" t="s">
        <v>298</v>
      </c>
      <c r="R13" s="164" t="s">
        <v>298</v>
      </c>
      <c r="S13" s="164" t="s">
        <v>1208</v>
      </c>
      <c r="T13" s="178">
        <v>0.9</v>
      </c>
      <c r="U13" s="182" t="s">
        <v>1614</v>
      </c>
      <c r="V13" s="168">
        <v>6.2E-2</v>
      </c>
      <c r="W13" s="164"/>
      <c r="X13" s="164"/>
      <c r="Y13" s="176"/>
      <c r="Z13" s="176">
        <v>0.13750000000000001</v>
      </c>
      <c r="AA13" s="175"/>
      <c r="AB13" s="164" t="s">
        <v>636</v>
      </c>
      <c r="AC13" s="164"/>
      <c r="AD13" s="164" t="s">
        <v>1586</v>
      </c>
      <c r="AE13" s="164" t="s">
        <v>1586</v>
      </c>
      <c r="AF13" s="164" t="s">
        <v>1586</v>
      </c>
      <c r="AG13" s="164"/>
      <c r="AH13" s="164"/>
      <c r="AI13" s="163"/>
      <c r="AJ13" s="164" t="s">
        <v>55</v>
      </c>
      <c r="AK13" s="164" t="s">
        <v>1592</v>
      </c>
      <c r="AL13" s="164"/>
      <c r="AM13" s="164" t="s">
        <v>305</v>
      </c>
      <c r="AN13" s="171">
        <v>45382</v>
      </c>
      <c r="AO13" s="175">
        <v>45382</v>
      </c>
      <c r="AP13" s="177"/>
      <c r="AQ13" s="167">
        <v>6496509.25</v>
      </c>
      <c r="AR13" s="167">
        <v>100.72</v>
      </c>
      <c r="AS13" s="167">
        <v>1</v>
      </c>
      <c r="AT13" s="167">
        <v>6543.2841200000003</v>
      </c>
      <c r="AU13" s="167">
        <v>6543.2841200000003</v>
      </c>
      <c r="AV13" s="163"/>
      <c r="AW13" s="163"/>
      <c r="AX13" s="164"/>
      <c r="AY13" s="164" t="s">
        <v>1593</v>
      </c>
      <c r="AZ13" s="168">
        <v>0.52469292589331251</v>
      </c>
      <c r="BA13" s="168">
        <v>4.8532555828642805E-2</v>
      </c>
    </row>
    <row r="14" spans="1:53" ht="15.75" thickBot="1">
      <c r="A14" s="159">
        <v>11925</v>
      </c>
      <c r="B14" s="159">
        <v>11928</v>
      </c>
      <c r="C14" s="164"/>
      <c r="D14" s="164"/>
      <c r="E14" s="164" t="s">
        <v>1605</v>
      </c>
      <c r="F14" s="164" t="s">
        <v>1598</v>
      </c>
      <c r="G14" s="164" t="s">
        <v>245</v>
      </c>
      <c r="H14" s="163"/>
      <c r="I14" s="164" t="s">
        <v>53</v>
      </c>
      <c r="J14" s="164"/>
      <c r="K14" s="164" t="s">
        <v>257</v>
      </c>
      <c r="L14" s="164" t="s">
        <v>62</v>
      </c>
      <c r="M14" s="164" t="s">
        <v>62</v>
      </c>
      <c r="N14" s="164"/>
      <c r="O14" s="181">
        <v>43621</v>
      </c>
      <c r="P14" s="164" t="s">
        <v>298</v>
      </c>
      <c r="Q14" s="164" t="s">
        <v>298</v>
      </c>
      <c r="R14" s="164" t="s">
        <v>298</v>
      </c>
      <c r="S14" s="164" t="s">
        <v>1208</v>
      </c>
      <c r="T14" s="178">
        <v>0.74</v>
      </c>
      <c r="U14" s="182" t="s">
        <v>1614</v>
      </c>
      <c r="V14" s="168">
        <v>5.7000000000000002E-2</v>
      </c>
      <c r="W14" s="164"/>
      <c r="X14" s="164"/>
      <c r="Y14" s="176"/>
      <c r="Z14" s="176">
        <v>6.3399999999999998E-2</v>
      </c>
      <c r="AA14" s="175"/>
      <c r="AB14" s="164" t="s">
        <v>636</v>
      </c>
      <c r="AC14" s="164"/>
      <c r="AD14" s="164" t="s">
        <v>1586</v>
      </c>
      <c r="AE14" s="164" t="s">
        <v>1586</v>
      </c>
      <c r="AF14" s="164" t="s">
        <v>1586</v>
      </c>
      <c r="AG14" s="164"/>
      <c r="AH14" s="164"/>
      <c r="AI14" s="163"/>
      <c r="AJ14" s="164" t="s">
        <v>55</v>
      </c>
      <c r="AK14" s="164" t="s">
        <v>1592</v>
      </c>
      <c r="AL14" s="164"/>
      <c r="AM14" s="164" t="s">
        <v>305</v>
      </c>
      <c r="AN14" s="171">
        <v>45382</v>
      </c>
      <c r="AO14" s="175">
        <v>45382</v>
      </c>
      <c r="AP14" s="177"/>
      <c r="AQ14" s="167">
        <v>412004.11</v>
      </c>
      <c r="AR14" s="167">
        <v>99.26</v>
      </c>
      <c r="AS14" s="167">
        <v>1</v>
      </c>
      <c r="AT14" s="167">
        <v>408.95528000000002</v>
      </c>
      <c r="AU14" s="167">
        <v>408.95528000000002</v>
      </c>
      <c r="AV14" s="163"/>
      <c r="AW14" s="163"/>
      <c r="AX14" s="164"/>
      <c r="AY14" s="164" t="s">
        <v>1593</v>
      </c>
      <c r="AZ14" s="168">
        <v>3.2793309672562235E-2</v>
      </c>
      <c r="BA14" s="168">
        <v>3.0332849061761743E-3</v>
      </c>
    </row>
    <row r="15" spans="1:53" ht="15.75" thickBot="1">
      <c r="A15" s="159">
        <v>11925</v>
      </c>
      <c r="B15" s="159">
        <v>11928</v>
      </c>
      <c r="C15" s="164"/>
      <c r="D15" s="164"/>
      <c r="E15" s="164" t="s">
        <v>1606</v>
      </c>
      <c r="F15" s="164" t="s">
        <v>1599</v>
      </c>
      <c r="G15" s="164" t="s">
        <v>245</v>
      </c>
      <c r="H15" s="163"/>
      <c r="I15" s="164" t="s">
        <v>53</v>
      </c>
      <c r="J15" s="164"/>
      <c r="K15" s="164" t="s">
        <v>257</v>
      </c>
      <c r="L15" s="164" t="s">
        <v>62</v>
      </c>
      <c r="M15" s="164" t="s">
        <v>62</v>
      </c>
      <c r="N15" s="164"/>
      <c r="O15" s="181">
        <v>43621</v>
      </c>
      <c r="P15" s="164" t="s">
        <v>298</v>
      </c>
      <c r="Q15" s="164" t="s">
        <v>298</v>
      </c>
      <c r="R15" s="164" t="s">
        <v>298</v>
      </c>
      <c r="S15" s="164" t="s">
        <v>1208</v>
      </c>
      <c r="T15" s="178">
        <v>5.96</v>
      </c>
      <c r="U15" s="182" t="s">
        <v>1615</v>
      </c>
      <c r="V15" s="168">
        <v>5.2999999999999999E-2</v>
      </c>
      <c r="W15" s="164"/>
      <c r="X15" s="164"/>
      <c r="Y15" s="176"/>
      <c r="Z15" s="176">
        <v>0.11749999999999999</v>
      </c>
      <c r="AA15" s="175"/>
      <c r="AB15" s="164" t="s">
        <v>636</v>
      </c>
      <c r="AC15" s="164"/>
      <c r="AD15" s="164" t="s">
        <v>1586</v>
      </c>
      <c r="AE15" s="164" t="s">
        <v>1586</v>
      </c>
      <c r="AF15" s="164" t="s">
        <v>1586</v>
      </c>
      <c r="AG15" s="164"/>
      <c r="AH15" s="164"/>
      <c r="AI15" s="163"/>
      <c r="AJ15" s="164" t="s">
        <v>55</v>
      </c>
      <c r="AK15" s="164" t="s">
        <v>1592</v>
      </c>
      <c r="AL15" s="164"/>
      <c r="AM15" s="164" t="s">
        <v>305</v>
      </c>
      <c r="AN15" s="171">
        <v>45382</v>
      </c>
      <c r="AO15" s="175">
        <v>45382</v>
      </c>
      <c r="AP15" s="177"/>
      <c r="AQ15" s="167">
        <v>6918.94</v>
      </c>
      <c r="AR15" s="167">
        <v>100.17</v>
      </c>
      <c r="AS15" s="167">
        <v>1</v>
      </c>
      <c r="AT15" s="167">
        <v>6.9306999999999999</v>
      </c>
      <c r="AU15" s="167">
        <v>6.9306999999999999</v>
      </c>
      <c r="AV15" s="163"/>
      <c r="AW15" s="163"/>
      <c r="AX15" s="164"/>
      <c r="AY15" s="164" t="s">
        <v>1593</v>
      </c>
      <c r="AZ15" s="168">
        <v>5.5575903396485563E-4</v>
      </c>
      <c r="BA15" s="168">
        <v>5.140607965554378E-5</v>
      </c>
    </row>
    <row r="16" spans="1:53" ht="15.75" thickBot="1">
      <c r="A16" s="159">
        <v>11939</v>
      </c>
      <c r="B16" s="159">
        <v>11942</v>
      </c>
      <c r="C16" s="164"/>
      <c r="D16" s="164"/>
      <c r="E16" s="164" t="s">
        <v>1600</v>
      </c>
      <c r="F16" s="164" t="s">
        <v>1591</v>
      </c>
      <c r="G16" s="164" t="s">
        <v>245</v>
      </c>
      <c r="H16" s="163"/>
      <c r="I16" s="164" t="s">
        <v>53</v>
      </c>
      <c r="J16" s="164"/>
      <c r="K16" s="164" t="s">
        <v>257</v>
      </c>
      <c r="L16" s="164" t="s">
        <v>62</v>
      </c>
      <c r="M16" s="164" t="s">
        <v>62</v>
      </c>
      <c r="N16" s="164"/>
      <c r="O16" s="181">
        <v>43621</v>
      </c>
      <c r="P16" s="164" t="s">
        <v>298</v>
      </c>
      <c r="Q16" s="164" t="s">
        <v>298</v>
      </c>
      <c r="R16" s="164" t="s">
        <v>298</v>
      </c>
      <c r="S16" s="164" t="s">
        <v>1208</v>
      </c>
      <c r="T16" s="178">
        <v>0</v>
      </c>
      <c r="U16" s="182" t="s">
        <v>362</v>
      </c>
      <c r="V16" s="168">
        <v>0</v>
      </c>
      <c r="W16" s="164"/>
      <c r="X16" s="164"/>
      <c r="Y16" s="176"/>
      <c r="Z16" s="176">
        <v>0</v>
      </c>
      <c r="AA16" s="175"/>
      <c r="AB16" s="164" t="s">
        <v>636</v>
      </c>
      <c r="AC16" s="164"/>
      <c r="AD16" s="164" t="s">
        <v>1586</v>
      </c>
      <c r="AE16" s="164" t="s">
        <v>1586</v>
      </c>
      <c r="AF16" s="164" t="s">
        <v>1586</v>
      </c>
      <c r="AG16" s="164"/>
      <c r="AH16" s="164"/>
      <c r="AI16" s="163"/>
      <c r="AJ16" s="164" t="s">
        <v>55</v>
      </c>
      <c r="AK16" s="164" t="s">
        <v>1592</v>
      </c>
      <c r="AL16" s="164"/>
      <c r="AM16" s="164" t="s">
        <v>305</v>
      </c>
      <c r="AN16" s="171">
        <v>45382</v>
      </c>
      <c r="AO16" s="175">
        <v>45382</v>
      </c>
      <c r="AP16" s="177"/>
      <c r="AQ16" s="167">
        <v>9688.9500000000007</v>
      </c>
      <c r="AR16" s="167">
        <v>100</v>
      </c>
      <c r="AS16" s="167">
        <v>1</v>
      </c>
      <c r="AT16" s="167">
        <v>9.6889500000000002</v>
      </c>
      <c r="AU16" s="167">
        <v>9.6889500000000002</v>
      </c>
      <c r="AV16" s="163"/>
      <c r="AW16" s="163"/>
      <c r="AX16" s="164"/>
      <c r="AY16" s="164" t="s">
        <v>1593</v>
      </c>
      <c r="AZ16" s="168">
        <v>3.0198817846603795E-4</v>
      </c>
      <c r="BA16" s="168">
        <v>2.8608409241537733E-5</v>
      </c>
    </row>
    <row r="17" spans="1:53" ht="15.75" thickBot="1">
      <c r="A17" s="159">
        <v>11939</v>
      </c>
      <c r="B17" s="159">
        <v>11942</v>
      </c>
      <c r="C17" s="164"/>
      <c r="D17" s="164"/>
      <c r="E17" s="164" t="s">
        <v>1601</v>
      </c>
      <c r="F17" s="164" t="s">
        <v>1594</v>
      </c>
      <c r="G17" s="164" t="s">
        <v>245</v>
      </c>
      <c r="H17" s="163"/>
      <c r="I17" s="164" t="s">
        <v>53</v>
      </c>
      <c r="J17" s="164"/>
      <c r="K17" s="164" t="s">
        <v>257</v>
      </c>
      <c r="L17" s="164" t="s">
        <v>62</v>
      </c>
      <c r="M17" s="164" t="s">
        <v>62</v>
      </c>
      <c r="N17" s="164"/>
      <c r="O17" s="181">
        <v>43621</v>
      </c>
      <c r="P17" s="164" t="s">
        <v>298</v>
      </c>
      <c r="Q17" s="164" t="s">
        <v>298</v>
      </c>
      <c r="R17" s="164" t="s">
        <v>298</v>
      </c>
      <c r="S17" s="164" t="s">
        <v>1208</v>
      </c>
      <c r="T17" s="178">
        <v>0</v>
      </c>
      <c r="U17" s="182" t="s">
        <v>362</v>
      </c>
      <c r="V17" s="168">
        <v>0</v>
      </c>
      <c r="W17" s="164"/>
      <c r="X17" s="164"/>
      <c r="Y17" s="176"/>
      <c r="Z17" s="176">
        <v>0</v>
      </c>
      <c r="AA17" s="175"/>
      <c r="AB17" s="164" t="s">
        <v>636</v>
      </c>
      <c r="AC17" s="164"/>
      <c r="AD17" s="164" t="s">
        <v>1586</v>
      </c>
      <c r="AE17" s="164" t="s">
        <v>1586</v>
      </c>
      <c r="AF17" s="164" t="s">
        <v>1586</v>
      </c>
      <c r="AG17" s="164"/>
      <c r="AH17" s="164"/>
      <c r="AI17" s="163"/>
      <c r="AJ17" s="164" t="s">
        <v>55</v>
      </c>
      <c r="AK17" s="164" t="s">
        <v>1592</v>
      </c>
      <c r="AL17" s="164"/>
      <c r="AM17" s="164" t="s">
        <v>305</v>
      </c>
      <c r="AN17" s="171">
        <v>45382</v>
      </c>
      <c r="AO17" s="175">
        <v>45382</v>
      </c>
      <c r="AP17" s="177"/>
      <c r="AQ17" s="167">
        <v>-3036763.03</v>
      </c>
      <c r="AR17" s="167">
        <v>100</v>
      </c>
      <c r="AS17" s="167">
        <v>1</v>
      </c>
      <c r="AT17" s="167">
        <v>-3036.7630300000001</v>
      </c>
      <c r="AU17" s="167">
        <v>-3036.7630300000001</v>
      </c>
      <c r="AV17" s="163"/>
      <c r="AW17" s="163"/>
      <c r="AX17" s="164"/>
      <c r="AY17" s="164" t="s">
        <v>1593</v>
      </c>
      <c r="AZ17" s="168">
        <v>-9.4650765651872096E-2</v>
      </c>
      <c r="BA17" s="168">
        <v>-8.9666021118709593E-3</v>
      </c>
    </row>
    <row r="18" spans="1:53" ht="15.75" thickBot="1">
      <c r="A18" s="159">
        <v>11939</v>
      </c>
      <c r="B18" s="159">
        <v>11942</v>
      </c>
      <c r="C18" s="164"/>
      <c r="D18" s="164"/>
      <c r="E18" s="164" t="s">
        <v>1602</v>
      </c>
      <c r="F18" s="164" t="s">
        <v>1595</v>
      </c>
      <c r="G18" s="164" t="s">
        <v>245</v>
      </c>
      <c r="H18" s="163"/>
      <c r="I18" s="164" t="s">
        <v>53</v>
      </c>
      <c r="J18" s="164"/>
      <c r="K18" s="164" t="s">
        <v>257</v>
      </c>
      <c r="L18" s="164" t="s">
        <v>62</v>
      </c>
      <c r="M18" s="164" t="s">
        <v>62</v>
      </c>
      <c r="N18" s="164"/>
      <c r="O18" s="181">
        <v>43621</v>
      </c>
      <c r="P18" s="164" t="s">
        <v>298</v>
      </c>
      <c r="Q18" s="164" t="s">
        <v>298</v>
      </c>
      <c r="R18" s="164" t="s">
        <v>298</v>
      </c>
      <c r="S18" s="164" t="s">
        <v>1208</v>
      </c>
      <c r="T18" s="178">
        <v>7.61</v>
      </c>
      <c r="U18" s="182" t="s">
        <v>1614</v>
      </c>
      <c r="V18" s="168">
        <v>4.4999999999999998E-2</v>
      </c>
      <c r="W18" s="164"/>
      <c r="X18" s="164"/>
      <c r="Y18" s="176"/>
      <c r="Z18" s="176">
        <v>8.48E-2</v>
      </c>
      <c r="AA18" s="175"/>
      <c r="AB18" s="164" t="s">
        <v>636</v>
      </c>
      <c r="AC18" s="164"/>
      <c r="AD18" s="164" t="s">
        <v>1586</v>
      </c>
      <c r="AE18" s="164" t="s">
        <v>1586</v>
      </c>
      <c r="AF18" s="164" t="s">
        <v>1586</v>
      </c>
      <c r="AG18" s="164"/>
      <c r="AH18" s="164"/>
      <c r="AI18" s="163"/>
      <c r="AJ18" s="164" t="s">
        <v>55</v>
      </c>
      <c r="AK18" s="164" t="s">
        <v>1592</v>
      </c>
      <c r="AL18" s="164"/>
      <c r="AM18" s="164" t="s">
        <v>305</v>
      </c>
      <c r="AN18" s="171">
        <v>45382</v>
      </c>
      <c r="AO18" s="175">
        <v>45382</v>
      </c>
      <c r="AP18" s="177"/>
      <c r="AQ18" s="167">
        <v>1896271.94</v>
      </c>
      <c r="AR18" s="167">
        <v>100.74</v>
      </c>
      <c r="AS18" s="167">
        <v>1</v>
      </c>
      <c r="AT18" s="167">
        <v>1910.3043500000001</v>
      </c>
      <c r="AU18" s="167">
        <v>1910.3043500000001</v>
      </c>
      <c r="AV18" s="163"/>
      <c r="AW18" s="163"/>
      <c r="AX18" s="164"/>
      <c r="AY18" s="164" t="s">
        <v>1593</v>
      </c>
      <c r="AZ18" s="168">
        <v>5.9540954486528325E-2</v>
      </c>
      <c r="BA18" s="168">
        <v>5.640525404784805E-3</v>
      </c>
    </row>
    <row r="19" spans="1:53" ht="15.75" thickBot="1">
      <c r="A19" s="159">
        <v>11939</v>
      </c>
      <c r="B19" s="159">
        <v>11942</v>
      </c>
      <c r="C19" s="164"/>
      <c r="D19" s="164"/>
      <c r="E19" s="164" t="s">
        <v>1603</v>
      </c>
      <c r="F19" s="164" t="s">
        <v>1596</v>
      </c>
      <c r="G19" s="164" t="s">
        <v>245</v>
      </c>
      <c r="H19" s="163"/>
      <c r="I19" s="164" t="s">
        <v>53</v>
      </c>
      <c r="J19" s="164"/>
      <c r="K19" s="164" t="s">
        <v>257</v>
      </c>
      <c r="L19" s="164" t="s">
        <v>62</v>
      </c>
      <c r="M19" s="164" t="s">
        <v>62</v>
      </c>
      <c r="N19" s="164"/>
      <c r="O19" s="181">
        <v>43621</v>
      </c>
      <c r="P19" s="164" t="s">
        <v>298</v>
      </c>
      <c r="Q19" s="164" t="s">
        <v>298</v>
      </c>
      <c r="R19" s="164" t="s">
        <v>298</v>
      </c>
      <c r="S19" s="164" t="s">
        <v>1208</v>
      </c>
      <c r="T19" s="178">
        <v>0.6</v>
      </c>
      <c r="U19" s="182" t="s">
        <v>1615</v>
      </c>
      <c r="V19" s="168">
        <v>6.9000000000000006E-2</v>
      </c>
      <c r="W19" s="164"/>
      <c r="X19" s="164"/>
      <c r="Y19" s="176"/>
      <c r="Z19" s="176">
        <v>8.8200000000000001E-2</v>
      </c>
      <c r="AA19" s="175"/>
      <c r="AB19" s="164" t="s">
        <v>636</v>
      </c>
      <c r="AC19" s="164"/>
      <c r="AD19" s="164" t="s">
        <v>1586</v>
      </c>
      <c r="AE19" s="164" t="s">
        <v>1586</v>
      </c>
      <c r="AF19" s="164" t="s">
        <v>1586</v>
      </c>
      <c r="AG19" s="164"/>
      <c r="AH19" s="164"/>
      <c r="AI19" s="163"/>
      <c r="AJ19" s="164" t="s">
        <v>55</v>
      </c>
      <c r="AK19" s="164" t="s">
        <v>1592</v>
      </c>
      <c r="AL19" s="164"/>
      <c r="AM19" s="164" t="s">
        <v>305</v>
      </c>
      <c r="AN19" s="171">
        <v>45382</v>
      </c>
      <c r="AO19" s="175">
        <v>45382</v>
      </c>
      <c r="AP19" s="177"/>
      <c r="AQ19" s="167">
        <v>15548373.189999999</v>
      </c>
      <c r="AR19" s="167">
        <v>98.38</v>
      </c>
      <c r="AS19" s="167">
        <v>1</v>
      </c>
      <c r="AT19" s="167">
        <v>15296.48954</v>
      </c>
      <c r="AU19" s="167">
        <v>15296.48954</v>
      </c>
      <c r="AV19" s="163"/>
      <c r="AW19" s="163"/>
      <c r="AX19" s="164"/>
      <c r="AY19" s="164" t="s">
        <v>1593</v>
      </c>
      <c r="AZ19" s="168">
        <v>0.47676569835837757</v>
      </c>
      <c r="BA19" s="168">
        <v>4.5165702446521169E-2</v>
      </c>
    </row>
    <row r="20" spans="1:53" ht="15.75" thickBot="1">
      <c r="A20" s="159">
        <v>11939</v>
      </c>
      <c r="B20" s="159">
        <v>11942</v>
      </c>
      <c r="C20" s="164"/>
      <c r="D20" s="164"/>
      <c r="E20" s="164" t="s">
        <v>1604</v>
      </c>
      <c r="F20" s="164" t="s">
        <v>1597</v>
      </c>
      <c r="G20" s="164" t="s">
        <v>245</v>
      </c>
      <c r="H20" s="163"/>
      <c r="I20" s="164" t="s">
        <v>53</v>
      </c>
      <c r="J20" s="164"/>
      <c r="K20" s="164" t="s">
        <v>257</v>
      </c>
      <c r="L20" s="164" t="s">
        <v>62</v>
      </c>
      <c r="M20" s="164" t="s">
        <v>62</v>
      </c>
      <c r="N20" s="164"/>
      <c r="O20" s="181">
        <v>43621</v>
      </c>
      <c r="P20" s="164" t="s">
        <v>298</v>
      </c>
      <c r="Q20" s="164" t="s">
        <v>298</v>
      </c>
      <c r="R20" s="164" t="s">
        <v>298</v>
      </c>
      <c r="S20" s="164" t="s">
        <v>1208</v>
      </c>
      <c r="T20" s="178">
        <v>0.9</v>
      </c>
      <c r="U20" s="182" t="s">
        <v>1614</v>
      </c>
      <c r="V20" s="168">
        <v>6.2E-2</v>
      </c>
      <c r="W20" s="164"/>
      <c r="X20" s="164"/>
      <c r="Y20" s="176"/>
      <c r="Z20" s="176">
        <v>0.13750000000000001</v>
      </c>
      <c r="AA20" s="175"/>
      <c r="AB20" s="164" t="s">
        <v>636</v>
      </c>
      <c r="AC20" s="164"/>
      <c r="AD20" s="164" t="s">
        <v>1586</v>
      </c>
      <c r="AE20" s="164" t="s">
        <v>1586</v>
      </c>
      <c r="AF20" s="164" t="s">
        <v>1586</v>
      </c>
      <c r="AG20" s="164"/>
      <c r="AH20" s="164"/>
      <c r="AI20" s="163"/>
      <c r="AJ20" s="164" t="s">
        <v>55</v>
      </c>
      <c r="AK20" s="164" t="s">
        <v>1592</v>
      </c>
      <c r="AL20" s="164"/>
      <c r="AM20" s="164" t="s">
        <v>305</v>
      </c>
      <c r="AN20" s="171">
        <v>45382</v>
      </c>
      <c r="AO20" s="175">
        <v>45382</v>
      </c>
      <c r="AP20" s="177"/>
      <c r="AQ20" s="167">
        <v>16713845</v>
      </c>
      <c r="AR20" s="167">
        <v>100.72</v>
      </c>
      <c r="AS20" s="167">
        <v>1</v>
      </c>
      <c r="AT20" s="167">
        <v>16834.184679999998</v>
      </c>
      <c r="AU20" s="167">
        <v>16834.184679999998</v>
      </c>
      <c r="AV20" s="163"/>
      <c r="AW20" s="163"/>
      <c r="AX20" s="164"/>
      <c r="AY20" s="164" t="s">
        <v>1593</v>
      </c>
      <c r="AZ20" s="168">
        <v>0.52469305419824452</v>
      </c>
      <c r="BA20" s="168">
        <v>4.9706030537165005E-2</v>
      </c>
    </row>
    <row r="21" spans="1:53" s="43" customFormat="1" ht="15.75" thickBot="1">
      <c r="A21" s="159">
        <v>11939</v>
      </c>
      <c r="B21" s="159">
        <v>11942</v>
      </c>
      <c r="C21" s="164"/>
      <c r="D21" s="164"/>
      <c r="E21" s="164" t="s">
        <v>1605</v>
      </c>
      <c r="F21" s="164" t="s">
        <v>1598</v>
      </c>
      <c r="G21" s="164" t="s">
        <v>245</v>
      </c>
      <c r="H21" s="163"/>
      <c r="I21" s="164" t="s">
        <v>53</v>
      </c>
      <c r="J21" s="164"/>
      <c r="K21" s="164" t="s">
        <v>257</v>
      </c>
      <c r="L21" s="164" t="s">
        <v>62</v>
      </c>
      <c r="M21" s="164" t="s">
        <v>62</v>
      </c>
      <c r="N21" s="164"/>
      <c r="O21" s="181">
        <v>43621</v>
      </c>
      <c r="P21" s="164" t="s">
        <v>298</v>
      </c>
      <c r="Q21" s="164" t="s">
        <v>298</v>
      </c>
      <c r="R21" s="164" t="s">
        <v>298</v>
      </c>
      <c r="S21" s="164" t="s">
        <v>1208</v>
      </c>
      <c r="T21" s="178">
        <v>0.74</v>
      </c>
      <c r="U21" s="182" t="s">
        <v>1614</v>
      </c>
      <c r="V21" s="168">
        <v>5.7000000000000002E-2</v>
      </c>
      <c r="W21" s="164"/>
      <c r="X21" s="164"/>
      <c r="Y21" s="176"/>
      <c r="Z21" s="176">
        <v>6.3399999999999998E-2</v>
      </c>
      <c r="AA21" s="175"/>
      <c r="AB21" s="164" t="s">
        <v>636</v>
      </c>
      <c r="AC21" s="164"/>
      <c r="AD21" s="164" t="s">
        <v>1586</v>
      </c>
      <c r="AE21" s="164" t="s">
        <v>1586</v>
      </c>
      <c r="AF21" s="164" t="s">
        <v>1586</v>
      </c>
      <c r="AG21" s="164"/>
      <c r="AH21" s="164"/>
      <c r="AI21" s="163"/>
      <c r="AJ21" s="164" t="s">
        <v>55</v>
      </c>
      <c r="AK21" s="164" t="s">
        <v>1592</v>
      </c>
      <c r="AL21" s="164"/>
      <c r="AM21" s="164" t="s">
        <v>305</v>
      </c>
      <c r="AN21" s="171">
        <v>45382</v>
      </c>
      <c r="AO21" s="175">
        <v>45382</v>
      </c>
      <c r="AP21" s="177"/>
      <c r="AQ21" s="167">
        <v>1059980.27</v>
      </c>
      <c r="AR21" s="167">
        <v>99.26</v>
      </c>
      <c r="AS21" s="167">
        <v>1</v>
      </c>
      <c r="AT21" s="167">
        <v>1052.13642</v>
      </c>
      <c r="AU21" s="167">
        <v>1052.13642</v>
      </c>
      <c r="AV21" s="163"/>
      <c r="AW21" s="163"/>
      <c r="AX21" s="164"/>
      <c r="AY21" s="164" t="s">
        <v>1593</v>
      </c>
      <c r="AZ21" s="168">
        <v>3.2793312069272544E-2</v>
      </c>
      <c r="BA21" s="168">
        <v>3.1066265468690031E-3</v>
      </c>
    </row>
    <row r="22" spans="1:53" ht="15.75" thickBot="1">
      <c r="A22" s="159">
        <v>11939</v>
      </c>
      <c r="B22" s="159">
        <v>11942</v>
      </c>
      <c r="C22" s="164"/>
      <c r="D22" s="164"/>
      <c r="E22" s="164" t="s">
        <v>1606</v>
      </c>
      <c r="F22" s="164" t="s">
        <v>1599</v>
      </c>
      <c r="G22" s="164" t="s">
        <v>245</v>
      </c>
      <c r="H22" s="163"/>
      <c r="I22" s="164" t="s">
        <v>53</v>
      </c>
      <c r="J22" s="164"/>
      <c r="K22" s="164" t="s">
        <v>257</v>
      </c>
      <c r="L22" s="164" t="s">
        <v>62</v>
      </c>
      <c r="M22" s="164" t="s">
        <v>62</v>
      </c>
      <c r="N22" s="164"/>
      <c r="O22" s="181">
        <v>43621</v>
      </c>
      <c r="P22" s="164" t="s">
        <v>298</v>
      </c>
      <c r="Q22" s="164" t="s">
        <v>298</v>
      </c>
      <c r="R22" s="164" t="s">
        <v>298</v>
      </c>
      <c r="S22" s="164" t="s">
        <v>1208</v>
      </c>
      <c r="T22" s="178">
        <v>5.96</v>
      </c>
      <c r="U22" s="182" t="s">
        <v>1615</v>
      </c>
      <c r="V22" s="168">
        <v>5.2999999999999999E-2</v>
      </c>
      <c r="W22" s="164"/>
      <c r="X22" s="164"/>
      <c r="Y22" s="176"/>
      <c r="Z22" s="176">
        <v>0.11749999999999999</v>
      </c>
      <c r="AA22" s="175"/>
      <c r="AB22" s="164" t="s">
        <v>636</v>
      </c>
      <c r="AC22" s="164"/>
      <c r="AD22" s="164" t="s">
        <v>1586</v>
      </c>
      <c r="AE22" s="164" t="s">
        <v>1586</v>
      </c>
      <c r="AF22" s="164" t="s">
        <v>1586</v>
      </c>
      <c r="AG22" s="164"/>
      <c r="AH22" s="164"/>
      <c r="AI22" s="163"/>
      <c r="AJ22" s="164" t="s">
        <v>55</v>
      </c>
      <c r="AK22" s="164" t="s">
        <v>1592</v>
      </c>
      <c r="AL22" s="164"/>
      <c r="AM22" s="164" t="s">
        <v>305</v>
      </c>
      <c r="AN22" s="171">
        <v>45382</v>
      </c>
      <c r="AO22" s="175">
        <v>45382</v>
      </c>
      <c r="AP22" s="177"/>
      <c r="AQ22" s="167">
        <v>17800.62</v>
      </c>
      <c r="AR22" s="167">
        <v>100.17</v>
      </c>
      <c r="AS22" s="167">
        <v>1</v>
      </c>
      <c r="AT22" s="167">
        <v>17.830880000000001</v>
      </c>
      <c r="AU22" s="167">
        <v>17.830880000000001</v>
      </c>
      <c r="AV22" s="163"/>
      <c r="AW22" s="163"/>
      <c r="AX22" s="164"/>
      <c r="AY22" s="164" t="s">
        <v>1593</v>
      </c>
      <c r="AZ22" s="168">
        <v>5.557583609830277E-4</v>
      </c>
      <c r="BA22" s="168">
        <v>5.2648957025967766E-5</v>
      </c>
    </row>
    <row r="23" spans="1:53" ht="15.75" thickBot="1">
      <c r="A23" s="159">
        <v>7891</v>
      </c>
      <c r="B23" s="159">
        <v>7892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</row>
    <row r="24" spans="1:53" ht="15.75" thickBot="1">
      <c r="A24" s="159">
        <v>7891</v>
      </c>
      <c r="B24" s="159">
        <v>7893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</row>
    <row r="25" spans="1:53" ht="15.75" thickBot="1">
      <c r="A25" s="159">
        <v>7891</v>
      </c>
      <c r="B25" s="159">
        <v>7894</v>
      </c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</row>
    <row r="26" spans="1:53" ht="15.75" thickBot="1">
      <c r="A26" s="159">
        <v>7891</v>
      </c>
      <c r="B26" s="159">
        <v>7895</v>
      </c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</row>
    <row r="27" spans="1:53" ht="15.75" thickBot="1">
      <c r="A27" s="159">
        <v>7891</v>
      </c>
      <c r="B27" s="159">
        <v>7896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</row>
    <row r="28" spans="1:53" ht="15.75" thickBot="1">
      <c r="A28" s="159">
        <v>7891</v>
      </c>
      <c r="B28" s="159">
        <v>7898</v>
      </c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</row>
    <row r="29" spans="1:53" ht="15.75" thickBot="1">
      <c r="A29" s="159">
        <v>7891</v>
      </c>
      <c r="B29" s="159">
        <v>7899</v>
      </c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</row>
    <row r="30" spans="1:53" ht="15.75" thickBot="1">
      <c r="A30" s="159">
        <v>7891</v>
      </c>
      <c r="B30" s="159">
        <v>7900</v>
      </c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</row>
    <row r="31" spans="1:53" ht="15.75" thickBot="1">
      <c r="A31" s="159">
        <v>7891</v>
      </c>
      <c r="B31" s="159">
        <v>7901</v>
      </c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</row>
    <row r="32" spans="1:53" ht="15.75" thickBot="1">
      <c r="A32" s="159">
        <v>7891</v>
      </c>
      <c r="B32" s="159">
        <v>7902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</row>
    <row r="33" spans="1:53" ht="15.75" thickBot="1">
      <c r="A33" s="159">
        <v>11925</v>
      </c>
      <c r="B33" s="159">
        <v>11926</v>
      </c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</row>
    <row r="34" spans="1:53" ht="15.75" thickBot="1">
      <c r="A34" s="159">
        <v>11925</v>
      </c>
      <c r="B34" s="159">
        <v>11927</v>
      </c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</row>
    <row r="35" spans="1:53" ht="15.75" thickBot="1">
      <c r="A35" s="159">
        <v>11925</v>
      </c>
      <c r="B35" s="159">
        <v>11929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</row>
    <row r="36" spans="1:53" ht="15.75" thickBot="1">
      <c r="A36" s="159">
        <v>11925</v>
      </c>
      <c r="B36" s="159">
        <v>11930</v>
      </c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</row>
    <row r="37" spans="1:53" ht="15.75" thickBot="1">
      <c r="A37" s="159">
        <v>11925</v>
      </c>
      <c r="B37" s="159">
        <v>11931</v>
      </c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</row>
    <row r="38" spans="1:53" ht="15.75" thickBot="1">
      <c r="A38" s="159">
        <v>11925</v>
      </c>
      <c r="B38" s="159">
        <v>11932</v>
      </c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</row>
    <row r="39" spans="1:53" ht="15.75" thickBot="1">
      <c r="A39" s="159">
        <v>11925</v>
      </c>
      <c r="B39" s="159">
        <v>11933</v>
      </c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</row>
    <row r="40" spans="1:53" ht="15.75" thickBot="1">
      <c r="A40" s="159">
        <v>11925</v>
      </c>
      <c r="B40" s="159">
        <v>11934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</row>
    <row r="41" spans="1:53" ht="15.75" thickBot="1">
      <c r="A41" s="159">
        <v>11925</v>
      </c>
      <c r="B41" s="159">
        <v>11935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</row>
    <row r="42" spans="1:53" ht="15.75" thickBot="1">
      <c r="A42" s="159">
        <v>11925</v>
      </c>
      <c r="B42" s="159">
        <v>11936</v>
      </c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</row>
    <row r="43" spans="1:53" ht="15.75" thickBot="1">
      <c r="A43" s="159">
        <v>11925</v>
      </c>
      <c r="B43" s="159">
        <v>11937</v>
      </c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</row>
    <row r="44" spans="1:53" ht="15.75" thickBot="1">
      <c r="A44" s="159">
        <v>11939</v>
      </c>
      <c r="B44" s="159">
        <v>11943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</row>
    <row r="45" spans="1:53" ht="15.75" thickBot="1">
      <c r="A45" s="159">
        <v>11939</v>
      </c>
      <c r="B45" s="159">
        <v>11944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</row>
    <row r="46" spans="1:53" ht="15.75" thickBot="1">
      <c r="A46" s="159">
        <v>11939</v>
      </c>
      <c r="B46" s="159">
        <v>11945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</row>
    <row r="47" spans="1:53" ht="15.75" thickBot="1">
      <c r="A47" s="159">
        <v>11939</v>
      </c>
      <c r="B47" s="159">
        <v>11946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</row>
    <row r="48" spans="1:53" ht="15.75" thickBot="1">
      <c r="A48" s="159">
        <v>11939</v>
      </c>
      <c r="B48" s="159">
        <v>11947</v>
      </c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</row>
    <row r="49" spans="1:53" ht="15.75" thickBot="1">
      <c r="A49" s="159">
        <v>11939</v>
      </c>
      <c r="B49" s="159">
        <v>11948</v>
      </c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</row>
    <row r="50" spans="1:53" ht="15.75" thickBot="1">
      <c r="A50" s="159">
        <v>11939</v>
      </c>
      <c r="B50" s="159">
        <v>11949</v>
      </c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</row>
    <row r="51" spans="1:53" ht="15.75" thickBot="1">
      <c r="A51" s="159">
        <v>11939</v>
      </c>
      <c r="B51" s="159">
        <v>11950</v>
      </c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</row>
    <row r="52" spans="1:53" ht="15.75" thickBot="1">
      <c r="A52" s="159">
        <v>11939</v>
      </c>
      <c r="B52" s="159">
        <v>11979</v>
      </c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</row>
    <row r="53" spans="1:53" ht="15.75" thickBot="1">
      <c r="A53" s="159">
        <v>11939</v>
      </c>
      <c r="B53" s="159">
        <v>11980</v>
      </c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</row>
    <row r="54" spans="1:53" ht="15.75" thickBot="1">
      <c r="A54" s="159">
        <v>11939</v>
      </c>
      <c r="B54" s="159">
        <v>11981</v>
      </c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</row>
    <row r="55" spans="1:53" ht="15.75" thickBot="1">
      <c r="A55" s="159">
        <v>11342</v>
      </c>
      <c r="B55" s="159">
        <v>11343</v>
      </c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</row>
    <row r="56" spans="1:53" ht="15.75" thickBot="1">
      <c r="A56" s="159">
        <v>11342</v>
      </c>
      <c r="B56" s="159">
        <v>11344</v>
      </c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</row>
    <row r="57" spans="1:53" ht="15.75" thickBot="1">
      <c r="A57" s="159">
        <v>11342</v>
      </c>
      <c r="B57" s="159">
        <v>11345</v>
      </c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30" width="11.5703125" style="2" customWidth="1"/>
    <col min="31" max="16384" width="9" style="2"/>
  </cols>
  <sheetData>
    <row r="1" spans="1:30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622</v>
      </c>
      <c r="M1" s="20" t="s">
        <v>10</v>
      </c>
      <c r="N1" s="20" t="s">
        <v>12</v>
      </c>
      <c r="O1" s="20" t="s">
        <v>6</v>
      </c>
      <c r="P1" s="20" t="s">
        <v>8</v>
      </c>
      <c r="Q1" s="20" t="s">
        <v>1164</v>
      </c>
      <c r="R1" s="20" t="s">
        <v>396</v>
      </c>
      <c r="S1" s="20" t="s">
        <v>13</v>
      </c>
      <c r="T1" s="20" t="s">
        <v>14</v>
      </c>
      <c r="U1" s="20" t="s">
        <v>637</v>
      </c>
      <c r="V1" s="20" t="s">
        <v>933</v>
      </c>
      <c r="W1" s="20" t="s">
        <v>372</v>
      </c>
      <c r="X1" s="20" t="s">
        <v>16</v>
      </c>
      <c r="Y1" s="20" t="s">
        <v>789</v>
      </c>
      <c r="Z1" s="20" t="s">
        <v>11</v>
      </c>
      <c r="AA1" s="20" t="s">
        <v>15</v>
      </c>
      <c r="AB1" s="20" t="s">
        <v>1171</v>
      </c>
      <c r="AC1" s="20" t="s">
        <v>19</v>
      </c>
      <c r="AD1" s="20" t="s">
        <v>30</v>
      </c>
    </row>
    <row r="2" spans="1:30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21"/>
      <c r="I2" s="21"/>
      <c r="J2" s="19"/>
      <c r="K2" s="19"/>
      <c r="L2" s="21"/>
      <c r="M2" s="22"/>
      <c r="N2" s="21"/>
      <c r="O2" s="21"/>
      <c r="P2" s="21"/>
      <c r="Q2" s="21"/>
      <c r="R2" s="19"/>
      <c r="S2" s="21"/>
      <c r="T2" s="21"/>
      <c r="U2" s="21"/>
      <c r="V2" s="21"/>
      <c r="W2" s="21"/>
      <c r="Y2" s="21"/>
      <c r="Z2" s="21"/>
      <c r="AA2" s="21"/>
      <c r="AB2" s="21"/>
      <c r="AC2" s="21"/>
      <c r="AD2" s="21"/>
    </row>
    <row r="3" spans="1:30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21"/>
      <c r="I3" s="21"/>
      <c r="J3" s="19"/>
      <c r="K3" s="19"/>
      <c r="L3" s="21"/>
      <c r="M3" s="22"/>
      <c r="N3" s="21"/>
      <c r="O3" s="21"/>
      <c r="P3" s="21"/>
      <c r="Q3" s="21"/>
      <c r="R3" s="19"/>
      <c r="S3" s="21"/>
      <c r="T3" s="21"/>
      <c r="U3" s="21"/>
      <c r="V3" s="21"/>
      <c r="W3" s="21"/>
      <c r="Y3" s="21"/>
      <c r="Z3" s="21"/>
      <c r="AA3" s="21"/>
      <c r="AB3" s="21"/>
      <c r="AC3" s="21"/>
      <c r="AD3" s="21"/>
    </row>
    <row r="4" spans="1:30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21"/>
      <c r="I4" s="21"/>
      <c r="J4" s="19"/>
      <c r="K4" s="19"/>
      <c r="L4" s="21"/>
      <c r="M4" s="22"/>
      <c r="N4" s="21"/>
      <c r="O4" s="21"/>
      <c r="P4" s="21"/>
      <c r="Q4" s="21"/>
      <c r="R4" s="19"/>
      <c r="S4" s="21"/>
      <c r="T4" s="21"/>
      <c r="U4" s="21"/>
      <c r="V4" s="21"/>
      <c r="W4" s="21"/>
      <c r="Y4" s="21"/>
      <c r="Z4" s="21"/>
      <c r="AA4" s="21"/>
      <c r="AB4" s="21"/>
      <c r="AC4" s="21"/>
      <c r="AD4" s="21"/>
    </row>
    <row r="5" spans="1:30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21"/>
      <c r="I5" s="21"/>
      <c r="J5" s="19"/>
      <c r="K5" s="19"/>
      <c r="L5" s="21"/>
      <c r="M5" s="22"/>
      <c r="N5" s="21"/>
      <c r="O5" s="21"/>
      <c r="P5" s="21"/>
      <c r="Q5" s="21"/>
      <c r="R5" s="19"/>
      <c r="S5" s="21"/>
      <c r="T5" s="21"/>
      <c r="U5" s="21"/>
      <c r="V5" s="21"/>
      <c r="W5" s="21"/>
      <c r="Y5" s="21"/>
      <c r="Z5" s="21"/>
      <c r="AA5" s="21"/>
      <c r="AB5" s="21"/>
      <c r="AC5" s="21"/>
      <c r="AD5" s="21"/>
    </row>
    <row r="6" spans="1:30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21"/>
      <c r="I6" s="21"/>
      <c r="J6" s="19"/>
      <c r="K6" s="19"/>
      <c r="L6" s="21"/>
      <c r="M6" s="22"/>
      <c r="N6" s="21"/>
      <c r="O6" s="21"/>
      <c r="P6" s="21"/>
      <c r="Q6" s="21"/>
      <c r="R6" s="19"/>
      <c r="S6" s="21"/>
      <c r="T6" s="21"/>
      <c r="U6" s="21"/>
      <c r="V6" s="21"/>
      <c r="W6" s="21"/>
      <c r="Y6" s="21"/>
      <c r="Z6" s="21"/>
      <c r="AA6" s="21"/>
      <c r="AB6" s="21"/>
      <c r="AC6" s="21"/>
      <c r="AD6" s="21"/>
    </row>
    <row r="7" spans="1:30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21"/>
      <c r="I7" s="21"/>
      <c r="J7" s="19"/>
      <c r="K7" s="19"/>
      <c r="L7" s="21"/>
      <c r="M7" s="22"/>
      <c r="N7" s="21"/>
      <c r="O7" s="21"/>
      <c r="P7" s="21"/>
      <c r="Q7" s="21"/>
      <c r="R7" s="19"/>
      <c r="S7" s="21"/>
      <c r="T7" s="21"/>
      <c r="U7" s="21"/>
      <c r="V7" s="21"/>
      <c r="W7" s="21"/>
      <c r="Y7" s="21"/>
      <c r="Z7" s="21"/>
      <c r="AA7" s="21"/>
      <c r="AB7" s="21"/>
      <c r="AC7" s="21"/>
      <c r="AD7" s="21"/>
    </row>
    <row r="8" spans="1:30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21"/>
      <c r="I8" s="21"/>
      <c r="J8" s="19"/>
      <c r="K8" s="19"/>
      <c r="L8" s="21"/>
      <c r="M8" s="22"/>
      <c r="N8" s="21"/>
      <c r="O8" s="21"/>
      <c r="P8" s="21"/>
      <c r="Q8" s="21"/>
      <c r="R8" s="19"/>
      <c r="S8" s="21"/>
      <c r="T8" s="21"/>
      <c r="U8" s="21"/>
      <c r="V8" s="21"/>
      <c r="W8" s="21"/>
      <c r="Y8" s="21"/>
      <c r="Z8" s="21"/>
      <c r="AA8" s="21"/>
      <c r="AB8" s="21"/>
      <c r="AC8" s="21"/>
      <c r="AD8" s="21"/>
    </row>
    <row r="9" spans="1:30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21"/>
      <c r="I9" s="21"/>
      <c r="J9" s="19"/>
      <c r="K9" s="19"/>
      <c r="L9" s="21"/>
      <c r="M9" s="22"/>
      <c r="N9" s="21"/>
      <c r="O9" s="21"/>
      <c r="P9" s="21"/>
      <c r="Q9" s="21"/>
      <c r="R9" s="19"/>
      <c r="S9" s="21"/>
      <c r="T9" s="21"/>
      <c r="U9" s="21"/>
      <c r="V9" s="21"/>
      <c r="W9" s="21"/>
      <c r="Y9" s="21"/>
      <c r="Z9" s="21"/>
      <c r="AA9" s="21"/>
      <c r="AB9" s="21"/>
      <c r="AC9" s="21"/>
      <c r="AD9" s="21"/>
    </row>
    <row r="10" spans="1:30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21"/>
      <c r="I10" s="21"/>
      <c r="J10" s="19"/>
      <c r="K10" s="19"/>
      <c r="L10" s="21"/>
      <c r="M10" s="22"/>
      <c r="N10" s="21"/>
      <c r="O10" s="21"/>
      <c r="P10" s="21"/>
      <c r="Q10" s="21"/>
      <c r="R10" s="19"/>
      <c r="S10" s="21"/>
      <c r="T10" s="21"/>
      <c r="U10" s="21"/>
      <c r="V10" s="21"/>
      <c r="W10" s="21"/>
      <c r="Y10" s="21"/>
      <c r="Z10" s="21"/>
      <c r="AA10" s="21"/>
      <c r="AB10" s="21"/>
      <c r="AC10" s="21"/>
      <c r="AD10" s="21"/>
    </row>
    <row r="11" spans="1:30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21"/>
      <c r="I11" s="21"/>
      <c r="J11" s="19"/>
      <c r="K11" s="19"/>
      <c r="L11" s="21"/>
      <c r="M11" s="22"/>
      <c r="N11" s="21"/>
      <c r="O11" s="21"/>
      <c r="P11" s="21"/>
      <c r="Q11" s="21"/>
      <c r="R11" s="19"/>
      <c r="S11" s="21"/>
      <c r="T11" s="21"/>
      <c r="U11" s="21"/>
      <c r="V11" s="21"/>
      <c r="W11" s="21"/>
      <c r="Y11" s="21"/>
      <c r="Z11" s="21"/>
      <c r="AA11" s="21"/>
      <c r="AB11" s="21"/>
      <c r="AC11" s="21"/>
      <c r="AD11" s="21"/>
    </row>
    <row r="12" spans="1:30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21"/>
      <c r="I12" s="21"/>
      <c r="J12" s="19"/>
      <c r="K12" s="19"/>
      <c r="L12" s="21"/>
      <c r="M12" s="22"/>
      <c r="N12" s="21"/>
      <c r="O12" s="21"/>
      <c r="P12" s="21"/>
      <c r="Q12" s="21"/>
      <c r="R12" s="19"/>
      <c r="S12" s="21"/>
      <c r="T12" s="21"/>
      <c r="U12" s="21"/>
      <c r="V12" s="21"/>
      <c r="W12" s="21"/>
      <c r="Y12" s="21"/>
      <c r="Z12" s="21"/>
      <c r="AA12" s="21"/>
      <c r="AB12" s="21"/>
      <c r="AC12" s="21"/>
      <c r="AD12" s="21"/>
    </row>
    <row r="13" spans="1:30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21"/>
      <c r="I13" s="21"/>
      <c r="J13" s="19"/>
      <c r="K13" s="19"/>
      <c r="L13" s="21"/>
      <c r="M13" s="22"/>
      <c r="N13" s="21"/>
      <c r="O13" s="21"/>
      <c r="P13" s="21"/>
      <c r="Q13" s="21"/>
      <c r="R13" s="19"/>
      <c r="S13" s="21"/>
      <c r="T13" s="21"/>
      <c r="U13" s="21"/>
      <c r="V13" s="21"/>
      <c r="W13" s="21"/>
      <c r="Y13" s="21"/>
      <c r="Z13" s="21"/>
      <c r="AA13" s="21"/>
      <c r="AB13" s="21"/>
      <c r="AC13" s="21"/>
      <c r="AD13" s="21"/>
    </row>
    <row r="14" spans="1:30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21"/>
      <c r="I14" s="21"/>
      <c r="J14" s="19"/>
      <c r="K14" s="19"/>
      <c r="L14" s="21"/>
      <c r="M14" s="22"/>
      <c r="N14" s="21"/>
      <c r="O14" s="21"/>
      <c r="P14" s="21"/>
      <c r="Q14" s="21"/>
      <c r="R14" s="19"/>
      <c r="S14" s="21"/>
      <c r="T14" s="21"/>
      <c r="U14" s="21"/>
      <c r="V14" s="21"/>
      <c r="W14" s="21"/>
      <c r="Y14" s="21"/>
      <c r="Z14" s="21"/>
      <c r="AA14" s="21"/>
      <c r="AB14" s="21"/>
      <c r="AC14" s="21"/>
      <c r="AD14" s="21"/>
    </row>
    <row r="15" spans="1:30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21"/>
      <c r="I15" s="21"/>
      <c r="J15" s="19"/>
      <c r="K15" s="19"/>
      <c r="L15" s="21"/>
      <c r="M15" s="22"/>
      <c r="N15" s="21"/>
      <c r="O15" s="21"/>
      <c r="P15" s="21"/>
      <c r="Q15" s="21"/>
      <c r="R15" s="19"/>
      <c r="S15" s="21"/>
      <c r="T15" s="21"/>
      <c r="U15" s="21"/>
      <c r="V15" s="21"/>
      <c r="W15" s="21"/>
      <c r="Y15" s="21"/>
      <c r="Z15" s="21"/>
      <c r="AA15" s="21"/>
      <c r="AB15" s="21"/>
      <c r="AC15" s="21"/>
      <c r="AD15" s="21"/>
    </row>
    <row r="16" spans="1:30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21"/>
      <c r="I16" s="21"/>
      <c r="J16" s="19"/>
      <c r="K16" s="19"/>
      <c r="L16" s="21"/>
      <c r="M16" s="22"/>
      <c r="N16" s="21"/>
      <c r="O16" s="21"/>
      <c r="P16" s="21"/>
      <c r="Q16" s="21"/>
      <c r="R16" s="19"/>
      <c r="S16" s="21"/>
      <c r="T16" s="21"/>
      <c r="U16" s="21"/>
      <c r="V16" s="21"/>
      <c r="W16" s="21"/>
      <c r="Y16" s="21"/>
      <c r="Z16" s="21"/>
      <c r="AA16" s="21"/>
      <c r="AB16" s="21"/>
      <c r="AC16" s="21"/>
      <c r="AD16" s="21"/>
    </row>
    <row r="17" spans="1:30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21"/>
      <c r="I17" s="21"/>
      <c r="J17" s="19"/>
      <c r="K17" s="19"/>
      <c r="L17" s="21"/>
      <c r="M17" s="22"/>
      <c r="N17" s="21"/>
      <c r="O17" s="21"/>
      <c r="P17" s="21"/>
      <c r="Q17" s="21"/>
      <c r="R17" s="19"/>
      <c r="S17" s="21"/>
      <c r="T17" s="21"/>
      <c r="U17" s="21"/>
      <c r="V17" s="21"/>
      <c r="W17" s="21"/>
      <c r="Y17" s="21"/>
      <c r="Z17" s="21"/>
      <c r="AA17" s="21"/>
      <c r="AB17" s="21"/>
      <c r="AC17" s="21"/>
      <c r="AD17" s="21"/>
    </row>
    <row r="18" spans="1:30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21"/>
      <c r="I18" s="21"/>
      <c r="J18" s="19"/>
      <c r="K18" s="19"/>
      <c r="L18" s="21"/>
      <c r="M18" s="22"/>
      <c r="N18" s="21"/>
      <c r="O18" s="21"/>
      <c r="P18" s="21"/>
      <c r="Q18" s="21"/>
      <c r="R18" s="19"/>
      <c r="S18" s="21"/>
      <c r="T18" s="21"/>
      <c r="U18" s="21"/>
      <c r="V18" s="21"/>
      <c r="W18" s="21"/>
      <c r="Y18" s="21"/>
      <c r="Z18" s="21"/>
      <c r="AA18" s="21"/>
      <c r="AB18" s="21"/>
      <c r="AC18" s="21"/>
      <c r="AD18" s="21"/>
    </row>
    <row r="19" spans="1:30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21"/>
      <c r="I19" s="21"/>
      <c r="J19" s="19"/>
      <c r="K19" s="19"/>
      <c r="L19" s="21"/>
      <c r="M19" s="22"/>
      <c r="N19" s="21"/>
      <c r="O19" s="21"/>
      <c r="P19" s="21"/>
      <c r="Q19" s="21"/>
      <c r="R19" s="19"/>
      <c r="S19" s="21"/>
      <c r="T19" s="21"/>
      <c r="U19" s="21"/>
      <c r="V19" s="21"/>
      <c r="W19" s="21"/>
      <c r="Y19" s="21"/>
      <c r="Z19" s="21"/>
      <c r="AA19" s="21"/>
      <c r="AB19" s="21"/>
      <c r="AC19" s="21"/>
      <c r="AD19" s="21"/>
    </row>
    <row r="20" spans="1:30" ht="15.75" thickBot="1">
      <c r="A20" s="159">
        <v>11925</v>
      </c>
      <c r="B20" s="159">
        <v>11933</v>
      </c>
      <c r="E20" s="19"/>
      <c r="H20" s="21"/>
      <c r="I20" s="21"/>
      <c r="J20" s="19"/>
      <c r="K20" s="19"/>
      <c r="L20" s="21"/>
      <c r="M20" s="22"/>
      <c r="P20" s="21"/>
      <c r="Q20" s="21"/>
      <c r="V20" s="21"/>
      <c r="W20" s="21"/>
    </row>
    <row r="21" spans="1:30" customFormat="1" ht="15.75" thickBot="1">
      <c r="A21" s="159">
        <v>11925</v>
      </c>
      <c r="B21" s="159">
        <v>11934</v>
      </c>
    </row>
    <row r="22" spans="1:30" ht="15.75" thickBot="1">
      <c r="A22" s="159">
        <v>11925</v>
      </c>
      <c r="B22" s="159">
        <v>11935</v>
      </c>
    </row>
    <row r="23" spans="1:30" ht="15.75" thickBot="1">
      <c r="A23" s="159">
        <v>11925</v>
      </c>
      <c r="B23" s="159">
        <v>11936</v>
      </c>
    </row>
    <row r="24" spans="1:30" ht="15.75" thickBot="1">
      <c r="A24" s="159">
        <v>11925</v>
      </c>
      <c r="B24" s="159">
        <v>11937</v>
      </c>
    </row>
    <row r="25" spans="1:30" ht="15.75" thickBot="1">
      <c r="A25" s="159">
        <v>11939</v>
      </c>
      <c r="B25" s="159">
        <v>11942</v>
      </c>
    </row>
    <row r="26" spans="1:30" ht="15.75" thickBot="1">
      <c r="A26" s="159">
        <v>11939</v>
      </c>
      <c r="B26" s="159">
        <v>11943</v>
      </c>
    </row>
    <row r="27" spans="1:30" ht="15.75" thickBot="1">
      <c r="A27" s="159">
        <v>11939</v>
      </c>
      <c r="B27" s="159">
        <v>11944</v>
      </c>
    </row>
    <row r="28" spans="1:30" ht="15.75" thickBot="1">
      <c r="A28" s="159">
        <v>11939</v>
      </c>
      <c r="B28" s="159">
        <v>11945</v>
      </c>
    </row>
    <row r="29" spans="1:30" ht="15.75" thickBot="1">
      <c r="A29" s="159">
        <v>11939</v>
      </c>
      <c r="B29" s="159">
        <v>11946</v>
      </c>
    </row>
    <row r="30" spans="1:30" ht="15.75" thickBot="1">
      <c r="A30" s="159">
        <v>11939</v>
      </c>
      <c r="B30" s="159">
        <v>11947</v>
      </c>
    </row>
    <row r="31" spans="1:30" ht="15.75" thickBot="1">
      <c r="A31" s="159">
        <v>11939</v>
      </c>
      <c r="B31" s="159">
        <v>11948</v>
      </c>
    </row>
    <row r="32" spans="1:30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39"/>
  <sheetViews>
    <sheetView rightToLeft="1" workbookViewId="0">
      <selection activeCell="A2" sqref="A2:B39"/>
    </sheetView>
  </sheetViews>
  <sheetFormatPr defaultColWidth="9" defaultRowHeight="15"/>
  <cols>
    <col min="1" max="2" width="11.5703125" style="2" customWidth="1"/>
    <col min="3" max="3" width="11.5703125" style="43" customWidth="1"/>
    <col min="4" max="4" width="11.5703125" style="2" customWidth="1"/>
    <col min="5" max="5" width="11.5703125" style="4" customWidth="1"/>
    <col min="6" max="22" width="11.5703125" style="2" customWidth="1"/>
    <col min="23" max="16384" width="9" style="2"/>
  </cols>
  <sheetData>
    <row r="1" spans="1:23" ht="66.75" customHeight="1">
      <c r="A1" s="20" t="s">
        <v>667</v>
      </c>
      <c r="B1" s="20" t="s">
        <v>0</v>
      </c>
      <c r="C1" s="20" t="s">
        <v>739</v>
      </c>
      <c r="D1" s="20" t="s">
        <v>757</v>
      </c>
      <c r="E1" s="20" t="s">
        <v>758</v>
      </c>
      <c r="F1" s="20" t="s">
        <v>1</v>
      </c>
      <c r="G1" s="20" t="s">
        <v>641</v>
      </c>
      <c r="H1" s="20" t="s">
        <v>620</v>
      </c>
      <c r="I1" s="20" t="s">
        <v>621</v>
      </c>
      <c r="J1" s="20" t="s">
        <v>622</v>
      </c>
      <c r="K1" s="20" t="s">
        <v>788</v>
      </c>
      <c r="L1" s="20" t="s">
        <v>8</v>
      </c>
      <c r="M1" s="20" t="s">
        <v>396</v>
      </c>
      <c r="N1" s="20" t="s">
        <v>13</v>
      </c>
      <c r="O1" s="20" t="s">
        <v>14</v>
      </c>
      <c r="P1" s="20" t="s">
        <v>637</v>
      </c>
      <c r="Q1" s="20" t="s">
        <v>938</v>
      </c>
      <c r="R1" s="20" t="s">
        <v>11</v>
      </c>
      <c r="S1" s="20" t="s">
        <v>811</v>
      </c>
      <c r="T1" s="20" t="s">
        <v>1171</v>
      </c>
      <c r="U1" s="20" t="s">
        <v>19</v>
      </c>
      <c r="V1" s="20" t="s">
        <v>30</v>
      </c>
    </row>
    <row r="2" spans="1:23" ht="15.75" thickBot="1">
      <c r="A2" s="159">
        <v>7891</v>
      </c>
      <c r="B2" s="159">
        <v>7892</v>
      </c>
      <c r="C2" s="22"/>
      <c r="D2" s="43"/>
      <c r="E2" s="32"/>
      <c r="F2" s="21"/>
      <c r="G2" s="21"/>
      <c r="H2" s="32"/>
      <c r="I2" s="32"/>
      <c r="J2" s="21"/>
      <c r="K2" s="22"/>
      <c r="M2" s="19"/>
      <c r="N2" s="21"/>
      <c r="O2" s="22"/>
      <c r="P2" s="21"/>
      <c r="Q2"/>
      <c r="R2" s="21"/>
      <c r="S2" s="22"/>
      <c r="T2" s="21"/>
      <c r="U2" s="21"/>
      <c r="V2" s="21"/>
      <c r="W2" s="5"/>
    </row>
    <row r="3" spans="1:23" ht="15.75" thickBot="1">
      <c r="A3" s="159">
        <v>7891</v>
      </c>
      <c r="B3" s="159">
        <v>7893</v>
      </c>
      <c r="C3" s="22"/>
      <c r="E3" s="19"/>
      <c r="F3" s="21"/>
      <c r="G3" s="21"/>
      <c r="H3" s="32"/>
      <c r="I3" s="32"/>
      <c r="J3" s="21"/>
      <c r="K3" s="21"/>
      <c r="M3" s="19"/>
      <c r="N3" s="21"/>
      <c r="O3" s="21"/>
      <c r="P3" s="21"/>
      <c r="R3" s="21"/>
      <c r="S3"/>
      <c r="T3" s="21"/>
      <c r="U3" s="21"/>
      <c r="V3" s="21"/>
      <c r="W3" s="5"/>
    </row>
    <row r="4" spans="1:23" ht="15.75" thickBot="1">
      <c r="A4" s="159">
        <v>7891</v>
      </c>
      <c r="B4" s="159">
        <v>7894</v>
      </c>
      <c r="C4" s="22"/>
      <c r="E4" s="19"/>
      <c r="F4" s="21"/>
      <c r="G4" s="21"/>
      <c r="H4" s="32"/>
      <c r="I4" s="32"/>
      <c r="J4" s="21"/>
      <c r="K4" s="21"/>
      <c r="M4" s="19"/>
      <c r="N4" s="21"/>
      <c r="O4" s="21"/>
      <c r="P4" s="21"/>
      <c r="R4" s="21"/>
      <c r="S4"/>
      <c r="T4" s="21"/>
      <c r="U4" s="21"/>
      <c r="V4" s="21"/>
      <c r="W4" s="5"/>
    </row>
    <row r="5" spans="1:23" ht="15.75" thickBot="1">
      <c r="A5" s="159">
        <v>7891</v>
      </c>
      <c r="B5" s="159">
        <v>7895</v>
      </c>
      <c r="C5" s="22"/>
      <c r="E5" s="19"/>
      <c r="F5" s="21"/>
      <c r="G5" s="21"/>
      <c r="H5" s="32"/>
      <c r="I5" s="32"/>
      <c r="J5" s="21"/>
      <c r="K5" s="21"/>
      <c r="M5" s="19"/>
      <c r="N5" s="21"/>
      <c r="O5" s="21"/>
      <c r="P5" s="21"/>
      <c r="R5" s="21"/>
      <c r="S5"/>
      <c r="T5" s="21"/>
      <c r="U5" s="21"/>
      <c r="V5" s="21"/>
      <c r="W5" s="5"/>
    </row>
    <row r="6" spans="1:23" ht="15.75" thickBot="1">
      <c r="A6" s="159">
        <v>7891</v>
      </c>
      <c r="B6" s="159">
        <v>7896</v>
      </c>
      <c r="C6" s="22"/>
      <c r="E6" s="19"/>
      <c r="F6" s="21"/>
      <c r="G6" s="21"/>
      <c r="H6" s="32"/>
      <c r="I6" s="32"/>
      <c r="J6" s="21"/>
      <c r="K6" s="21"/>
      <c r="M6" s="19"/>
      <c r="N6" s="21"/>
      <c r="O6" s="21"/>
      <c r="P6" s="21"/>
      <c r="R6" s="21"/>
      <c r="S6"/>
      <c r="T6" s="21"/>
      <c r="U6" s="21"/>
      <c r="V6" s="21"/>
      <c r="W6" s="5"/>
    </row>
    <row r="7" spans="1:23" ht="15.75" thickBot="1">
      <c r="A7" s="159">
        <v>7891</v>
      </c>
      <c r="B7" s="159">
        <v>7897</v>
      </c>
      <c r="C7" s="22"/>
      <c r="E7" s="19"/>
      <c r="F7" s="21"/>
      <c r="G7" s="21"/>
      <c r="H7" s="32"/>
      <c r="I7" s="32"/>
      <c r="J7" s="21"/>
      <c r="K7" s="21"/>
      <c r="M7" s="19"/>
      <c r="N7" s="21"/>
      <c r="O7" s="21"/>
      <c r="P7" s="21"/>
      <c r="R7" s="21"/>
      <c r="S7" s="21"/>
      <c r="T7" s="21"/>
      <c r="U7" s="21"/>
      <c r="V7" s="21"/>
      <c r="W7" s="5"/>
    </row>
    <row r="8" spans="1:23" ht="15.75" thickBot="1">
      <c r="A8" s="159">
        <v>7891</v>
      </c>
      <c r="B8" s="159">
        <v>7898</v>
      </c>
      <c r="C8" s="22"/>
      <c r="E8" s="19"/>
      <c r="F8" s="21"/>
      <c r="G8" s="21"/>
      <c r="H8" s="32"/>
      <c r="I8" s="32"/>
      <c r="J8" s="21"/>
      <c r="K8" s="21"/>
      <c r="M8" s="19"/>
      <c r="N8" s="21"/>
      <c r="O8" s="21"/>
      <c r="P8" s="21"/>
      <c r="R8" s="21"/>
      <c r="S8" s="21"/>
      <c r="T8" s="21"/>
      <c r="U8" s="21"/>
      <c r="V8" s="21"/>
      <c r="W8" s="5"/>
    </row>
    <row r="9" spans="1:23" ht="15.75" thickBot="1">
      <c r="A9" s="159">
        <v>7891</v>
      </c>
      <c r="B9" s="159">
        <v>7899</v>
      </c>
      <c r="C9" s="22"/>
      <c r="E9" s="19"/>
      <c r="F9" s="21"/>
      <c r="G9" s="21"/>
      <c r="H9" s="32"/>
      <c r="I9" s="32"/>
      <c r="J9" s="21"/>
      <c r="K9" s="21"/>
      <c r="M9" s="19"/>
      <c r="N9" s="21"/>
      <c r="O9" s="21"/>
      <c r="P9" s="21"/>
      <c r="R9" s="21"/>
      <c r="S9" s="21"/>
      <c r="T9" s="21"/>
      <c r="U9" s="21"/>
      <c r="V9" s="21"/>
      <c r="W9" s="5"/>
    </row>
    <row r="10" spans="1:23" ht="15.75" thickBot="1">
      <c r="A10" s="159">
        <v>7891</v>
      </c>
      <c r="B10" s="159">
        <v>7900</v>
      </c>
      <c r="C10" s="22"/>
      <c r="E10" s="19"/>
      <c r="F10" s="21"/>
      <c r="G10" s="21"/>
      <c r="H10" s="32"/>
      <c r="I10" s="32"/>
      <c r="J10" s="21"/>
      <c r="K10" s="21"/>
      <c r="M10" s="19"/>
      <c r="N10" s="21"/>
      <c r="O10" s="21"/>
      <c r="P10" s="21"/>
      <c r="R10" s="21"/>
      <c r="S10" s="21"/>
      <c r="T10" s="21"/>
      <c r="U10" s="21"/>
      <c r="V10" s="21"/>
      <c r="W10" s="5"/>
    </row>
    <row r="11" spans="1:23" ht="15.75" thickBot="1">
      <c r="A11" s="159">
        <v>7891</v>
      </c>
      <c r="B11" s="159">
        <v>7901</v>
      </c>
      <c r="C11" s="22"/>
      <c r="E11" s="19"/>
      <c r="F11" s="21"/>
      <c r="G11" s="21"/>
      <c r="H11" s="32"/>
      <c r="I11" s="32"/>
      <c r="J11" s="21"/>
      <c r="K11" s="21"/>
      <c r="M11" s="19"/>
      <c r="N11" s="21"/>
      <c r="O11" s="21"/>
      <c r="P11" s="21"/>
      <c r="R11" s="21"/>
      <c r="S11" s="21"/>
      <c r="T11" s="21"/>
      <c r="U11" s="21"/>
      <c r="V11" s="21"/>
      <c r="W11" s="5"/>
    </row>
    <row r="12" spans="1:23" ht="15.75" thickBot="1">
      <c r="A12" s="159">
        <v>7891</v>
      </c>
      <c r="B12" s="159">
        <v>7902</v>
      </c>
      <c r="C12" s="22"/>
      <c r="E12" s="19"/>
      <c r="F12" s="21"/>
      <c r="G12" s="21"/>
      <c r="H12" s="32"/>
      <c r="I12" s="32"/>
      <c r="J12" s="21"/>
      <c r="K12" s="21"/>
      <c r="M12" s="19"/>
      <c r="N12" s="21"/>
      <c r="O12" s="21"/>
      <c r="P12" s="21"/>
      <c r="R12" s="21"/>
      <c r="S12" s="21"/>
      <c r="T12" s="21"/>
      <c r="U12" s="21"/>
      <c r="V12" s="21"/>
      <c r="W12" s="5"/>
    </row>
    <row r="13" spans="1:23" ht="15.75" thickBot="1">
      <c r="A13" s="159">
        <v>11925</v>
      </c>
      <c r="B13" s="159">
        <v>11926</v>
      </c>
      <c r="C13" s="22"/>
      <c r="E13" s="19"/>
      <c r="F13" s="21"/>
      <c r="G13" s="21"/>
      <c r="H13" s="32"/>
      <c r="I13" s="32"/>
      <c r="J13" s="21"/>
      <c r="K13" s="21"/>
      <c r="M13" s="19"/>
      <c r="N13" s="21"/>
      <c r="O13" s="21"/>
      <c r="P13" s="21"/>
      <c r="R13" s="21"/>
      <c r="S13" s="21"/>
      <c r="T13" s="21"/>
      <c r="U13" s="21"/>
      <c r="V13" s="21"/>
      <c r="W13" s="5"/>
    </row>
    <row r="14" spans="1:23" ht="15.75" thickBot="1">
      <c r="A14" s="159">
        <v>11925</v>
      </c>
      <c r="B14" s="159">
        <v>11927</v>
      </c>
      <c r="C14" s="22"/>
      <c r="E14" s="19"/>
      <c r="F14" s="21"/>
      <c r="G14" s="21"/>
      <c r="H14" s="32"/>
      <c r="I14" s="32"/>
      <c r="J14" s="21"/>
      <c r="K14" s="21"/>
      <c r="M14" s="19"/>
      <c r="N14" s="21"/>
      <c r="O14" s="21"/>
      <c r="P14" s="21"/>
      <c r="R14" s="21"/>
      <c r="S14" s="21"/>
      <c r="T14" s="21"/>
      <c r="U14" s="21"/>
      <c r="V14" s="21"/>
      <c r="W14" s="5"/>
    </row>
    <row r="15" spans="1:23" ht="15.75" thickBot="1">
      <c r="A15" s="159">
        <v>11925</v>
      </c>
      <c r="B15" s="159">
        <v>11928</v>
      </c>
      <c r="C15" s="22"/>
      <c r="E15" s="19"/>
      <c r="F15" s="21"/>
      <c r="G15" s="21"/>
      <c r="H15" s="32"/>
      <c r="I15" s="32"/>
      <c r="J15" s="21"/>
      <c r="K15" s="21"/>
      <c r="M15" s="19"/>
      <c r="N15" s="21"/>
      <c r="O15" s="21"/>
      <c r="P15" s="21"/>
      <c r="R15" s="21"/>
      <c r="S15" s="21"/>
      <c r="T15" s="21"/>
      <c r="U15" s="21"/>
      <c r="V15" s="21"/>
      <c r="W15" s="5"/>
    </row>
    <row r="16" spans="1:23" ht="15.75" thickBot="1">
      <c r="A16" s="159">
        <v>11925</v>
      </c>
      <c r="B16" s="159">
        <v>11929</v>
      </c>
      <c r="C16" s="22"/>
      <c r="E16" s="19"/>
      <c r="F16" s="21"/>
      <c r="G16" s="21"/>
      <c r="H16" s="32"/>
      <c r="I16" s="32"/>
      <c r="J16" s="21"/>
      <c r="K16" s="21"/>
      <c r="M16" s="19"/>
      <c r="N16" s="21"/>
      <c r="O16" s="21"/>
      <c r="P16" s="21"/>
      <c r="R16" s="21"/>
      <c r="S16" s="21"/>
      <c r="T16" s="21"/>
      <c r="U16" s="21"/>
      <c r="V16" s="21"/>
      <c r="W16" s="5"/>
    </row>
    <row r="17" spans="1:23" ht="15.75" thickBot="1">
      <c r="A17" s="159">
        <v>11925</v>
      </c>
      <c r="B17" s="159">
        <v>11930</v>
      </c>
      <c r="C17" s="22"/>
      <c r="E17" s="19"/>
      <c r="F17" s="21"/>
      <c r="G17" s="21"/>
      <c r="H17" s="32"/>
      <c r="I17" s="32"/>
      <c r="J17" s="21"/>
      <c r="K17" s="21"/>
      <c r="M17" s="19"/>
      <c r="N17" s="21"/>
      <c r="O17" s="21"/>
      <c r="P17" s="21"/>
      <c r="R17" s="21"/>
      <c r="S17" s="21"/>
      <c r="T17" s="21"/>
      <c r="U17" s="21"/>
      <c r="V17" s="21"/>
      <c r="W17" s="5"/>
    </row>
    <row r="18" spans="1:23" ht="15.75" thickBot="1">
      <c r="A18" s="159">
        <v>11925</v>
      </c>
      <c r="B18" s="159">
        <v>11931</v>
      </c>
      <c r="C18" s="22"/>
      <c r="E18" s="19"/>
      <c r="F18" s="21"/>
      <c r="G18" s="21"/>
      <c r="H18" s="32"/>
      <c r="I18" s="32"/>
      <c r="J18" s="21"/>
      <c r="K18" s="21"/>
      <c r="M18" s="19"/>
      <c r="N18" s="21"/>
      <c r="O18" s="21"/>
      <c r="P18" s="21"/>
      <c r="R18" s="21"/>
      <c r="S18" s="21"/>
      <c r="T18" s="21"/>
      <c r="U18" s="21"/>
      <c r="V18" s="21"/>
      <c r="W18" s="5"/>
    </row>
    <row r="19" spans="1:23" ht="15.75" thickBot="1">
      <c r="A19" s="159">
        <v>11925</v>
      </c>
      <c r="B19" s="159">
        <v>11932</v>
      </c>
      <c r="C19" s="22"/>
      <c r="E19" s="19"/>
      <c r="F19" s="21"/>
      <c r="G19" s="21"/>
      <c r="H19" s="32"/>
      <c r="I19" s="32"/>
      <c r="J19" s="21"/>
      <c r="K19" s="21"/>
      <c r="M19" s="19"/>
      <c r="N19" s="21"/>
      <c r="O19" s="21"/>
      <c r="P19" s="21"/>
      <c r="R19" s="21"/>
      <c r="S19" s="21"/>
      <c r="T19" s="21"/>
      <c r="U19" s="21"/>
      <c r="V19" s="21"/>
      <c r="W19" s="5"/>
    </row>
    <row r="20" spans="1:23" ht="15.75" thickBot="1">
      <c r="A20" s="159">
        <v>11925</v>
      </c>
      <c r="B20" s="159">
        <v>11933</v>
      </c>
      <c r="E20" s="19"/>
      <c r="F20" s="21"/>
      <c r="H20" s="32"/>
      <c r="I20" s="32"/>
      <c r="J20" s="21"/>
    </row>
    <row r="21" spans="1:23" s="43" customFormat="1" ht="15.75" thickBot="1">
      <c r="A21" s="159">
        <v>11925</v>
      </c>
      <c r="B21" s="159">
        <v>11934</v>
      </c>
      <c r="E21" s="46"/>
      <c r="L21" s="42"/>
    </row>
    <row r="22" spans="1:23" ht="15.75" thickBot="1">
      <c r="A22" s="159">
        <v>11925</v>
      </c>
      <c r="B22" s="159">
        <v>11935</v>
      </c>
    </row>
    <row r="23" spans="1:23" ht="15.75" thickBot="1">
      <c r="A23" s="159">
        <v>11925</v>
      </c>
      <c r="B23" s="159">
        <v>11936</v>
      </c>
    </row>
    <row r="24" spans="1:23" ht="15.75" thickBot="1">
      <c r="A24" s="159">
        <v>11925</v>
      </c>
      <c r="B24" s="159">
        <v>11937</v>
      </c>
    </row>
    <row r="25" spans="1:23" ht="15.75" thickBot="1">
      <c r="A25" s="159">
        <v>11939</v>
      </c>
      <c r="B25" s="159">
        <v>11942</v>
      </c>
    </row>
    <row r="26" spans="1:23" ht="15.75" thickBot="1">
      <c r="A26" s="159">
        <v>11939</v>
      </c>
      <c r="B26" s="159">
        <v>11943</v>
      </c>
    </row>
    <row r="27" spans="1:23" ht="15.75" thickBot="1">
      <c r="A27" s="159">
        <v>11939</v>
      </c>
      <c r="B27" s="159">
        <v>11944</v>
      </c>
    </row>
    <row r="28" spans="1:23" ht="15.75" thickBot="1">
      <c r="A28" s="159">
        <v>11939</v>
      </c>
      <c r="B28" s="159">
        <v>11945</v>
      </c>
    </row>
    <row r="29" spans="1:23" ht="15.75" thickBot="1">
      <c r="A29" s="159">
        <v>11939</v>
      </c>
      <c r="B29" s="159">
        <v>11946</v>
      </c>
    </row>
    <row r="30" spans="1:23" ht="15.75" thickBot="1">
      <c r="A30" s="159">
        <v>11939</v>
      </c>
      <c r="B30" s="159">
        <v>11947</v>
      </c>
    </row>
    <row r="31" spans="1:23" ht="15.75" thickBot="1">
      <c r="A31" s="159">
        <v>11939</v>
      </c>
      <c r="B31" s="159">
        <v>11948</v>
      </c>
    </row>
    <row r="32" spans="1:23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39"/>
  <sheetViews>
    <sheetView rightToLeft="1" workbookViewId="0">
      <selection activeCell="A2" sqref="A2:B39"/>
    </sheetView>
  </sheetViews>
  <sheetFormatPr defaultColWidth="9" defaultRowHeight="15"/>
  <cols>
    <col min="1" max="24" width="11.5703125" style="2" customWidth="1"/>
    <col min="25" max="16384" width="9" style="2"/>
  </cols>
  <sheetData>
    <row r="1" spans="1:25" ht="66.75" customHeight="1">
      <c r="A1" s="20" t="s">
        <v>667</v>
      </c>
      <c r="B1" s="20" t="s">
        <v>0</v>
      </c>
      <c r="C1" s="20" t="s">
        <v>299</v>
      </c>
      <c r="D1" s="20" t="s">
        <v>1</v>
      </c>
      <c r="E1" s="20" t="s">
        <v>798</v>
      </c>
      <c r="F1" s="20" t="s">
        <v>622</v>
      </c>
      <c r="G1" s="20" t="s">
        <v>12</v>
      </c>
      <c r="H1" s="20" t="s">
        <v>24</v>
      </c>
      <c r="I1" s="20" t="s">
        <v>286</v>
      </c>
      <c r="J1" s="20" t="s">
        <v>25</v>
      </c>
      <c r="K1" s="20" t="s">
        <v>966</v>
      </c>
      <c r="L1" s="20" t="s">
        <v>1167</v>
      </c>
      <c r="M1" s="20" t="s">
        <v>933</v>
      </c>
      <c r="N1" s="20" t="s">
        <v>747</v>
      </c>
      <c r="O1" s="20" t="s">
        <v>372</v>
      </c>
      <c r="P1" s="20" t="s">
        <v>16</v>
      </c>
      <c r="Q1" s="20" t="s">
        <v>396</v>
      </c>
      <c r="R1" s="20" t="s">
        <v>803</v>
      </c>
      <c r="S1" s="20" t="s">
        <v>1171</v>
      </c>
      <c r="T1" s="20" t="s">
        <v>1172</v>
      </c>
      <c r="U1" s="20" t="s">
        <v>804</v>
      </c>
      <c r="V1" s="20" t="s">
        <v>26</v>
      </c>
      <c r="W1" s="20" t="s">
        <v>19</v>
      </c>
      <c r="X1" s="20" t="s">
        <v>30</v>
      </c>
    </row>
    <row r="2" spans="1:25" ht="15.75" thickBot="1">
      <c r="A2" s="159">
        <v>7891</v>
      </c>
      <c r="B2" s="159">
        <v>7892</v>
      </c>
      <c r="C2" s="21"/>
      <c r="D2" s="21"/>
      <c r="E2" s="21"/>
      <c r="F2" s="21"/>
      <c r="G2" s="21"/>
      <c r="H2" s="21"/>
      <c r="I2" s="21"/>
      <c r="J2" s="21"/>
      <c r="K2" s="21"/>
      <c r="L2" s="22"/>
      <c r="M2" s="22"/>
      <c r="N2" s="22"/>
      <c r="O2" s="22"/>
      <c r="P2" s="21"/>
      <c r="Q2" s="19"/>
      <c r="R2" s="21"/>
      <c r="S2" s="21"/>
      <c r="T2" s="22"/>
      <c r="U2" s="22"/>
      <c r="V2" s="21"/>
      <c r="W2" s="21"/>
      <c r="X2" s="21"/>
      <c r="Y2" s="5"/>
    </row>
    <row r="3" spans="1:25" ht="15.75" thickBot="1">
      <c r="A3" s="159">
        <v>7891</v>
      </c>
      <c r="B3" s="159">
        <v>7893</v>
      </c>
      <c r="C3" s="21"/>
      <c r="D3" s="21"/>
      <c r="E3" s="21"/>
      <c r="F3" s="21"/>
      <c r="G3" s="21"/>
      <c r="H3" s="21"/>
      <c r="I3" s="21"/>
      <c r="J3" s="21"/>
      <c r="K3" s="21"/>
      <c r="L3" s="22"/>
      <c r="M3" s="21"/>
      <c r="N3" s="22"/>
      <c r="O3" s="21"/>
      <c r="P3" s="21"/>
      <c r="Q3" s="19"/>
      <c r="R3" s="21"/>
      <c r="S3" s="21"/>
      <c r="T3" s="21"/>
      <c r="U3" s="21"/>
      <c r="V3" s="21"/>
      <c r="W3" s="21"/>
      <c r="X3" s="21"/>
      <c r="Y3" s="5"/>
    </row>
    <row r="4" spans="1:25" ht="15.75" thickBot="1">
      <c r="A4" s="159">
        <v>7891</v>
      </c>
      <c r="B4" s="159">
        <v>7894</v>
      </c>
      <c r="C4" s="21"/>
      <c r="D4" s="21"/>
      <c r="E4" s="21"/>
      <c r="F4" s="21"/>
      <c r="G4" s="21"/>
      <c r="H4" s="21"/>
      <c r="I4" s="21"/>
      <c r="J4" s="21"/>
      <c r="K4" s="21"/>
      <c r="L4" s="22"/>
      <c r="M4" s="21"/>
      <c r="N4" s="21"/>
      <c r="O4" s="21"/>
      <c r="P4" s="21"/>
      <c r="Q4" s="19"/>
      <c r="R4" s="21"/>
      <c r="S4" s="21"/>
      <c r="T4" s="21"/>
      <c r="U4" s="21"/>
      <c r="V4" s="21"/>
      <c r="W4" s="21"/>
      <c r="X4" s="21"/>
      <c r="Y4" s="5"/>
    </row>
    <row r="5" spans="1:25" ht="15.75" thickBot="1">
      <c r="A5" s="159">
        <v>7891</v>
      </c>
      <c r="B5" s="159">
        <v>7895</v>
      </c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  <c r="O5" s="21"/>
      <c r="P5" s="21"/>
      <c r="Q5" s="19"/>
      <c r="R5" s="21"/>
      <c r="S5" s="21"/>
      <c r="T5" s="21"/>
      <c r="U5" s="21"/>
      <c r="V5" s="21"/>
      <c r="W5" s="21"/>
      <c r="X5" s="21"/>
      <c r="Y5" s="5"/>
    </row>
    <row r="6" spans="1:25" ht="15.75" thickBot="1">
      <c r="A6" s="159">
        <v>7891</v>
      </c>
      <c r="B6" s="159">
        <v>7896</v>
      </c>
      <c r="C6" s="21"/>
      <c r="D6" s="21"/>
      <c r="E6" s="21"/>
      <c r="F6" s="21"/>
      <c r="G6" s="21"/>
      <c r="H6" s="21"/>
      <c r="I6" s="21"/>
      <c r="J6" s="21"/>
      <c r="K6" s="21"/>
      <c r="L6" s="22"/>
      <c r="M6" s="21"/>
      <c r="N6" s="21"/>
      <c r="O6" s="21"/>
      <c r="P6" s="21"/>
      <c r="Q6" s="19"/>
      <c r="R6" s="21"/>
      <c r="S6" s="21"/>
      <c r="T6" s="21"/>
      <c r="U6" s="21"/>
      <c r="V6" s="21"/>
      <c r="W6" s="21"/>
      <c r="X6" s="21"/>
      <c r="Y6" s="5"/>
    </row>
    <row r="7" spans="1:25" ht="15.75" thickBot="1">
      <c r="A7" s="159">
        <v>7891</v>
      </c>
      <c r="B7" s="159">
        <v>7897</v>
      </c>
      <c r="C7" s="21"/>
      <c r="D7" s="21"/>
      <c r="E7" s="21"/>
      <c r="F7" s="21"/>
      <c r="G7" s="21"/>
      <c r="H7" s="21"/>
      <c r="I7" s="21"/>
      <c r="J7" s="21"/>
      <c r="K7" s="21"/>
      <c r="L7" s="22"/>
      <c r="M7" s="21"/>
      <c r="N7" s="21"/>
      <c r="O7" s="21"/>
      <c r="P7" s="21"/>
      <c r="Q7" s="19"/>
      <c r="R7" s="21"/>
      <c r="S7" s="21"/>
      <c r="T7" s="21"/>
      <c r="U7" s="21"/>
      <c r="V7" s="21"/>
      <c r="W7" s="21"/>
      <c r="X7" s="21"/>
      <c r="Y7" s="5"/>
    </row>
    <row r="8" spans="1:25" ht="15.75" thickBot="1">
      <c r="A8" s="159">
        <v>7891</v>
      </c>
      <c r="B8" s="159">
        <v>7898</v>
      </c>
      <c r="C8" s="21"/>
      <c r="D8" s="21"/>
      <c r="E8" s="21"/>
      <c r="F8" s="21"/>
      <c r="G8" s="21"/>
      <c r="H8" s="21"/>
      <c r="I8" s="21"/>
      <c r="J8" s="21"/>
      <c r="K8" s="21"/>
      <c r="L8" s="22"/>
      <c r="M8" s="21"/>
      <c r="N8" s="21"/>
      <c r="O8" s="21"/>
      <c r="P8" s="21"/>
      <c r="Q8" s="19"/>
      <c r="R8" s="21"/>
      <c r="S8" s="21"/>
      <c r="T8" s="21"/>
      <c r="U8" s="21"/>
      <c r="V8" s="21"/>
      <c r="W8" s="21"/>
      <c r="X8" s="21"/>
      <c r="Y8" s="5"/>
    </row>
    <row r="9" spans="1:25" ht="15.75" thickBot="1">
      <c r="A9" s="159">
        <v>7891</v>
      </c>
      <c r="B9" s="159">
        <v>7899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  <c r="O9" s="21"/>
      <c r="P9" s="21"/>
      <c r="Q9" s="19"/>
      <c r="R9" s="21"/>
      <c r="S9" s="21"/>
      <c r="T9" s="21"/>
      <c r="U9" s="21"/>
      <c r="V9" s="21"/>
      <c r="W9" s="21"/>
      <c r="X9" s="21"/>
      <c r="Y9" s="5"/>
    </row>
    <row r="10" spans="1:25" ht="15.75" thickBot="1">
      <c r="A10" s="159">
        <v>7891</v>
      </c>
      <c r="B10" s="159">
        <v>7900</v>
      </c>
      <c r="C10" s="21"/>
      <c r="D10" s="21"/>
      <c r="E10" s="21"/>
      <c r="F10" s="21"/>
      <c r="G10" s="21"/>
      <c r="H10" s="21"/>
      <c r="I10" s="21"/>
      <c r="J10" s="21"/>
      <c r="K10" s="21"/>
      <c r="L10" s="22"/>
      <c r="M10" s="21"/>
      <c r="N10" s="21"/>
      <c r="O10" s="21"/>
      <c r="P10" s="21"/>
      <c r="Q10" s="19"/>
      <c r="R10" s="21"/>
      <c r="S10" s="21"/>
      <c r="T10" s="21"/>
      <c r="U10" s="21"/>
      <c r="V10" s="21"/>
      <c r="W10" s="21"/>
      <c r="X10" s="21"/>
      <c r="Y10" s="5"/>
    </row>
    <row r="11" spans="1:25" ht="15.75" thickBot="1">
      <c r="A11" s="159">
        <v>7891</v>
      </c>
      <c r="B11" s="159">
        <v>7901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  <c r="M11" s="21"/>
      <c r="N11" s="21"/>
      <c r="O11" s="21"/>
      <c r="P11" s="21"/>
      <c r="Q11" s="19"/>
      <c r="R11" s="21"/>
      <c r="S11" s="21"/>
      <c r="T11" s="21"/>
      <c r="U11" s="21"/>
      <c r="V11" s="21"/>
      <c r="W11" s="21"/>
      <c r="X11" s="21"/>
      <c r="Y11" s="5"/>
    </row>
    <row r="12" spans="1:25" ht="15.75" thickBot="1">
      <c r="A12" s="159">
        <v>7891</v>
      </c>
      <c r="B12" s="159">
        <v>7902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  <c r="M12" s="21"/>
      <c r="N12" s="21"/>
      <c r="O12" s="21"/>
      <c r="P12" s="21"/>
      <c r="Q12" s="19"/>
      <c r="R12" s="21"/>
      <c r="S12" s="21"/>
      <c r="T12" s="21"/>
      <c r="U12" s="21"/>
      <c r="V12" s="21"/>
      <c r="W12" s="21"/>
      <c r="X12" s="21"/>
      <c r="Y12" s="5"/>
    </row>
    <row r="13" spans="1:25" ht="15.75" thickBot="1">
      <c r="A13" s="159">
        <v>11925</v>
      </c>
      <c r="B13" s="159">
        <v>11926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  <c r="O13" s="21"/>
      <c r="P13" s="21"/>
      <c r="Q13" s="19"/>
      <c r="R13" s="21"/>
      <c r="S13" s="21"/>
      <c r="T13" s="21"/>
      <c r="U13" s="21"/>
      <c r="V13" s="21"/>
      <c r="W13" s="21"/>
      <c r="X13" s="21"/>
      <c r="Y13" s="5"/>
    </row>
    <row r="14" spans="1:25" ht="15.75" thickBot="1">
      <c r="A14" s="159">
        <v>11925</v>
      </c>
      <c r="B14" s="159">
        <v>11927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21"/>
      <c r="N14" s="21"/>
      <c r="O14" s="21"/>
      <c r="P14" s="21"/>
      <c r="Q14" s="19"/>
      <c r="R14" s="21"/>
      <c r="S14" s="21"/>
      <c r="T14" s="21"/>
      <c r="U14" s="21"/>
      <c r="V14" s="21"/>
      <c r="W14" s="21"/>
      <c r="X14" s="21"/>
      <c r="Y14" s="5"/>
    </row>
    <row r="15" spans="1:25" ht="15.75" thickBot="1">
      <c r="A15" s="159">
        <v>11925</v>
      </c>
      <c r="B15" s="159">
        <v>11928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21"/>
      <c r="N15" s="21"/>
      <c r="O15" s="21"/>
      <c r="P15" s="21"/>
      <c r="Q15" s="19"/>
      <c r="R15" s="21"/>
      <c r="S15" s="21"/>
      <c r="T15" s="21"/>
      <c r="U15" s="21"/>
      <c r="V15" s="21"/>
      <c r="W15" s="21"/>
      <c r="X15" s="21"/>
      <c r="Y15" s="5"/>
    </row>
    <row r="16" spans="1:25" ht="15.75" thickBot="1">
      <c r="A16" s="159">
        <v>11925</v>
      </c>
      <c r="B16" s="159">
        <v>11929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21"/>
      <c r="N16" s="21"/>
      <c r="O16" s="21"/>
      <c r="P16" s="21"/>
      <c r="Q16" s="19"/>
      <c r="R16" s="21"/>
      <c r="S16" s="21"/>
      <c r="T16" s="21"/>
      <c r="U16" s="21"/>
      <c r="V16" s="21"/>
      <c r="W16" s="21"/>
      <c r="X16" s="21"/>
    </row>
    <row r="17" spans="1:24" ht="15.75" thickBot="1">
      <c r="A17" s="159">
        <v>11925</v>
      </c>
      <c r="B17" s="159">
        <v>11930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  <c r="O17" s="21"/>
      <c r="P17" s="21"/>
      <c r="Q17" s="19"/>
      <c r="R17" s="21"/>
      <c r="S17" s="21"/>
      <c r="T17" s="21"/>
      <c r="U17" s="21"/>
      <c r="V17" s="21"/>
      <c r="W17" s="21"/>
      <c r="X17" s="21"/>
    </row>
    <row r="18" spans="1:24" ht="15.75" thickBot="1">
      <c r="A18" s="159">
        <v>11925</v>
      </c>
      <c r="B18" s="159">
        <v>11931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  <c r="M18" s="21"/>
      <c r="N18" s="21"/>
      <c r="O18" s="21"/>
      <c r="P18" s="21"/>
      <c r="Q18" s="19"/>
      <c r="R18" s="21"/>
      <c r="S18" s="21"/>
      <c r="T18" s="21"/>
      <c r="U18" s="21"/>
      <c r="V18" s="21"/>
      <c r="W18" s="21"/>
      <c r="X18" s="21"/>
    </row>
    <row r="19" spans="1:24" ht="15.75" thickBot="1">
      <c r="A19" s="159">
        <v>11925</v>
      </c>
      <c r="B19" s="159">
        <v>11932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  <c r="M19" s="21"/>
      <c r="N19" s="21"/>
      <c r="O19" s="21"/>
      <c r="P19" s="21"/>
      <c r="Q19" s="19"/>
      <c r="R19" s="21"/>
      <c r="S19" s="21"/>
      <c r="T19" s="21"/>
      <c r="U19" s="21"/>
      <c r="V19" s="21"/>
      <c r="W19" s="21"/>
      <c r="X19" s="21"/>
    </row>
    <row r="20" spans="1:24" ht="15.75" thickBot="1">
      <c r="A20" s="159">
        <v>11925</v>
      </c>
      <c r="B20" s="159">
        <v>11933</v>
      </c>
      <c r="D20" s="21"/>
      <c r="E20" s="21"/>
      <c r="F20" s="21"/>
      <c r="H20" s="21"/>
      <c r="I20" s="21"/>
      <c r="L20" s="22"/>
      <c r="M20" s="21"/>
      <c r="O20" s="21"/>
      <c r="V20" s="21"/>
    </row>
    <row r="21" spans="1:24" s="43" customFormat="1" ht="15.75" thickBot="1">
      <c r="A21" s="159">
        <v>11925</v>
      </c>
      <c r="B21" s="159">
        <v>11934</v>
      </c>
      <c r="D21" s="21"/>
      <c r="E21" s="22"/>
    </row>
    <row r="22" spans="1:24" ht="15.75" thickBot="1">
      <c r="A22" s="159">
        <v>11925</v>
      </c>
      <c r="B22" s="159">
        <v>11935</v>
      </c>
      <c r="D22"/>
    </row>
    <row r="23" spans="1:24" ht="15.75" thickBot="1">
      <c r="A23" s="159">
        <v>11925</v>
      </c>
      <c r="B23" s="159">
        <v>11936</v>
      </c>
    </row>
    <row r="24" spans="1:24" ht="15.75" thickBot="1">
      <c r="A24" s="159">
        <v>11925</v>
      </c>
      <c r="B24" s="159">
        <v>11937</v>
      </c>
    </row>
    <row r="25" spans="1:24" ht="15.75" thickBot="1">
      <c r="A25" s="159">
        <v>11939</v>
      </c>
      <c r="B25" s="159">
        <v>11942</v>
      </c>
    </row>
    <row r="26" spans="1:24" ht="15.75" thickBot="1">
      <c r="A26" s="159">
        <v>11939</v>
      </c>
      <c r="B26" s="159">
        <v>11943</v>
      </c>
    </row>
    <row r="27" spans="1:24" ht="15.75" thickBot="1">
      <c r="A27" s="159">
        <v>11939</v>
      </c>
      <c r="B27" s="159">
        <v>11944</v>
      </c>
    </row>
    <row r="28" spans="1:24" ht="15.75" thickBot="1">
      <c r="A28" s="159">
        <v>11939</v>
      </c>
      <c r="B28" s="159">
        <v>11945</v>
      </c>
    </row>
    <row r="29" spans="1:24" ht="15.75" thickBot="1">
      <c r="A29" s="159">
        <v>11939</v>
      </c>
      <c r="B29" s="159">
        <v>11946</v>
      </c>
    </row>
    <row r="30" spans="1:24" ht="15.75" thickBot="1">
      <c r="A30" s="159">
        <v>11939</v>
      </c>
      <c r="B30" s="159">
        <v>11947</v>
      </c>
    </row>
    <row r="31" spans="1:24" ht="15.75" thickBot="1">
      <c r="A31" s="159">
        <v>11939</v>
      </c>
      <c r="B31" s="159">
        <v>11948</v>
      </c>
    </row>
    <row r="32" spans="1:24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23" width="11.5703125" style="2" customWidth="1"/>
    <col min="24" max="16384" width="9" style="2"/>
  </cols>
  <sheetData>
    <row r="1" spans="1:23" ht="66.75" customHeight="1">
      <c r="A1" s="20" t="s">
        <v>667</v>
      </c>
      <c r="B1" s="20" t="s">
        <v>0</v>
      </c>
      <c r="C1" s="20" t="s">
        <v>740</v>
      </c>
      <c r="D1" s="20" t="s">
        <v>2</v>
      </c>
      <c r="E1" s="20" t="s">
        <v>756</v>
      </c>
      <c r="F1" s="20" t="s">
        <v>1163</v>
      </c>
      <c r="G1" s="20" t="s">
        <v>29</v>
      </c>
      <c r="H1" s="20" t="s">
        <v>28</v>
      </c>
      <c r="I1" s="20" t="s">
        <v>1</v>
      </c>
      <c r="J1" s="20" t="s">
        <v>620</v>
      </c>
      <c r="K1" s="20" t="s">
        <v>621</v>
      </c>
      <c r="L1" s="20" t="s">
        <v>9</v>
      </c>
      <c r="M1" s="20" t="s">
        <v>622</v>
      </c>
      <c r="N1" s="20" t="s">
        <v>396</v>
      </c>
      <c r="O1" s="20" t="s">
        <v>933</v>
      </c>
      <c r="P1" s="20" t="s">
        <v>372</v>
      </c>
      <c r="Q1" s="20" t="s">
        <v>16</v>
      </c>
      <c r="R1" s="20" t="s">
        <v>1165</v>
      </c>
      <c r="S1" s="20" t="s">
        <v>634</v>
      </c>
      <c r="T1" s="20" t="s">
        <v>1174</v>
      </c>
      <c r="U1" s="20" t="s">
        <v>1171</v>
      </c>
      <c r="V1" s="20" t="s">
        <v>19</v>
      </c>
      <c r="W1" s="20" t="s">
        <v>30</v>
      </c>
    </row>
    <row r="2" spans="1:23" ht="15.75" thickBot="1">
      <c r="A2" s="159">
        <v>7891</v>
      </c>
      <c r="B2" s="159">
        <v>7892</v>
      </c>
      <c r="C2" s="21"/>
      <c r="D2" s="21"/>
      <c r="E2" s="19"/>
      <c r="F2" s="21"/>
      <c r="G2" s="21"/>
      <c r="H2" s="21"/>
      <c r="I2" s="21"/>
      <c r="J2" s="19"/>
      <c r="K2" s="19"/>
      <c r="L2" s="22"/>
      <c r="M2" s="21"/>
      <c r="N2" s="19"/>
      <c r="O2" s="21"/>
      <c r="P2" s="21"/>
      <c r="Q2" s="21"/>
      <c r="R2" s="21"/>
      <c r="S2" s="21"/>
      <c r="T2" s="22"/>
      <c r="U2" s="21"/>
      <c r="V2" s="21"/>
      <c r="W2" s="21"/>
    </row>
    <row r="3" spans="1:23" ht="15.75" thickBot="1">
      <c r="A3" s="159">
        <v>7891</v>
      </c>
      <c r="B3" s="159">
        <v>7893</v>
      </c>
      <c r="C3" s="21"/>
      <c r="D3" s="21"/>
      <c r="E3" s="19"/>
      <c r="F3" s="21"/>
      <c r="G3" s="21"/>
      <c r="H3" s="21"/>
      <c r="I3" s="21"/>
      <c r="J3" s="19"/>
      <c r="K3" s="19"/>
      <c r="L3" s="22"/>
      <c r="M3" s="21"/>
      <c r="N3" s="19"/>
      <c r="O3" s="21"/>
      <c r="P3" s="21"/>
      <c r="Q3" s="21"/>
      <c r="R3" s="21"/>
      <c r="S3" s="21"/>
      <c r="T3" s="21"/>
      <c r="U3" s="21"/>
      <c r="V3" s="21"/>
      <c r="W3" s="21"/>
    </row>
    <row r="4" spans="1:23" ht="15.75" thickBot="1">
      <c r="A4" s="159">
        <v>7891</v>
      </c>
      <c r="B4" s="159">
        <v>7894</v>
      </c>
      <c r="C4" s="21"/>
      <c r="D4" s="21"/>
      <c r="E4" s="19"/>
      <c r="F4" s="21"/>
      <c r="G4" s="21"/>
      <c r="H4" s="21"/>
      <c r="I4" s="21"/>
      <c r="J4" s="19"/>
      <c r="K4" s="19"/>
      <c r="L4" s="22"/>
      <c r="M4" s="21"/>
      <c r="N4" s="19"/>
      <c r="O4" s="21"/>
      <c r="P4" s="21"/>
      <c r="Q4" s="21"/>
      <c r="R4" s="21"/>
      <c r="S4" s="21"/>
      <c r="T4" s="21"/>
      <c r="U4" s="21"/>
      <c r="V4" s="21"/>
      <c r="W4" s="21"/>
    </row>
    <row r="5" spans="1:23" ht="15.75" thickBot="1">
      <c r="A5" s="159">
        <v>7891</v>
      </c>
      <c r="B5" s="159">
        <v>7895</v>
      </c>
      <c r="C5" s="21"/>
      <c r="D5" s="21"/>
      <c r="E5" s="19"/>
      <c r="F5" s="21"/>
      <c r="G5" s="21"/>
      <c r="H5" s="21"/>
      <c r="I5" s="21"/>
      <c r="J5" s="19"/>
      <c r="K5" s="19"/>
      <c r="L5" s="22"/>
      <c r="M5" s="21"/>
      <c r="N5" s="19"/>
      <c r="O5" s="21"/>
      <c r="P5" s="21"/>
      <c r="Q5" s="21"/>
      <c r="R5" s="21"/>
      <c r="S5" s="21"/>
      <c r="T5" s="21"/>
      <c r="U5" s="21"/>
      <c r="V5" s="21"/>
      <c r="W5" s="21"/>
    </row>
    <row r="6" spans="1:23" ht="15.75" thickBot="1">
      <c r="A6" s="159">
        <v>7891</v>
      </c>
      <c r="B6" s="159">
        <v>7896</v>
      </c>
      <c r="C6" s="21"/>
      <c r="D6" s="21"/>
      <c r="E6" s="19"/>
      <c r="F6" s="21"/>
      <c r="G6" s="21"/>
      <c r="H6" s="21"/>
      <c r="I6" s="21"/>
      <c r="J6" s="19"/>
      <c r="K6" s="19"/>
      <c r="L6" s="22"/>
      <c r="M6" s="21"/>
      <c r="N6" s="19"/>
      <c r="O6" s="21"/>
      <c r="P6" s="21"/>
      <c r="Q6" s="21"/>
      <c r="R6" s="21"/>
      <c r="S6" s="21"/>
      <c r="T6" s="21"/>
      <c r="U6" s="21"/>
      <c r="V6" s="21"/>
      <c r="W6" s="21"/>
    </row>
    <row r="7" spans="1:23" ht="15.75" thickBot="1">
      <c r="A7" s="159">
        <v>7891</v>
      </c>
      <c r="B7" s="159">
        <v>7897</v>
      </c>
      <c r="C7" s="21"/>
      <c r="D7" s="21"/>
      <c r="E7" s="19"/>
      <c r="F7" s="21"/>
      <c r="G7" s="21"/>
      <c r="H7" s="21"/>
      <c r="I7" s="21"/>
      <c r="J7" s="19"/>
      <c r="K7" s="19"/>
      <c r="L7" s="22"/>
      <c r="M7" s="21"/>
      <c r="N7" s="19"/>
      <c r="O7" s="21"/>
      <c r="P7" s="21"/>
      <c r="Q7" s="21"/>
      <c r="R7" s="21"/>
      <c r="S7" s="21"/>
      <c r="T7" s="21"/>
      <c r="U7" s="21"/>
      <c r="V7" s="21"/>
      <c r="W7" s="21"/>
    </row>
    <row r="8" spans="1:23" ht="15.75" thickBot="1">
      <c r="A8" s="159">
        <v>7891</v>
      </c>
      <c r="B8" s="159">
        <v>7898</v>
      </c>
      <c r="C8" s="21"/>
      <c r="D8" s="21"/>
      <c r="E8" s="19"/>
      <c r="F8" s="21"/>
      <c r="G8" s="21"/>
      <c r="H8" s="21"/>
      <c r="I8" s="21"/>
      <c r="J8" s="19"/>
      <c r="K8" s="19"/>
      <c r="L8" s="22"/>
      <c r="M8" s="21"/>
      <c r="N8" s="19"/>
      <c r="O8" s="21"/>
      <c r="P8" s="21"/>
      <c r="Q8" s="21"/>
      <c r="R8" s="21"/>
      <c r="S8" s="21"/>
      <c r="T8" s="21"/>
      <c r="U8" s="21"/>
      <c r="V8" s="21"/>
      <c r="W8" s="21"/>
    </row>
    <row r="9" spans="1:23" ht="15.75" thickBot="1">
      <c r="A9" s="159">
        <v>7891</v>
      </c>
      <c r="B9" s="159">
        <v>7899</v>
      </c>
      <c r="C9" s="21"/>
      <c r="D9" s="21"/>
      <c r="E9" s="19"/>
      <c r="F9" s="21"/>
      <c r="G9" s="21"/>
      <c r="H9" s="21"/>
      <c r="I9" s="21"/>
      <c r="J9" s="19"/>
      <c r="K9" s="19"/>
      <c r="L9" s="22"/>
      <c r="M9" s="21"/>
      <c r="N9" s="19"/>
      <c r="O9" s="21"/>
      <c r="P9" s="21"/>
      <c r="Q9" s="21"/>
      <c r="R9" s="21"/>
      <c r="S9" s="21"/>
      <c r="T9" s="21"/>
      <c r="U9" s="21"/>
      <c r="V9" s="21"/>
      <c r="W9" s="21"/>
    </row>
    <row r="10" spans="1:23" ht="15.75" thickBot="1">
      <c r="A10" s="159">
        <v>7891</v>
      </c>
      <c r="B10" s="159">
        <v>7900</v>
      </c>
      <c r="C10" s="21"/>
      <c r="D10" s="21"/>
      <c r="E10" s="19"/>
      <c r="F10" s="21"/>
      <c r="G10" s="21"/>
      <c r="H10" s="21"/>
      <c r="I10" s="21"/>
      <c r="J10" s="19"/>
      <c r="K10" s="19"/>
      <c r="L10" s="22"/>
      <c r="M10" s="21"/>
      <c r="N10" s="19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5.75" thickBot="1">
      <c r="A11" s="159">
        <v>7891</v>
      </c>
      <c r="B11" s="159">
        <v>7901</v>
      </c>
      <c r="C11" s="21"/>
      <c r="D11" s="21"/>
      <c r="E11" s="19"/>
      <c r="F11" s="21"/>
      <c r="G11" s="21"/>
      <c r="H11" s="21"/>
      <c r="I11" s="21"/>
      <c r="J11" s="19"/>
      <c r="K11" s="19"/>
      <c r="L11" s="22"/>
      <c r="M11" s="21"/>
      <c r="N11" s="19"/>
      <c r="O11" s="21"/>
      <c r="P11" s="21"/>
      <c r="Q11" s="21"/>
      <c r="R11" s="21"/>
      <c r="S11" s="21"/>
      <c r="T11" s="21"/>
      <c r="U11" s="21"/>
      <c r="V11" s="21"/>
      <c r="W11" s="21"/>
    </row>
    <row r="12" spans="1:23" ht="15.75" thickBot="1">
      <c r="A12" s="159">
        <v>7891</v>
      </c>
      <c r="B12" s="159">
        <v>7902</v>
      </c>
      <c r="C12" s="21"/>
      <c r="D12" s="21"/>
      <c r="E12" s="19"/>
      <c r="F12" s="21"/>
      <c r="G12" s="21"/>
      <c r="H12" s="21"/>
      <c r="I12" s="21"/>
      <c r="J12" s="19"/>
      <c r="K12" s="19"/>
      <c r="L12" s="22"/>
      <c r="M12" s="21"/>
      <c r="N12" s="19"/>
      <c r="O12" s="21"/>
      <c r="P12" s="21"/>
      <c r="Q12" s="21"/>
      <c r="R12" s="21"/>
      <c r="S12" s="21"/>
      <c r="T12" s="21"/>
      <c r="U12" s="21"/>
      <c r="V12" s="21"/>
      <c r="W12" s="21"/>
    </row>
    <row r="13" spans="1:23" ht="15.75" thickBot="1">
      <c r="A13" s="159">
        <v>11925</v>
      </c>
      <c r="B13" s="159">
        <v>11926</v>
      </c>
      <c r="C13" s="21"/>
      <c r="D13" s="21"/>
      <c r="E13" s="19"/>
      <c r="F13" s="21"/>
      <c r="G13" s="21"/>
      <c r="H13" s="21"/>
      <c r="I13" s="21"/>
      <c r="J13" s="19"/>
      <c r="K13" s="19"/>
      <c r="L13" s="22"/>
      <c r="M13" s="21"/>
      <c r="N13" s="19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15.75" thickBot="1">
      <c r="A14" s="159">
        <v>11925</v>
      </c>
      <c r="B14" s="159">
        <v>11927</v>
      </c>
      <c r="C14" s="21"/>
      <c r="D14" s="21"/>
      <c r="E14" s="19"/>
      <c r="F14" s="21"/>
      <c r="G14" s="21"/>
      <c r="H14" s="21"/>
      <c r="I14" s="21"/>
      <c r="J14" s="19"/>
      <c r="K14" s="19"/>
      <c r="L14" s="22"/>
      <c r="M14" s="21"/>
      <c r="N14" s="19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5.75" thickBot="1">
      <c r="A15" s="159">
        <v>11925</v>
      </c>
      <c r="B15" s="159">
        <v>11928</v>
      </c>
      <c r="C15" s="21"/>
      <c r="D15" s="21"/>
      <c r="E15" s="19"/>
      <c r="F15" s="21"/>
      <c r="G15" s="21"/>
      <c r="H15" s="21"/>
      <c r="I15" s="21"/>
      <c r="J15" s="19"/>
      <c r="K15" s="19"/>
      <c r="L15" s="22"/>
      <c r="M15" s="21"/>
      <c r="N15" s="19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15.75" thickBot="1">
      <c r="A16" s="159">
        <v>11925</v>
      </c>
      <c r="B16" s="159">
        <v>11929</v>
      </c>
      <c r="C16" s="21"/>
      <c r="D16" s="21"/>
      <c r="E16" s="19"/>
      <c r="F16" s="21"/>
      <c r="G16" s="21"/>
      <c r="H16" s="21"/>
      <c r="I16" s="21"/>
      <c r="J16" s="19"/>
      <c r="K16" s="19"/>
      <c r="L16" s="22"/>
      <c r="M16" s="21"/>
      <c r="N16" s="19"/>
      <c r="O16" s="21"/>
      <c r="P16" s="21"/>
      <c r="Q16" s="21"/>
      <c r="R16" s="21"/>
      <c r="S16" s="21"/>
      <c r="T16" s="21"/>
      <c r="U16" s="21"/>
      <c r="V16" s="21"/>
      <c r="W16" s="21"/>
    </row>
    <row r="17" spans="1:23" ht="15.75" thickBot="1">
      <c r="A17" s="159">
        <v>11925</v>
      </c>
      <c r="B17" s="159">
        <v>11930</v>
      </c>
      <c r="C17" s="21"/>
      <c r="D17" s="21"/>
      <c r="E17" s="19"/>
      <c r="F17" s="21"/>
      <c r="G17" s="21"/>
      <c r="H17" s="21"/>
      <c r="I17" s="21"/>
      <c r="J17" s="19"/>
      <c r="K17" s="19"/>
      <c r="L17" s="22"/>
      <c r="M17" s="21"/>
      <c r="N17" s="19"/>
      <c r="O17" s="21"/>
      <c r="P17" s="21"/>
      <c r="Q17" s="21"/>
      <c r="R17" s="21"/>
      <c r="S17" s="21"/>
      <c r="T17" s="21"/>
      <c r="U17" s="21"/>
      <c r="V17" s="21"/>
      <c r="W17" s="21"/>
    </row>
    <row r="18" spans="1:23" ht="15.75" thickBot="1">
      <c r="A18" s="159">
        <v>11925</v>
      </c>
      <c r="B18" s="159">
        <v>11931</v>
      </c>
      <c r="C18" s="21"/>
      <c r="D18" s="21"/>
      <c r="E18" s="19"/>
      <c r="F18" s="21"/>
      <c r="G18" s="21"/>
      <c r="H18" s="21"/>
      <c r="I18" s="21"/>
      <c r="J18" s="19"/>
      <c r="K18" s="19"/>
      <c r="L18" s="22"/>
      <c r="M18" s="21"/>
      <c r="N18" s="19"/>
      <c r="O18" s="21"/>
      <c r="P18" s="21"/>
      <c r="Q18" s="21"/>
      <c r="R18" s="21"/>
      <c r="S18" s="21"/>
      <c r="T18" s="21"/>
      <c r="U18" s="21"/>
      <c r="V18" s="21"/>
      <c r="W18" s="21"/>
    </row>
    <row r="19" spans="1:23" ht="15.75" thickBot="1">
      <c r="A19" s="159">
        <v>11925</v>
      </c>
      <c r="B19" s="159">
        <v>11932</v>
      </c>
      <c r="C19" s="21"/>
      <c r="D19" s="21"/>
      <c r="E19" s="19"/>
      <c r="F19" s="21"/>
      <c r="G19" s="21"/>
      <c r="H19" s="21"/>
      <c r="J19" s="19"/>
      <c r="K19" s="19"/>
      <c r="L19" s="22"/>
      <c r="M19" s="21"/>
      <c r="N19" s="19"/>
      <c r="O19" s="21"/>
      <c r="P19" s="21"/>
      <c r="Q19" s="21"/>
      <c r="R19" s="21"/>
      <c r="S19" s="21"/>
      <c r="T19" s="21"/>
      <c r="U19" s="21"/>
      <c r="V19" s="21"/>
      <c r="W19" s="21"/>
    </row>
    <row r="20" spans="1:23" ht="15.75" thickBot="1">
      <c r="A20" s="159">
        <v>11925</v>
      </c>
      <c r="B20" s="159">
        <v>11933</v>
      </c>
      <c r="E20" s="19"/>
      <c r="H20" s="21"/>
      <c r="I20" s="21"/>
      <c r="J20" s="19"/>
      <c r="K20" s="19"/>
      <c r="L20" s="22"/>
      <c r="M20" s="21"/>
      <c r="O20" s="21"/>
      <c r="P20" s="21"/>
    </row>
    <row r="21" spans="1:23" customFormat="1" ht="15.75" thickBot="1">
      <c r="A21" s="159">
        <v>11925</v>
      </c>
      <c r="B21" s="159">
        <v>11934</v>
      </c>
    </row>
    <row r="22" spans="1:23" ht="15.75" thickBot="1">
      <c r="A22" s="159">
        <v>11925</v>
      </c>
      <c r="B22" s="159">
        <v>11935</v>
      </c>
    </row>
    <row r="23" spans="1:23" ht="15.75" thickBot="1">
      <c r="A23" s="159">
        <v>11925</v>
      </c>
      <c r="B23" s="159">
        <v>11936</v>
      </c>
    </row>
    <row r="24" spans="1:23" ht="15.75" thickBot="1">
      <c r="A24" s="159">
        <v>11925</v>
      </c>
      <c r="B24" s="159">
        <v>11937</v>
      </c>
    </row>
    <row r="25" spans="1:23" ht="15.75" thickBot="1">
      <c r="A25" s="159">
        <v>11939</v>
      </c>
      <c r="B25" s="159">
        <v>11942</v>
      </c>
    </row>
    <row r="26" spans="1:23" ht="15.75" thickBot="1">
      <c r="A26" s="159">
        <v>11939</v>
      </c>
      <c r="B26" s="159">
        <v>11943</v>
      </c>
    </row>
    <row r="27" spans="1:23" ht="15.75" thickBot="1">
      <c r="A27" s="159">
        <v>11939</v>
      </c>
      <c r="B27" s="159">
        <v>11944</v>
      </c>
    </row>
    <row r="28" spans="1:23" ht="15.75" thickBot="1">
      <c r="A28" s="159">
        <v>11939</v>
      </c>
      <c r="B28" s="159">
        <v>11945</v>
      </c>
    </row>
    <row r="29" spans="1:23" ht="15.75" thickBot="1">
      <c r="A29" s="159">
        <v>11939</v>
      </c>
      <c r="B29" s="159">
        <v>11946</v>
      </c>
    </row>
    <row r="30" spans="1:23" ht="15.75" thickBot="1">
      <c r="A30" s="159">
        <v>11939</v>
      </c>
      <c r="B30" s="159">
        <v>11947</v>
      </c>
    </row>
    <row r="31" spans="1:23" ht="15.75" thickBot="1">
      <c r="A31" s="159">
        <v>11939</v>
      </c>
      <c r="B31" s="159">
        <v>11948</v>
      </c>
    </row>
    <row r="32" spans="1:23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U39"/>
  <sheetViews>
    <sheetView rightToLeft="1" workbookViewId="0">
      <selection activeCell="A2" sqref="A2:B39"/>
    </sheetView>
  </sheetViews>
  <sheetFormatPr defaultColWidth="9" defaultRowHeight="15"/>
  <cols>
    <col min="1" max="18" width="11.5703125" style="2" customWidth="1"/>
    <col min="19" max="16384" width="9" style="2"/>
  </cols>
  <sheetData>
    <row r="1" spans="1:21" ht="66.75" customHeight="1">
      <c r="A1" s="20" t="s">
        <v>667</v>
      </c>
      <c r="B1" s="20" t="s">
        <v>0</v>
      </c>
      <c r="C1" s="20" t="s">
        <v>801</v>
      </c>
      <c r="D1" s="20" t="s">
        <v>802</v>
      </c>
      <c r="E1" s="20" t="s">
        <v>1</v>
      </c>
      <c r="F1" s="20" t="s">
        <v>620</v>
      </c>
      <c r="G1" s="20" t="s">
        <v>621</v>
      </c>
      <c r="H1" s="20" t="s">
        <v>622</v>
      </c>
      <c r="I1" s="20" t="s">
        <v>810</v>
      </c>
      <c r="J1" s="20" t="s">
        <v>396</v>
      </c>
      <c r="K1" s="20" t="s">
        <v>16</v>
      </c>
      <c r="L1" s="20" t="s">
        <v>938</v>
      </c>
      <c r="M1" s="20" t="s">
        <v>11</v>
      </c>
      <c r="N1" s="20" t="s">
        <v>1171</v>
      </c>
      <c r="O1" s="20" t="s">
        <v>1172</v>
      </c>
      <c r="P1" s="20" t="s">
        <v>26</v>
      </c>
      <c r="Q1" s="20" t="s">
        <v>19</v>
      </c>
      <c r="R1" s="20" t="s">
        <v>30</v>
      </c>
    </row>
    <row r="2" spans="1:21" ht="15.75" thickBot="1">
      <c r="A2" s="159">
        <v>7891</v>
      </c>
      <c r="B2" s="159">
        <v>7892</v>
      </c>
      <c r="C2" s="41"/>
      <c r="D2" s="41"/>
      <c r="E2" s="41"/>
      <c r="F2" s="19"/>
      <c r="G2" s="19"/>
      <c r="H2" s="21"/>
      <c r="I2" s="21"/>
      <c r="J2" s="19"/>
      <c r="K2" s="21"/>
      <c r="L2"/>
      <c r="M2" s="21"/>
      <c r="N2" s="21"/>
      <c r="O2" s="21"/>
      <c r="P2" s="19"/>
      <c r="Q2" s="21"/>
      <c r="R2" s="21"/>
      <c r="S2" s="5"/>
      <c r="T2" s="5"/>
      <c r="U2" s="5"/>
    </row>
    <row r="3" spans="1:21" ht="15.75" thickBot="1">
      <c r="A3" s="159">
        <v>7891</v>
      </c>
      <c r="B3" s="159">
        <v>7893</v>
      </c>
      <c r="C3" s="28"/>
      <c r="D3" s="21"/>
      <c r="E3" s="41"/>
      <c r="F3" s="19"/>
      <c r="G3" s="19"/>
      <c r="H3" s="21"/>
      <c r="I3" s="21"/>
      <c r="J3" s="19"/>
      <c r="K3" s="21"/>
      <c r="M3" s="21"/>
      <c r="N3" s="21"/>
      <c r="O3" s="21"/>
      <c r="P3" s="19"/>
      <c r="Q3" s="21"/>
      <c r="R3" s="21"/>
      <c r="S3" s="5"/>
      <c r="T3" s="5"/>
      <c r="U3" s="5"/>
    </row>
    <row r="4" spans="1:21" ht="15.75" thickBot="1">
      <c r="A4" s="159">
        <v>7891</v>
      </c>
      <c r="B4" s="159">
        <v>7894</v>
      </c>
      <c r="C4" s="28"/>
      <c r="D4" s="21"/>
      <c r="E4" s="41"/>
      <c r="F4" s="19"/>
      <c r="G4" s="19"/>
      <c r="H4" s="21"/>
      <c r="I4" s="21"/>
      <c r="J4" s="19"/>
      <c r="K4" s="21"/>
      <c r="M4" s="21"/>
      <c r="N4" s="21"/>
      <c r="O4" s="21"/>
      <c r="P4" s="19"/>
      <c r="Q4" s="21"/>
      <c r="R4" s="21"/>
      <c r="S4" s="5"/>
      <c r="T4" s="5"/>
      <c r="U4" s="5"/>
    </row>
    <row r="5" spans="1:21" ht="15.75" thickBot="1">
      <c r="A5" s="159">
        <v>7891</v>
      </c>
      <c r="B5" s="159">
        <v>7895</v>
      </c>
      <c r="C5" s="28"/>
      <c r="D5" s="21"/>
      <c r="E5" s="41"/>
      <c r="F5" s="19"/>
      <c r="G5" s="19"/>
      <c r="H5" s="21"/>
      <c r="I5" s="21"/>
      <c r="J5" s="19"/>
      <c r="K5" s="21"/>
      <c r="M5" s="21"/>
      <c r="N5" s="21"/>
      <c r="O5" s="21"/>
      <c r="P5" s="19"/>
      <c r="Q5" s="21"/>
      <c r="R5" s="21"/>
      <c r="S5" s="5"/>
      <c r="T5" s="5"/>
      <c r="U5" s="5"/>
    </row>
    <row r="6" spans="1:21" ht="15.75" thickBot="1">
      <c r="A6" s="159">
        <v>7891</v>
      </c>
      <c r="B6" s="159">
        <v>7896</v>
      </c>
      <c r="C6" s="28"/>
      <c r="D6" s="21"/>
      <c r="E6" s="41"/>
      <c r="F6" s="19"/>
      <c r="G6" s="19"/>
      <c r="H6" s="21"/>
      <c r="I6" s="21"/>
      <c r="J6" s="19"/>
      <c r="K6" s="21"/>
      <c r="M6" s="21"/>
      <c r="N6" s="21"/>
      <c r="O6" s="21"/>
      <c r="P6" s="19"/>
      <c r="Q6" s="21"/>
      <c r="R6" s="21"/>
      <c r="S6" s="5"/>
      <c r="T6" s="5"/>
      <c r="U6" s="5"/>
    </row>
    <row r="7" spans="1:21" ht="15.75" thickBot="1">
      <c r="A7" s="159">
        <v>7891</v>
      </c>
      <c r="B7" s="159">
        <v>7897</v>
      </c>
      <c r="C7" s="28"/>
      <c r="D7" s="21"/>
      <c r="E7" s="41"/>
      <c r="F7" s="19"/>
      <c r="G7" s="19"/>
      <c r="H7" s="21"/>
      <c r="I7" s="21"/>
      <c r="J7" s="19"/>
      <c r="K7" s="21"/>
      <c r="M7" s="21"/>
      <c r="N7" s="21"/>
      <c r="O7" s="21"/>
      <c r="P7" s="19"/>
      <c r="Q7" s="21"/>
      <c r="R7" s="21"/>
      <c r="S7" s="5"/>
      <c r="T7" s="5"/>
      <c r="U7" s="5"/>
    </row>
    <row r="8" spans="1:21" ht="15.75" thickBot="1">
      <c r="A8" s="159">
        <v>7891</v>
      </c>
      <c r="B8" s="159">
        <v>7898</v>
      </c>
      <c r="C8" s="28"/>
      <c r="D8" s="21"/>
      <c r="E8" s="41"/>
      <c r="F8" s="19"/>
      <c r="G8" s="19"/>
      <c r="H8" s="21"/>
      <c r="I8" s="21"/>
      <c r="J8" s="19"/>
      <c r="K8" s="21"/>
      <c r="M8" s="21"/>
      <c r="N8" s="21"/>
      <c r="O8" s="21"/>
      <c r="P8" s="19"/>
      <c r="Q8" s="21"/>
      <c r="R8" s="21"/>
      <c r="S8" s="5"/>
      <c r="T8" s="5"/>
      <c r="U8" s="5"/>
    </row>
    <row r="9" spans="1:21" ht="15.75" thickBot="1">
      <c r="A9" s="159">
        <v>7891</v>
      </c>
      <c r="B9" s="159">
        <v>7899</v>
      </c>
      <c r="C9" s="28"/>
      <c r="D9" s="21"/>
      <c r="E9" s="41"/>
      <c r="F9" s="19"/>
      <c r="G9" s="19"/>
      <c r="H9" s="21"/>
      <c r="I9" s="21"/>
      <c r="J9" s="19"/>
      <c r="K9" s="21"/>
      <c r="M9" s="21"/>
      <c r="N9" s="21"/>
      <c r="O9" s="21"/>
      <c r="P9" s="19"/>
      <c r="Q9" s="21"/>
      <c r="R9" s="21"/>
      <c r="S9" s="5"/>
      <c r="T9" s="5"/>
      <c r="U9" s="5"/>
    </row>
    <row r="10" spans="1:21" ht="15.75" thickBot="1">
      <c r="A10" s="159">
        <v>7891</v>
      </c>
      <c r="B10" s="159">
        <v>7900</v>
      </c>
      <c r="C10" s="28"/>
      <c r="D10" s="21"/>
      <c r="E10" s="41"/>
      <c r="F10" s="19"/>
      <c r="G10" s="19"/>
      <c r="H10" s="21"/>
      <c r="I10" s="21"/>
      <c r="J10" s="19"/>
      <c r="K10" s="21"/>
      <c r="M10" s="21"/>
      <c r="N10" s="21"/>
      <c r="O10" s="21"/>
      <c r="P10" s="19"/>
      <c r="Q10" s="21"/>
      <c r="R10" s="21"/>
      <c r="S10" s="5"/>
      <c r="T10" s="5"/>
      <c r="U10" s="5"/>
    </row>
    <row r="11" spans="1:21" ht="15.75" thickBot="1">
      <c r="A11" s="159">
        <v>7891</v>
      </c>
      <c r="B11" s="159">
        <v>7901</v>
      </c>
      <c r="C11" s="28"/>
      <c r="D11" s="21"/>
      <c r="E11" s="41"/>
      <c r="F11" s="19"/>
      <c r="G11" s="19"/>
      <c r="H11" s="21"/>
      <c r="I11" s="21"/>
      <c r="J11" s="19"/>
      <c r="K11" s="21"/>
      <c r="M11" s="21"/>
      <c r="N11" s="21"/>
      <c r="O11" s="21"/>
      <c r="P11" s="19"/>
      <c r="Q11" s="21"/>
      <c r="R11" s="21"/>
      <c r="S11" s="5"/>
      <c r="T11" s="5"/>
      <c r="U11" s="5"/>
    </row>
    <row r="12" spans="1:21" ht="15.75" thickBot="1">
      <c r="A12" s="159">
        <v>7891</v>
      </c>
      <c r="B12" s="159">
        <v>7902</v>
      </c>
      <c r="C12" s="28"/>
      <c r="D12" s="21"/>
      <c r="E12" s="41"/>
      <c r="F12" s="19"/>
      <c r="G12" s="19"/>
      <c r="H12" s="21"/>
      <c r="I12" s="21"/>
      <c r="J12" s="19"/>
      <c r="K12" s="21"/>
      <c r="M12" s="21"/>
      <c r="N12" s="21"/>
      <c r="O12" s="21"/>
      <c r="P12" s="19"/>
      <c r="Q12" s="21"/>
      <c r="R12" s="21"/>
      <c r="S12" s="5"/>
      <c r="T12" s="5"/>
      <c r="U12" s="5"/>
    </row>
    <row r="13" spans="1:21" ht="15.75" thickBot="1">
      <c r="A13" s="159">
        <v>11925</v>
      </c>
      <c r="B13" s="159">
        <v>11926</v>
      </c>
      <c r="C13" s="28"/>
      <c r="D13" s="21"/>
      <c r="E13" s="41"/>
      <c r="F13" s="19"/>
      <c r="G13" s="19"/>
      <c r="H13" s="21"/>
      <c r="I13" s="21"/>
      <c r="J13" s="19"/>
      <c r="K13" s="21"/>
      <c r="M13" s="21"/>
      <c r="N13" s="21"/>
      <c r="O13" s="21"/>
      <c r="P13" s="19"/>
      <c r="Q13" s="21"/>
      <c r="R13" s="21"/>
      <c r="S13" s="5"/>
      <c r="T13" s="5"/>
      <c r="U13" s="5"/>
    </row>
    <row r="14" spans="1:21" ht="15.75" thickBot="1">
      <c r="A14" s="159">
        <v>11925</v>
      </c>
      <c r="B14" s="159">
        <v>11927</v>
      </c>
      <c r="C14" s="28"/>
      <c r="D14" s="21"/>
      <c r="E14" s="41"/>
      <c r="F14" s="19"/>
      <c r="G14" s="19"/>
      <c r="H14" s="21"/>
      <c r="I14" s="21"/>
      <c r="J14" s="19"/>
      <c r="K14" s="21"/>
      <c r="M14" s="21"/>
      <c r="N14" s="21"/>
      <c r="O14" s="21"/>
      <c r="P14" s="19"/>
      <c r="Q14" s="21"/>
      <c r="R14" s="21"/>
      <c r="S14" s="5"/>
      <c r="T14" s="5"/>
      <c r="U14" s="5"/>
    </row>
    <row r="15" spans="1:21" ht="15.75" thickBot="1">
      <c r="A15" s="159">
        <v>11925</v>
      </c>
      <c r="B15" s="159">
        <v>11928</v>
      </c>
      <c r="C15" s="28"/>
      <c r="D15" s="21"/>
      <c r="E15" s="41"/>
      <c r="F15" s="19"/>
      <c r="G15" s="19"/>
      <c r="H15" s="21"/>
      <c r="I15" s="21"/>
      <c r="J15" s="19"/>
      <c r="K15" s="21"/>
      <c r="M15" s="21"/>
      <c r="N15" s="21"/>
      <c r="O15" s="21"/>
      <c r="P15" s="19"/>
      <c r="Q15" s="21"/>
      <c r="R15" s="21"/>
      <c r="S15" s="5"/>
      <c r="T15" s="5"/>
      <c r="U15" s="5"/>
    </row>
    <row r="16" spans="1:21" ht="15.75" thickBot="1">
      <c r="A16" s="159">
        <v>11925</v>
      </c>
      <c r="B16" s="159">
        <v>11929</v>
      </c>
      <c r="C16" s="28"/>
      <c r="D16" s="21"/>
      <c r="E16" s="41"/>
      <c r="F16" s="19"/>
      <c r="G16" s="19"/>
      <c r="H16" s="21"/>
      <c r="I16" s="21"/>
      <c r="J16" s="19"/>
      <c r="K16" s="21"/>
      <c r="M16" s="21"/>
      <c r="N16" s="21"/>
      <c r="O16" s="21"/>
      <c r="P16" s="19"/>
      <c r="Q16" s="21"/>
      <c r="R16" s="21"/>
      <c r="S16" s="5"/>
      <c r="T16" s="5"/>
      <c r="U16" s="5"/>
    </row>
    <row r="17" spans="1:21" ht="15.75" thickBot="1">
      <c r="A17" s="159">
        <v>11925</v>
      </c>
      <c r="B17" s="159">
        <v>11930</v>
      </c>
      <c r="C17" s="28"/>
      <c r="D17" s="21"/>
      <c r="E17" s="41"/>
      <c r="F17" s="19"/>
      <c r="G17" s="19"/>
      <c r="H17" s="21"/>
      <c r="I17" s="21"/>
      <c r="J17" s="19"/>
      <c r="K17" s="21"/>
      <c r="M17" s="21"/>
      <c r="N17" s="21"/>
      <c r="O17" s="21"/>
      <c r="P17" s="19"/>
      <c r="Q17" s="21"/>
      <c r="R17" s="21"/>
      <c r="S17" s="5"/>
      <c r="T17" s="5"/>
      <c r="U17" s="5"/>
    </row>
    <row r="18" spans="1:21" ht="15.75" thickBot="1">
      <c r="A18" s="159">
        <v>11925</v>
      </c>
      <c r="B18" s="159">
        <v>11931</v>
      </c>
      <c r="C18" s="28"/>
      <c r="D18" s="21"/>
      <c r="E18" s="41"/>
      <c r="F18" s="19"/>
      <c r="G18" s="19"/>
      <c r="H18" s="21"/>
      <c r="I18" s="21"/>
      <c r="J18" s="19"/>
      <c r="K18" s="21"/>
      <c r="M18" s="21"/>
      <c r="N18" s="21"/>
      <c r="O18" s="21"/>
      <c r="P18" s="19"/>
      <c r="Q18" s="21"/>
      <c r="R18" s="21"/>
      <c r="S18" s="5"/>
      <c r="T18" s="5"/>
      <c r="U18" s="5"/>
    </row>
    <row r="19" spans="1:21" ht="15.75" thickBot="1">
      <c r="A19" s="159">
        <v>11925</v>
      </c>
      <c r="B19" s="159">
        <v>11932</v>
      </c>
      <c r="C19" s="28"/>
      <c r="D19" s="21"/>
      <c r="E19" s="41"/>
      <c r="F19" s="19"/>
      <c r="G19" s="19"/>
      <c r="H19" s="21"/>
      <c r="I19" s="21"/>
      <c r="J19" s="19"/>
      <c r="K19" s="21"/>
      <c r="M19" s="21"/>
      <c r="N19" s="21"/>
      <c r="O19" s="21"/>
      <c r="P19" s="19"/>
      <c r="Q19" s="21"/>
      <c r="R19" s="21"/>
    </row>
    <row r="20" spans="1:21" ht="15.75" thickBot="1">
      <c r="A20" s="159">
        <v>11925</v>
      </c>
      <c r="B20" s="159">
        <v>11933</v>
      </c>
      <c r="E20" s="41"/>
      <c r="F20" s="19"/>
      <c r="G20" s="19"/>
      <c r="H20" s="21"/>
      <c r="P20" s="19"/>
    </row>
    <row r="21" spans="1:21" s="43" customFormat="1" ht="15.75" thickBot="1">
      <c r="A21" s="159">
        <v>11925</v>
      </c>
      <c r="B21" s="159">
        <v>11934</v>
      </c>
    </row>
    <row r="22" spans="1:21" ht="15.75" thickBot="1">
      <c r="A22" s="159">
        <v>11925</v>
      </c>
      <c r="B22" s="159">
        <v>11935</v>
      </c>
    </row>
    <row r="23" spans="1:21" ht="15.75" thickBot="1">
      <c r="A23" s="159">
        <v>11925</v>
      </c>
      <c r="B23" s="159">
        <v>11936</v>
      </c>
    </row>
    <row r="24" spans="1:21" ht="15.75" thickBot="1">
      <c r="A24" s="159">
        <v>11925</v>
      </c>
      <c r="B24" s="159">
        <v>11937</v>
      </c>
    </row>
    <row r="25" spans="1:21" ht="15.75" thickBot="1">
      <c r="A25" s="159">
        <v>11939</v>
      </c>
      <c r="B25" s="159">
        <v>11942</v>
      </c>
    </row>
    <row r="26" spans="1:21" ht="15.75" thickBot="1">
      <c r="A26" s="159">
        <v>11939</v>
      </c>
      <c r="B26" s="159">
        <v>11943</v>
      </c>
    </row>
    <row r="27" spans="1:21" ht="15.75" thickBot="1">
      <c r="A27" s="159">
        <v>11939</v>
      </c>
      <c r="B27" s="159">
        <v>11944</v>
      </c>
    </row>
    <row r="28" spans="1:21" ht="15.75" thickBot="1">
      <c r="A28" s="159">
        <v>11939</v>
      </c>
      <c r="B28" s="159">
        <v>11945</v>
      </c>
    </row>
    <row r="29" spans="1:21" ht="15.75" thickBot="1">
      <c r="A29" s="159">
        <v>11939</v>
      </c>
      <c r="B29" s="159">
        <v>11946</v>
      </c>
    </row>
    <row r="30" spans="1:21" ht="15.75" thickBot="1">
      <c r="A30" s="159">
        <v>11939</v>
      </c>
      <c r="B30" s="159">
        <v>11947</v>
      </c>
    </row>
    <row r="31" spans="1:21" ht="15.75" thickBot="1">
      <c r="A31" s="159">
        <v>11939</v>
      </c>
      <c r="B31" s="159">
        <v>11948</v>
      </c>
    </row>
    <row r="32" spans="1:21" ht="15.75" thickBot="1">
      <c r="A32" s="159">
        <v>11939</v>
      </c>
      <c r="B32" s="159">
        <v>11949</v>
      </c>
    </row>
    <row r="33" spans="1:2" ht="15.75" thickBot="1">
      <c r="A33" s="159">
        <v>11939</v>
      </c>
      <c r="B33" s="159">
        <v>11950</v>
      </c>
    </row>
    <row r="34" spans="1:2" ht="15.75" thickBot="1">
      <c r="A34" s="159">
        <v>11939</v>
      </c>
      <c r="B34" s="159">
        <v>11979</v>
      </c>
    </row>
    <row r="35" spans="1:2" ht="15.75" thickBot="1">
      <c r="A35" s="159">
        <v>11939</v>
      </c>
      <c r="B35" s="159">
        <v>11980</v>
      </c>
    </row>
    <row r="36" spans="1:2" ht="15.75" thickBot="1">
      <c r="A36" s="159">
        <v>11939</v>
      </c>
      <c r="B36" s="159">
        <v>11981</v>
      </c>
    </row>
    <row r="37" spans="1:2" ht="15.75" thickBot="1">
      <c r="A37" s="159">
        <v>11342</v>
      </c>
      <c r="B37" s="159">
        <v>11343</v>
      </c>
    </row>
    <row r="38" spans="1:2" ht="15.75" thickBot="1">
      <c r="A38" s="159">
        <v>11342</v>
      </c>
      <c r="B38" s="159">
        <v>11344</v>
      </c>
    </row>
    <row r="39" spans="1:2" ht="15.75" thickBot="1">
      <c r="A39" s="159">
        <v>11342</v>
      </c>
      <c r="B39" s="159">
        <v>11345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39"/>
  <sheetViews>
    <sheetView rightToLeft="1" workbookViewId="0">
      <selection activeCell="A2" sqref="A2:B39"/>
    </sheetView>
  </sheetViews>
  <sheetFormatPr defaultColWidth="11.5703125" defaultRowHeight="14.1" customHeight="1"/>
  <cols>
    <col min="1" max="19" width="11.5703125" style="2" customWidth="1"/>
    <col min="20" max="16384" width="11.5703125" style="2"/>
  </cols>
  <sheetData>
    <row r="1" spans="1:22" ht="66.75" customHeight="1">
      <c r="A1" s="20" t="s">
        <v>667</v>
      </c>
      <c r="B1" s="20" t="s">
        <v>0</v>
      </c>
      <c r="C1" s="20" t="s">
        <v>741</v>
      </c>
      <c r="D1" s="20" t="s">
        <v>742</v>
      </c>
      <c r="E1" s="20" t="s">
        <v>743</v>
      </c>
      <c r="F1" s="20" t="s">
        <v>744</v>
      </c>
      <c r="G1" s="20" t="s">
        <v>749</v>
      </c>
      <c r="H1" s="20" t="s">
        <v>620</v>
      </c>
      <c r="I1" s="20" t="s">
        <v>621</v>
      </c>
      <c r="J1" s="20" t="s">
        <v>622</v>
      </c>
      <c r="K1" s="20" t="s">
        <v>6</v>
      </c>
      <c r="L1" s="20" t="s">
        <v>8</v>
      </c>
      <c r="M1" s="20" t="s">
        <v>1166</v>
      </c>
      <c r="N1" s="20" t="s">
        <v>396</v>
      </c>
      <c r="O1" s="20" t="s">
        <v>11</v>
      </c>
      <c r="P1" s="20" t="s">
        <v>14</v>
      </c>
      <c r="Q1" s="20" t="s">
        <v>440</v>
      </c>
      <c r="R1" s="20" t="s">
        <v>812</v>
      </c>
      <c r="S1" s="20" t="s">
        <v>1175</v>
      </c>
      <c r="T1" s="20" t="s">
        <v>764</v>
      </c>
      <c r="U1" s="11"/>
      <c r="V1" s="11"/>
    </row>
    <row r="2" spans="1:22" ht="14.1" customHeight="1" thickBot="1">
      <c r="A2" s="159">
        <v>7891</v>
      </c>
      <c r="B2" s="159">
        <v>7892</v>
      </c>
      <c r="C2" s="45"/>
      <c r="D2" s="22"/>
      <c r="E2" s="45"/>
      <c r="F2" s="45"/>
      <c r="G2" s="32"/>
      <c r="H2" s="19"/>
      <c r="I2" s="32"/>
      <c r="J2" s="21"/>
      <c r="K2" s="21"/>
      <c r="L2" s="21"/>
      <c r="M2" s="21"/>
      <c r="N2" s="5"/>
      <c r="O2" s="5"/>
      <c r="P2"/>
      <c r="Q2" s="22"/>
      <c r="R2" s="32"/>
      <c r="S2" s="32"/>
      <c r="T2" s="32"/>
    </row>
    <row r="3" spans="1:22" ht="14.1" customHeight="1" thickBot="1">
      <c r="A3" s="159">
        <v>7891</v>
      </c>
      <c r="B3" s="159">
        <v>7893</v>
      </c>
      <c r="C3" s="5"/>
      <c r="D3" s="22"/>
      <c r="E3" s="5"/>
      <c r="F3" s="5"/>
      <c r="G3"/>
      <c r="H3" s="19"/>
      <c r="I3" s="19"/>
      <c r="J3" s="21"/>
      <c r="K3" s="21"/>
      <c r="L3" s="21"/>
      <c r="M3" s="21"/>
      <c r="N3" s="5"/>
      <c r="O3" s="5"/>
      <c r="P3" s="5"/>
      <c r="Q3" s="21"/>
      <c r="R3" s="5"/>
      <c r="S3" s="5"/>
      <c r="T3" s="5"/>
    </row>
    <row r="4" spans="1:22" ht="14.1" customHeight="1" thickBot="1">
      <c r="A4" s="159">
        <v>7891</v>
      </c>
      <c r="B4" s="159">
        <v>7894</v>
      </c>
      <c r="C4" s="5"/>
      <c r="D4" s="22"/>
      <c r="E4" s="5"/>
      <c r="F4" s="5"/>
      <c r="G4"/>
      <c r="H4" s="19"/>
      <c r="I4" s="19"/>
      <c r="J4" s="21"/>
      <c r="K4" s="21"/>
      <c r="L4" s="21"/>
      <c r="M4" s="21"/>
      <c r="N4" s="5"/>
      <c r="O4" s="5"/>
      <c r="P4" s="5"/>
      <c r="Q4" s="21"/>
      <c r="R4" s="5"/>
      <c r="S4" s="5"/>
      <c r="T4" s="5"/>
    </row>
    <row r="5" spans="1:22" ht="14.1" customHeight="1" thickBot="1">
      <c r="A5" s="159">
        <v>7891</v>
      </c>
      <c r="B5" s="159">
        <v>7895</v>
      </c>
      <c r="C5" s="5"/>
      <c r="D5" s="22"/>
      <c r="E5" s="5"/>
      <c r="F5" s="5"/>
      <c r="G5"/>
      <c r="H5" s="19"/>
      <c r="I5" s="19"/>
      <c r="J5" s="21"/>
      <c r="K5" s="21"/>
      <c r="L5" s="21"/>
      <c r="M5" s="21"/>
      <c r="N5" s="5"/>
      <c r="O5" s="44"/>
      <c r="P5" s="5"/>
      <c r="Q5" s="21"/>
      <c r="R5" s="5"/>
      <c r="S5" s="5"/>
      <c r="T5" s="5"/>
    </row>
    <row r="6" spans="1:22" ht="14.1" customHeight="1" thickBot="1">
      <c r="A6" s="159">
        <v>7891</v>
      </c>
      <c r="B6" s="159">
        <v>7896</v>
      </c>
      <c r="C6" s="5"/>
      <c r="D6" s="22"/>
      <c r="E6" s="5"/>
      <c r="F6" s="5"/>
      <c r="G6"/>
      <c r="H6" s="19"/>
      <c r="I6" s="19"/>
      <c r="J6" s="21"/>
      <c r="K6" s="21"/>
      <c r="L6" s="21"/>
      <c r="M6" s="21"/>
      <c r="N6" s="5"/>
      <c r="O6" s="44"/>
      <c r="P6" s="5"/>
      <c r="Q6" s="21"/>
      <c r="R6" s="5"/>
      <c r="S6" s="5"/>
      <c r="T6" s="5"/>
    </row>
    <row r="7" spans="1:22" ht="14.1" customHeight="1" thickBot="1">
      <c r="A7" s="159">
        <v>7891</v>
      </c>
      <c r="B7" s="159">
        <v>7897</v>
      </c>
      <c r="C7" s="5"/>
      <c r="D7" s="22"/>
      <c r="E7" s="5"/>
      <c r="F7" s="5"/>
      <c r="G7"/>
      <c r="H7" s="19"/>
      <c r="I7" s="19"/>
      <c r="J7" s="21"/>
      <c r="K7" s="21"/>
      <c r="L7" s="21"/>
      <c r="M7" s="21"/>
      <c r="N7" s="5"/>
      <c r="O7" s="5"/>
      <c r="P7" s="5"/>
      <c r="Q7" s="21"/>
      <c r="R7" s="5"/>
      <c r="S7" s="5"/>
      <c r="T7" s="5"/>
    </row>
    <row r="8" spans="1:22" ht="14.1" customHeight="1" thickBot="1">
      <c r="A8" s="159">
        <v>7891</v>
      </c>
      <c r="B8" s="159">
        <v>7898</v>
      </c>
      <c r="C8" s="5"/>
      <c r="D8" s="22"/>
      <c r="E8" s="5"/>
      <c r="F8" s="5"/>
      <c r="G8"/>
      <c r="H8" s="19"/>
      <c r="I8" s="19"/>
      <c r="J8" s="21"/>
      <c r="K8" s="21"/>
      <c r="L8" s="21"/>
      <c r="M8" s="21"/>
      <c r="N8" s="44"/>
      <c r="O8" s="5"/>
      <c r="P8" s="5"/>
      <c r="Q8" s="21"/>
      <c r="R8" s="5"/>
      <c r="S8" s="5"/>
      <c r="T8" s="5"/>
    </row>
    <row r="9" spans="1:22" ht="14.1" customHeight="1" thickBot="1">
      <c r="A9" s="159">
        <v>7891</v>
      </c>
      <c r="B9" s="159">
        <v>7899</v>
      </c>
      <c r="C9" s="5"/>
      <c r="D9" s="22"/>
      <c r="E9" s="5"/>
      <c r="F9" s="5"/>
      <c r="G9"/>
      <c r="H9" s="19"/>
      <c r="I9" s="19"/>
      <c r="J9" s="21"/>
      <c r="K9" s="21"/>
      <c r="L9" s="21"/>
      <c r="M9" s="21"/>
      <c r="N9" s="5"/>
      <c r="O9" s="5"/>
      <c r="P9" s="5"/>
      <c r="Q9" s="21"/>
      <c r="R9" s="5"/>
      <c r="S9" s="5"/>
      <c r="T9" s="5"/>
    </row>
    <row r="10" spans="1:22" ht="13.5" customHeight="1" thickBot="1">
      <c r="A10" s="159">
        <v>7891</v>
      </c>
      <c r="B10" s="159">
        <v>7900</v>
      </c>
      <c r="C10" s="5"/>
      <c r="D10" s="22"/>
      <c r="E10" s="5"/>
      <c r="F10" s="5"/>
      <c r="G10"/>
      <c r="H10" s="19"/>
      <c r="I10" s="19"/>
      <c r="J10" s="21"/>
      <c r="K10" s="21"/>
      <c r="L10" s="21"/>
      <c r="M10" s="21"/>
      <c r="N10" s="5"/>
      <c r="O10" s="5"/>
      <c r="P10" s="5"/>
      <c r="Q10" s="21"/>
      <c r="R10" s="5"/>
      <c r="S10" s="5"/>
      <c r="T10" s="5"/>
    </row>
    <row r="11" spans="1:22" ht="13.5" customHeight="1" thickBot="1">
      <c r="A11" s="159">
        <v>7891</v>
      </c>
      <c r="B11" s="159">
        <v>7901</v>
      </c>
      <c r="C11" s="5"/>
      <c r="D11" s="22"/>
      <c r="E11" s="5"/>
      <c r="F11" s="5"/>
      <c r="G11"/>
      <c r="H11" s="19"/>
      <c r="I11" s="19"/>
      <c r="J11" s="21"/>
      <c r="K11" s="21"/>
      <c r="L11" s="21"/>
      <c r="M11" s="21"/>
      <c r="N11" s="5"/>
      <c r="O11" s="5"/>
      <c r="P11" s="5"/>
      <c r="Q11" s="21"/>
      <c r="R11" s="5"/>
      <c r="S11" s="5"/>
      <c r="T11" s="5"/>
    </row>
    <row r="12" spans="1:22" ht="14.1" customHeight="1" thickBot="1">
      <c r="A12" s="159">
        <v>7891</v>
      </c>
      <c r="B12" s="159">
        <v>7902</v>
      </c>
      <c r="C12" s="5"/>
      <c r="D12" s="22"/>
      <c r="E12" s="5"/>
      <c r="F12" s="5"/>
      <c r="G12"/>
      <c r="H12" s="19"/>
      <c r="I12" s="19"/>
      <c r="J12" s="21"/>
      <c r="K12" s="21"/>
      <c r="L12" s="21"/>
      <c r="M12" s="21"/>
      <c r="N12" s="5"/>
      <c r="O12" s="5"/>
      <c r="P12" s="5"/>
      <c r="Q12" s="21"/>
      <c r="R12" s="5"/>
      <c r="S12" s="5"/>
      <c r="T12" s="5"/>
    </row>
    <row r="13" spans="1:22" ht="14.1" customHeight="1" thickBot="1">
      <c r="A13" s="159">
        <v>11925</v>
      </c>
      <c r="B13" s="159">
        <v>11926</v>
      </c>
      <c r="C13" s="5"/>
      <c r="D13" s="22"/>
      <c r="E13" s="5"/>
      <c r="F13" s="5"/>
      <c r="G13"/>
      <c r="H13" s="19"/>
      <c r="I13" s="19"/>
      <c r="J13" s="21"/>
      <c r="K13" s="21"/>
      <c r="L13" s="21"/>
      <c r="M13" s="21"/>
      <c r="N13" s="5"/>
      <c r="O13" s="5"/>
      <c r="P13" s="5"/>
      <c r="Q13" s="21"/>
      <c r="R13" s="5"/>
      <c r="S13" s="5"/>
      <c r="T13" s="5"/>
    </row>
    <row r="14" spans="1:22" ht="14.1" customHeight="1" thickBot="1">
      <c r="A14" s="159">
        <v>11925</v>
      </c>
      <c r="B14" s="159">
        <v>11927</v>
      </c>
      <c r="C14" s="5"/>
      <c r="D14" s="22"/>
      <c r="E14" s="5"/>
      <c r="F14" s="5"/>
      <c r="G14"/>
      <c r="H14" s="19"/>
      <c r="I14" s="19"/>
      <c r="J14" s="21"/>
      <c r="K14" s="21"/>
      <c r="L14" s="21"/>
      <c r="M14" s="21"/>
      <c r="N14" s="5"/>
      <c r="O14" s="5"/>
      <c r="P14" s="5"/>
      <c r="Q14" s="21"/>
      <c r="R14" s="5"/>
      <c r="S14" s="5"/>
      <c r="T14" s="5"/>
    </row>
    <row r="15" spans="1:22" ht="14.1" customHeight="1" thickBot="1">
      <c r="A15" s="159">
        <v>11925</v>
      </c>
      <c r="B15" s="159">
        <v>11928</v>
      </c>
      <c r="C15" s="5"/>
      <c r="D15" s="22"/>
      <c r="E15" s="5"/>
      <c r="F15" s="5"/>
      <c r="G15"/>
      <c r="H15" s="19"/>
      <c r="I15" s="19"/>
      <c r="J15" s="21"/>
      <c r="K15" s="21"/>
      <c r="L15" s="21"/>
      <c r="M15" s="21"/>
      <c r="N15" s="5"/>
      <c r="O15" s="5"/>
      <c r="P15" s="5"/>
      <c r="Q15" s="21"/>
      <c r="R15" s="5"/>
      <c r="S15" s="5"/>
      <c r="T15" s="5"/>
    </row>
    <row r="16" spans="1:22" ht="14.1" customHeight="1" thickBot="1">
      <c r="A16" s="159">
        <v>11925</v>
      </c>
      <c r="B16" s="159">
        <v>11929</v>
      </c>
      <c r="C16" s="5"/>
      <c r="D16" s="22"/>
      <c r="E16" s="5"/>
      <c r="F16" s="5"/>
      <c r="G16"/>
      <c r="H16" s="19"/>
      <c r="I16" s="19"/>
      <c r="J16" s="21"/>
      <c r="K16" s="21"/>
      <c r="L16" s="21"/>
      <c r="M16" s="21"/>
      <c r="N16" s="5"/>
      <c r="O16" s="5"/>
      <c r="P16" s="5"/>
      <c r="Q16" s="21"/>
      <c r="R16" s="5"/>
      <c r="S16" s="5"/>
      <c r="T16" s="5"/>
    </row>
    <row r="17" spans="1:20" ht="14.1" customHeight="1" thickBot="1">
      <c r="A17" s="159">
        <v>11925</v>
      </c>
      <c r="B17" s="159">
        <v>11930</v>
      </c>
      <c r="C17" s="5"/>
      <c r="D17" s="22"/>
      <c r="E17" s="5"/>
      <c r="F17" s="5"/>
      <c r="G17"/>
      <c r="H17" s="19"/>
      <c r="I17" s="19"/>
      <c r="J17" s="21"/>
      <c r="K17" s="21"/>
      <c r="L17" s="21"/>
      <c r="M17" s="21"/>
      <c r="N17" s="5"/>
      <c r="O17" s="5"/>
      <c r="P17" s="5"/>
      <c r="Q17" s="21"/>
      <c r="R17" s="5"/>
      <c r="S17" s="5"/>
      <c r="T17" s="5"/>
    </row>
    <row r="18" spans="1:20" ht="14.1" customHeight="1" thickBot="1">
      <c r="A18" s="159">
        <v>11925</v>
      </c>
      <c r="B18" s="159">
        <v>11931</v>
      </c>
      <c r="D18" s="22"/>
      <c r="G18"/>
      <c r="H18" s="19"/>
      <c r="I18" s="19"/>
      <c r="J18" s="21"/>
      <c r="K18" s="21"/>
      <c r="L18" s="21"/>
      <c r="M18" s="21"/>
      <c r="Q18" s="21"/>
    </row>
    <row r="19" spans="1:20" ht="14.1" customHeight="1" thickBot="1">
      <c r="A19" s="159">
        <v>11925</v>
      </c>
      <c r="B19" s="159">
        <v>11932</v>
      </c>
      <c r="D19" s="22"/>
      <c r="G19"/>
      <c r="H19" s="19"/>
      <c r="I19" s="19"/>
      <c r="J19" s="21"/>
      <c r="K19" s="21"/>
      <c r="L19" s="21"/>
      <c r="M19" s="21"/>
      <c r="Q19" s="21"/>
    </row>
    <row r="20" spans="1:20" ht="14.1" customHeight="1" thickBot="1">
      <c r="A20" s="159">
        <v>11925</v>
      </c>
      <c r="B20" s="159">
        <v>11933</v>
      </c>
      <c r="D20" s="22"/>
      <c r="G20"/>
      <c r="H20" s="19"/>
      <c r="I20" s="19"/>
      <c r="J20" s="21"/>
      <c r="L20" s="21"/>
      <c r="M20" s="21"/>
      <c r="Q20" s="21"/>
    </row>
    <row r="21" spans="1:20" s="43" customFormat="1" ht="14.1" customHeight="1" thickBot="1">
      <c r="A21" s="159">
        <v>11925</v>
      </c>
      <c r="B21" s="159">
        <v>11934</v>
      </c>
      <c r="D21" s="46"/>
      <c r="J21"/>
    </row>
    <row r="22" spans="1:20" ht="14.1" customHeight="1" thickBot="1">
      <c r="A22" s="159">
        <v>11925</v>
      </c>
      <c r="B22" s="159">
        <v>11935</v>
      </c>
      <c r="D22" s="4"/>
    </row>
    <row r="23" spans="1:20" ht="14.1" customHeight="1" thickBot="1">
      <c r="A23" s="159">
        <v>11925</v>
      </c>
      <c r="B23" s="159">
        <v>11936</v>
      </c>
    </row>
    <row r="24" spans="1:20" ht="14.1" customHeight="1" thickBot="1">
      <c r="A24" s="159">
        <v>11925</v>
      </c>
      <c r="B24" s="159">
        <v>11937</v>
      </c>
    </row>
    <row r="25" spans="1:20" ht="14.1" customHeight="1" thickBot="1">
      <c r="A25" s="159">
        <v>11939</v>
      </c>
      <c r="B25" s="159">
        <v>11942</v>
      </c>
    </row>
    <row r="26" spans="1:20" ht="14.1" customHeight="1" thickBot="1">
      <c r="A26" s="159">
        <v>11939</v>
      </c>
      <c r="B26" s="159">
        <v>11943</v>
      </c>
    </row>
    <row r="27" spans="1:20" ht="14.1" customHeight="1" thickBot="1">
      <c r="A27" s="159">
        <v>11939</v>
      </c>
      <c r="B27" s="159">
        <v>11944</v>
      </c>
    </row>
    <row r="28" spans="1:20" ht="14.1" customHeight="1" thickBot="1">
      <c r="A28" s="159">
        <v>11939</v>
      </c>
      <c r="B28" s="159">
        <v>11945</v>
      </c>
    </row>
    <row r="29" spans="1:20" ht="14.1" customHeight="1" thickBot="1">
      <c r="A29" s="159">
        <v>11939</v>
      </c>
      <c r="B29" s="159">
        <v>11946</v>
      </c>
    </row>
    <row r="30" spans="1:20" ht="14.1" customHeight="1" thickBot="1">
      <c r="A30" s="159">
        <v>11939</v>
      </c>
      <c r="B30" s="159">
        <v>11947</v>
      </c>
    </row>
    <row r="31" spans="1:20" ht="14.1" customHeight="1" thickBot="1">
      <c r="A31" s="159">
        <v>11939</v>
      </c>
      <c r="B31" s="159">
        <v>11948</v>
      </c>
    </row>
    <row r="32" spans="1:20" ht="14.1" customHeight="1" thickBot="1">
      <c r="A32" s="159">
        <v>11939</v>
      </c>
      <c r="B32" s="159">
        <v>11949</v>
      </c>
    </row>
    <row r="33" spans="1:2" ht="14.1" customHeight="1" thickBot="1">
      <c r="A33" s="159">
        <v>11939</v>
      </c>
      <c r="B33" s="159">
        <v>11950</v>
      </c>
    </row>
    <row r="34" spans="1:2" ht="14.1" customHeight="1" thickBot="1">
      <c r="A34" s="159">
        <v>11939</v>
      </c>
      <c r="B34" s="159">
        <v>11979</v>
      </c>
    </row>
    <row r="35" spans="1:2" ht="14.1" customHeight="1" thickBot="1">
      <c r="A35" s="159">
        <v>11939</v>
      </c>
      <c r="B35" s="159">
        <v>11980</v>
      </c>
    </row>
    <row r="36" spans="1:2" ht="14.1" customHeight="1" thickBot="1">
      <c r="A36" s="159">
        <v>11939</v>
      </c>
      <c r="B36" s="159">
        <v>11981</v>
      </c>
    </row>
    <row r="37" spans="1:2" ht="14.1" customHeight="1" thickBot="1">
      <c r="A37" s="159">
        <v>11342</v>
      </c>
      <c r="B37" s="159">
        <v>11343</v>
      </c>
    </row>
    <row r="38" spans="1:2" ht="14.1" customHeight="1" thickBot="1">
      <c r="A38" s="159">
        <v>11342</v>
      </c>
      <c r="B38" s="159">
        <v>11344</v>
      </c>
    </row>
    <row r="39" spans="1:2" ht="14.1" customHeight="1" thickBot="1">
      <c r="A39" s="159">
        <v>11342</v>
      </c>
      <c r="B39" s="159">
        <v>11345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W39"/>
  <sheetViews>
    <sheetView rightToLeft="1" workbookViewId="0">
      <selection activeCell="A2" sqref="A2:B39"/>
    </sheetView>
  </sheetViews>
  <sheetFormatPr defaultColWidth="11.5703125" defaultRowHeight="14.1" customHeight="1"/>
  <cols>
    <col min="1" max="8" width="11.5703125" style="2" customWidth="1"/>
    <col min="9" max="9" width="12.5703125" style="2" customWidth="1"/>
    <col min="10" max="22" width="11.5703125" style="2" customWidth="1"/>
    <col min="23" max="16384" width="11.5703125" style="2"/>
  </cols>
  <sheetData>
    <row r="1" spans="1:23" ht="66.75" customHeight="1">
      <c r="A1" s="20" t="s">
        <v>667</v>
      </c>
      <c r="B1" s="20" t="s">
        <v>0</v>
      </c>
      <c r="C1" s="20" t="s">
        <v>1</v>
      </c>
      <c r="D1" s="20" t="s">
        <v>796</v>
      </c>
      <c r="E1" s="20" t="s">
        <v>809</v>
      </c>
      <c r="F1" s="20" t="s">
        <v>797</v>
      </c>
      <c r="G1" s="20" t="s">
        <v>763</v>
      </c>
      <c r="H1" s="20" t="s">
        <v>762</v>
      </c>
      <c r="I1" s="20" t="s">
        <v>767</v>
      </c>
      <c r="J1" s="20" t="s">
        <v>396</v>
      </c>
      <c r="K1" s="20" t="s">
        <v>761</v>
      </c>
      <c r="L1" s="20" t="s">
        <v>940</v>
      </c>
      <c r="M1" s="20" t="s">
        <v>1176</v>
      </c>
      <c r="N1" s="20" t="s">
        <v>941</v>
      </c>
      <c r="O1" s="20" t="s">
        <v>1177</v>
      </c>
      <c r="P1" s="20" t="s">
        <v>22</v>
      </c>
      <c r="Q1" s="20" t="s">
        <v>813</v>
      </c>
    </row>
    <row r="2" spans="1:23" ht="14.1" customHeight="1" thickBot="1">
      <c r="A2" s="159">
        <v>7891</v>
      </c>
      <c r="B2" s="159">
        <v>7892</v>
      </c>
      <c r="C2" s="5"/>
      <c r="D2" s="5"/>
      <c r="E2" s="45"/>
      <c r="F2" s="22"/>
      <c r="G2" s="5"/>
      <c r="H2" s="45"/>
      <c r="I2" s="22"/>
      <c r="J2"/>
      <c r="K2" s="28"/>
      <c r="L2"/>
      <c r="M2"/>
      <c r="N2"/>
      <c r="O2"/>
      <c r="P2" s="21"/>
      <c r="Q2"/>
      <c r="R2" s="44"/>
      <c r="S2" s="5"/>
      <c r="T2" s="5"/>
      <c r="U2" s="5"/>
      <c r="V2" s="19"/>
      <c r="W2" s="5"/>
    </row>
    <row r="3" spans="1:23" ht="14.1" customHeight="1" thickBot="1">
      <c r="A3" s="159">
        <v>7891</v>
      </c>
      <c r="B3" s="159">
        <v>7893</v>
      </c>
      <c r="C3" s="5"/>
      <c r="D3" s="5"/>
      <c r="E3" s="5"/>
      <c r="F3" s="22"/>
      <c r="G3" s="5"/>
      <c r="H3"/>
      <c r="I3" s="22"/>
      <c r="J3"/>
      <c r="K3" s="21"/>
      <c r="L3"/>
      <c r="M3"/>
      <c r="N3"/>
      <c r="O3"/>
      <c r="P3" s="21"/>
      <c r="Q3"/>
      <c r="R3" s="5"/>
      <c r="S3" s="5"/>
      <c r="T3" s="5"/>
      <c r="U3" s="5"/>
      <c r="V3" s="19"/>
      <c r="W3" s="5"/>
    </row>
    <row r="4" spans="1:23" ht="13.5" customHeight="1" thickBot="1">
      <c r="A4" s="159">
        <v>7891</v>
      </c>
      <c r="B4" s="159">
        <v>7894</v>
      </c>
      <c r="C4" s="5"/>
      <c r="D4" s="5"/>
      <c r="E4" s="5"/>
      <c r="F4" s="22"/>
      <c r="G4" s="5"/>
      <c r="H4"/>
      <c r="I4" s="22"/>
      <c r="J4"/>
      <c r="K4" s="21"/>
      <c r="L4"/>
      <c r="M4"/>
      <c r="N4"/>
      <c r="O4"/>
      <c r="P4" s="21"/>
      <c r="Q4"/>
      <c r="R4" s="5"/>
      <c r="S4" s="5"/>
      <c r="T4" s="5"/>
      <c r="U4" s="5"/>
      <c r="V4" s="19"/>
    </row>
    <row r="5" spans="1:23" ht="13.5" customHeight="1" thickBot="1">
      <c r="A5" s="159">
        <v>7891</v>
      </c>
      <c r="B5" s="159">
        <v>7895</v>
      </c>
      <c r="C5" s="5"/>
      <c r="D5" s="5"/>
      <c r="E5" s="5"/>
      <c r="F5" s="22"/>
      <c r="G5" s="5"/>
      <c r="H5"/>
      <c r="I5" s="22"/>
      <c r="J5"/>
      <c r="K5" s="21"/>
      <c r="L5"/>
      <c r="M5"/>
      <c r="N5"/>
      <c r="O5"/>
      <c r="P5" s="21"/>
      <c r="Q5"/>
      <c r="R5" s="5"/>
      <c r="S5" s="5"/>
      <c r="T5" s="5"/>
      <c r="U5" s="5"/>
      <c r="V5" s="19"/>
    </row>
    <row r="6" spans="1:23" ht="14.1" customHeight="1" thickBot="1">
      <c r="A6" s="159">
        <v>7891</v>
      </c>
      <c r="B6" s="159">
        <v>7896</v>
      </c>
      <c r="C6" s="5"/>
      <c r="D6" s="5"/>
      <c r="E6" s="5"/>
      <c r="F6" s="22"/>
      <c r="G6" s="5"/>
      <c r="H6"/>
      <c r="I6" s="22"/>
      <c r="J6"/>
      <c r="K6" s="21"/>
      <c r="L6"/>
      <c r="M6"/>
      <c r="N6"/>
      <c r="O6"/>
      <c r="P6" s="21"/>
      <c r="Q6"/>
      <c r="R6" s="5"/>
      <c r="S6" s="5"/>
      <c r="T6" s="5"/>
      <c r="U6" s="5"/>
      <c r="V6" s="19"/>
    </row>
    <row r="7" spans="1:23" ht="14.1" customHeight="1" thickBot="1">
      <c r="A7" s="159">
        <v>7891</v>
      </c>
      <c r="B7" s="159">
        <v>7897</v>
      </c>
      <c r="C7" s="5"/>
      <c r="D7" s="5"/>
      <c r="E7" s="5"/>
      <c r="F7" s="22"/>
      <c r="G7" s="5"/>
      <c r="H7"/>
      <c r="I7" s="22"/>
      <c r="J7"/>
      <c r="K7" s="21"/>
      <c r="L7"/>
      <c r="M7"/>
      <c r="N7"/>
      <c r="O7"/>
      <c r="P7" s="21"/>
      <c r="Q7"/>
      <c r="R7" s="5"/>
      <c r="S7" s="5"/>
      <c r="T7" s="5"/>
      <c r="U7" s="5"/>
      <c r="V7" s="19"/>
    </row>
    <row r="8" spans="1:23" ht="14.1" customHeight="1" thickBot="1">
      <c r="A8" s="159">
        <v>7891</v>
      </c>
      <c r="B8" s="159">
        <v>7898</v>
      </c>
      <c r="C8" s="5"/>
      <c r="D8" s="5"/>
      <c r="E8" s="5"/>
      <c r="F8" s="22"/>
      <c r="G8" s="5"/>
      <c r="H8"/>
      <c r="I8" s="22"/>
      <c r="J8"/>
      <c r="K8" s="21"/>
      <c r="L8"/>
      <c r="M8"/>
      <c r="N8"/>
      <c r="O8"/>
      <c r="P8" s="21"/>
      <c r="Q8"/>
      <c r="R8" s="5"/>
      <c r="S8" s="5"/>
      <c r="T8" s="5"/>
      <c r="U8" s="5"/>
      <c r="V8" s="19"/>
    </row>
    <row r="9" spans="1:23" ht="14.1" customHeight="1" thickBot="1">
      <c r="A9" s="159">
        <v>7891</v>
      </c>
      <c r="B9" s="159">
        <v>7899</v>
      </c>
      <c r="C9" s="5"/>
      <c r="D9" s="5"/>
      <c r="E9" s="5"/>
      <c r="F9" s="22"/>
      <c r="G9" s="5"/>
      <c r="H9"/>
      <c r="I9" s="22"/>
      <c r="J9"/>
      <c r="K9" s="21"/>
      <c r="L9"/>
      <c r="M9"/>
      <c r="N9"/>
      <c r="O9"/>
      <c r="P9" s="21"/>
      <c r="Q9"/>
      <c r="R9" s="5"/>
      <c r="S9" s="5"/>
      <c r="T9" s="5"/>
      <c r="U9" s="5"/>
      <c r="V9" s="19"/>
    </row>
    <row r="10" spans="1:23" ht="14.1" customHeight="1" thickBot="1">
      <c r="A10" s="159">
        <v>7891</v>
      </c>
      <c r="B10" s="159">
        <v>7900</v>
      </c>
      <c r="C10" s="5"/>
      <c r="D10" s="5"/>
      <c r="E10" s="5"/>
      <c r="F10" s="22"/>
      <c r="G10" s="5"/>
      <c r="H10"/>
      <c r="I10" s="22"/>
      <c r="J10"/>
      <c r="K10" s="21"/>
      <c r="L10"/>
      <c r="M10"/>
      <c r="N10"/>
      <c r="O10"/>
      <c r="P10" s="21"/>
      <c r="Q10"/>
      <c r="R10" s="5"/>
      <c r="S10" s="5"/>
      <c r="T10" s="5"/>
      <c r="U10" s="5"/>
      <c r="V10" s="19"/>
    </row>
    <row r="11" spans="1:23" ht="14.1" customHeight="1" thickBot="1">
      <c r="A11" s="159">
        <v>7891</v>
      </c>
      <c r="B11" s="159">
        <v>7901</v>
      </c>
      <c r="C11" s="5"/>
      <c r="F11" s="22"/>
      <c r="H11"/>
      <c r="I11" s="22"/>
      <c r="J11"/>
      <c r="K11" s="21"/>
      <c r="L11"/>
      <c r="M11"/>
      <c r="N11"/>
      <c r="O11"/>
      <c r="Q11"/>
    </row>
    <row r="12" spans="1:23" ht="14.1" customHeight="1" thickBot="1">
      <c r="A12" s="159">
        <v>7891</v>
      </c>
      <c r="B12" s="159">
        <v>7902</v>
      </c>
      <c r="C12" s="5"/>
      <c r="F12" s="22"/>
      <c r="H12"/>
      <c r="I12" s="22"/>
      <c r="K12" s="21"/>
      <c r="L12"/>
      <c r="M12"/>
      <c r="N12"/>
      <c r="O12"/>
      <c r="Q12"/>
    </row>
    <row r="13" spans="1:23" ht="14.1" customHeight="1" thickBot="1">
      <c r="A13" s="159">
        <v>11925</v>
      </c>
      <c r="B13" s="159">
        <v>11926</v>
      </c>
      <c r="C13" s="5"/>
      <c r="F13" s="22"/>
      <c r="H13"/>
      <c r="I13" s="22"/>
      <c r="K13" s="21"/>
      <c r="L13"/>
      <c r="M13"/>
      <c r="N13"/>
      <c r="O13"/>
      <c r="Q13"/>
    </row>
    <row r="14" spans="1:23" ht="14.1" customHeight="1" thickBot="1">
      <c r="A14" s="159">
        <v>11925</v>
      </c>
      <c r="B14" s="159">
        <v>11927</v>
      </c>
      <c r="C14" s="5"/>
      <c r="F14" s="22"/>
      <c r="H14"/>
      <c r="I14" s="22"/>
      <c r="K14" s="21"/>
      <c r="L14"/>
      <c r="M14"/>
      <c r="N14"/>
      <c r="O14"/>
      <c r="Q14"/>
    </row>
    <row r="15" spans="1:23" ht="14.1" customHeight="1" thickBot="1">
      <c r="A15" s="159">
        <v>11925</v>
      </c>
      <c r="B15" s="159">
        <v>11928</v>
      </c>
      <c r="C15" s="5"/>
      <c r="F15" s="22"/>
      <c r="H15"/>
      <c r="I15" s="22"/>
      <c r="K15" s="21"/>
      <c r="L15"/>
      <c r="M15"/>
      <c r="N15"/>
      <c r="O15"/>
      <c r="Q15"/>
    </row>
    <row r="16" spans="1:23" ht="14.1" customHeight="1" thickBot="1">
      <c r="A16" s="159">
        <v>11925</v>
      </c>
      <c r="B16" s="159">
        <v>11929</v>
      </c>
      <c r="C16" s="5"/>
      <c r="F16" s="22"/>
      <c r="H16"/>
      <c r="I16" s="22"/>
      <c r="K16" s="21"/>
      <c r="L16"/>
      <c r="M16"/>
      <c r="N16"/>
      <c r="O16"/>
      <c r="Q16"/>
    </row>
    <row r="17" spans="1:17" ht="14.1" customHeight="1" thickBot="1">
      <c r="A17" s="159">
        <v>11925</v>
      </c>
      <c r="B17" s="159">
        <v>11930</v>
      </c>
      <c r="C17" s="5"/>
      <c r="F17" s="22"/>
      <c r="H17"/>
      <c r="I17" s="22"/>
      <c r="K17" s="21"/>
      <c r="L17"/>
      <c r="M17"/>
      <c r="N17"/>
      <c r="O17"/>
      <c r="Q17"/>
    </row>
    <row r="18" spans="1:17" ht="14.1" customHeight="1" thickBot="1">
      <c r="A18" s="159">
        <v>11925</v>
      </c>
      <c r="B18" s="159">
        <v>11931</v>
      </c>
      <c r="C18" s="5"/>
      <c r="F18" s="22"/>
      <c r="H18"/>
      <c r="I18" s="22"/>
      <c r="K18" s="21"/>
      <c r="L18"/>
      <c r="M18"/>
      <c r="N18"/>
      <c r="O18"/>
      <c r="Q18"/>
    </row>
    <row r="19" spans="1:17" ht="14.1" customHeight="1" thickBot="1">
      <c r="A19" s="159">
        <v>11925</v>
      </c>
      <c r="B19" s="159">
        <v>11932</v>
      </c>
      <c r="C19" s="5"/>
      <c r="F19" s="22"/>
      <c r="H19"/>
      <c r="I19" s="22"/>
      <c r="K19" s="21"/>
      <c r="L19"/>
      <c r="M19"/>
      <c r="N19"/>
      <c r="O19"/>
      <c r="Q19"/>
    </row>
    <row r="20" spans="1:17" ht="14.1" customHeight="1" thickBot="1">
      <c r="A20" s="159">
        <v>11925</v>
      </c>
      <c r="B20" s="159">
        <v>11933</v>
      </c>
      <c r="F20" s="22"/>
      <c r="H20"/>
      <c r="I20" s="22"/>
      <c r="L20"/>
      <c r="M20"/>
      <c r="N20"/>
      <c r="O20"/>
      <c r="Q20"/>
    </row>
    <row r="21" spans="1:17" ht="14.1" customHeight="1" thickBot="1">
      <c r="A21" s="159">
        <v>11925</v>
      </c>
      <c r="B21" s="159">
        <v>11934</v>
      </c>
      <c r="H21"/>
      <c r="L21"/>
      <c r="M21"/>
      <c r="N21"/>
      <c r="O21"/>
      <c r="Q21"/>
    </row>
    <row r="22" spans="1:17" ht="14.1" customHeight="1" thickBot="1">
      <c r="A22" s="159">
        <v>11925</v>
      </c>
      <c r="B22" s="159">
        <v>11935</v>
      </c>
      <c r="H22"/>
      <c r="L22"/>
      <c r="M22"/>
      <c r="N22"/>
      <c r="O22"/>
      <c r="Q22"/>
    </row>
    <row r="23" spans="1:17" ht="14.1" customHeight="1" thickBot="1">
      <c r="A23" s="159">
        <v>11925</v>
      </c>
      <c r="B23" s="159">
        <v>11936</v>
      </c>
      <c r="H23"/>
      <c r="L23"/>
      <c r="M23"/>
      <c r="N23"/>
      <c r="O23"/>
      <c r="Q23"/>
    </row>
    <row r="24" spans="1:17" ht="14.1" customHeight="1" thickBot="1">
      <c r="A24" s="159">
        <v>11925</v>
      </c>
      <c r="B24" s="159">
        <v>11937</v>
      </c>
      <c r="H24"/>
      <c r="K24" s="11"/>
      <c r="L24"/>
      <c r="M24"/>
      <c r="N24"/>
      <c r="O24"/>
      <c r="Q24"/>
    </row>
    <row r="25" spans="1:17" ht="14.1" customHeight="1" thickBot="1">
      <c r="A25" s="159">
        <v>11939</v>
      </c>
      <c r="B25" s="159">
        <v>11942</v>
      </c>
      <c r="H25"/>
      <c r="K25" s="11"/>
      <c r="N25"/>
      <c r="O25"/>
      <c r="Q25"/>
    </row>
    <row r="26" spans="1:17" ht="14.1" customHeight="1" thickBot="1">
      <c r="A26" s="159">
        <v>11939</v>
      </c>
      <c r="B26" s="159">
        <v>11943</v>
      </c>
      <c r="H26"/>
      <c r="K26" s="11"/>
      <c r="Q26"/>
    </row>
    <row r="27" spans="1:17" ht="14.1" customHeight="1" thickBot="1">
      <c r="A27" s="159">
        <v>11939</v>
      </c>
      <c r="B27" s="159">
        <v>11944</v>
      </c>
      <c r="H27"/>
      <c r="Q27"/>
    </row>
    <row r="28" spans="1:17" ht="14.1" customHeight="1" thickBot="1">
      <c r="A28" s="159">
        <v>11939</v>
      </c>
      <c r="B28" s="159">
        <v>11945</v>
      </c>
      <c r="H28"/>
      <c r="K28" s="11"/>
      <c r="Q28"/>
    </row>
    <row r="29" spans="1:17" ht="14.1" customHeight="1" thickBot="1">
      <c r="A29" s="159">
        <v>11939</v>
      </c>
      <c r="B29" s="159">
        <v>11946</v>
      </c>
      <c r="H29"/>
      <c r="Q29"/>
    </row>
    <row r="30" spans="1:17" ht="14.1" customHeight="1" thickBot="1">
      <c r="A30" s="159">
        <v>11939</v>
      </c>
      <c r="B30" s="159">
        <v>11947</v>
      </c>
      <c r="H30"/>
      <c r="Q30"/>
    </row>
    <row r="31" spans="1:17" ht="14.1" customHeight="1" thickBot="1">
      <c r="A31" s="159">
        <v>11939</v>
      </c>
      <c r="B31" s="159">
        <v>11948</v>
      </c>
      <c r="H31"/>
      <c r="Q31"/>
    </row>
    <row r="32" spans="1:17" ht="14.1" customHeight="1" thickBot="1">
      <c r="A32" s="159">
        <v>11939</v>
      </c>
      <c r="B32" s="159">
        <v>11949</v>
      </c>
      <c r="H32"/>
    </row>
    <row r="33" spans="1:2" ht="14.1" customHeight="1" thickBot="1">
      <c r="A33" s="159">
        <v>11939</v>
      </c>
      <c r="B33" s="159">
        <v>11950</v>
      </c>
    </row>
    <row r="34" spans="1:2" ht="14.1" customHeight="1" thickBot="1">
      <c r="A34" s="159">
        <v>11939</v>
      </c>
      <c r="B34" s="159">
        <v>11979</v>
      </c>
    </row>
    <row r="35" spans="1:2" ht="14.1" customHeight="1" thickBot="1">
      <c r="A35" s="159">
        <v>11939</v>
      </c>
      <c r="B35" s="159">
        <v>11980</v>
      </c>
    </row>
    <row r="36" spans="1:2" ht="14.1" customHeight="1" thickBot="1">
      <c r="A36" s="159">
        <v>11939</v>
      </c>
      <c r="B36" s="159">
        <v>11981</v>
      </c>
    </row>
    <row r="37" spans="1:2" ht="14.1" customHeight="1" thickBot="1">
      <c r="A37" s="159">
        <v>11342</v>
      </c>
      <c r="B37" s="159">
        <v>11343</v>
      </c>
    </row>
    <row r="38" spans="1:2" ht="14.1" customHeight="1" thickBot="1">
      <c r="A38" s="159">
        <v>11342</v>
      </c>
      <c r="B38" s="159">
        <v>11344</v>
      </c>
    </row>
    <row r="39" spans="1:2" ht="14.1" customHeight="1" thickBot="1">
      <c r="A39" s="159">
        <v>11342</v>
      </c>
      <c r="B39" s="159">
        <v>11345</v>
      </c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 activeCell="C11" sqref="C11"/>
    </sheetView>
  </sheetViews>
  <sheetFormatPr defaultColWidth="9" defaultRowHeight="15"/>
  <cols>
    <col min="1" max="1" width="29.42578125" style="11" customWidth="1"/>
    <col min="2" max="2" width="30.42578125" style="16" customWidth="1"/>
    <col min="3" max="3" width="90.85546875" style="68" customWidth="1"/>
    <col min="4" max="4" width="68.85546875" style="11" customWidth="1"/>
    <col min="5" max="5" width="17.42578125" style="16" customWidth="1"/>
    <col min="6" max="6" width="59.5703125" style="16" customWidth="1"/>
    <col min="7" max="7" width="63.42578125" style="16" customWidth="1"/>
    <col min="8" max="8" width="38.7109375" style="16" customWidth="1"/>
    <col min="9" max="9" width="9" style="16" customWidth="1"/>
    <col min="10" max="16384" width="9" style="16"/>
  </cols>
  <sheetData>
    <row r="1" spans="1:8" s="65" customFormat="1" ht="45">
      <c r="A1" s="64" t="s">
        <v>606</v>
      </c>
      <c r="B1" s="64" t="s">
        <v>334</v>
      </c>
      <c r="C1" s="64" t="s">
        <v>335</v>
      </c>
      <c r="D1" s="64" t="s">
        <v>373</v>
      </c>
      <c r="E1" s="16"/>
      <c r="F1" s="16"/>
      <c r="G1" s="16"/>
      <c r="H1" s="16"/>
    </row>
    <row r="2" spans="1:8">
      <c r="A2" s="102"/>
      <c r="B2" s="102" t="s">
        <v>686</v>
      </c>
      <c r="C2" s="23" t="s">
        <v>53</v>
      </c>
      <c r="D2" s="23"/>
    </row>
    <row r="3" spans="1:8">
      <c r="A3" s="103"/>
      <c r="B3" s="103"/>
      <c r="C3" s="23" t="s">
        <v>61</v>
      </c>
      <c r="D3" s="23"/>
    </row>
    <row r="4" spans="1:8" ht="45">
      <c r="A4" s="95"/>
      <c r="B4" s="123" t="s">
        <v>799</v>
      </c>
      <c r="C4" s="24" t="s">
        <v>53</v>
      </c>
      <c r="D4" s="24"/>
    </row>
    <row r="5" spans="1:8">
      <c r="A5" s="96"/>
      <c r="B5" s="124"/>
      <c r="C5" s="24" t="s">
        <v>59</v>
      </c>
      <c r="D5" s="24"/>
    </row>
    <row r="6" spans="1:8">
      <c r="A6" s="96"/>
      <c r="B6" s="124"/>
      <c r="C6" s="24" t="s">
        <v>67</v>
      </c>
      <c r="D6" s="24"/>
    </row>
    <row r="7" spans="1:8">
      <c r="A7" s="96"/>
      <c r="B7" s="124"/>
      <c r="C7" s="24" t="s">
        <v>74</v>
      </c>
      <c r="D7" s="24"/>
    </row>
    <row r="8" spans="1:8">
      <c r="A8" s="96"/>
      <c r="B8" s="124"/>
      <c r="C8" s="24" t="s">
        <v>81</v>
      </c>
      <c r="D8" s="24"/>
    </row>
    <row r="9" spans="1:8">
      <c r="A9" s="96"/>
      <c r="B9" s="124"/>
      <c r="C9" s="24" t="s">
        <v>946</v>
      </c>
      <c r="D9" s="24"/>
    </row>
    <row r="10" spans="1:8">
      <c r="A10" s="96"/>
      <c r="B10" s="124"/>
      <c r="C10" s="24" t="s">
        <v>92</v>
      </c>
      <c r="D10" s="24"/>
    </row>
    <row r="11" spans="1:8">
      <c r="A11" s="96"/>
      <c r="B11" s="124"/>
      <c r="C11" s="24" t="s">
        <v>977</v>
      </c>
      <c r="D11" s="24"/>
      <c r="E11" s="16" t="s">
        <v>1200</v>
      </c>
    </row>
    <row r="12" spans="1:8">
      <c r="A12" s="96"/>
      <c r="B12" s="124"/>
      <c r="C12" s="24" t="s">
        <v>978</v>
      </c>
      <c r="D12" s="24"/>
      <c r="E12" s="16" t="s">
        <v>1200</v>
      </c>
    </row>
    <row r="13" spans="1:8">
      <c r="A13" s="96"/>
      <c r="B13" s="124"/>
      <c r="C13" s="24" t="s">
        <v>104</v>
      </c>
      <c r="D13" s="24"/>
    </row>
    <row r="14" spans="1:8">
      <c r="A14" s="96"/>
      <c r="B14" s="124"/>
      <c r="C14" s="24" t="s">
        <v>109</v>
      </c>
      <c r="D14" s="24"/>
    </row>
    <row r="15" spans="1:8">
      <c r="A15" s="96"/>
      <c r="B15" s="124"/>
      <c r="C15" s="24" t="s">
        <v>111</v>
      </c>
      <c r="D15" s="24"/>
    </row>
    <row r="16" spans="1:8">
      <c r="A16" s="96"/>
      <c r="B16" s="124"/>
      <c r="C16" s="24" t="s">
        <v>114</v>
      </c>
      <c r="D16" s="24"/>
    </row>
    <row r="17" spans="1:4">
      <c r="A17" s="96"/>
      <c r="B17" s="124"/>
      <c r="C17" s="24" t="s">
        <v>117</v>
      </c>
      <c r="D17" s="24"/>
    </row>
    <row r="18" spans="1:4">
      <c r="A18" s="96"/>
      <c r="B18" s="124"/>
      <c r="C18" s="24" t="s">
        <v>120</v>
      </c>
      <c r="D18" s="24"/>
    </row>
    <row r="19" spans="1:4">
      <c r="A19" s="96"/>
      <c r="B19" s="124"/>
      <c r="C19" s="24" t="s">
        <v>123</v>
      </c>
      <c r="D19" s="24"/>
    </row>
    <row r="20" spans="1:4">
      <c r="A20" s="96"/>
      <c r="B20" s="124"/>
      <c r="C20" s="24" t="s">
        <v>125</v>
      </c>
      <c r="D20" s="24"/>
    </row>
    <row r="21" spans="1:4">
      <c r="A21" s="96"/>
      <c r="B21" s="124"/>
      <c r="C21" s="24" t="s">
        <v>314</v>
      </c>
      <c r="D21" s="24"/>
    </row>
    <row r="22" spans="1:4">
      <c r="A22" s="96"/>
      <c r="B22" s="124"/>
      <c r="C22" s="24" t="s">
        <v>128</v>
      </c>
      <c r="D22" s="24"/>
    </row>
    <row r="23" spans="1:4">
      <c r="A23" s="96"/>
      <c r="B23" s="124"/>
      <c r="C23" s="24" t="s">
        <v>131</v>
      </c>
      <c r="D23" s="24"/>
    </row>
    <row r="24" spans="1:4">
      <c r="A24" s="96"/>
      <c r="B24" s="124"/>
      <c r="C24" s="24" t="s">
        <v>132</v>
      </c>
      <c r="D24" s="24"/>
    </row>
    <row r="25" spans="1:4">
      <c r="A25" s="96"/>
      <c r="B25" s="124"/>
      <c r="C25" s="24" t="s">
        <v>134</v>
      </c>
      <c r="D25" s="24"/>
    </row>
    <row r="26" spans="1:4">
      <c r="A26" s="96"/>
      <c r="B26" s="124"/>
      <c r="C26" s="24" t="s">
        <v>136</v>
      </c>
      <c r="D26" s="24"/>
    </row>
    <row r="27" spans="1:4">
      <c r="A27" s="96"/>
      <c r="B27" s="124"/>
      <c r="C27" s="24" t="s">
        <v>138</v>
      </c>
      <c r="D27" s="24"/>
    </row>
    <row r="28" spans="1:4">
      <c r="A28" s="96"/>
      <c r="B28" s="124"/>
      <c r="C28" s="24" t="s">
        <v>141</v>
      </c>
      <c r="D28" s="24"/>
    </row>
    <row r="29" spans="1:4">
      <c r="A29" s="96"/>
      <c r="B29" s="124"/>
      <c r="C29" s="24" t="s">
        <v>143</v>
      </c>
      <c r="D29" s="24"/>
    </row>
    <row r="30" spans="1:4">
      <c r="A30" s="96"/>
      <c r="B30" s="124"/>
      <c r="C30" s="24" t="s">
        <v>315</v>
      </c>
      <c r="D30" s="24"/>
    </row>
    <row r="31" spans="1:4">
      <c r="A31" s="96"/>
      <c r="B31" s="124"/>
      <c r="C31" s="24" t="s">
        <v>145</v>
      </c>
      <c r="D31" s="24"/>
    </row>
    <row r="32" spans="1:4">
      <c r="A32" s="96"/>
      <c r="B32" s="124"/>
      <c r="C32" s="24" t="s">
        <v>147</v>
      </c>
      <c r="D32" s="24"/>
    </row>
    <row r="33" spans="1:5">
      <c r="A33" s="96"/>
      <c r="B33" s="124"/>
      <c r="C33" s="24" t="s">
        <v>149</v>
      </c>
      <c r="D33" s="24"/>
    </row>
    <row r="34" spans="1:5">
      <c r="A34" s="96"/>
      <c r="B34" s="124"/>
      <c r="C34" s="24" t="s">
        <v>151</v>
      </c>
      <c r="D34" s="24"/>
    </row>
    <row r="35" spans="1:5">
      <c r="A35" s="96"/>
      <c r="B35" s="124"/>
      <c r="C35" s="24" t="s">
        <v>153</v>
      </c>
      <c r="D35" s="24"/>
    </row>
    <row r="36" spans="1:5">
      <c r="A36" s="96"/>
      <c r="B36" s="124"/>
      <c r="C36" s="24" t="s">
        <v>1141</v>
      </c>
      <c r="D36" s="24"/>
      <c r="E36" s="16" t="s">
        <v>1200</v>
      </c>
    </row>
    <row r="37" spans="1:5">
      <c r="A37" s="96"/>
      <c r="B37" s="124"/>
      <c r="C37" s="11" t="s">
        <v>1140</v>
      </c>
      <c r="D37" s="24"/>
      <c r="E37" s="16" t="s">
        <v>1200</v>
      </c>
    </row>
    <row r="38" spans="1:5">
      <c r="A38" s="96"/>
      <c r="B38" s="124"/>
      <c r="C38" s="24" t="s">
        <v>154</v>
      </c>
      <c r="D38" s="24"/>
    </row>
    <row r="39" spans="1:5">
      <c r="A39" s="96"/>
      <c r="B39" s="124"/>
      <c r="C39" s="24" t="s">
        <v>155</v>
      </c>
      <c r="D39" s="24"/>
    </row>
    <row r="40" spans="1:5">
      <c r="A40" s="96"/>
      <c r="B40" s="124"/>
      <c r="C40" s="24" t="s">
        <v>971</v>
      </c>
      <c r="D40" s="24"/>
      <c r="E40" s="16" t="s">
        <v>1200</v>
      </c>
    </row>
    <row r="41" spans="1:5">
      <c r="A41" s="96"/>
      <c r="B41" s="124"/>
      <c r="C41" s="24" t="s">
        <v>157</v>
      </c>
      <c r="D41" s="24"/>
    </row>
    <row r="42" spans="1:5">
      <c r="A42" s="96"/>
      <c r="B42" s="124"/>
      <c r="C42" s="24" t="s">
        <v>158</v>
      </c>
      <c r="D42" s="24"/>
    </row>
    <row r="43" spans="1:5">
      <c r="A43" s="96"/>
      <c r="B43" s="124"/>
      <c r="C43" s="24" t="s">
        <v>159</v>
      </c>
      <c r="D43" s="24"/>
    </row>
    <row r="44" spans="1:5">
      <c r="A44" s="96"/>
      <c r="B44" s="124"/>
      <c r="C44" s="24" t="s">
        <v>160</v>
      </c>
      <c r="D44" s="24"/>
    </row>
    <row r="45" spans="1:5">
      <c r="A45" s="96"/>
      <c r="B45" s="124"/>
      <c r="C45" s="24" t="s">
        <v>161</v>
      </c>
      <c r="D45" s="24"/>
    </row>
    <row r="46" spans="1:5">
      <c r="A46" s="96"/>
      <c r="B46" s="124"/>
      <c r="C46" s="24" t="s">
        <v>973</v>
      </c>
      <c r="D46" s="24"/>
      <c r="E46" s="16" t="s">
        <v>1200</v>
      </c>
    </row>
    <row r="47" spans="1:5">
      <c r="A47" s="96"/>
      <c r="B47" s="124"/>
      <c r="C47" s="24" t="s">
        <v>164</v>
      </c>
      <c r="D47" s="24"/>
    </row>
    <row r="48" spans="1:5">
      <c r="A48" s="96"/>
      <c r="B48" s="124"/>
      <c r="C48" s="24" t="s">
        <v>166</v>
      </c>
      <c r="D48" s="24"/>
    </row>
    <row r="49" spans="1:5">
      <c r="A49" s="96"/>
      <c r="B49" s="124"/>
      <c r="C49" s="24" t="s">
        <v>168</v>
      </c>
      <c r="D49" s="24"/>
    </row>
    <row r="50" spans="1:5">
      <c r="A50" s="96"/>
      <c r="B50" s="124"/>
      <c r="C50" s="24" t="s">
        <v>173</v>
      </c>
      <c r="D50" s="24"/>
    </row>
    <row r="51" spans="1:5">
      <c r="A51" s="96"/>
      <c r="B51" s="124"/>
      <c r="C51" s="24" t="s">
        <v>175</v>
      </c>
      <c r="D51" s="24"/>
    </row>
    <row r="52" spans="1:5">
      <c r="A52" s="96"/>
      <c r="B52" s="124"/>
      <c r="C52" s="24" t="s">
        <v>177</v>
      </c>
      <c r="D52" s="24"/>
    </row>
    <row r="53" spans="1:5">
      <c r="A53" s="96"/>
      <c r="B53" s="124"/>
      <c r="C53" s="24" t="s">
        <v>178</v>
      </c>
      <c r="D53" s="24"/>
    </row>
    <row r="54" spans="1:5">
      <c r="A54" s="96"/>
      <c r="B54" s="124"/>
      <c r="C54" s="24" t="s">
        <v>179</v>
      </c>
      <c r="D54" s="24"/>
    </row>
    <row r="55" spans="1:5">
      <c r="A55" s="96"/>
      <c r="B55" s="124"/>
      <c r="C55" s="24" t="s">
        <v>180</v>
      </c>
      <c r="D55" s="24"/>
    </row>
    <row r="56" spans="1:5">
      <c r="A56" s="96"/>
      <c r="B56" s="124"/>
      <c r="C56" s="24" t="s">
        <v>181</v>
      </c>
      <c r="D56" s="24"/>
    </row>
    <row r="57" spans="1:5">
      <c r="A57" s="96"/>
      <c r="B57" s="124"/>
      <c r="C57" s="24" t="s">
        <v>182</v>
      </c>
      <c r="D57" s="24"/>
    </row>
    <row r="58" spans="1:5">
      <c r="A58" s="96"/>
      <c r="B58" s="124"/>
      <c r="C58" s="24" t="s">
        <v>183</v>
      </c>
      <c r="D58" s="24"/>
    </row>
    <row r="59" spans="1:5">
      <c r="A59" s="96"/>
      <c r="B59" s="124"/>
      <c r="C59" s="24" t="s">
        <v>510</v>
      </c>
      <c r="D59" s="24"/>
    </row>
    <row r="60" spans="1:5">
      <c r="A60" s="96"/>
      <c r="B60" s="124"/>
      <c r="C60" s="24" t="s">
        <v>184</v>
      </c>
      <c r="D60" s="24"/>
    </row>
    <row r="61" spans="1:5">
      <c r="A61" s="96"/>
      <c r="B61" s="124"/>
      <c r="C61" s="24" t="s">
        <v>185</v>
      </c>
      <c r="D61" s="24"/>
    </row>
    <row r="62" spans="1:5">
      <c r="A62" s="96"/>
      <c r="B62" s="124"/>
      <c r="C62" s="24" t="s">
        <v>186</v>
      </c>
      <c r="D62" s="24"/>
    </row>
    <row r="63" spans="1:5">
      <c r="A63" s="96"/>
      <c r="B63" s="124"/>
      <c r="C63" s="24" t="s">
        <v>972</v>
      </c>
      <c r="D63" s="24"/>
      <c r="E63" s="16" t="s">
        <v>1200</v>
      </c>
    </row>
    <row r="64" spans="1:5">
      <c r="A64" s="96"/>
      <c r="B64" s="124"/>
      <c r="C64" s="24" t="s">
        <v>187</v>
      </c>
      <c r="D64" s="24"/>
    </row>
    <row r="65" spans="1:4">
      <c r="A65" s="96"/>
      <c r="B65" s="124"/>
      <c r="C65" s="24" t="s">
        <v>188</v>
      </c>
      <c r="D65" s="24"/>
    </row>
    <row r="66" spans="1:4">
      <c r="A66" s="96"/>
      <c r="B66" s="124"/>
      <c r="C66" s="24" t="s">
        <v>189</v>
      </c>
      <c r="D66" s="24"/>
    </row>
    <row r="67" spans="1:4">
      <c r="A67" s="96"/>
      <c r="B67" s="124"/>
      <c r="C67" s="24" t="s">
        <v>190</v>
      </c>
      <c r="D67" s="24"/>
    </row>
    <row r="68" spans="1:4">
      <c r="A68" s="96"/>
      <c r="B68" s="124"/>
      <c r="C68" s="24" t="s">
        <v>191</v>
      </c>
      <c r="D68" s="24"/>
    </row>
    <row r="69" spans="1:4">
      <c r="A69" s="96"/>
      <c r="B69" s="124"/>
      <c r="C69" s="24" t="s">
        <v>192</v>
      </c>
      <c r="D69" s="24"/>
    </row>
    <row r="70" spans="1:4">
      <c r="A70" s="96"/>
      <c r="B70" s="124"/>
      <c r="C70" s="24" t="s">
        <v>193</v>
      </c>
      <c r="D70" s="24"/>
    </row>
    <row r="71" spans="1:4">
      <c r="A71" s="96"/>
      <c r="B71" s="124"/>
      <c r="C71" s="24" t="s">
        <v>194</v>
      </c>
      <c r="D71" s="24"/>
    </row>
    <row r="72" spans="1:4">
      <c r="A72" s="96"/>
      <c r="B72" s="124"/>
      <c r="C72" s="24" t="s">
        <v>196</v>
      </c>
      <c r="D72" s="24"/>
    </row>
    <row r="73" spans="1:4">
      <c r="A73" s="96"/>
      <c r="B73" s="124"/>
      <c r="C73" s="24" t="s">
        <v>197</v>
      </c>
      <c r="D73" s="24"/>
    </row>
    <row r="74" spans="1:4">
      <c r="A74" s="96"/>
      <c r="B74" s="124"/>
      <c r="C74" s="24" t="s">
        <v>198</v>
      </c>
      <c r="D74" s="24"/>
    </row>
    <row r="75" spans="1:4">
      <c r="A75" s="96"/>
      <c r="B75" s="124"/>
      <c r="C75" s="24" t="s">
        <v>199</v>
      </c>
      <c r="D75" s="24"/>
    </row>
    <row r="76" spans="1:4">
      <c r="A76" s="96"/>
      <c r="B76" s="124"/>
      <c r="C76" s="24" t="s">
        <v>200</v>
      </c>
      <c r="D76" s="24"/>
    </row>
    <row r="77" spans="1:4">
      <c r="A77" s="96"/>
      <c r="B77" s="124"/>
      <c r="C77" s="24" t="s">
        <v>201</v>
      </c>
      <c r="D77" s="24"/>
    </row>
    <row r="78" spans="1:4">
      <c r="A78" s="96"/>
      <c r="B78" s="124"/>
      <c r="C78" s="24" t="s">
        <v>203</v>
      </c>
      <c r="D78" s="24"/>
    </row>
    <row r="79" spans="1:4">
      <c r="A79" s="96"/>
      <c r="B79" s="124"/>
      <c r="C79" s="24" t="s">
        <v>204</v>
      </c>
      <c r="D79" s="24"/>
    </row>
    <row r="80" spans="1:4">
      <c r="A80" s="96"/>
      <c r="B80" s="124"/>
      <c r="C80" s="24" t="s">
        <v>205</v>
      </c>
      <c r="D80" s="24"/>
    </row>
    <row r="81" spans="1:5">
      <c r="A81" s="96"/>
      <c r="B81" s="124"/>
      <c r="C81" s="24" t="s">
        <v>206</v>
      </c>
      <c r="D81" s="24"/>
    </row>
    <row r="82" spans="1:5">
      <c r="A82" s="96"/>
      <c r="B82" s="124"/>
      <c r="C82" s="24" t="s">
        <v>207</v>
      </c>
      <c r="D82" s="24"/>
    </row>
    <row r="83" spans="1:5">
      <c r="A83" s="96"/>
      <c r="B83" s="124"/>
      <c r="C83" s="24" t="s">
        <v>208</v>
      </c>
      <c r="D83" s="24"/>
    </row>
    <row r="84" spans="1:5">
      <c r="A84" s="96"/>
      <c r="B84" s="124"/>
      <c r="C84" s="24" t="s">
        <v>209</v>
      </c>
      <c r="D84" s="24"/>
    </row>
    <row r="85" spans="1:5">
      <c r="A85" s="96"/>
      <c r="B85" s="124"/>
      <c r="C85" s="24" t="s">
        <v>210</v>
      </c>
      <c r="D85" s="24"/>
    </row>
    <row r="86" spans="1:5">
      <c r="A86" s="96"/>
      <c r="B86" s="124"/>
      <c r="C86" s="24" t="s">
        <v>316</v>
      </c>
      <c r="D86" s="24"/>
    </row>
    <row r="87" spans="1:5">
      <c r="A87" s="96"/>
      <c r="B87" s="124"/>
      <c r="C87" s="24" t="s">
        <v>318</v>
      </c>
      <c r="D87" s="24"/>
    </row>
    <row r="88" spans="1:5">
      <c r="A88" s="96"/>
      <c r="B88" s="124"/>
      <c r="C88" s="24" t="s">
        <v>947</v>
      </c>
      <c r="D88" s="24"/>
    </row>
    <row r="89" spans="1:5">
      <c r="A89" s="96"/>
      <c r="B89" s="124"/>
      <c r="C89" s="24" t="s">
        <v>948</v>
      </c>
      <c r="D89" s="24"/>
    </row>
    <row r="90" spans="1:5">
      <c r="A90" s="96"/>
      <c r="B90" s="124"/>
      <c r="C90" s="24" t="s">
        <v>313</v>
      </c>
      <c r="D90" s="24"/>
    </row>
    <row r="91" spans="1:5">
      <c r="A91" s="96"/>
      <c r="B91" s="124"/>
      <c r="C91" s="24" t="s">
        <v>949</v>
      </c>
      <c r="D91" s="24"/>
    </row>
    <row r="92" spans="1:5">
      <c r="A92" s="96"/>
      <c r="B92" s="124"/>
      <c r="C92" s="24" t="s">
        <v>957</v>
      </c>
      <c r="D92" s="24"/>
    </row>
    <row r="93" spans="1:5">
      <c r="A93" s="96"/>
      <c r="B93" s="124"/>
      <c r="C93" s="24" t="s">
        <v>317</v>
      </c>
      <c r="D93" s="24"/>
    </row>
    <row r="94" spans="1:5">
      <c r="A94" s="96"/>
      <c r="B94" s="124"/>
      <c r="C94" s="24" t="s">
        <v>1186</v>
      </c>
      <c r="D94" s="24" t="s">
        <v>1185</v>
      </c>
      <c r="E94" s="16" t="s">
        <v>1200</v>
      </c>
    </row>
    <row r="95" spans="1:5">
      <c r="A95" s="96"/>
      <c r="B95" s="124"/>
      <c r="C95" s="24" t="s">
        <v>1187</v>
      </c>
      <c r="D95" s="24" t="s">
        <v>963</v>
      </c>
      <c r="E95" s="16" t="s">
        <v>1200</v>
      </c>
    </row>
    <row r="96" spans="1:5">
      <c r="A96" s="96"/>
      <c r="B96" s="124"/>
      <c r="C96" s="24" t="s">
        <v>1188</v>
      </c>
      <c r="D96" s="24" t="s">
        <v>963</v>
      </c>
      <c r="E96" s="16" t="s">
        <v>1200</v>
      </c>
    </row>
    <row r="97" spans="1:5">
      <c r="A97" s="96"/>
      <c r="B97" s="124"/>
      <c r="C97" s="24" t="s">
        <v>1182</v>
      </c>
      <c r="D97" s="24" t="s">
        <v>963</v>
      </c>
      <c r="E97" s="16" t="s">
        <v>1200</v>
      </c>
    </row>
    <row r="98" spans="1:5">
      <c r="A98" s="96"/>
      <c r="B98" s="124"/>
      <c r="C98" s="24" t="s">
        <v>1183</v>
      </c>
      <c r="D98" s="24" t="s">
        <v>963</v>
      </c>
      <c r="E98" s="16" t="s">
        <v>1200</v>
      </c>
    </row>
    <row r="99" spans="1:5">
      <c r="A99" s="96"/>
      <c r="B99" s="124"/>
      <c r="C99" s="24" t="s">
        <v>1184</v>
      </c>
      <c r="D99" s="24" t="s">
        <v>963</v>
      </c>
      <c r="E99" s="16" t="s">
        <v>1200</v>
      </c>
    </row>
    <row r="100" spans="1:5">
      <c r="A100" s="96"/>
      <c r="B100" s="124"/>
      <c r="C100" s="24" t="s">
        <v>1189</v>
      </c>
      <c r="D100" s="24" t="s">
        <v>963</v>
      </c>
      <c r="E100" s="16" t="s">
        <v>1200</v>
      </c>
    </row>
    <row r="101" spans="1:5">
      <c r="A101" s="96"/>
      <c r="B101" s="124"/>
      <c r="C101" s="24" t="s">
        <v>1190</v>
      </c>
      <c r="D101" s="24" t="s">
        <v>963</v>
      </c>
      <c r="E101" s="16" t="s">
        <v>1200</v>
      </c>
    </row>
    <row r="102" spans="1:5">
      <c r="A102" s="96"/>
      <c r="B102" s="124"/>
      <c r="C102" s="24" t="s">
        <v>1191</v>
      </c>
      <c r="D102" s="24" t="s">
        <v>963</v>
      </c>
      <c r="E102" s="16" t="s">
        <v>1200</v>
      </c>
    </row>
    <row r="103" spans="1:5">
      <c r="A103" s="96"/>
      <c r="B103" s="124"/>
      <c r="C103" s="24" t="s">
        <v>1192</v>
      </c>
      <c r="D103" s="24" t="s">
        <v>963</v>
      </c>
      <c r="E103" s="16" t="s">
        <v>1200</v>
      </c>
    </row>
    <row r="104" spans="1:5">
      <c r="A104" s="91"/>
      <c r="B104" s="91" t="s">
        <v>756</v>
      </c>
      <c r="C104" s="23" t="s">
        <v>429</v>
      </c>
      <c r="D104" s="23"/>
    </row>
    <row r="105" spans="1:5">
      <c r="A105" s="92"/>
      <c r="B105" s="92"/>
      <c r="C105" s="23" t="s">
        <v>2</v>
      </c>
      <c r="D105" s="23"/>
    </row>
    <row r="106" spans="1:5">
      <c r="A106" s="92"/>
      <c r="B106" s="92"/>
      <c r="C106" s="23" t="s">
        <v>432</v>
      </c>
      <c r="D106" s="23"/>
    </row>
    <row r="107" spans="1:5">
      <c r="A107" s="92"/>
      <c r="B107" s="92"/>
      <c r="C107" s="23" t="s">
        <v>783</v>
      </c>
      <c r="D107" s="23"/>
    </row>
    <row r="108" spans="1:5">
      <c r="A108" s="92"/>
      <c r="B108" s="92"/>
      <c r="C108" s="23" t="s">
        <v>78</v>
      </c>
      <c r="D108" s="23"/>
    </row>
    <row r="109" spans="1:5">
      <c r="A109" s="92"/>
      <c r="B109" s="92"/>
      <c r="C109" s="23" t="s">
        <v>430</v>
      </c>
      <c r="D109" s="23"/>
    </row>
    <row r="110" spans="1:5">
      <c r="A110" s="93"/>
      <c r="B110" s="93"/>
      <c r="C110" s="23" t="s">
        <v>102</v>
      </c>
      <c r="D110" s="23"/>
    </row>
    <row r="111" spans="1:5">
      <c r="A111" s="96"/>
      <c r="B111" s="82" t="s">
        <v>758</v>
      </c>
      <c r="C111" s="24" t="s">
        <v>429</v>
      </c>
      <c r="D111" s="24"/>
    </row>
    <row r="112" spans="1:5">
      <c r="A112" s="96"/>
      <c r="B112" s="83"/>
      <c r="C112" s="24" t="s">
        <v>792</v>
      </c>
      <c r="D112" s="24"/>
    </row>
    <row r="113" spans="1:4">
      <c r="A113" s="96"/>
      <c r="B113" s="84"/>
      <c r="C113" s="24" t="s">
        <v>431</v>
      </c>
      <c r="D113" s="24"/>
    </row>
    <row r="114" spans="1:4">
      <c r="A114" s="109"/>
      <c r="B114" s="109" t="s">
        <v>768</v>
      </c>
      <c r="C114" s="23" t="s">
        <v>429</v>
      </c>
      <c r="D114" s="23"/>
    </row>
    <row r="115" spans="1:4">
      <c r="A115" s="109"/>
      <c r="B115" s="109"/>
      <c r="C115" s="23" t="s">
        <v>432</v>
      </c>
      <c r="D115" s="23"/>
    </row>
    <row r="116" spans="1:4">
      <c r="A116" s="109"/>
      <c r="B116" s="109"/>
      <c r="C116" s="23" t="s">
        <v>783</v>
      </c>
      <c r="D116" s="23"/>
    </row>
    <row r="117" spans="1:4">
      <c r="A117" s="109"/>
      <c r="B117" s="109"/>
      <c r="C117" s="23" t="s">
        <v>430</v>
      </c>
      <c r="D117" s="23"/>
    </row>
    <row r="118" spans="1:4">
      <c r="A118" s="95"/>
      <c r="B118" s="110" t="s">
        <v>742</v>
      </c>
      <c r="C118" s="24" t="s">
        <v>429</v>
      </c>
      <c r="D118" s="24"/>
    </row>
    <row r="119" spans="1:4">
      <c r="A119" s="134"/>
      <c r="B119" s="133"/>
      <c r="C119" s="24" t="s">
        <v>433</v>
      </c>
      <c r="D119" s="24"/>
    </row>
    <row r="120" spans="1:4">
      <c r="A120" s="134"/>
      <c r="B120" s="133"/>
      <c r="C120" s="24" t="s">
        <v>783</v>
      </c>
      <c r="D120" s="24"/>
    </row>
    <row r="121" spans="1:4">
      <c r="A121" s="134"/>
      <c r="B121" s="133"/>
      <c r="C121" s="24" t="s">
        <v>78</v>
      </c>
      <c r="D121" s="24"/>
    </row>
    <row r="122" spans="1:4">
      <c r="A122" s="134"/>
      <c r="B122" s="133"/>
      <c r="C122" s="24" t="s">
        <v>432</v>
      </c>
      <c r="D122" s="24"/>
    </row>
    <row r="123" spans="1:4">
      <c r="A123" s="134"/>
      <c r="B123" s="133"/>
      <c r="C123" s="24" t="s">
        <v>435</v>
      </c>
      <c r="D123" s="24"/>
    </row>
    <row r="124" spans="1:4">
      <c r="A124" s="134"/>
      <c r="B124" s="133"/>
      <c r="C124" s="24" t="s">
        <v>434</v>
      </c>
      <c r="D124" s="24"/>
    </row>
    <row r="125" spans="1:4">
      <c r="A125" s="134"/>
      <c r="B125" s="133"/>
      <c r="C125" s="24" t="s">
        <v>430</v>
      </c>
      <c r="D125" s="24"/>
    </row>
    <row r="126" spans="1:4">
      <c r="A126" s="96"/>
      <c r="B126" s="111"/>
      <c r="C126" s="24" t="s">
        <v>102</v>
      </c>
      <c r="D126" s="24"/>
    </row>
    <row r="127" spans="1:4">
      <c r="A127" s="91"/>
      <c r="B127" s="91" t="s">
        <v>28</v>
      </c>
      <c r="C127" s="23" t="s">
        <v>76</v>
      </c>
      <c r="D127" s="23"/>
    </row>
    <row r="128" spans="1:4">
      <c r="A128" s="92"/>
      <c r="B128" s="92"/>
      <c r="C128" s="23" t="s">
        <v>88</v>
      </c>
      <c r="D128" s="23"/>
    </row>
    <row r="129" spans="1:5">
      <c r="A129" s="92"/>
      <c r="B129" s="92"/>
      <c r="C129" s="23" t="s">
        <v>94</v>
      </c>
      <c r="D129" s="23"/>
    </row>
    <row r="130" spans="1:5">
      <c r="A130" s="92"/>
      <c r="B130" s="92"/>
      <c r="C130" s="23" t="s">
        <v>99</v>
      </c>
      <c r="D130" s="23"/>
    </row>
    <row r="131" spans="1:5">
      <c r="A131" s="92"/>
      <c r="B131" s="92"/>
      <c r="C131" s="23" t="s">
        <v>78</v>
      </c>
      <c r="D131" s="23"/>
    </row>
    <row r="132" spans="1:5">
      <c r="A132" s="96"/>
      <c r="B132" s="83" t="s">
        <v>769</v>
      </c>
      <c r="C132" s="24" t="s">
        <v>76</v>
      </c>
      <c r="D132" s="24"/>
    </row>
    <row r="133" spans="1:5">
      <c r="A133" s="96"/>
      <c r="B133" s="83"/>
      <c r="C133" s="24" t="s">
        <v>78</v>
      </c>
      <c r="D133" s="24"/>
    </row>
    <row r="134" spans="1:5">
      <c r="A134" s="97"/>
      <c r="B134" s="84"/>
      <c r="C134" s="24" t="s">
        <v>102</v>
      </c>
      <c r="D134" s="24"/>
    </row>
    <row r="135" spans="1:5">
      <c r="A135" s="98"/>
      <c r="B135" s="98" t="s">
        <v>625</v>
      </c>
      <c r="C135" s="23" t="s">
        <v>821</v>
      </c>
      <c r="D135" s="23"/>
    </row>
    <row r="136" spans="1:5">
      <c r="A136" s="99"/>
      <c r="B136" s="99"/>
      <c r="C136" s="23" t="s">
        <v>975</v>
      </c>
      <c r="D136" s="23"/>
      <c r="E136" s="16" t="s">
        <v>1200</v>
      </c>
    </row>
    <row r="137" spans="1:5">
      <c r="A137" s="99"/>
      <c r="B137" s="99"/>
      <c r="C137" s="23" t="s">
        <v>54</v>
      </c>
      <c r="D137" s="23" t="s">
        <v>698</v>
      </c>
    </row>
    <row r="138" spans="1:5">
      <c r="A138" s="99"/>
      <c r="B138" s="99"/>
      <c r="C138" s="23" t="s">
        <v>69</v>
      </c>
      <c r="D138" s="23" t="s">
        <v>699</v>
      </c>
    </row>
    <row r="139" spans="1:5">
      <c r="A139" s="99"/>
      <c r="B139" s="99"/>
      <c r="C139" s="23" t="s">
        <v>624</v>
      </c>
      <c r="D139" s="23"/>
    </row>
    <row r="140" spans="1:5">
      <c r="A140" s="99"/>
      <c r="B140" s="99"/>
      <c r="C140" s="23" t="s">
        <v>694</v>
      </c>
      <c r="D140" s="23"/>
    </row>
    <row r="141" spans="1:5">
      <c r="A141" s="99"/>
      <c r="B141" s="99"/>
      <c r="C141" s="23" t="s">
        <v>695</v>
      </c>
      <c r="D141" s="23"/>
    </row>
    <row r="142" spans="1:5">
      <c r="A142" s="99"/>
      <c r="B142" s="99"/>
      <c r="C142" s="23" t="s">
        <v>696</v>
      </c>
      <c r="D142" s="23"/>
    </row>
    <row r="143" spans="1:5">
      <c r="A143" s="99"/>
      <c r="B143" s="99"/>
      <c r="C143" s="23" t="s">
        <v>697</v>
      </c>
      <c r="D143" s="23"/>
    </row>
    <row r="144" spans="1:5">
      <c r="A144" s="99"/>
      <c r="B144" s="99"/>
      <c r="C144" s="23" t="s">
        <v>956</v>
      </c>
      <c r="D144" s="23"/>
    </row>
    <row r="145" spans="1:4">
      <c r="A145" s="99"/>
      <c r="B145" s="99"/>
      <c r="C145" s="23" t="s">
        <v>102</v>
      </c>
      <c r="D145" s="23"/>
    </row>
    <row r="146" spans="1:4">
      <c r="A146" s="95"/>
      <c r="B146" s="88" t="s">
        <v>4</v>
      </c>
      <c r="C146" s="24" t="s">
        <v>55</v>
      </c>
      <c r="D146" s="24"/>
    </row>
    <row r="147" spans="1:4">
      <c r="A147" s="97"/>
      <c r="B147" s="90"/>
      <c r="C147" s="24" t="s">
        <v>62</v>
      </c>
      <c r="D147" s="24"/>
    </row>
    <row r="148" spans="1:4">
      <c r="A148" s="77"/>
      <c r="B148" s="132" t="s">
        <v>5</v>
      </c>
      <c r="C148" s="23" t="s">
        <v>311</v>
      </c>
      <c r="D148" s="23" t="s">
        <v>56</v>
      </c>
    </row>
    <row r="149" spans="1:4">
      <c r="A149" s="78"/>
      <c r="B149" s="78"/>
      <c r="C149" s="23" t="s">
        <v>944</v>
      </c>
      <c r="D149" s="23" t="s">
        <v>950</v>
      </c>
    </row>
    <row r="150" spans="1:4">
      <c r="A150" s="78"/>
      <c r="B150" s="78"/>
      <c r="C150" s="23" t="s">
        <v>476</v>
      </c>
      <c r="D150" s="23" t="s">
        <v>63</v>
      </c>
    </row>
    <row r="151" spans="1:4">
      <c r="A151" s="78"/>
      <c r="B151" s="78"/>
      <c r="C151" s="23" t="s">
        <v>479</v>
      </c>
      <c r="D151" s="23" t="s">
        <v>250</v>
      </c>
    </row>
    <row r="152" spans="1:4">
      <c r="A152" s="78"/>
      <c r="B152" s="78"/>
      <c r="C152" s="23" t="s">
        <v>480</v>
      </c>
      <c r="D152" s="23" t="s">
        <v>77</v>
      </c>
    </row>
    <row r="153" spans="1:4">
      <c r="A153" s="78"/>
      <c r="B153" s="78"/>
      <c r="C153" s="23" t="s">
        <v>477</v>
      </c>
      <c r="D153" s="23" t="s">
        <v>83</v>
      </c>
    </row>
    <row r="154" spans="1:4">
      <c r="A154" s="78"/>
      <c r="B154" s="78"/>
      <c r="C154" s="23" t="s">
        <v>481</v>
      </c>
      <c r="D154" s="23" t="s">
        <v>89</v>
      </c>
    </row>
    <row r="155" spans="1:4">
      <c r="A155" s="78"/>
      <c r="B155" s="78"/>
      <c r="C155" s="23" t="s">
        <v>478</v>
      </c>
      <c r="D155" s="23" t="s">
        <v>95</v>
      </c>
    </row>
    <row r="156" spans="1:4">
      <c r="A156" s="78"/>
      <c r="B156" s="78"/>
      <c r="C156" s="23" t="s">
        <v>482</v>
      </c>
      <c r="D156" s="23" t="s">
        <v>100</v>
      </c>
    </row>
    <row r="157" spans="1:4">
      <c r="A157" s="78"/>
      <c r="B157" s="78"/>
      <c r="C157" s="23" t="s">
        <v>483</v>
      </c>
      <c r="D157" s="23" t="s">
        <v>106</v>
      </c>
    </row>
    <row r="158" spans="1:4">
      <c r="A158" s="78"/>
      <c r="B158" s="78"/>
      <c r="C158" s="23" t="s">
        <v>485</v>
      </c>
      <c r="D158" s="23" t="s">
        <v>374</v>
      </c>
    </row>
    <row r="159" spans="1:4">
      <c r="A159" s="78"/>
      <c r="B159" s="78"/>
      <c r="C159" s="23" t="s">
        <v>484</v>
      </c>
      <c r="D159" s="23" t="s">
        <v>110</v>
      </c>
    </row>
    <row r="160" spans="1:4">
      <c r="A160" s="78"/>
      <c r="B160" s="78"/>
      <c r="C160" s="23" t="s">
        <v>486</v>
      </c>
      <c r="D160" s="23" t="s">
        <v>113</v>
      </c>
    </row>
    <row r="161" spans="1:4">
      <c r="A161" s="78"/>
      <c r="B161" s="78"/>
      <c r="C161" s="23" t="s">
        <v>487</v>
      </c>
      <c r="D161" s="23" t="s">
        <v>115</v>
      </c>
    </row>
    <row r="162" spans="1:4">
      <c r="A162" s="78"/>
      <c r="B162" s="78"/>
      <c r="C162" s="23" t="s">
        <v>488</v>
      </c>
      <c r="D162" s="23" t="s">
        <v>118</v>
      </c>
    </row>
    <row r="163" spans="1:4">
      <c r="A163" s="78"/>
      <c r="B163" s="78"/>
      <c r="C163" s="23" t="s">
        <v>489</v>
      </c>
      <c r="D163" s="23" t="s">
        <v>121</v>
      </c>
    </row>
    <row r="164" spans="1:4">
      <c r="A164" s="78"/>
      <c r="B164" s="78"/>
      <c r="C164" s="23" t="s">
        <v>490</v>
      </c>
      <c r="D164" s="23" t="s">
        <v>375</v>
      </c>
    </row>
    <row r="165" spans="1:4">
      <c r="A165" s="78"/>
      <c r="B165" s="78"/>
      <c r="C165" s="23" t="s">
        <v>491</v>
      </c>
      <c r="D165" s="23" t="s">
        <v>124</v>
      </c>
    </row>
    <row r="166" spans="1:4">
      <c r="A166" s="78"/>
      <c r="B166" s="78"/>
      <c r="C166" s="23" t="s">
        <v>492</v>
      </c>
      <c r="D166" s="23" t="s">
        <v>126</v>
      </c>
    </row>
    <row r="167" spans="1:4">
      <c r="A167" s="78"/>
      <c r="B167" s="78"/>
      <c r="C167" s="23" t="s">
        <v>493</v>
      </c>
      <c r="D167" s="23" t="s">
        <v>127</v>
      </c>
    </row>
    <row r="168" spans="1:4">
      <c r="A168" s="78"/>
      <c r="B168" s="78"/>
      <c r="C168" s="23" t="s">
        <v>494</v>
      </c>
      <c r="D168" s="23" t="s">
        <v>129</v>
      </c>
    </row>
    <row r="169" spans="1:4">
      <c r="A169" s="78"/>
      <c r="B169" s="78"/>
      <c r="C169" s="23" t="s">
        <v>495</v>
      </c>
      <c r="D169" s="23" t="s">
        <v>251</v>
      </c>
    </row>
    <row r="170" spans="1:4">
      <c r="A170" s="78"/>
      <c r="B170" s="78"/>
      <c r="C170" s="23" t="s">
        <v>609</v>
      </c>
      <c r="D170" s="23" t="s">
        <v>133</v>
      </c>
    </row>
    <row r="171" spans="1:4">
      <c r="A171" s="78"/>
      <c r="B171" s="78"/>
      <c r="C171" s="23" t="s">
        <v>496</v>
      </c>
      <c r="D171" s="23" t="s">
        <v>135</v>
      </c>
    </row>
    <row r="172" spans="1:4">
      <c r="A172" s="78"/>
      <c r="B172" s="78"/>
      <c r="C172" s="23" t="s">
        <v>497</v>
      </c>
      <c r="D172" s="23" t="s">
        <v>137</v>
      </c>
    </row>
    <row r="173" spans="1:4">
      <c r="A173" s="78"/>
      <c r="B173" s="78"/>
      <c r="C173" s="23" t="s">
        <v>498</v>
      </c>
      <c r="D173" s="23" t="s">
        <v>139</v>
      </c>
    </row>
    <row r="174" spans="1:4">
      <c r="A174" s="78"/>
      <c r="B174" s="78"/>
      <c r="C174" s="23" t="s">
        <v>499</v>
      </c>
      <c r="D174" s="23" t="s">
        <v>142</v>
      </c>
    </row>
    <row r="175" spans="1:4">
      <c r="A175" s="78"/>
      <c r="B175" s="78"/>
      <c r="C175" s="23" t="s">
        <v>500</v>
      </c>
      <c r="D175" s="23" t="s">
        <v>144</v>
      </c>
    </row>
    <row r="176" spans="1:4">
      <c r="A176" s="78"/>
      <c r="B176" s="78"/>
      <c r="C176" s="23" t="s">
        <v>501</v>
      </c>
      <c r="D176" s="23" t="s">
        <v>146</v>
      </c>
    </row>
    <row r="177" spans="1:5">
      <c r="A177" s="78"/>
      <c r="B177" s="78"/>
      <c r="C177" s="23" t="s">
        <v>502</v>
      </c>
      <c r="D177" s="23" t="s">
        <v>148</v>
      </c>
    </row>
    <row r="178" spans="1:5">
      <c r="A178" s="78"/>
      <c r="B178" s="78"/>
      <c r="C178" s="23" t="s">
        <v>503</v>
      </c>
      <c r="D178" s="23" t="s">
        <v>150</v>
      </c>
    </row>
    <row r="179" spans="1:5">
      <c r="A179" s="78"/>
      <c r="B179" s="78"/>
      <c r="C179" s="23" t="s">
        <v>504</v>
      </c>
      <c r="D179" s="23" t="s">
        <v>152</v>
      </c>
    </row>
    <row r="180" spans="1:5">
      <c r="A180" s="78"/>
      <c r="B180" s="78"/>
      <c r="C180" s="23" t="s">
        <v>1168</v>
      </c>
      <c r="D180" s="23" t="s">
        <v>1142</v>
      </c>
      <c r="E180" s="16" t="s">
        <v>1200</v>
      </c>
    </row>
    <row r="181" spans="1:5">
      <c r="A181" s="78"/>
      <c r="B181" s="78"/>
      <c r="C181" s="23" t="s">
        <v>102</v>
      </c>
      <c r="D181" s="23" t="s">
        <v>102</v>
      </c>
    </row>
    <row r="182" spans="1:5">
      <c r="A182" s="95"/>
      <c r="B182" s="88" t="s">
        <v>794</v>
      </c>
      <c r="C182" s="67" t="s">
        <v>57</v>
      </c>
      <c r="D182" s="67"/>
    </row>
    <row r="183" spans="1:5">
      <c r="A183" s="96"/>
      <c r="B183" s="89"/>
      <c r="C183" s="67" t="s">
        <v>795</v>
      </c>
      <c r="D183" s="67"/>
    </row>
    <row r="184" spans="1:5">
      <c r="A184" s="96"/>
      <c r="B184" s="89"/>
      <c r="C184" s="67" t="s">
        <v>64</v>
      </c>
      <c r="D184" s="67"/>
    </row>
    <row r="185" spans="1:5">
      <c r="A185" s="97"/>
      <c r="B185" s="90"/>
      <c r="C185" s="69" t="s">
        <v>298</v>
      </c>
      <c r="D185" s="69"/>
    </row>
    <row r="186" spans="1:5">
      <c r="A186" s="91"/>
      <c r="B186" s="91" t="s">
        <v>942</v>
      </c>
      <c r="C186" s="66" t="s">
        <v>635</v>
      </c>
      <c r="D186" s="66"/>
    </row>
    <row r="187" spans="1:5">
      <c r="A187" s="92"/>
      <c r="B187" s="92"/>
      <c r="C187" s="66" t="s">
        <v>636</v>
      </c>
      <c r="D187" s="66"/>
    </row>
    <row r="188" spans="1:5">
      <c r="A188" s="95"/>
      <c r="B188" s="88" t="s">
        <v>8</v>
      </c>
      <c r="C188" s="69" t="s">
        <v>65</v>
      </c>
      <c r="D188" s="69" t="s">
        <v>401</v>
      </c>
    </row>
    <row r="189" spans="1:5">
      <c r="A189" s="96"/>
      <c r="B189" s="89"/>
      <c r="C189" s="69" t="s">
        <v>70</v>
      </c>
      <c r="D189" s="69" t="s">
        <v>402</v>
      </c>
    </row>
    <row r="190" spans="1:5">
      <c r="A190" s="96"/>
      <c r="B190" s="89"/>
      <c r="C190" s="69" t="s">
        <v>78</v>
      </c>
      <c r="D190" s="69" t="s">
        <v>78</v>
      </c>
    </row>
    <row r="191" spans="1:5">
      <c r="A191" s="96"/>
      <c r="B191" s="89"/>
      <c r="C191" s="69" t="s">
        <v>90</v>
      </c>
      <c r="D191" s="69" t="s">
        <v>404</v>
      </c>
    </row>
    <row r="192" spans="1:5">
      <c r="A192" s="96"/>
      <c r="B192" s="89"/>
      <c r="C192" s="69" t="s">
        <v>107</v>
      </c>
      <c r="D192" s="69" t="s">
        <v>407</v>
      </c>
    </row>
    <row r="193" spans="1:4">
      <c r="A193" s="96"/>
      <c r="B193" s="89"/>
      <c r="C193" s="69" t="s">
        <v>413</v>
      </c>
      <c r="D193" s="69" t="s">
        <v>408</v>
      </c>
    </row>
    <row r="194" spans="1:4">
      <c r="A194" s="96"/>
      <c r="B194" s="89"/>
      <c r="C194" s="69" t="s">
        <v>101</v>
      </c>
      <c r="D194" s="69" t="s">
        <v>406</v>
      </c>
    </row>
    <row r="195" spans="1:4">
      <c r="A195" s="96"/>
      <c r="B195" s="89"/>
      <c r="C195" s="69" t="s">
        <v>438</v>
      </c>
      <c r="D195" s="69" t="s">
        <v>409</v>
      </c>
    </row>
    <row r="196" spans="1:4">
      <c r="A196" s="96"/>
      <c r="B196" s="89"/>
      <c r="C196" s="69" t="s">
        <v>119</v>
      </c>
      <c r="D196" s="69" t="s">
        <v>411</v>
      </c>
    </row>
    <row r="197" spans="1:4">
      <c r="A197" s="96"/>
      <c r="B197" s="89"/>
      <c r="C197" s="69" t="s">
        <v>116</v>
      </c>
      <c r="D197" s="69" t="s">
        <v>410</v>
      </c>
    </row>
    <row r="198" spans="1:4">
      <c r="A198" s="96"/>
      <c r="B198" s="89"/>
      <c r="C198" s="69" t="s">
        <v>84</v>
      </c>
      <c r="D198" s="69" t="s">
        <v>403</v>
      </c>
    </row>
    <row r="199" spans="1:4">
      <c r="A199" s="96"/>
      <c r="B199" s="89"/>
      <c r="C199" s="69" t="s">
        <v>96</v>
      </c>
      <c r="D199" s="69" t="s">
        <v>405</v>
      </c>
    </row>
    <row r="200" spans="1:4">
      <c r="A200" s="96"/>
      <c r="B200" s="89"/>
      <c r="C200" s="69" t="s">
        <v>102</v>
      </c>
      <c r="D200" s="69" t="s">
        <v>102</v>
      </c>
    </row>
    <row r="201" spans="1:4">
      <c r="A201" s="97"/>
      <c r="B201" s="90"/>
      <c r="C201" s="69" t="s">
        <v>298</v>
      </c>
      <c r="D201" s="69" t="s">
        <v>412</v>
      </c>
    </row>
    <row r="202" spans="1:4">
      <c r="A202" s="132"/>
      <c r="B202" s="132" t="s">
        <v>9</v>
      </c>
      <c r="C202" s="23" t="s">
        <v>414</v>
      </c>
      <c r="D202" s="23"/>
    </row>
    <row r="203" spans="1:4">
      <c r="A203" s="78"/>
      <c r="B203" s="78"/>
      <c r="C203" s="23" t="s">
        <v>262</v>
      </c>
      <c r="D203" s="23"/>
    </row>
    <row r="204" spans="1:4">
      <c r="A204" s="78"/>
      <c r="B204" s="78"/>
      <c r="C204" s="23" t="s">
        <v>172</v>
      </c>
      <c r="D204" s="23"/>
    </row>
    <row r="205" spans="1:4">
      <c r="A205" s="78"/>
      <c r="B205" s="78"/>
      <c r="C205" s="23" t="s">
        <v>653</v>
      </c>
      <c r="D205" s="23"/>
    </row>
    <row r="206" spans="1:4">
      <c r="A206" s="78"/>
      <c r="B206" s="78"/>
      <c r="C206" s="23" t="s">
        <v>156</v>
      </c>
      <c r="D206" s="23"/>
    </row>
    <row r="207" spans="1:4">
      <c r="A207" s="78"/>
      <c r="B207" s="78"/>
      <c r="C207" s="23" t="s">
        <v>647</v>
      </c>
      <c r="D207" s="23"/>
    </row>
    <row r="208" spans="1:4">
      <c r="A208" s="78"/>
      <c r="B208" s="78"/>
      <c r="C208" s="23" t="s">
        <v>176</v>
      </c>
      <c r="D208" s="23"/>
    </row>
    <row r="209" spans="1:5">
      <c r="A209" s="78"/>
      <c r="B209" s="78"/>
      <c r="C209" s="23" t="s">
        <v>649</v>
      </c>
      <c r="D209" s="23"/>
    </row>
    <row r="210" spans="1:5">
      <c r="A210" s="78"/>
      <c r="B210" s="78"/>
      <c r="C210" s="23" t="s">
        <v>66</v>
      </c>
      <c r="D210" s="23"/>
    </row>
    <row r="211" spans="1:5">
      <c r="A211" s="78"/>
      <c r="B211" s="78"/>
      <c r="C211" s="23" t="s">
        <v>269</v>
      </c>
      <c r="D211" s="23"/>
    </row>
    <row r="212" spans="1:5">
      <c r="A212" s="78"/>
      <c r="B212" s="78"/>
      <c r="C212" s="23" t="s">
        <v>654</v>
      </c>
      <c r="D212" s="23"/>
    </row>
    <row r="213" spans="1:5">
      <c r="A213" s="78"/>
      <c r="B213" s="78"/>
      <c r="C213" s="23" t="s">
        <v>140</v>
      </c>
      <c r="D213" s="23"/>
    </row>
    <row r="214" spans="1:5">
      <c r="A214" s="78"/>
      <c r="B214" s="78"/>
      <c r="C214" s="23" t="s">
        <v>256</v>
      </c>
      <c r="D214" s="23"/>
    </row>
    <row r="215" spans="1:5">
      <c r="A215" s="78"/>
      <c r="B215" s="78"/>
      <c r="C215" s="23" t="s">
        <v>122</v>
      </c>
      <c r="D215" s="23"/>
    </row>
    <row r="216" spans="1:5">
      <c r="A216" s="78"/>
      <c r="B216" s="78"/>
      <c r="C216" s="23" t="s">
        <v>270</v>
      </c>
      <c r="D216" s="23"/>
    </row>
    <row r="217" spans="1:5">
      <c r="A217" s="78"/>
      <c r="B217" s="78"/>
      <c r="C217" s="23" t="s">
        <v>708</v>
      </c>
      <c r="D217" s="23"/>
    </row>
    <row r="218" spans="1:5">
      <c r="A218" s="78"/>
      <c r="B218" s="78"/>
      <c r="C218" s="23" t="s">
        <v>1170</v>
      </c>
      <c r="D218" s="23" t="s">
        <v>655</v>
      </c>
      <c r="E218" s="16" t="s">
        <v>1200</v>
      </c>
    </row>
    <row r="219" spans="1:5">
      <c r="A219" s="78"/>
      <c r="B219" s="78"/>
      <c r="C219" s="23" t="s">
        <v>267</v>
      </c>
      <c r="D219" s="23"/>
    </row>
    <row r="220" spans="1:5">
      <c r="A220" s="78"/>
      <c r="B220" s="78"/>
      <c r="C220" s="23" t="s">
        <v>264</v>
      </c>
      <c r="D220" s="23"/>
    </row>
    <row r="221" spans="1:5">
      <c r="A221" s="78"/>
      <c r="B221" s="78"/>
      <c r="C221" s="23" t="s">
        <v>265</v>
      </c>
      <c r="D221" s="23"/>
    </row>
    <row r="222" spans="1:5">
      <c r="A222" s="78"/>
      <c r="B222" s="78"/>
      <c r="C222" s="23" t="s">
        <v>167</v>
      </c>
      <c r="D222" s="23"/>
    </row>
    <row r="223" spans="1:5">
      <c r="A223" s="78"/>
      <c r="B223" s="78"/>
      <c r="C223" s="23" t="s">
        <v>254</v>
      </c>
      <c r="D223" s="23"/>
    </row>
    <row r="224" spans="1:5">
      <c r="A224" s="78"/>
      <c r="B224" s="78"/>
      <c r="C224" s="23" t="s">
        <v>261</v>
      </c>
      <c r="D224" s="23"/>
    </row>
    <row r="225" spans="1:4">
      <c r="A225" s="78"/>
      <c r="B225" s="78"/>
      <c r="C225" s="23" t="s">
        <v>71</v>
      </c>
      <c r="D225" s="23"/>
    </row>
    <row r="226" spans="1:4">
      <c r="A226" s="78"/>
      <c r="B226" s="78"/>
      <c r="C226" s="23" t="s">
        <v>259</v>
      </c>
      <c r="D226" s="23"/>
    </row>
    <row r="227" spans="1:4">
      <c r="A227" s="78"/>
      <c r="B227" s="78"/>
      <c r="C227" s="23" t="s">
        <v>75</v>
      </c>
      <c r="D227" s="23"/>
    </row>
    <row r="228" spans="1:4">
      <c r="A228" s="78"/>
      <c r="B228" s="78"/>
      <c r="C228" s="23" t="s">
        <v>263</v>
      </c>
      <c r="D228" s="23"/>
    </row>
    <row r="229" spans="1:4">
      <c r="A229" s="78"/>
      <c r="B229" s="78"/>
      <c r="C229" s="23" t="s">
        <v>651</v>
      </c>
      <c r="D229" s="23"/>
    </row>
    <row r="230" spans="1:4">
      <c r="A230" s="78"/>
      <c r="B230" s="78"/>
      <c r="C230" s="23" t="s">
        <v>652</v>
      </c>
      <c r="D230" s="23"/>
    </row>
    <row r="231" spans="1:4">
      <c r="A231" s="78"/>
      <c r="B231" s="78"/>
      <c r="C231" s="23" t="s">
        <v>266</v>
      </c>
      <c r="D231" s="23"/>
    </row>
    <row r="232" spans="1:4">
      <c r="A232" s="78"/>
      <c r="B232" s="78"/>
      <c r="C232" s="23" t="s">
        <v>85</v>
      </c>
      <c r="D232" s="23"/>
    </row>
    <row r="233" spans="1:4">
      <c r="A233" s="78"/>
      <c r="B233" s="78"/>
      <c r="C233" s="23" t="s">
        <v>648</v>
      </c>
      <c r="D233" s="23"/>
    </row>
    <row r="234" spans="1:4">
      <c r="A234" s="78"/>
      <c r="B234" s="78"/>
      <c r="C234" s="23" t="s">
        <v>646</v>
      </c>
      <c r="D234" s="23"/>
    </row>
    <row r="235" spans="1:4">
      <c r="A235" s="78"/>
      <c r="B235" s="78"/>
      <c r="C235" s="23" t="s">
        <v>656</v>
      </c>
      <c r="D235" s="23"/>
    </row>
    <row r="236" spans="1:4">
      <c r="A236" s="78"/>
      <c r="B236" s="78"/>
      <c r="C236" s="23" t="s">
        <v>255</v>
      </c>
      <c r="D236" s="23"/>
    </row>
    <row r="237" spans="1:4">
      <c r="A237" s="78"/>
      <c r="B237" s="78"/>
      <c r="C237" s="23" t="s">
        <v>738</v>
      </c>
      <c r="D237" s="23"/>
    </row>
    <row r="238" spans="1:4">
      <c r="A238" s="78"/>
      <c r="B238" s="78"/>
      <c r="C238" s="23" t="s">
        <v>34</v>
      </c>
      <c r="D238" s="23"/>
    </row>
    <row r="239" spans="1:4">
      <c r="A239" s="78"/>
      <c r="B239" s="78"/>
      <c r="C239" s="23" t="s">
        <v>645</v>
      </c>
      <c r="D239" s="23"/>
    </row>
    <row r="240" spans="1:4">
      <c r="A240" s="78"/>
      <c r="B240" s="78"/>
      <c r="C240" s="23" t="s">
        <v>268</v>
      </c>
      <c r="D240" s="23"/>
    </row>
    <row r="241" spans="1:4">
      <c r="A241" s="78"/>
      <c r="B241" s="78"/>
      <c r="C241" s="23" t="s">
        <v>650</v>
      </c>
      <c r="D241" s="23"/>
    </row>
    <row r="242" spans="1:4">
      <c r="A242" s="78"/>
      <c r="B242" s="78"/>
      <c r="C242" s="23" t="s">
        <v>252</v>
      </c>
      <c r="D242" s="23"/>
    </row>
    <row r="243" spans="1:4">
      <c r="A243" s="78"/>
      <c r="B243" s="78"/>
      <c r="C243" s="23" t="s">
        <v>258</v>
      </c>
      <c r="D243" s="23"/>
    </row>
    <row r="244" spans="1:4">
      <c r="A244" s="78"/>
      <c r="B244" s="78"/>
      <c r="C244" s="23" t="s">
        <v>257</v>
      </c>
      <c r="D244" s="23"/>
    </row>
    <row r="245" spans="1:4">
      <c r="A245" s="78"/>
      <c r="B245" s="78"/>
      <c r="C245" s="23" t="s">
        <v>174</v>
      </c>
      <c r="D245" s="23"/>
    </row>
    <row r="246" spans="1:4">
      <c r="A246" s="78"/>
      <c r="B246" s="78"/>
      <c r="C246" s="23" t="s">
        <v>253</v>
      </c>
      <c r="D246" s="23"/>
    </row>
    <row r="247" spans="1:4">
      <c r="A247" s="78"/>
      <c r="B247" s="78"/>
      <c r="C247" s="23" t="s">
        <v>169</v>
      </c>
      <c r="D247" s="23"/>
    </row>
    <row r="248" spans="1:4">
      <c r="A248" s="78"/>
      <c r="B248" s="78"/>
      <c r="C248" s="23" t="s">
        <v>170</v>
      </c>
      <c r="D248" s="23"/>
    </row>
    <row r="249" spans="1:4">
      <c r="A249" s="78"/>
      <c r="B249" s="78"/>
      <c r="C249" s="23" t="s">
        <v>165</v>
      </c>
      <c r="D249" s="23"/>
    </row>
    <row r="250" spans="1:4">
      <c r="A250" s="78"/>
      <c r="B250" s="78"/>
      <c r="C250" s="23" t="s">
        <v>260</v>
      </c>
      <c r="D250" s="23"/>
    </row>
    <row r="251" spans="1:4">
      <c r="A251" s="78"/>
      <c r="B251" s="78"/>
      <c r="C251" s="23" t="s">
        <v>163</v>
      </c>
      <c r="D251" s="23"/>
    </row>
    <row r="252" spans="1:4">
      <c r="A252" s="78"/>
      <c r="B252" s="78"/>
      <c r="C252" s="23" t="s">
        <v>102</v>
      </c>
      <c r="D252" s="23"/>
    </row>
    <row r="253" spans="1:4">
      <c r="A253" s="78"/>
      <c r="B253" s="78"/>
      <c r="C253" s="23" t="s">
        <v>878</v>
      </c>
      <c r="D253" s="23"/>
    </row>
    <row r="254" spans="1:4">
      <c r="A254" s="78"/>
      <c r="B254" s="78"/>
      <c r="C254" s="23" t="s">
        <v>879</v>
      </c>
      <c r="D254" s="23"/>
    </row>
    <row r="255" spans="1:4">
      <c r="A255" s="78"/>
      <c r="B255" s="78"/>
      <c r="C255" s="23" t="s">
        <v>880</v>
      </c>
      <c r="D255" s="23"/>
    </row>
    <row r="256" spans="1:4">
      <c r="A256" s="78"/>
      <c r="B256" s="78"/>
      <c r="C256" s="23" t="s">
        <v>881</v>
      </c>
      <c r="D256" s="23"/>
    </row>
    <row r="257" spans="1:5">
      <c r="A257" s="78"/>
      <c r="B257" s="78"/>
      <c r="C257" s="23" t="s">
        <v>882</v>
      </c>
      <c r="D257" s="23"/>
    </row>
    <row r="258" spans="1:5">
      <c r="A258" s="78"/>
      <c r="B258" s="78"/>
      <c r="C258" s="23" t="s">
        <v>883</v>
      </c>
      <c r="D258" s="23"/>
    </row>
    <row r="259" spans="1:5">
      <c r="A259" s="78"/>
      <c r="B259" s="78"/>
      <c r="C259" s="23" t="s">
        <v>884</v>
      </c>
      <c r="D259" s="23"/>
    </row>
    <row r="260" spans="1:5">
      <c r="A260" s="78"/>
      <c r="B260" s="78"/>
      <c r="C260" s="23" t="s">
        <v>885</v>
      </c>
      <c r="D260" s="23"/>
    </row>
    <row r="261" spans="1:5">
      <c r="A261" s="78"/>
      <c r="B261" s="78"/>
      <c r="C261" s="23" t="s">
        <v>886</v>
      </c>
      <c r="D261" s="23"/>
    </row>
    <row r="262" spans="1:5">
      <c r="A262" s="78"/>
      <c r="B262" s="78"/>
      <c r="C262" s="23" t="s">
        <v>887</v>
      </c>
      <c r="D262" s="23"/>
    </row>
    <row r="263" spans="1:5">
      <c r="A263" s="78"/>
      <c r="B263" s="78"/>
      <c r="C263" s="23" t="s">
        <v>888</v>
      </c>
      <c r="D263" s="23"/>
    </row>
    <row r="264" spans="1:5">
      <c r="A264" s="78"/>
      <c r="B264" s="78"/>
      <c r="C264" s="23" t="s">
        <v>889</v>
      </c>
      <c r="D264" s="23"/>
    </row>
    <row r="265" spans="1:5">
      <c r="A265" s="78"/>
      <c r="B265" s="78"/>
      <c r="C265" s="23" t="s">
        <v>890</v>
      </c>
      <c r="D265" s="23"/>
    </row>
    <row r="266" spans="1:5">
      <c r="A266" s="78"/>
      <c r="B266" s="78"/>
      <c r="C266" s="23" t="s">
        <v>891</v>
      </c>
      <c r="D266" s="23"/>
    </row>
    <row r="267" spans="1:5">
      <c r="A267" s="78"/>
      <c r="B267" s="78"/>
      <c r="C267" s="23" t="s">
        <v>892</v>
      </c>
      <c r="D267" s="23"/>
    </row>
    <row r="268" spans="1:5">
      <c r="A268" s="78"/>
      <c r="B268" s="78"/>
      <c r="C268" s="23" t="s">
        <v>893</v>
      </c>
      <c r="D268" s="23"/>
    </row>
    <row r="269" spans="1:5">
      <c r="A269" s="78"/>
      <c r="B269" s="78"/>
      <c r="C269" s="23" t="s">
        <v>877</v>
      </c>
      <c r="D269" s="23"/>
    </row>
    <row r="270" spans="1:5">
      <c r="A270" s="78"/>
      <c r="B270" s="78"/>
      <c r="C270" s="23" t="s">
        <v>1146</v>
      </c>
      <c r="D270" s="23" t="s">
        <v>1145</v>
      </c>
      <c r="E270" s="16" t="s">
        <v>1200</v>
      </c>
    </row>
    <row r="271" spans="1:5">
      <c r="A271" s="78"/>
      <c r="B271" s="78"/>
      <c r="C271" s="23" t="s">
        <v>1148</v>
      </c>
      <c r="D271" s="23" t="s">
        <v>1147</v>
      </c>
      <c r="E271" s="16" t="s">
        <v>1200</v>
      </c>
    </row>
    <row r="272" spans="1:5">
      <c r="A272" s="78"/>
      <c r="B272" s="78"/>
      <c r="C272" s="23" t="s">
        <v>1150</v>
      </c>
      <c r="D272" s="23" t="s">
        <v>1149</v>
      </c>
      <c r="E272" s="16" t="s">
        <v>1200</v>
      </c>
    </row>
    <row r="273" spans="1:5">
      <c r="A273" s="78"/>
      <c r="B273" s="78"/>
      <c r="C273" s="23" t="s">
        <v>894</v>
      </c>
      <c r="D273" s="23"/>
    </row>
    <row r="274" spans="1:5">
      <c r="A274" s="78"/>
      <c r="B274" s="78"/>
      <c r="C274" s="23" t="s">
        <v>1152</v>
      </c>
      <c r="D274" s="23" t="s">
        <v>1151</v>
      </c>
      <c r="E274" s="16" t="s">
        <v>1200</v>
      </c>
    </row>
    <row r="275" spans="1:5">
      <c r="A275" s="78"/>
      <c r="B275" s="78"/>
      <c r="C275" s="23" t="s">
        <v>895</v>
      </c>
      <c r="D275" s="23"/>
    </row>
    <row r="276" spans="1:5">
      <c r="A276" s="78"/>
      <c r="B276" s="78"/>
      <c r="C276" s="23" t="s">
        <v>896</v>
      </c>
      <c r="D276" s="23"/>
    </row>
    <row r="277" spans="1:5">
      <c r="A277" s="78"/>
      <c r="B277" s="78"/>
      <c r="C277" s="23" t="s">
        <v>897</v>
      </c>
      <c r="D277" s="23"/>
    </row>
    <row r="278" spans="1:5">
      <c r="A278" s="78"/>
      <c r="B278" s="78"/>
      <c r="C278" s="23" t="s">
        <v>898</v>
      </c>
      <c r="D278" s="23"/>
    </row>
    <row r="279" spans="1:5">
      <c r="A279" s="78"/>
      <c r="B279" s="78"/>
      <c r="C279" s="23" t="s">
        <v>899</v>
      </c>
      <c r="D279" s="23"/>
    </row>
    <row r="280" spans="1:5">
      <c r="A280" s="78"/>
      <c r="B280" s="78"/>
      <c r="C280" s="23" t="s">
        <v>900</v>
      </c>
      <c r="D280" s="23"/>
    </row>
    <row r="281" spans="1:5">
      <c r="A281" s="78"/>
      <c r="B281" s="78"/>
      <c r="C281" s="23" t="s">
        <v>873</v>
      </c>
      <c r="D281" s="23"/>
    </row>
    <row r="282" spans="1:5">
      <c r="A282" s="78"/>
      <c r="B282" s="78"/>
      <c r="C282" s="23" t="s">
        <v>1154</v>
      </c>
      <c r="D282" s="23" t="s">
        <v>1153</v>
      </c>
      <c r="E282" s="16" t="s">
        <v>1200</v>
      </c>
    </row>
    <row r="283" spans="1:5">
      <c r="A283" s="78"/>
      <c r="B283" s="78"/>
      <c r="C283" s="23" t="s">
        <v>901</v>
      </c>
      <c r="D283" s="23"/>
    </row>
    <row r="284" spans="1:5">
      <c r="A284" s="78"/>
      <c r="B284" s="78"/>
      <c r="C284" s="23" t="s">
        <v>1156</v>
      </c>
      <c r="D284" s="23" t="s">
        <v>1155</v>
      </c>
      <c r="E284" s="16" t="s">
        <v>1200</v>
      </c>
    </row>
    <row r="285" spans="1:5">
      <c r="A285" s="78"/>
      <c r="B285" s="78"/>
      <c r="C285" s="23" t="s">
        <v>902</v>
      </c>
      <c r="D285" s="23"/>
    </row>
    <row r="286" spans="1:5">
      <c r="A286" s="78"/>
      <c r="B286" s="78"/>
      <c r="C286" s="23" t="s">
        <v>903</v>
      </c>
      <c r="D286" s="23"/>
    </row>
    <row r="287" spans="1:5">
      <c r="A287" s="78"/>
      <c r="B287" s="78"/>
      <c r="C287" s="23" t="s">
        <v>904</v>
      </c>
      <c r="D287" s="23"/>
    </row>
    <row r="288" spans="1:5">
      <c r="A288" s="78"/>
      <c r="B288" s="78"/>
      <c r="C288" s="23" t="s">
        <v>905</v>
      </c>
      <c r="D288" s="23"/>
    </row>
    <row r="289" spans="1:5">
      <c r="A289" s="78"/>
      <c r="B289" s="78"/>
      <c r="C289" s="23" t="s">
        <v>1158</v>
      </c>
      <c r="D289" s="23" t="s">
        <v>1157</v>
      </c>
      <c r="E289" s="16" t="s">
        <v>1200</v>
      </c>
    </row>
    <row r="290" spans="1:5">
      <c r="A290" s="78"/>
      <c r="B290" s="78"/>
      <c r="C290" s="23" t="s">
        <v>906</v>
      </c>
      <c r="D290" s="23"/>
    </row>
    <row r="291" spans="1:5">
      <c r="A291" s="78"/>
      <c r="B291" s="78"/>
      <c r="C291" s="23" t="s">
        <v>907</v>
      </c>
      <c r="D291" s="23"/>
    </row>
    <row r="292" spans="1:5">
      <c r="A292" s="78"/>
      <c r="B292" s="78"/>
      <c r="C292" s="23" t="s">
        <v>908</v>
      </c>
      <c r="D292" s="23"/>
    </row>
    <row r="293" spans="1:5">
      <c r="A293" s="78"/>
      <c r="B293" s="78"/>
      <c r="C293" s="23" t="s">
        <v>909</v>
      </c>
      <c r="D293" s="23"/>
    </row>
    <row r="294" spans="1:5">
      <c r="A294" s="78"/>
      <c r="B294" s="78"/>
      <c r="C294" s="23" t="s">
        <v>910</v>
      </c>
      <c r="D294" s="23"/>
    </row>
    <row r="295" spans="1:5">
      <c r="A295" s="78"/>
      <c r="B295" s="78"/>
      <c r="C295" s="23" t="s">
        <v>911</v>
      </c>
      <c r="D295" s="23"/>
    </row>
    <row r="296" spans="1:5">
      <c r="A296" s="78"/>
      <c r="B296" s="78"/>
      <c r="C296" s="23" t="s">
        <v>195</v>
      </c>
      <c r="D296" s="23"/>
    </row>
    <row r="297" spans="1:5">
      <c r="A297" s="78"/>
      <c r="B297" s="78"/>
      <c r="C297" s="23" t="s">
        <v>1159</v>
      </c>
      <c r="D297" s="23" t="s">
        <v>1160</v>
      </c>
      <c r="E297" s="16" t="s">
        <v>1200</v>
      </c>
    </row>
    <row r="298" spans="1:5">
      <c r="A298" s="78"/>
      <c r="B298" s="78"/>
      <c r="C298" s="23" t="s">
        <v>912</v>
      </c>
      <c r="D298" s="23"/>
    </row>
    <row r="299" spans="1:5">
      <c r="A299" s="78"/>
      <c r="B299" s="78"/>
      <c r="C299" s="23" t="s">
        <v>913</v>
      </c>
      <c r="D299" s="23"/>
    </row>
    <row r="300" spans="1:5">
      <c r="A300" s="78"/>
      <c r="B300" s="78"/>
      <c r="C300" s="23" t="s">
        <v>1161</v>
      </c>
      <c r="D300" s="23"/>
      <c r="E300" s="16" t="s">
        <v>1200</v>
      </c>
    </row>
    <row r="301" spans="1:5">
      <c r="A301" s="78"/>
      <c r="B301" s="78"/>
      <c r="C301" s="23" t="s">
        <v>249</v>
      </c>
      <c r="D301" s="23"/>
    </row>
    <row r="302" spans="1:5">
      <c r="A302" s="78"/>
      <c r="B302" s="78"/>
      <c r="C302" s="23" t="s">
        <v>914</v>
      </c>
      <c r="D302" s="23"/>
    </row>
    <row r="303" spans="1:5">
      <c r="A303" s="78"/>
      <c r="B303" s="78"/>
      <c r="C303" s="23" t="s">
        <v>915</v>
      </c>
      <c r="D303" s="23"/>
    </row>
    <row r="304" spans="1:5">
      <c r="A304" s="78"/>
      <c r="B304" s="78"/>
      <c r="C304" s="23" t="s">
        <v>916</v>
      </c>
      <c r="D304" s="23"/>
    </row>
    <row r="305" spans="1:5">
      <c r="A305" s="78"/>
      <c r="B305" s="78"/>
      <c r="C305" s="23" t="s">
        <v>917</v>
      </c>
      <c r="D305" s="23"/>
    </row>
    <row r="306" spans="1:5">
      <c r="A306" s="78"/>
      <c r="B306" s="78"/>
      <c r="C306" s="23" t="s">
        <v>918</v>
      </c>
      <c r="D306" s="23"/>
    </row>
    <row r="307" spans="1:5">
      <c r="A307" s="78"/>
      <c r="B307" s="78"/>
      <c r="C307" s="23" t="s">
        <v>202</v>
      </c>
      <c r="D307" s="23"/>
    </row>
    <row r="308" spans="1:5">
      <c r="A308" s="78"/>
      <c r="B308" s="78"/>
      <c r="C308" s="23" t="s">
        <v>919</v>
      </c>
      <c r="D308" s="23"/>
    </row>
    <row r="309" spans="1:5">
      <c r="A309" s="78"/>
      <c r="B309" s="78"/>
      <c r="C309" s="23" t="s">
        <v>920</v>
      </c>
      <c r="D309" s="23"/>
    </row>
    <row r="310" spans="1:5">
      <c r="A310" s="78"/>
      <c r="B310" s="78"/>
      <c r="C310" s="23" t="s">
        <v>968</v>
      </c>
      <c r="D310" s="23"/>
      <c r="E310" s="16" t="s">
        <v>1200</v>
      </c>
    </row>
    <row r="311" spans="1:5">
      <c r="A311" s="78"/>
      <c r="B311" s="78"/>
      <c r="C311" s="23" t="s">
        <v>969</v>
      </c>
      <c r="D311" s="23"/>
      <c r="E311" s="16" t="s">
        <v>1200</v>
      </c>
    </row>
    <row r="312" spans="1:5">
      <c r="A312" s="78"/>
      <c r="B312" s="78"/>
      <c r="C312" s="23" t="s">
        <v>970</v>
      </c>
      <c r="D312" s="23"/>
      <c r="E312" s="16" t="s">
        <v>1200</v>
      </c>
    </row>
    <row r="313" spans="1:5">
      <c r="A313" s="78"/>
      <c r="B313" s="78"/>
      <c r="C313" s="23" t="s">
        <v>921</v>
      </c>
      <c r="D313" s="23"/>
    </row>
    <row r="314" spans="1:5">
      <c r="A314" s="78"/>
      <c r="B314" s="78"/>
      <c r="C314" s="23" t="s">
        <v>922</v>
      </c>
      <c r="D314" s="23"/>
    </row>
    <row r="315" spans="1:5">
      <c r="A315" s="78"/>
      <c r="B315" s="78"/>
      <c r="C315" s="23" t="s">
        <v>923</v>
      </c>
      <c r="D315" s="23"/>
    </row>
    <row r="316" spans="1:5">
      <c r="A316" s="78"/>
      <c r="B316" s="78"/>
      <c r="C316" s="23" t="s">
        <v>924</v>
      </c>
      <c r="D316" s="23"/>
    </row>
    <row r="317" spans="1:5">
      <c r="A317" s="78"/>
      <c r="B317" s="78"/>
      <c r="C317" s="23" t="s">
        <v>925</v>
      </c>
      <c r="D317" s="23"/>
    </row>
    <row r="318" spans="1:5">
      <c r="A318" s="78"/>
      <c r="B318" s="78"/>
      <c r="C318" s="23" t="s">
        <v>967</v>
      </c>
      <c r="D318" s="148" t="s">
        <v>926</v>
      </c>
      <c r="E318" s="16" t="s">
        <v>1200</v>
      </c>
    </row>
    <row r="319" spans="1:5">
      <c r="A319" s="78"/>
      <c r="B319" s="78"/>
      <c r="C319" s="23" t="s">
        <v>927</v>
      </c>
      <c r="D319" s="23"/>
    </row>
    <row r="320" spans="1:5">
      <c r="A320" s="78"/>
      <c r="B320" s="78"/>
      <c r="C320" s="23" t="s">
        <v>928</v>
      </c>
      <c r="D320" s="23"/>
    </row>
    <row r="321" spans="1:5">
      <c r="A321" s="78"/>
      <c r="B321" s="78"/>
      <c r="C321" s="23" t="s">
        <v>874</v>
      </c>
      <c r="D321" s="23"/>
    </row>
    <row r="322" spans="1:5">
      <c r="A322" s="78"/>
      <c r="B322" s="78"/>
      <c r="C322" s="23" t="s">
        <v>875</v>
      </c>
      <c r="D322" s="23"/>
    </row>
    <row r="323" spans="1:5">
      <c r="A323" s="78"/>
      <c r="B323" s="78"/>
      <c r="C323" s="23" t="s">
        <v>929</v>
      </c>
      <c r="D323" s="23"/>
    </row>
    <row r="324" spans="1:5">
      <c r="A324" s="78"/>
      <c r="B324" s="78"/>
      <c r="C324" s="23" t="s">
        <v>876</v>
      </c>
      <c r="D324" s="23"/>
    </row>
    <row r="325" spans="1:5">
      <c r="A325" s="78"/>
      <c r="B325" s="78"/>
      <c r="C325" s="23" t="s">
        <v>930</v>
      </c>
      <c r="D325" s="23"/>
    </row>
    <row r="326" spans="1:5">
      <c r="A326" s="78"/>
      <c r="B326" s="78"/>
      <c r="C326" s="23" t="s">
        <v>931</v>
      </c>
      <c r="D326" s="23"/>
    </row>
    <row r="327" spans="1:5">
      <c r="A327" s="78"/>
      <c r="B327" s="78"/>
      <c r="C327" s="23" t="s">
        <v>130</v>
      </c>
      <c r="D327" s="23"/>
    </row>
    <row r="328" spans="1:5">
      <c r="A328" s="95"/>
      <c r="B328" s="85" t="s">
        <v>300</v>
      </c>
      <c r="C328" s="69" t="s">
        <v>979</v>
      </c>
      <c r="D328" s="69"/>
      <c r="E328" s="16" t="s">
        <v>1200</v>
      </c>
    </row>
    <row r="329" spans="1:5">
      <c r="A329" s="96"/>
      <c r="B329" s="86"/>
      <c r="C329" s="69" t="s">
        <v>1069</v>
      </c>
      <c r="D329" s="69"/>
      <c r="E329" s="16" t="s">
        <v>1200</v>
      </c>
    </row>
    <row r="330" spans="1:5">
      <c r="A330" s="96"/>
      <c r="B330" s="86"/>
      <c r="C330" s="150" t="s">
        <v>1070</v>
      </c>
      <c r="D330" s="69"/>
      <c r="E330" s="16" t="s">
        <v>1200</v>
      </c>
    </row>
    <row r="331" spans="1:5">
      <c r="A331" s="96"/>
      <c r="B331" s="86"/>
      <c r="C331" s="149" t="s">
        <v>980</v>
      </c>
      <c r="D331" s="69"/>
      <c r="E331" s="16" t="s">
        <v>1200</v>
      </c>
    </row>
    <row r="332" spans="1:5">
      <c r="A332" s="96"/>
      <c r="B332" s="86"/>
      <c r="C332" s="149" t="s">
        <v>1061</v>
      </c>
      <c r="D332" s="69"/>
      <c r="E332" s="16" t="s">
        <v>1200</v>
      </c>
    </row>
    <row r="333" spans="1:5">
      <c r="A333" s="96"/>
      <c r="B333" s="86"/>
      <c r="C333" s="149" t="s">
        <v>981</v>
      </c>
      <c r="D333" s="69"/>
      <c r="E333" s="16" t="s">
        <v>1200</v>
      </c>
    </row>
    <row r="334" spans="1:5">
      <c r="A334" s="96"/>
      <c r="B334" s="86"/>
      <c r="C334" s="149" t="s">
        <v>982</v>
      </c>
      <c r="D334" s="69"/>
      <c r="E334" s="16" t="s">
        <v>1200</v>
      </c>
    </row>
    <row r="335" spans="1:5">
      <c r="A335" s="96"/>
      <c r="B335" s="86"/>
      <c r="C335" s="69" t="s">
        <v>1062</v>
      </c>
      <c r="D335" s="69"/>
      <c r="E335" s="16" t="s">
        <v>1200</v>
      </c>
    </row>
    <row r="336" spans="1:5">
      <c r="A336" s="96"/>
      <c r="B336" s="86"/>
      <c r="C336" s="69" t="s">
        <v>1063</v>
      </c>
      <c r="D336" s="69"/>
      <c r="E336" s="16" t="s">
        <v>1200</v>
      </c>
    </row>
    <row r="337" spans="1:5">
      <c r="A337" s="96"/>
      <c r="B337" s="86"/>
      <c r="C337" s="69" t="s">
        <v>1064</v>
      </c>
      <c r="D337" s="69"/>
      <c r="E337" s="16" t="s">
        <v>1200</v>
      </c>
    </row>
    <row r="338" spans="1:5">
      <c r="A338" s="96"/>
      <c r="B338" s="86"/>
      <c r="C338" s="69" t="s">
        <v>1065</v>
      </c>
      <c r="D338" s="69"/>
      <c r="E338" s="16" t="s">
        <v>1200</v>
      </c>
    </row>
    <row r="339" spans="1:5">
      <c r="A339" s="96"/>
      <c r="B339" s="86"/>
      <c r="C339" s="69" t="s">
        <v>1066</v>
      </c>
      <c r="D339" s="69"/>
      <c r="E339" s="16" t="s">
        <v>1200</v>
      </c>
    </row>
    <row r="340" spans="1:5">
      <c r="A340" s="96"/>
      <c r="B340" s="86"/>
      <c r="C340" s="69" t="s">
        <v>1067</v>
      </c>
      <c r="D340" s="69"/>
      <c r="E340" s="16" t="s">
        <v>1200</v>
      </c>
    </row>
    <row r="341" spans="1:5">
      <c r="A341" s="96"/>
      <c r="B341" s="86"/>
      <c r="C341" s="69" t="s">
        <v>1068</v>
      </c>
      <c r="D341" s="69"/>
      <c r="E341" s="16" t="s">
        <v>1200</v>
      </c>
    </row>
    <row r="342" spans="1:5">
      <c r="A342" s="96"/>
      <c r="B342" s="86"/>
      <c r="C342" s="69" t="s">
        <v>1071</v>
      </c>
      <c r="D342" s="69"/>
      <c r="E342" s="16" t="s">
        <v>1200</v>
      </c>
    </row>
    <row r="343" spans="1:5">
      <c r="A343" s="96"/>
      <c r="B343" s="86"/>
      <c r="C343" s="69" t="s">
        <v>1072</v>
      </c>
      <c r="D343" s="69"/>
      <c r="E343" s="16" t="s">
        <v>1200</v>
      </c>
    </row>
    <row r="344" spans="1:5">
      <c r="A344" s="96"/>
      <c r="B344" s="86"/>
      <c r="C344" s="69" t="s">
        <v>1073</v>
      </c>
      <c r="D344" s="69"/>
      <c r="E344" s="16" t="s">
        <v>1200</v>
      </c>
    </row>
    <row r="345" spans="1:5">
      <c r="A345" s="96"/>
      <c r="B345" s="86"/>
      <c r="C345" s="69" t="s">
        <v>1074</v>
      </c>
      <c r="D345" s="69"/>
      <c r="E345" s="16" t="s">
        <v>1200</v>
      </c>
    </row>
    <row r="346" spans="1:5">
      <c r="A346" s="96"/>
      <c r="B346" s="86"/>
      <c r="C346" s="69" t="s">
        <v>1075</v>
      </c>
      <c r="D346" s="69"/>
      <c r="E346" s="16" t="s">
        <v>1200</v>
      </c>
    </row>
    <row r="347" spans="1:5">
      <c r="A347" s="96"/>
      <c r="B347" s="86"/>
      <c r="C347" s="69" t="s">
        <v>1076</v>
      </c>
      <c r="D347" s="69"/>
      <c r="E347" s="16" t="s">
        <v>1200</v>
      </c>
    </row>
    <row r="348" spans="1:5">
      <c r="A348" s="96"/>
      <c r="B348" s="86"/>
      <c r="C348" s="69" t="s">
        <v>1077</v>
      </c>
      <c r="D348" s="69"/>
      <c r="E348" s="16" t="s">
        <v>1200</v>
      </c>
    </row>
    <row r="349" spans="1:5">
      <c r="A349" s="96"/>
      <c r="B349" s="86"/>
      <c r="C349" s="69" t="s">
        <v>1078</v>
      </c>
      <c r="D349" s="69"/>
      <c r="E349" s="16" t="s">
        <v>1200</v>
      </c>
    </row>
    <row r="350" spans="1:5">
      <c r="A350" s="96"/>
      <c r="B350" s="86"/>
      <c r="C350" s="69" t="s">
        <v>1079</v>
      </c>
      <c r="D350" s="69"/>
      <c r="E350" s="16" t="s">
        <v>1200</v>
      </c>
    </row>
    <row r="351" spans="1:5">
      <c r="A351" s="96"/>
      <c r="B351" s="86"/>
      <c r="C351" s="69" t="s">
        <v>1080</v>
      </c>
      <c r="D351" s="69"/>
      <c r="E351" s="16" t="s">
        <v>1200</v>
      </c>
    </row>
    <row r="352" spans="1:5">
      <c r="A352" s="96"/>
      <c r="B352" s="86"/>
      <c r="C352" s="69" t="s">
        <v>1081</v>
      </c>
      <c r="D352" s="69"/>
      <c r="E352" s="16" t="s">
        <v>1200</v>
      </c>
    </row>
    <row r="353" spans="1:5">
      <c r="A353" s="96"/>
      <c r="B353" s="86"/>
      <c r="C353" s="69" t="s">
        <v>1082</v>
      </c>
      <c r="D353" s="69"/>
      <c r="E353" s="16" t="s">
        <v>1200</v>
      </c>
    </row>
    <row r="354" spans="1:5">
      <c r="A354" s="96"/>
      <c r="B354" s="86"/>
      <c r="C354" s="69" t="s">
        <v>1083</v>
      </c>
      <c r="D354" s="69"/>
      <c r="E354" s="16" t="s">
        <v>1200</v>
      </c>
    </row>
    <row r="355" spans="1:5">
      <c r="A355" s="96"/>
      <c r="B355" s="86"/>
      <c r="C355" s="69" t="s">
        <v>1084</v>
      </c>
      <c r="D355" s="69"/>
      <c r="E355" s="16" t="s">
        <v>1200</v>
      </c>
    </row>
    <row r="356" spans="1:5">
      <c r="A356" s="96"/>
      <c r="B356" s="86"/>
      <c r="C356" s="69" t="s">
        <v>1085</v>
      </c>
      <c r="D356" s="69"/>
      <c r="E356" s="16" t="s">
        <v>1200</v>
      </c>
    </row>
    <row r="357" spans="1:5">
      <c r="A357" s="96"/>
      <c r="B357" s="86"/>
      <c r="C357" s="69" t="s">
        <v>1086</v>
      </c>
      <c r="D357" s="69"/>
      <c r="E357" s="16" t="s">
        <v>1200</v>
      </c>
    </row>
    <row r="358" spans="1:5">
      <c r="A358" s="96"/>
      <c r="B358" s="86"/>
      <c r="C358" s="69" t="s">
        <v>1087</v>
      </c>
      <c r="D358" s="69"/>
      <c r="E358" s="16" t="s">
        <v>1200</v>
      </c>
    </row>
    <row r="359" spans="1:5">
      <c r="A359" s="96"/>
      <c r="B359" s="86"/>
      <c r="C359" s="69" t="s">
        <v>1088</v>
      </c>
      <c r="D359" s="69"/>
      <c r="E359" s="16" t="s">
        <v>1200</v>
      </c>
    </row>
    <row r="360" spans="1:5">
      <c r="A360" s="96"/>
      <c r="B360" s="86"/>
      <c r="C360" s="69" t="s">
        <v>1089</v>
      </c>
      <c r="D360" s="69"/>
      <c r="E360" s="16" t="s">
        <v>1200</v>
      </c>
    </row>
    <row r="361" spans="1:5">
      <c r="A361" s="96"/>
      <c r="B361" s="86"/>
      <c r="C361" s="69" t="s">
        <v>1090</v>
      </c>
      <c r="D361" s="69"/>
      <c r="E361" s="16" t="s">
        <v>1200</v>
      </c>
    </row>
    <row r="362" spans="1:5">
      <c r="A362" s="96"/>
      <c r="B362" s="86"/>
      <c r="C362" s="69" t="s">
        <v>1091</v>
      </c>
      <c r="D362" s="69"/>
      <c r="E362" s="16" t="s">
        <v>1200</v>
      </c>
    </row>
    <row r="363" spans="1:5">
      <c r="A363" s="96"/>
      <c r="B363" s="86"/>
      <c r="C363" s="69" t="s">
        <v>1092</v>
      </c>
      <c r="D363" s="69"/>
      <c r="E363" s="16" t="s">
        <v>1200</v>
      </c>
    </row>
    <row r="364" spans="1:5">
      <c r="A364" s="96"/>
      <c r="B364" s="86"/>
      <c r="C364" s="69" t="s">
        <v>1093</v>
      </c>
      <c r="D364" s="69"/>
      <c r="E364" s="16" t="s">
        <v>1200</v>
      </c>
    </row>
    <row r="365" spans="1:5">
      <c r="A365" s="96"/>
      <c r="B365" s="86"/>
      <c r="C365" s="69" t="s">
        <v>1094</v>
      </c>
      <c r="D365" s="69"/>
      <c r="E365" s="16" t="s">
        <v>1200</v>
      </c>
    </row>
    <row r="366" spans="1:5">
      <c r="A366" s="96"/>
      <c r="B366" s="86"/>
      <c r="C366" s="69" t="s">
        <v>1095</v>
      </c>
      <c r="D366" s="69"/>
      <c r="E366" s="16" t="s">
        <v>1200</v>
      </c>
    </row>
    <row r="367" spans="1:5">
      <c r="A367" s="96"/>
      <c r="B367" s="86"/>
      <c r="C367" s="69" t="s">
        <v>1096</v>
      </c>
      <c r="D367" s="69"/>
      <c r="E367" s="16" t="s">
        <v>1200</v>
      </c>
    </row>
    <row r="368" spans="1:5">
      <c r="A368" s="96"/>
      <c r="B368" s="86"/>
      <c r="C368" s="69" t="s">
        <v>1097</v>
      </c>
      <c r="D368" s="69"/>
      <c r="E368" s="16" t="s">
        <v>1200</v>
      </c>
    </row>
    <row r="369" spans="1:5">
      <c r="A369" s="96"/>
      <c r="B369" s="86"/>
      <c r="C369" s="69" t="s">
        <v>1098</v>
      </c>
      <c r="D369" s="69"/>
      <c r="E369" s="16" t="s">
        <v>1200</v>
      </c>
    </row>
    <row r="370" spans="1:5">
      <c r="A370" s="96"/>
      <c r="B370" s="86"/>
      <c r="C370" s="69" t="s">
        <v>1099</v>
      </c>
      <c r="D370" s="69"/>
      <c r="E370" s="16" t="s">
        <v>1200</v>
      </c>
    </row>
    <row r="371" spans="1:5">
      <c r="A371" s="96"/>
      <c r="B371" s="86"/>
      <c r="C371" s="69" t="s">
        <v>983</v>
      </c>
      <c r="D371" s="69"/>
      <c r="E371" s="16" t="s">
        <v>1200</v>
      </c>
    </row>
    <row r="372" spans="1:5">
      <c r="A372" s="96"/>
      <c r="B372" s="86"/>
      <c r="C372" s="69" t="s">
        <v>984</v>
      </c>
      <c r="D372" s="69"/>
      <c r="E372" s="16" t="s">
        <v>1200</v>
      </c>
    </row>
    <row r="373" spans="1:5">
      <c r="A373" s="96"/>
      <c r="B373" s="86"/>
      <c r="C373" s="69" t="s">
        <v>985</v>
      </c>
      <c r="D373" s="69"/>
      <c r="E373" s="16" t="s">
        <v>1200</v>
      </c>
    </row>
    <row r="374" spans="1:5">
      <c r="A374" s="96"/>
      <c r="B374" s="86"/>
      <c r="C374" s="69" t="s">
        <v>986</v>
      </c>
      <c r="D374" s="69"/>
      <c r="E374" s="16" t="s">
        <v>1200</v>
      </c>
    </row>
    <row r="375" spans="1:5">
      <c r="A375" s="96"/>
      <c r="B375" s="86"/>
      <c r="C375" s="69" t="s">
        <v>987</v>
      </c>
      <c r="D375" s="69"/>
      <c r="E375" s="16" t="s">
        <v>1200</v>
      </c>
    </row>
    <row r="376" spans="1:5">
      <c r="A376" s="96"/>
      <c r="B376" s="86"/>
      <c r="C376" s="69" t="s">
        <v>988</v>
      </c>
      <c r="D376" s="69"/>
      <c r="E376" s="16" t="s">
        <v>1200</v>
      </c>
    </row>
    <row r="377" spans="1:5">
      <c r="A377" s="96"/>
      <c r="B377" s="86"/>
      <c r="C377" s="69" t="s">
        <v>989</v>
      </c>
      <c r="D377" s="69"/>
      <c r="E377" s="16" t="s">
        <v>1200</v>
      </c>
    </row>
    <row r="378" spans="1:5">
      <c r="A378" s="96"/>
      <c r="B378" s="86"/>
      <c r="C378" s="69" t="s">
        <v>990</v>
      </c>
      <c r="D378" s="69"/>
      <c r="E378" s="16" t="s">
        <v>1200</v>
      </c>
    </row>
    <row r="379" spans="1:5">
      <c r="A379" s="96"/>
      <c r="B379" s="86"/>
      <c r="C379" s="69" t="s">
        <v>991</v>
      </c>
      <c r="D379" s="69"/>
      <c r="E379" s="16" t="s">
        <v>1200</v>
      </c>
    </row>
    <row r="380" spans="1:5">
      <c r="A380" s="96"/>
      <c r="B380" s="86"/>
      <c r="C380" s="69" t="s">
        <v>992</v>
      </c>
      <c r="D380" s="69"/>
      <c r="E380" s="16" t="s">
        <v>1200</v>
      </c>
    </row>
    <row r="381" spans="1:5">
      <c r="A381" s="96"/>
      <c r="B381" s="86"/>
      <c r="C381" s="69" t="s">
        <v>993</v>
      </c>
      <c r="D381" s="69"/>
      <c r="E381" s="16" t="s">
        <v>1200</v>
      </c>
    </row>
    <row r="382" spans="1:5">
      <c r="A382" s="96"/>
      <c r="B382" s="86"/>
      <c r="C382" s="69" t="s">
        <v>994</v>
      </c>
      <c r="D382" s="69"/>
      <c r="E382" s="16" t="s">
        <v>1200</v>
      </c>
    </row>
    <row r="383" spans="1:5">
      <c r="A383" s="96"/>
      <c r="B383" s="86"/>
      <c r="C383" s="69" t="s">
        <v>995</v>
      </c>
      <c r="D383" s="69"/>
      <c r="E383" s="16" t="s">
        <v>1200</v>
      </c>
    </row>
    <row r="384" spans="1:5">
      <c r="A384" s="96"/>
      <c r="B384" s="86"/>
      <c r="C384" s="69" t="s">
        <v>996</v>
      </c>
      <c r="D384" s="69"/>
      <c r="E384" s="16" t="s">
        <v>1200</v>
      </c>
    </row>
    <row r="385" spans="1:5">
      <c r="A385" s="96"/>
      <c r="B385" s="86"/>
      <c r="C385" s="69" t="s">
        <v>997</v>
      </c>
      <c r="D385" s="69"/>
      <c r="E385" s="16" t="s">
        <v>1200</v>
      </c>
    </row>
    <row r="386" spans="1:5">
      <c r="A386" s="96"/>
      <c r="B386" s="86"/>
      <c r="C386" s="69" t="s">
        <v>998</v>
      </c>
      <c r="D386" s="69"/>
      <c r="E386" s="16" t="s">
        <v>1200</v>
      </c>
    </row>
    <row r="387" spans="1:5">
      <c r="A387" s="96"/>
      <c r="B387" s="86"/>
      <c r="C387" s="69" t="s">
        <v>999</v>
      </c>
      <c r="D387" s="69"/>
      <c r="E387" s="16" t="s">
        <v>1200</v>
      </c>
    </row>
    <row r="388" spans="1:5">
      <c r="A388" s="96"/>
      <c r="B388" s="86"/>
      <c r="C388" s="69" t="s">
        <v>1000</v>
      </c>
      <c r="D388" s="69"/>
      <c r="E388" s="16" t="s">
        <v>1200</v>
      </c>
    </row>
    <row r="389" spans="1:5">
      <c r="A389" s="96"/>
      <c r="B389" s="86"/>
      <c r="C389" s="69" t="s">
        <v>1001</v>
      </c>
      <c r="D389" s="69"/>
      <c r="E389" s="16" t="s">
        <v>1200</v>
      </c>
    </row>
    <row r="390" spans="1:5">
      <c r="A390" s="96"/>
      <c r="B390" s="86"/>
      <c r="C390" s="69" t="s">
        <v>1002</v>
      </c>
      <c r="D390" s="69"/>
      <c r="E390" s="16" t="s">
        <v>1200</v>
      </c>
    </row>
    <row r="391" spans="1:5">
      <c r="A391" s="96"/>
      <c r="B391" s="86"/>
      <c r="C391" s="69" t="s">
        <v>1003</v>
      </c>
      <c r="D391" s="69"/>
      <c r="E391" s="16" t="s">
        <v>1200</v>
      </c>
    </row>
    <row r="392" spans="1:5">
      <c r="A392" s="96"/>
      <c r="B392" s="86"/>
      <c r="C392" s="69" t="s">
        <v>1004</v>
      </c>
      <c r="D392" s="69"/>
      <c r="E392" s="16" t="s">
        <v>1200</v>
      </c>
    </row>
    <row r="393" spans="1:5">
      <c r="A393" s="96"/>
      <c r="B393" s="86"/>
      <c r="C393" s="69" t="s">
        <v>1005</v>
      </c>
      <c r="D393" s="69"/>
      <c r="E393" s="16" t="s">
        <v>1200</v>
      </c>
    </row>
    <row r="394" spans="1:5">
      <c r="A394" s="96"/>
      <c r="B394" s="86"/>
      <c r="C394" s="69" t="s">
        <v>1006</v>
      </c>
      <c r="D394" s="69"/>
      <c r="E394" s="16" t="s">
        <v>1200</v>
      </c>
    </row>
    <row r="395" spans="1:5">
      <c r="A395" s="96"/>
      <c r="B395" s="86"/>
      <c r="C395" s="69" t="s">
        <v>1007</v>
      </c>
      <c r="D395" s="69"/>
      <c r="E395" s="16" t="s">
        <v>1200</v>
      </c>
    </row>
    <row r="396" spans="1:5">
      <c r="A396" s="96"/>
      <c r="B396" s="86"/>
      <c r="C396" s="69" t="s">
        <v>1008</v>
      </c>
      <c r="D396" s="69"/>
      <c r="E396" s="16" t="s">
        <v>1200</v>
      </c>
    </row>
    <row r="397" spans="1:5">
      <c r="A397" s="96"/>
      <c r="B397" s="86"/>
      <c r="C397" s="69" t="s">
        <v>1009</v>
      </c>
      <c r="D397" s="69"/>
      <c r="E397" s="16" t="s">
        <v>1200</v>
      </c>
    </row>
    <row r="398" spans="1:5">
      <c r="A398" s="96"/>
      <c r="B398" s="86"/>
      <c r="C398" s="69" t="s">
        <v>1010</v>
      </c>
      <c r="D398" s="69"/>
      <c r="E398" s="16" t="s">
        <v>1200</v>
      </c>
    </row>
    <row r="399" spans="1:5">
      <c r="A399" s="96"/>
      <c r="B399" s="86"/>
      <c r="C399" s="69" t="s">
        <v>1011</v>
      </c>
      <c r="D399" s="69"/>
      <c r="E399" s="16" t="s">
        <v>1200</v>
      </c>
    </row>
    <row r="400" spans="1:5">
      <c r="A400" s="96"/>
      <c r="B400" s="86"/>
      <c r="C400" s="69" t="s">
        <v>1012</v>
      </c>
      <c r="D400" s="69"/>
      <c r="E400" s="16" t="s">
        <v>1200</v>
      </c>
    </row>
    <row r="401" spans="1:5">
      <c r="A401" s="96"/>
      <c r="B401" s="86"/>
      <c r="C401" s="69" t="s">
        <v>1013</v>
      </c>
      <c r="D401" s="69"/>
      <c r="E401" s="16" t="s">
        <v>1200</v>
      </c>
    </row>
    <row r="402" spans="1:5">
      <c r="A402" s="96"/>
      <c r="B402" s="86"/>
      <c r="C402" s="69" t="s">
        <v>1014</v>
      </c>
      <c r="D402" s="69"/>
      <c r="E402" s="16" t="s">
        <v>1200</v>
      </c>
    </row>
    <row r="403" spans="1:5">
      <c r="A403" s="96"/>
      <c r="B403" s="86"/>
      <c r="C403" s="69" t="s">
        <v>1015</v>
      </c>
      <c r="D403" s="69"/>
      <c r="E403" s="16" t="s">
        <v>1200</v>
      </c>
    </row>
    <row r="404" spans="1:5">
      <c r="A404" s="96"/>
      <c r="B404" s="86"/>
      <c r="C404" s="69" t="s">
        <v>1016</v>
      </c>
      <c r="D404" s="69"/>
      <c r="E404" s="16" t="s">
        <v>1200</v>
      </c>
    </row>
    <row r="405" spans="1:5">
      <c r="A405" s="96"/>
      <c r="B405" s="86"/>
      <c r="C405" s="69" t="s">
        <v>1017</v>
      </c>
      <c r="D405" s="69"/>
      <c r="E405" s="16" t="s">
        <v>1200</v>
      </c>
    </row>
    <row r="406" spans="1:5">
      <c r="A406" s="96"/>
      <c r="B406" s="86"/>
      <c r="C406" s="69" t="s">
        <v>1018</v>
      </c>
      <c r="D406" s="69"/>
      <c r="E406" s="16" t="s">
        <v>1200</v>
      </c>
    </row>
    <row r="407" spans="1:5">
      <c r="A407" s="96"/>
      <c r="B407" s="86"/>
      <c r="C407" s="69" t="s">
        <v>1019</v>
      </c>
      <c r="D407" s="69"/>
      <c r="E407" s="16" t="s">
        <v>1200</v>
      </c>
    </row>
    <row r="408" spans="1:5">
      <c r="A408" s="96"/>
      <c r="B408" s="86"/>
      <c r="C408" s="69" t="s">
        <v>1020</v>
      </c>
      <c r="D408" s="69"/>
      <c r="E408" s="16" t="s">
        <v>1200</v>
      </c>
    </row>
    <row r="409" spans="1:5">
      <c r="A409" s="96"/>
      <c r="B409" s="86"/>
      <c r="C409" s="69" t="s">
        <v>1021</v>
      </c>
      <c r="D409" s="69"/>
      <c r="E409" s="16" t="s">
        <v>1200</v>
      </c>
    </row>
    <row r="410" spans="1:5">
      <c r="A410" s="96"/>
      <c r="B410" s="86"/>
      <c r="C410" s="69" t="s">
        <v>1022</v>
      </c>
      <c r="D410" s="69"/>
      <c r="E410" s="16" t="s">
        <v>1200</v>
      </c>
    </row>
    <row r="411" spans="1:5">
      <c r="A411" s="96"/>
      <c r="B411" s="86"/>
      <c r="C411" s="69" t="s">
        <v>1023</v>
      </c>
      <c r="D411" s="69"/>
      <c r="E411" s="16" t="s">
        <v>1200</v>
      </c>
    </row>
    <row r="412" spans="1:5">
      <c r="A412" s="96"/>
      <c r="B412" s="86"/>
      <c r="C412" s="69" t="s">
        <v>1024</v>
      </c>
      <c r="D412" s="69"/>
      <c r="E412" s="16" t="s">
        <v>1200</v>
      </c>
    </row>
    <row r="413" spans="1:5">
      <c r="A413" s="96"/>
      <c r="B413" s="86"/>
      <c r="C413" s="69" t="s">
        <v>1025</v>
      </c>
      <c r="D413" s="69"/>
      <c r="E413" s="16" t="s">
        <v>1200</v>
      </c>
    </row>
    <row r="414" spans="1:5">
      <c r="A414" s="96"/>
      <c r="B414" s="86"/>
      <c r="C414" s="69" t="s">
        <v>1026</v>
      </c>
      <c r="D414" s="69"/>
      <c r="E414" s="16" t="s">
        <v>1200</v>
      </c>
    </row>
    <row r="415" spans="1:5">
      <c r="A415" s="96"/>
      <c r="B415" s="86"/>
      <c r="C415" s="69" t="s">
        <v>1027</v>
      </c>
      <c r="D415" s="69"/>
      <c r="E415" s="16" t="s">
        <v>1200</v>
      </c>
    </row>
    <row r="416" spans="1:5">
      <c r="A416" s="96"/>
      <c r="B416" s="86"/>
      <c r="C416" s="69" t="s">
        <v>1028</v>
      </c>
      <c r="D416" s="69"/>
      <c r="E416" s="16" t="s">
        <v>1200</v>
      </c>
    </row>
    <row r="417" spans="1:5">
      <c r="A417" s="96"/>
      <c r="B417" s="86"/>
      <c r="C417" s="69" t="s">
        <v>1029</v>
      </c>
      <c r="D417" s="69"/>
      <c r="E417" s="16" t="s">
        <v>1200</v>
      </c>
    </row>
    <row r="418" spans="1:5">
      <c r="A418" s="96"/>
      <c r="B418" s="86"/>
      <c r="C418" s="69" t="s">
        <v>1030</v>
      </c>
      <c r="D418" s="69"/>
      <c r="E418" s="16" t="s">
        <v>1200</v>
      </c>
    </row>
    <row r="419" spans="1:5">
      <c r="A419" s="96"/>
      <c r="B419" s="86"/>
      <c r="C419" s="69" t="s">
        <v>1031</v>
      </c>
      <c r="D419" s="69"/>
      <c r="E419" s="16" t="s">
        <v>1200</v>
      </c>
    </row>
    <row r="420" spans="1:5">
      <c r="A420" s="96"/>
      <c r="B420" s="86"/>
      <c r="C420" s="69" t="s">
        <v>1032</v>
      </c>
      <c r="D420" s="69"/>
      <c r="E420" s="16" t="s">
        <v>1200</v>
      </c>
    </row>
    <row r="421" spans="1:5">
      <c r="A421" s="96"/>
      <c r="B421" s="86"/>
      <c r="C421" s="69" t="s">
        <v>1033</v>
      </c>
      <c r="D421" s="69"/>
      <c r="E421" s="16" t="s">
        <v>1200</v>
      </c>
    </row>
    <row r="422" spans="1:5">
      <c r="A422" s="96"/>
      <c r="B422" s="86"/>
      <c r="C422" s="69" t="s">
        <v>1034</v>
      </c>
      <c r="D422" s="69"/>
      <c r="E422" s="16" t="s">
        <v>1200</v>
      </c>
    </row>
    <row r="423" spans="1:5">
      <c r="A423" s="96"/>
      <c r="B423" s="86"/>
      <c r="C423" s="69" t="s">
        <v>1035</v>
      </c>
      <c r="D423" s="69"/>
      <c r="E423" s="16" t="s">
        <v>1200</v>
      </c>
    </row>
    <row r="424" spans="1:5">
      <c r="A424" s="96"/>
      <c r="B424" s="86"/>
      <c r="C424" s="69" t="s">
        <v>1036</v>
      </c>
      <c r="D424" s="69"/>
      <c r="E424" s="16" t="s">
        <v>1200</v>
      </c>
    </row>
    <row r="425" spans="1:5">
      <c r="A425" s="96"/>
      <c r="B425" s="86"/>
      <c r="C425" s="69" t="s">
        <v>1037</v>
      </c>
      <c r="D425" s="69"/>
      <c r="E425" s="16" t="s">
        <v>1200</v>
      </c>
    </row>
    <row r="426" spans="1:5">
      <c r="A426" s="96"/>
      <c r="B426" s="86"/>
      <c r="C426" s="69" t="s">
        <v>1038</v>
      </c>
      <c r="D426" s="69"/>
      <c r="E426" s="16" t="s">
        <v>1200</v>
      </c>
    </row>
    <row r="427" spans="1:5">
      <c r="A427" s="96"/>
      <c r="B427" s="86"/>
      <c r="C427" s="69" t="s">
        <v>1039</v>
      </c>
      <c r="D427" s="69"/>
      <c r="E427" s="16" t="s">
        <v>1200</v>
      </c>
    </row>
    <row r="428" spans="1:5">
      <c r="A428" s="96"/>
      <c r="B428" s="86"/>
      <c r="C428" s="69" t="s">
        <v>1040</v>
      </c>
      <c r="D428" s="69"/>
      <c r="E428" s="16" t="s">
        <v>1200</v>
      </c>
    </row>
    <row r="429" spans="1:5">
      <c r="A429" s="96"/>
      <c r="B429" s="86"/>
      <c r="C429" s="69" t="s">
        <v>1041</v>
      </c>
      <c r="D429" s="69"/>
      <c r="E429" s="16" t="s">
        <v>1200</v>
      </c>
    </row>
    <row r="430" spans="1:5">
      <c r="A430" s="96"/>
      <c r="B430" s="86"/>
      <c r="C430" s="69" t="s">
        <v>1042</v>
      </c>
      <c r="D430" s="69"/>
      <c r="E430" s="16" t="s">
        <v>1200</v>
      </c>
    </row>
    <row r="431" spans="1:5">
      <c r="A431" s="96"/>
      <c r="B431" s="86"/>
      <c r="C431" s="69" t="s">
        <v>1043</v>
      </c>
      <c r="D431" s="69"/>
      <c r="E431" s="16" t="s">
        <v>1200</v>
      </c>
    </row>
    <row r="432" spans="1:5">
      <c r="A432" s="96"/>
      <c r="B432" s="86"/>
      <c r="C432" s="69" t="s">
        <v>1044</v>
      </c>
      <c r="D432" s="69"/>
      <c r="E432" s="16" t="s">
        <v>1200</v>
      </c>
    </row>
    <row r="433" spans="1:5">
      <c r="A433" s="96"/>
      <c r="B433" s="86"/>
      <c r="C433" s="69" t="s">
        <v>1100</v>
      </c>
      <c r="D433" s="69"/>
      <c r="E433" s="16" t="s">
        <v>1200</v>
      </c>
    </row>
    <row r="434" spans="1:5">
      <c r="A434" s="96"/>
      <c r="B434" s="86"/>
      <c r="C434" s="69" t="s">
        <v>1101</v>
      </c>
      <c r="D434" s="69"/>
      <c r="E434" s="16" t="s">
        <v>1200</v>
      </c>
    </row>
    <row r="435" spans="1:5">
      <c r="A435" s="96"/>
      <c r="B435" s="86"/>
      <c r="C435" s="69" t="s">
        <v>1102</v>
      </c>
      <c r="D435" s="69"/>
      <c r="E435" s="16" t="s">
        <v>1200</v>
      </c>
    </row>
    <row r="436" spans="1:5">
      <c r="A436" s="96"/>
      <c r="B436" s="86"/>
      <c r="C436" s="69" t="s">
        <v>1103</v>
      </c>
      <c r="D436" s="69"/>
      <c r="E436" s="16" t="s">
        <v>1200</v>
      </c>
    </row>
    <row r="437" spans="1:5">
      <c r="A437" s="96"/>
      <c r="B437" s="86"/>
      <c r="C437" s="69" t="s">
        <v>1104</v>
      </c>
      <c r="D437" s="69"/>
      <c r="E437" s="16" t="s">
        <v>1200</v>
      </c>
    </row>
    <row r="438" spans="1:5">
      <c r="A438" s="96"/>
      <c r="B438" s="86"/>
      <c r="C438" s="69" t="s">
        <v>1105</v>
      </c>
      <c r="D438" s="69"/>
      <c r="E438" s="16" t="s">
        <v>1200</v>
      </c>
    </row>
    <row r="439" spans="1:5">
      <c r="A439" s="96"/>
      <c r="B439" s="86"/>
      <c r="C439" s="69" t="s">
        <v>1106</v>
      </c>
      <c r="D439" s="69"/>
      <c r="E439" s="16" t="s">
        <v>1200</v>
      </c>
    </row>
    <row r="440" spans="1:5">
      <c r="A440" s="96"/>
      <c r="B440" s="86"/>
      <c r="C440" s="69" t="s">
        <v>1107</v>
      </c>
      <c r="D440" s="69"/>
      <c r="E440" s="16" t="s">
        <v>1200</v>
      </c>
    </row>
    <row r="441" spans="1:5">
      <c r="A441" s="96"/>
      <c r="B441" s="86"/>
      <c r="C441" s="69" t="s">
        <v>1045</v>
      </c>
      <c r="D441" s="69"/>
      <c r="E441" s="16" t="s">
        <v>1200</v>
      </c>
    </row>
    <row r="442" spans="1:5">
      <c r="A442" s="96"/>
      <c r="B442" s="86"/>
      <c r="C442" s="69" t="s">
        <v>1046</v>
      </c>
      <c r="D442" s="69"/>
      <c r="E442" s="16" t="s">
        <v>1200</v>
      </c>
    </row>
    <row r="443" spans="1:5">
      <c r="A443" s="96"/>
      <c r="B443" s="86"/>
      <c r="C443" s="69" t="s">
        <v>1047</v>
      </c>
      <c r="D443" s="69"/>
      <c r="E443" s="16" t="s">
        <v>1200</v>
      </c>
    </row>
    <row r="444" spans="1:5">
      <c r="A444" s="96"/>
      <c r="B444" s="86"/>
      <c r="C444" s="69" t="s">
        <v>1048</v>
      </c>
      <c r="D444" s="69"/>
      <c r="E444" s="16" t="s">
        <v>1200</v>
      </c>
    </row>
    <row r="445" spans="1:5">
      <c r="A445" s="96"/>
      <c r="B445" s="86"/>
      <c r="C445" s="69" t="s">
        <v>1049</v>
      </c>
      <c r="D445" s="69"/>
      <c r="E445" s="16" t="s">
        <v>1200</v>
      </c>
    </row>
    <row r="446" spans="1:5">
      <c r="A446" s="96"/>
      <c r="B446" s="86"/>
      <c r="C446" s="69" t="s">
        <v>1050</v>
      </c>
      <c r="D446" s="69"/>
      <c r="E446" s="16" t="s">
        <v>1200</v>
      </c>
    </row>
    <row r="447" spans="1:5">
      <c r="A447" s="96"/>
      <c r="B447" s="86"/>
      <c r="C447" s="69" t="s">
        <v>1051</v>
      </c>
      <c r="D447" s="69"/>
      <c r="E447" s="16" t="s">
        <v>1200</v>
      </c>
    </row>
    <row r="448" spans="1:5">
      <c r="A448" s="96"/>
      <c r="B448" s="86"/>
      <c r="C448" s="69" t="s">
        <v>1052</v>
      </c>
      <c r="D448" s="69"/>
      <c r="E448" s="16" t="s">
        <v>1200</v>
      </c>
    </row>
    <row r="449" spans="1:5">
      <c r="A449" s="96"/>
      <c r="B449" s="86"/>
      <c r="C449" s="69" t="s">
        <v>1108</v>
      </c>
      <c r="D449" s="69"/>
      <c r="E449" s="16" t="s">
        <v>1200</v>
      </c>
    </row>
    <row r="450" spans="1:5">
      <c r="A450" s="96"/>
      <c r="B450" s="86"/>
      <c r="C450" s="69" t="s">
        <v>1109</v>
      </c>
      <c r="D450" s="69"/>
      <c r="E450" s="16" t="s">
        <v>1200</v>
      </c>
    </row>
    <row r="451" spans="1:5">
      <c r="A451" s="96"/>
      <c r="B451" s="86"/>
      <c r="C451" s="69" t="s">
        <v>1110</v>
      </c>
      <c r="D451" s="69"/>
      <c r="E451" s="16" t="s">
        <v>1200</v>
      </c>
    </row>
    <row r="452" spans="1:5">
      <c r="A452" s="96"/>
      <c r="B452" s="86"/>
      <c r="C452" s="69" t="s">
        <v>1111</v>
      </c>
      <c r="D452" s="69"/>
      <c r="E452" s="16" t="s">
        <v>1200</v>
      </c>
    </row>
    <row r="453" spans="1:5">
      <c r="A453" s="96"/>
      <c r="B453" s="86"/>
      <c r="C453" s="69" t="s">
        <v>1112</v>
      </c>
      <c r="D453" s="69"/>
      <c r="E453" s="16" t="s">
        <v>1200</v>
      </c>
    </row>
    <row r="454" spans="1:5">
      <c r="A454" s="96"/>
      <c r="B454" s="86"/>
      <c r="C454" s="69" t="s">
        <v>1113</v>
      </c>
      <c r="D454" s="69"/>
      <c r="E454" s="16" t="s">
        <v>1200</v>
      </c>
    </row>
    <row r="455" spans="1:5">
      <c r="A455" s="96"/>
      <c r="B455" s="86"/>
      <c r="C455" s="69" t="s">
        <v>1114</v>
      </c>
      <c r="D455" s="69"/>
      <c r="E455" s="16" t="s">
        <v>1200</v>
      </c>
    </row>
    <row r="456" spans="1:5">
      <c r="A456" s="96"/>
      <c r="B456" s="86"/>
      <c r="C456" s="69" t="s">
        <v>1115</v>
      </c>
      <c r="D456" s="69"/>
      <c r="E456" s="16" t="s">
        <v>1200</v>
      </c>
    </row>
    <row r="457" spans="1:5">
      <c r="A457" s="96"/>
      <c r="B457" s="86"/>
      <c r="C457" s="69" t="s">
        <v>1116</v>
      </c>
      <c r="D457" s="69"/>
      <c r="E457" s="16" t="s">
        <v>1200</v>
      </c>
    </row>
    <row r="458" spans="1:5">
      <c r="A458" s="96"/>
      <c r="B458" s="86"/>
      <c r="C458" s="69" t="s">
        <v>1117</v>
      </c>
      <c r="D458" s="69"/>
      <c r="E458" s="16" t="s">
        <v>1200</v>
      </c>
    </row>
    <row r="459" spans="1:5">
      <c r="A459" s="96"/>
      <c r="B459" s="86"/>
      <c r="C459" s="69" t="s">
        <v>1118</v>
      </c>
      <c r="D459" s="69"/>
      <c r="E459" s="16" t="s">
        <v>1200</v>
      </c>
    </row>
    <row r="460" spans="1:5">
      <c r="A460" s="96"/>
      <c r="B460" s="86"/>
      <c r="C460" s="69" t="s">
        <v>1119</v>
      </c>
      <c r="D460" s="69"/>
      <c r="E460" s="16" t="s">
        <v>1200</v>
      </c>
    </row>
    <row r="461" spans="1:5">
      <c r="A461" s="96"/>
      <c r="B461" s="86"/>
      <c r="C461" s="69" t="s">
        <v>1120</v>
      </c>
      <c r="D461" s="69"/>
      <c r="E461" s="16" t="s">
        <v>1200</v>
      </c>
    </row>
    <row r="462" spans="1:5">
      <c r="A462" s="96"/>
      <c r="B462" s="86"/>
      <c r="C462" s="69" t="s">
        <v>1121</v>
      </c>
      <c r="D462" s="69"/>
      <c r="E462" s="16" t="s">
        <v>1200</v>
      </c>
    </row>
    <row r="463" spans="1:5">
      <c r="A463" s="96"/>
      <c r="B463" s="86"/>
      <c r="C463" s="69" t="s">
        <v>1122</v>
      </c>
      <c r="D463" s="69"/>
      <c r="E463" s="16" t="s">
        <v>1200</v>
      </c>
    </row>
    <row r="464" spans="1:5">
      <c r="A464" s="96"/>
      <c r="B464" s="86"/>
      <c r="C464" s="69" t="s">
        <v>1123</v>
      </c>
      <c r="D464" s="69"/>
      <c r="E464" s="16" t="s">
        <v>1200</v>
      </c>
    </row>
    <row r="465" spans="1:5">
      <c r="A465" s="96"/>
      <c r="B465" s="86"/>
      <c r="C465" s="69" t="s">
        <v>1124</v>
      </c>
      <c r="D465" s="69"/>
      <c r="E465" s="16" t="s">
        <v>1200</v>
      </c>
    </row>
    <row r="466" spans="1:5">
      <c r="A466" s="96"/>
      <c r="B466" s="86"/>
      <c r="C466" s="69" t="s">
        <v>1125</v>
      </c>
      <c r="D466" s="69"/>
      <c r="E466" s="16" t="s">
        <v>1200</v>
      </c>
    </row>
    <row r="467" spans="1:5">
      <c r="A467" s="96"/>
      <c r="B467" s="86"/>
      <c r="C467" s="69" t="s">
        <v>1126</v>
      </c>
      <c r="D467" s="69"/>
      <c r="E467" s="16" t="s">
        <v>1200</v>
      </c>
    </row>
    <row r="468" spans="1:5">
      <c r="A468" s="96"/>
      <c r="B468" s="86"/>
      <c r="C468" s="69" t="s">
        <v>1127</v>
      </c>
      <c r="D468" s="69"/>
      <c r="E468" s="16" t="s">
        <v>1200</v>
      </c>
    </row>
    <row r="469" spans="1:5">
      <c r="A469" s="96"/>
      <c r="B469" s="86"/>
      <c r="C469" s="69" t="s">
        <v>1128</v>
      </c>
      <c r="D469" s="69"/>
      <c r="E469" s="16" t="s">
        <v>1200</v>
      </c>
    </row>
    <row r="470" spans="1:5">
      <c r="A470" s="96"/>
      <c r="B470" s="86"/>
      <c r="C470" s="69" t="s">
        <v>1129</v>
      </c>
      <c r="D470" s="69"/>
      <c r="E470" s="16" t="s">
        <v>1200</v>
      </c>
    </row>
    <row r="471" spans="1:5">
      <c r="A471" s="96"/>
      <c r="B471" s="86"/>
      <c r="C471" s="69" t="s">
        <v>1130</v>
      </c>
      <c r="D471" s="69"/>
      <c r="E471" s="16" t="s">
        <v>1200</v>
      </c>
    </row>
    <row r="472" spans="1:5">
      <c r="A472" s="96"/>
      <c r="B472" s="86"/>
      <c r="C472" s="69" t="s">
        <v>1131</v>
      </c>
      <c r="D472" s="69"/>
      <c r="E472" s="16" t="s">
        <v>1200</v>
      </c>
    </row>
    <row r="473" spans="1:5">
      <c r="A473" s="96"/>
      <c r="B473" s="86"/>
      <c r="C473" s="69" t="s">
        <v>1132</v>
      </c>
      <c r="D473" s="69"/>
      <c r="E473" s="16" t="s">
        <v>1200</v>
      </c>
    </row>
    <row r="474" spans="1:5">
      <c r="A474" s="96"/>
      <c r="B474" s="86"/>
      <c r="C474" s="69" t="s">
        <v>1133</v>
      </c>
      <c r="D474" s="69"/>
      <c r="E474" s="16" t="s">
        <v>1200</v>
      </c>
    </row>
    <row r="475" spans="1:5">
      <c r="A475" s="96"/>
      <c r="B475" s="86"/>
      <c r="C475" s="69" t="s">
        <v>1134</v>
      </c>
      <c r="D475" s="69"/>
      <c r="E475" s="16" t="s">
        <v>1200</v>
      </c>
    </row>
    <row r="476" spans="1:5">
      <c r="A476" s="96"/>
      <c r="B476" s="86"/>
      <c r="C476" s="69" t="s">
        <v>1135</v>
      </c>
      <c r="D476" s="69"/>
      <c r="E476" s="16" t="s">
        <v>1200</v>
      </c>
    </row>
    <row r="477" spans="1:5">
      <c r="A477" s="96"/>
      <c r="B477" s="86"/>
      <c r="C477" s="69" t="s">
        <v>1136</v>
      </c>
      <c r="D477" s="69"/>
      <c r="E477" s="16" t="s">
        <v>1200</v>
      </c>
    </row>
    <row r="478" spans="1:5">
      <c r="A478" s="96"/>
      <c r="B478" s="86"/>
      <c r="C478" s="69" t="s">
        <v>1137</v>
      </c>
      <c r="D478" s="69"/>
      <c r="E478" s="16" t="s">
        <v>1200</v>
      </c>
    </row>
    <row r="479" spans="1:5">
      <c r="A479" s="96"/>
      <c r="B479" s="86"/>
      <c r="C479" s="69" t="s">
        <v>1138</v>
      </c>
      <c r="D479" s="69"/>
      <c r="E479" s="16" t="s">
        <v>1200</v>
      </c>
    </row>
    <row r="480" spans="1:5">
      <c r="A480" s="96"/>
      <c r="B480" s="86"/>
      <c r="C480" s="69" t="s">
        <v>1139</v>
      </c>
      <c r="D480" s="69"/>
      <c r="E480" s="16" t="s">
        <v>1200</v>
      </c>
    </row>
    <row r="481" spans="1:5">
      <c r="A481" s="96"/>
      <c r="B481" s="86"/>
      <c r="C481" s="69" t="s">
        <v>1053</v>
      </c>
      <c r="D481" s="69"/>
      <c r="E481" s="16" t="s">
        <v>1200</v>
      </c>
    </row>
    <row r="482" spans="1:5">
      <c r="A482" s="96"/>
      <c r="B482" s="86"/>
      <c r="C482" s="69" t="s">
        <v>1054</v>
      </c>
      <c r="D482" s="69"/>
      <c r="E482" s="16" t="s">
        <v>1200</v>
      </c>
    </row>
    <row r="483" spans="1:5">
      <c r="A483" s="96"/>
      <c r="B483" s="86"/>
      <c r="C483" s="69" t="s">
        <v>1055</v>
      </c>
      <c r="D483" s="69"/>
      <c r="E483" s="16" t="s">
        <v>1200</v>
      </c>
    </row>
    <row r="484" spans="1:5">
      <c r="A484" s="96"/>
      <c r="B484" s="86"/>
      <c r="C484" s="69" t="s">
        <v>1056</v>
      </c>
      <c r="D484" s="69"/>
      <c r="E484" s="16" t="s">
        <v>1200</v>
      </c>
    </row>
    <row r="485" spans="1:5">
      <c r="A485" s="96"/>
      <c r="B485" s="86"/>
      <c r="C485" s="69" t="s">
        <v>1057</v>
      </c>
      <c r="D485" s="69"/>
      <c r="E485" s="16" t="s">
        <v>1200</v>
      </c>
    </row>
    <row r="486" spans="1:5">
      <c r="A486" s="96"/>
      <c r="B486" s="86"/>
      <c r="C486" s="69" t="s">
        <v>1058</v>
      </c>
      <c r="D486" s="69"/>
      <c r="E486" s="16" t="s">
        <v>1200</v>
      </c>
    </row>
    <row r="487" spans="1:5">
      <c r="A487" s="96"/>
      <c r="B487" s="86"/>
      <c r="C487" s="69" t="s">
        <v>1059</v>
      </c>
      <c r="D487" s="69"/>
      <c r="E487" s="16" t="s">
        <v>1200</v>
      </c>
    </row>
    <row r="488" spans="1:5">
      <c r="A488" s="96"/>
      <c r="B488" s="86"/>
      <c r="C488" s="69" t="s">
        <v>1060</v>
      </c>
      <c r="D488" s="69"/>
      <c r="E488" s="16" t="s">
        <v>1200</v>
      </c>
    </row>
    <row r="489" spans="1:5">
      <c r="A489" s="96"/>
      <c r="B489" s="86"/>
      <c r="C489" s="69" t="s">
        <v>102</v>
      </c>
      <c r="D489" s="69"/>
    </row>
    <row r="490" spans="1:5">
      <c r="A490" s="96"/>
      <c r="B490" s="86"/>
      <c r="C490" s="69" t="s">
        <v>780</v>
      </c>
      <c r="D490" s="69"/>
    </row>
    <row r="491" spans="1:5">
      <c r="A491" s="96"/>
      <c r="B491" s="86"/>
      <c r="C491" s="69" t="s">
        <v>776</v>
      </c>
      <c r="D491" s="69"/>
    </row>
    <row r="492" spans="1:5">
      <c r="A492" s="96"/>
      <c r="B492" s="86"/>
      <c r="C492" s="69" t="s">
        <v>777</v>
      </c>
      <c r="D492" s="69"/>
    </row>
    <row r="493" spans="1:5">
      <c r="A493" s="96"/>
      <c r="B493" s="86"/>
      <c r="C493" s="69" t="s">
        <v>778</v>
      </c>
      <c r="D493" s="69"/>
    </row>
    <row r="494" spans="1:5">
      <c r="A494" s="96"/>
      <c r="B494" s="86"/>
      <c r="C494" s="69" t="s">
        <v>775</v>
      </c>
      <c r="D494" s="69"/>
    </row>
    <row r="495" spans="1:5">
      <c r="A495" s="96"/>
      <c r="B495" s="86"/>
      <c r="C495" s="69" t="s">
        <v>781</v>
      </c>
      <c r="D495" s="69"/>
    </row>
    <row r="496" spans="1:5">
      <c r="A496" s="96"/>
      <c r="B496" s="86"/>
      <c r="C496" s="69" t="s">
        <v>782</v>
      </c>
      <c r="D496" s="69"/>
    </row>
    <row r="497" spans="1:4">
      <c r="A497" s="96"/>
      <c r="B497" s="86"/>
      <c r="C497" s="69" t="s">
        <v>779</v>
      </c>
      <c r="D497" s="69"/>
    </row>
    <row r="498" spans="1:4">
      <c r="A498" s="97"/>
      <c r="B498" s="87"/>
      <c r="C498" s="69" t="s">
        <v>130</v>
      </c>
      <c r="D498" s="69"/>
    </row>
    <row r="499" spans="1:4">
      <c r="A499" s="132"/>
      <c r="B499" s="137" t="s">
        <v>642</v>
      </c>
      <c r="C499" s="66" t="s">
        <v>156</v>
      </c>
      <c r="D499" s="66"/>
    </row>
    <row r="500" spans="1:4">
      <c r="A500" s="78"/>
      <c r="B500" s="137"/>
      <c r="C500" s="66" t="s">
        <v>681</v>
      </c>
      <c r="D500" s="66"/>
    </row>
    <row r="501" spans="1:4">
      <c r="A501" s="78"/>
      <c r="B501" s="137"/>
      <c r="C501" s="66" t="s">
        <v>680</v>
      </c>
      <c r="D501" s="66"/>
    </row>
    <row r="502" spans="1:4">
      <c r="A502" s="78"/>
      <c r="B502" s="137"/>
      <c r="C502" s="66" t="s">
        <v>379</v>
      </c>
      <c r="D502" s="66"/>
    </row>
    <row r="503" spans="1:4">
      <c r="A503" s="78"/>
      <c r="B503" s="137"/>
      <c r="C503" s="66" t="s">
        <v>380</v>
      </c>
      <c r="D503" s="66"/>
    </row>
    <row r="504" spans="1:4">
      <c r="A504" s="78"/>
      <c r="B504" s="137"/>
      <c r="C504" s="66" t="s">
        <v>79</v>
      </c>
      <c r="D504" s="66"/>
    </row>
    <row r="505" spans="1:4">
      <c r="A505" s="78"/>
      <c r="B505" s="137"/>
      <c r="C505" s="66" t="s">
        <v>381</v>
      </c>
      <c r="D505" s="66"/>
    </row>
    <row r="506" spans="1:4">
      <c r="A506" s="78"/>
      <c r="B506" s="137"/>
      <c r="C506" s="66" t="s">
        <v>72</v>
      </c>
      <c r="D506" s="66"/>
    </row>
    <row r="507" spans="1:4">
      <c r="A507" s="78"/>
      <c r="B507" s="137"/>
      <c r="C507" s="66" t="s">
        <v>97</v>
      </c>
      <c r="D507" s="66"/>
    </row>
    <row r="508" spans="1:4">
      <c r="A508" s="78"/>
      <c r="B508" s="137"/>
      <c r="C508" s="66" t="s">
        <v>98</v>
      </c>
      <c r="D508" s="66"/>
    </row>
    <row r="509" spans="1:4">
      <c r="A509" s="78"/>
      <c r="B509" s="137"/>
      <c r="C509" s="66" t="s">
        <v>377</v>
      </c>
      <c r="D509" s="66"/>
    </row>
    <row r="510" spans="1:4">
      <c r="A510" s="78"/>
      <c r="B510" s="137"/>
      <c r="C510" s="66" t="s">
        <v>378</v>
      </c>
      <c r="D510" s="66"/>
    </row>
    <row r="511" spans="1:4">
      <c r="A511" s="78"/>
      <c r="B511" s="137"/>
      <c r="C511" s="66" t="s">
        <v>382</v>
      </c>
      <c r="D511" s="66"/>
    </row>
    <row r="512" spans="1:4">
      <c r="A512" s="78"/>
      <c r="B512" s="137"/>
      <c r="C512" s="66" t="s">
        <v>163</v>
      </c>
      <c r="D512" s="66"/>
    </row>
    <row r="513" spans="1:4">
      <c r="A513" s="78"/>
      <c r="B513" s="137"/>
      <c r="C513" s="66" t="s">
        <v>102</v>
      </c>
      <c r="D513" s="66"/>
    </row>
    <row r="514" spans="1:4">
      <c r="A514" s="96"/>
      <c r="B514" s="82" t="s">
        <v>639</v>
      </c>
      <c r="C514" s="69" t="s">
        <v>55</v>
      </c>
      <c r="D514" s="69"/>
    </row>
    <row r="515" spans="1:4">
      <c r="A515" s="97"/>
      <c r="B515" s="84"/>
      <c r="C515" s="69" t="s">
        <v>62</v>
      </c>
      <c r="D515" s="69"/>
    </row>
    <row r="516" spans="1:4">
      <c r="A516" s="78"/>
      <c r="B516" s="137" t="s">
        <v>282</v>
      </c>
      <c r="C516" s="66" t="s">
        <v>283</v>
      </c>
      <c r="D516" s="66"/>
    </row>
    <row r="517" spans="1:4">
      <c r="A517" s="78"/>
      <c r="B517" s="137"/>
      <c r="C517" s="66" t="s">
        <v>229</v>
      </c>
      <c r="D517" s="66"/>
    </row>
    <row r="518" spans="1:4">
      <c r="A518" s="78"/>
      <c r="B518" s="137"/>
      <c r="C518" s="66" t="s">
        <v>230</v>
      </c>
      <c r="D518" s="66"/>
    </row>
    <row r="519" spans="1:4">
      <c r="A519" s="78"/>
      <c r="B519" s="137"/>
      <c r="C519" s="66" t="s">
        <v>231</v>
      </c>
      <c r="D519" s="66"/>
    </row>
    <row r="520" spans="1:4">
      <c r="A520" s="135"/>
      <c r="B520" s="82" t="s">
        <v>20</v>
      </c>
      <c r="C520" s="69" t="s">
        <v>610</v>
      </c>
      <c r="D520" s="69"/>
    </row>
    <row r="521" spans="1:4">
      <c r="A521" s="94"/>
      <c r="B521" s="83"/>
      <c r="C521" s="69" t="s">
        <v>611</v>
      </c>
      <c r="D521" s="69"/>
    </row>
    <row r="522" spans="1:4">
      <c r="A522" s="94"/>
      <c r="B522" s="83"/>
      <c r="C522" s="69" t="s">
        <v>427</v>
      </c>
      <c r="D522" s="69"/>
    </row>
    <row r="523" spans="1:4">
      <c r="A523" s="94"/>
      <c r="B523" s="83"/>
      <c r="C523" s="69" t="s">
        <v>428</v>
      </c>
      <c r="D523" s="69"/>
    </row>
    <row r="524" spans="1:4">
      <c r="A524" s="94"/>
      <c r="B524" s="83"/>
      <c r="C524" s="69" t="s">
        <v>91</v>
      </c>
      <c r="D524" s="69"/>
    </row>
    <row r="525" spans="1:4">
      <c r="A525" s="94"/>
      <c r="B525" s="83"/>
      <c r="C525" s="69" t="s">
        <v>80</v>
      </c>
      <c r="D525" s="69"/>
    </row>
    <row r="526" spans="1:4">
      <c r="A526" s="94"/>
      <c r="B526" s="83"/>
      <c r="C526" s="69" t="s">
        <v>108</v>
      </c>
      <c r="D526" s="69"/>
    </row>
    <row r="527" spans="1:4">
      <c r="A527" s="94"/>
      <c r="B527" s="83"/>
      <c r="C527" s="69" t="s">
        <v>612</v>
      </c>
      <c r="D527" s="69"/>
    </row>
    <row r="528" spans="1:4">
      <c r="A528" s="94"/>
      <c r="B528" s="83"/>
      <c r="C528" s="69" t="s">
        <v>465</v>
      </c>
      <c r="D528" s="69"/>
    </row>
    <row r="529" spans="1:4">
      <c r="A529" s="94"/>
      <c r="B529" s="83"/>
      <c r="C529" s="69" t="s">
        <v>98</v>
      </c>
      <c r="D529" s="69"/>
    </row>
    <row r="530" spans="1:4">
      <c r="B530" s="83"/>
      <c r="C530" s="69" t="s">
        <v>425</v>
      </c>
      <c r="D530" s="69"/>
    </row>
    <row r="531" spans="1:4">
      <c r="A531" s="94"/>
      <c r="B531" s="83"/>
      <c r="C531" s="69" t="s">
        <v>630</v>
      </c>
      <c r="D531" s="69" t="s">
        <v>936</v>
      </c>
    </row>
    <row r="532" spans="1:4">
      <c r="A532" s="94"/>
      <c r="B532" s="83"/>
      <c r="C532" s="69" t="s">
        <v>631</v>
      </c>
      <c r="D532" s="69" t="s">
        <v>936</v>
      </c>
    </row>
    <row r="533" spans="1:4">
      <c r="A533" s="94"/>
      <c r="B533" s="83"/>
      <c r="C533" s="69" t="s">
        <v>632</v>
      </c>
      <c r="D533" s="69" t="s">
        <v>936</v>
      </c>
    </row>
    <row r="534" spans="1:4">
      <c r="A534" s="94"/>
      <c r="B534" s="83"/>
      <c r="C534" s="69" t="s">
        <v>58</v>
      </c>
      <c r="D534" s="69"/>
    </row>
    <row r="535" spans="1:4">
      <c r="A535" s="94"/>
      <c r="B535" s="83"/>
      <c r="C535" s="69" t="s">
        <v>103</v>
      </c>
      <c r="D535" s="69"/>
    </row>
    <row r="536" spans="1:4">
      <c r="A536" s="94"/>
      <c r="B536" s="83"/>
      <c r="C536" s="69" t="s">
        <v>45</v>
      </c>
      <c r="D536" s="69"/>
    </row>
    <row r="537" spans="1:4">
      <c r="A537" s="94"/>
      <c r="B537" s="83"/>
      <c r="C537" s="69" t="s">
        <v>426</v>
      </c>
      <c r="D537" s="69"/>
    </row>
    <row r="538" spans="1:4">
      <c r="A538" s="94"/>
      <c r="B538" s="83"/>
      <c r="C538" s="69" t="s">
        <v>760</v>
      </c>
      <c r="D538" s="69"/>
    </row>
    <row r="539" spans="1:4">
      <c r="A539" s="94"/>
      <c r="B539" s="83"/>
      <c r="C539" s="69" t="s">
        <v>86</v>
      </c>
      <c r="D539" s="69"/>
    </row>
    <row r="540" spans="1:4">
      <c r="A540" s="94"/>
      <c r="B540" s="83"/>
      <c r="C540" s="69" t="s">
        <v>693</v>
      </c>
      <c r="D540" s="69"/>
    </row>
    <row r="541" spans="1:4">
      <c r="A541" s="94"/>
      <c r="B541" s="83"/>
      <c r="C541" s="69" t="s">
        <v>759</v>
      </c>
      <c r="D541" s="69"/>
    </row>
    <row r="542" spans="1:4">
      <c r="A542" s="94"/>
      <c r="B542" s="83"/>
      <c r="C542" s="69" t="s">
        <v>163</v>
      </c>
      <c r="D542" s="69"/>
    </row>
    <row r="543" spans="1:4">
      <c r="A543" s="94"/>
      <c r="B543" s="83"/>
      <c r="C543" s="69" t="s">
        <v>102</v>
      </c>
      <c r="D543" s="70"/>
    </row>
    <row r="544" spans="1:4">
      <c r="A544" s="100"/>
      <c r="B544" s="71" t="s">
        <v>866</v>
      </c>
      <c r="C544" s="66" t="s">
        <v>55</v>
      </c>
      <c r="D544" s="66"/>
    </row>
    <row r="545" spans="1:4">
      <c r="A545" s="101"/>
      <c r="B545" s="136"/>
      <c r="C545" s="66" t="s">
        <v>62</v>
      </c>
      <c r="D545" s="66"/>
    </row>
    <row r="546" spans="1:4">
      <c r="A546" s="94"/>
      <c r="B546" s="82" t="s">
        <v>420</v>
      </c>
      <c r="C546" s="69" t="s">
        <v>444</v>
      </c>
      <c r="D546" s="69"/>
    </row>
    <row r="547" spans="1:4">
      <c r="A547" s="94"/>
      <c r="B547" s="83"/>
      <c r="C547" s="69" t="s">
        <v>439</v>
      </c>
      <c r="D547" s="69"/>
    </row>
    <row r="548" spans="1:4">
      <c r="A548" s="94"/>
      <c r="B548" s="83"/>
      <c r="C548" s="69" t="s">
        <v>423</v>
      </c>
      <c r="D548" s="69"/>
    </row>
    <row r="549" spans="1:4">
      <c r="A549" s="94"/>
      <c r="B549" s="83"/>
      <c r="C549" s="69" t="s">
        <v>422</v>
      </c>
      <c r="D549" s="69"/>
    </row>
    <row r="550" spans="1:4">
      <c r="A550" s="94"/>
      <c r="B550" s="83"/>
      <c r="C550" s="69" t="s">
        <v>424</v>
      </c>
      <c r="D550" s="69"/>
    </row>
    <row r="551" spans="1:4">
      <c r="A551" s="100"/>
      <c r="B551" s="71" t="s">
        <v>690</v>
      </c>
      <c r="C551" s="66" t="s">
        <v>55</v>
      </c>
      <c r="D551" s="66"/>
    </row>
    <row r="552" spans="1:4">
      <c r="A552" s="101"/>
      <c r="B552" s="136"/>
      <c r="C552" s="66" t="s">
        <v>62</v>
      </c>
      <c r="D552" s="66"/>
    </row>
    <row r="553" spans="1:4">
      <c r="A553" s="79"/>
      <c r="B553" s="82" t="s">
        <v>833</v>
      </c>
      <c r="C553" s="69" t="s">
        <v>834</v>
      </c>
      <c r="D553" s="69"/>
    </row>
    <row r="554" spans="1:4">
      <c r="A554" s="80"/>
      <c r="B554" s="80"/>
      <c r="C554" s="69" t="s">
        <v>835</v>
      </c>
      <c r="D554" s="69"/>
    </row>
    <row r="555" spans="1:4">
      <c r="A555" s="80"/>
      <c r="B555" s="80"/>
      <c r="C555" s="69" t="s">
        <v>836</v>
      </c>
      <c r="D555" s="69"/>
    </row>
    <row r="556" spans="1:4">
      <c r="A556" s="80"/>
      <c r="B556" s="80"/>
      <c r="C556" s="69" t="s">
        <v>837</v>
      </c>
      <c r="D556" s="69"/>
    </row>
    <row r="557" spans="1:4">
      <c r="A557" s="80"/>
      <c r="B557" s="80"/>
      <c r="C557" s="69" t="s">
        <v>838</v>
      </c>
      <c r="D557" s="69"/>
    </row>
    <row r="558" spans="1:4">
      <c r="A558" s="80"/>
      <c r="B558" s="80"/>
      <c r="C558" s="69" t="s">
        <v>839</v>
      </c>
      <c r="D558" s="69"/>
    </row>
    <row r="559" spans="1:4">
      <c r="A559" s="80"/>
      <c r="B559" s="80"/>
      <c r="C559" s="69" t="s">
        <v>840</v>
      </c>
      <c r="D559" s="69"/>
    </row>
    <row r="560" spans="1:4">
      <c r="A560" s="80"/>
      <c r="B560" s="80"/>
      <c r="C560" s="69" t="s">
        <v>841</v>
      </c>
      <c r="D560" s="69"/>
    </row>
    <row r="561" spans="1:4">
      <c r="A561" s="80"/>
      <c r="B561" s="80"/>
      <c r="C561" s="69" t="s">
        <v>842</v>
      </c>
      <c r="D561" s="69"/>
    </row>
    <row r="562" spans="1:4">
      <c r="A562" s="80"/>
      <c r="B562" s="80"/>
      <c r="C562" s="69" t="s">
        <v>843</v>
      </c>
      <c r="D562" s="69"/>
    </row>
    <row r="563" spans="1:4">
      <c r="A563" s="80"/>
      <c r="B563" s="80"/>
      <c r="C563" s="69" t="s">
        <v>844</v>
      </c>
      <c r="D563" s="69"/>
    </row>
    <row r="564" spans="1:4">
      <c r="A564" s="80"/>
      <c r="B564" s="80"/>
      <c r="C564" s="69" t="s">
        <v>845</v>
      </c>
      <c r="D564" s="69"/>
    </row>
    <row r="565" spans="1:4">
      <c r="A565" s="80"/>
      <c r="B565" s="80"/>
      <c r="C565" s="69" t="s">
        <v>846</v>
      </c>
      <c r="D565" s="69"/>
    </row>
    <row r="566" spans="1:4">
      <c r="A566" s="80"/>
      <c r="B566" s="80"/>
      <c r="C566" s="69" t="s">
        <v>847</v>
      </c>
      <c r="D566" s="69"/>
    </row>
    <row r="567" spans="1:4">
      <c r="A567" s="80"/>
      <c r="B567" s="80"/>
      <c r="C567" s="69" t="s">
        <v>848</v>
      </c>
      <c r="D567" s="69"/>
    </row>
    <row r="568" spans="1:4">
      <c r="A568" s="80"/>
      <c r="B568" s="80"/>
      <c r="C568" s="69" t="s">
        <v>849</v>
      </c>
      <c r="D568" s="69"/>
    </row>
    <row r="569" spans="1:4">
      <c r="A569" s="80"/>
      <c r="B569" s="80"/>
      <c r="C569" s="69" t="s">
        <v>850</v>
      </c>
      <c r="D569" s="69"/>
    </row>
    <row r="570" spans="1:4">
      <c r="A570" s="80"/>
      <c r="B570" s="80"/>
      <c r="C570" s="69" t="s">
        <v>851</v>
      </c>
      <c r="D570" s="69"/>
    </row>
    <row r="571" spans="1:4">
      <c r="A571" s="80"/>
      <c r="B571" s="80"/>
      <c r="C571" s="69" t="s">
        <v>852</v>
      </c>
      <c r="D571" s="69"/>
    </row>
    <row r="572" spans="1:4">
      <c r="A572" s="80"/>
      <c r="B572" s="80"/>
      <c r="C572" s="69" t="s">
        <v>853</v>
      </c>
      <c r="D572" s="69"/>
    </row>
    <row r="573" spans="1:4">
      <c r="A573" s="80"/>
      <c r="B573" s="80"/>
      <c r="C573" s="69" t="s">
        <v>854</v>
      </c>
      <c r="D573" s="69"/>
    </row>
    <row r="574" spans="1:4">
      <c r="A574" s="80"/>
      <c r="B574" s="80"/>
      <c r="C574" s="69" t="s">
        <v>855</v>
      </c>
      <c r="D574" s="69"/>
    </row>
    <row r="575" spans="1:4">
      <c r="A575" s="80"/>
      <c r="B575" s="80"/>
      <c r="C575" s="69" t="s">
        <v>856</v>
      </c>
      <c r="D575" s="69"/>
    </row>
    <row r="576" spans="1:4">
      <c r="A576" s="80"/>
      <c r="B576" s="80"/>
      <c r="C576" s="69" t="s">
        <v>857</v>
      </c>
      <c r="D576" s="69"/>
    </row>
    <row r="577" spans="1:5">
      <c r="A577" s="80"/>
      <c r="B577" s="80"/>
      <c r="C577" s="69" t="s">
        <v>858</v>
      </c>
      <c r="D577" s="69"/>
    </row>
    <row r="578" spans="1:5">
      <c r="A578" s="80"/>
      <c r="B578" s="80"/>
      <c r="C578" s="69" t="s">
        <v>859</v>
      </c>
      <c r="D578" s="69"/>
    </row>
    <row r="579" spans="1:5">
      <c r="A579" s="80"/>
      <c r="B579" s="80"/>
      <c r="C579" s="69" t="s">
        <v>860</v>
      </c>
      <c r="D579" s="69"/>
    </row>
    <row r="580" spans="1:5">
      <c r="A580" s="80"/>
      <c r="B580" s="80"/>
      <c r="C580" s="69" t="s">
        <v>1202</v>
      </c>
      <c r="D580" s="69"/>
      <c r="E580" s="16" t="s">
        <v>1200</v>
      </c>
    </row>
    <row r="581" spans="1:5">
      <c r="A581" s="80"/>
      <c r="B581" s="80"/>
      <c r="C581" s="69" t="s">
        <v>1203</v>
      </c>
      <c r="D581" s="69"/>
      <c r="E581" s="16" t="s">
        <v>1200</v>
      </c>
    </row>
    <row r="582" spans="1:5">
      <c r="A582" s="80"/>
      <c r="B582" s="80"/>
      <c r="C582" s="69" t="s">
        <v>867</v>
      </c>
      <c r="D582" s="69"/>
    </row>
    <row r="583" spans="1:5">
      <c r="A583" s="80"/>
      <c r="B583" s="80"/>
      <c r="C583" s="69" t="s">
        <v>868</v>
      </c>
      <c r="D583" s="69"/>
    </row>
    <row r="584" spans="1:5">
      <c r="A584" s="80"/>
      <c r="B584" s="80"/>
      <c r="C584" s="69" t="s">
        <v>869</v>
      </c>
      <c r="D584" s="69"/>
    </row>
    <row r="585" spans="1:5">
      <c r="A585" s="80"/>
      <c r="B585" s="80"/>
      <c r="C585" s="69" t="s">
        <v>870</v>
      </c>
      <c r="D585" s="69"/>
    </row>
    <row r="586" spans="1:5">
      <c r="A586" s="80"/>
      <c r="B586" s="80"/>
      <c r="C586" s="69" t="s">
        <v>871</v>
      </c>
      <c r="D586" s="69"/>
    </row>
    <row r="587" spans="1:5">
      <c r="A587" s="80"/>
      <c r="B587" s="80"/>
      <c r="C587" s="69" t="s">
        <v>861</v>
      </c>
      <c r="D587" s="69"/>
    </row>
    <row r="588" spans="1:5">
      <c r="A588" s="80"/>
      <c r="B588" s="80"/>
      <c r="C588" s="69" t="s">
        <v>862</v>
      </c>
      <c r="D588" s="69"/>
    </row>
    <row r="589" spans="1:5">
      <c r="A589" s="80"/>
      <c r="B589" s="80"/>
      <c r="C589" s="69" t="s">
        <v>863</v>
      </c>
      <c r="D589" s="69"/>
    </row>
    <row r="590" spans="1:5">
      <c r="A590" s="80"/>
      <c r="B590" s="80"/>
      <c r="C590" s="69" t="s">
        <v>864</v>
      </c>
      <c r="D590" s="69"/>
    </row>
    <row r="591" spans="1:5">
      <c r="A591" s="81"/>
      <c r="B591" s="81"/>
      <c r="C591" s="69" t="s">
        <v>865</v>
      </c>
      <c r="D591" s="69"/>
    </row>
    <row r="592" spans="1:5">
      <c r="A592" s="78"/>
      <c r="B592" s="137" t="s">
        <v>440</v>
      </c>
      <c r="C592" s="66" t="s">
        <v>441</v>
      </c>
      <c r="D592" s="66"/>
    </row>
    <row r="593" spans="1:5">
      <c r="A593" s="78"/>
      <c r="B593" s="137"/>
      <c r="C593" s="66" t="s">
        <v>442</v>
      </c>
      <c r="D593" s="66"/>
    </row>
    <row r="594" spans="1:5">
      <c r="A594" s="78"/>
      <c r="B594" s="137"/>
      <c r="C594" s="66" t="s">
        <v>102</v>
      </c>
      <c r="D594" s="66"/>
    </row>
    <row r="595" spans="1:5">
      <c r="A595" s="82"/>
      <c r="B595" s="88" t="s">
        <v>685</v>
      </c>
      <c r="C595" s="69" t="s">
        <v>55</v>
      </c>
      <c r="D595" s="69"/>
      <c r="E595" s="144"/>
    </row>
    <row r="596" spans="1:5">
      <c r="A596" s="138"/>
      <c r="B596" s="140"/>
      <c r="C596" s="139" t="s">
        <v>62</v>
      </c>
      <c r="D596" s="69"/>
    </row>
    <row r="597" spans="1:5">
      <c r="A597" s="132"/>
      <c r="B597" s="132" t="s">
        <v>289</v>
      </c>
      <c r="C597" s="66" t="s">
        <v>273</v>
      </c>
      <c r="D597" s="66"/>
    </row>
    <row r="598" spans="1:5">
      <c r="A598" s="78"/>
      <c r="B598" s="78"/>
      <c r="C598" s="66" t="s">
        <v>445</v>
      </c>
      <c r="D598" s="66"/>
    </row>
    <row r="599" spans="1:5">
      <c r="A599" s="78"/>
      <c r="B599" s="78"/>
      <c r="C599" s="66" t="s">
        <v>271</v>
      </c>
      <c r="D599" s="66"/>
    </row>
    <row r="600" spans="1:5">
      <c r="A600" s="78"/>
      <c r="B600" s="78"/>
      <c r="C600" s="66" t="s">
        <v>272</v>
      </c>
      <c r="D600" s="66"/>
    </row>
    <row r="601" spans="1:5">
      <c r="A601" s="78"/>
      <c r="B601" s="78"/>
      <c r="C601" s="66" t="s">
        <v>383</v>
      </c>
      <c r="D601" s="66"/>
    </row>
    <row r="602" spans="1:5">
      <c r="A602" s="78"/>
      <c r="B602" s="78"/>
      <c r="C602" s="66" t="s">
        <v>384</v>
      </c>
      <c r="D602" s="66"/>
    </row>
    <row r="603" spans="1:5">
      <c r="A603" s="78"/>
      <c r="B603" s="78"/>
      <c r="C603" s="66" t="s">
        <v>385</v>
      </c>
      <c r="D603" s="66"/>
    </row>
    <row r="604" spans="1:5">
      <c r="A604" s="78"/>
      <c r="B604" s="78"/>
      <c r="C604" s="66" t="s">
        <v>386</v>
      </c>
      <c r="D604" s="66"/>
    </row>
    <row r="605" spans="1:5">
      <c r="A605" s="78"/>
      <c r="B605" s="78"/>
      <c r="C605" s="66" t="s">
        <v>274</v>
      </c>
      <c r="D605" s="66"/>
    </row>
    <row r="606" spans="1:5">
      <c r="A606" s="78"/>
      <c r="B606" s="78"/>
      <c r="C606" s="66" t="s">
        <v>387</v>
      </c>
      <c r="D606" s="66"/>
    </row>
    <row r="607" spans="1:5">
      <c r="A607" s="78"/>
      <c r="B607" s="78"/>
      <c r="C607" s="66" t="s">
        <v>388</v>
      </c>
      <c r="D607" s="66"/>
    </row>
    <row r="608" spans="1:5">
      <c r="A608" s="78"/>
      <c r="B608" s="78"/>
      <c r="C608" s="66" t="s">
        <v>389</v>
      </c>
      <c r="D608" s="66"/>
    </row>
    <row r="609" spans="1:5">
      <c r="A609" s="78"/>
      <c r="B609" s="78"/>
      <c r="C609" s="66" t="s">
        <v>390</v>
      </c>
      <c r="D609" s="66"/>
    </row>
    <row r="610" spans="1:5">
      <c r="A610" s="78"/>
      <c r="B610" s="78"/>
      <c r="C610" s="66" t="s">
        <v>391</v>
      </c>
      <c r="D610" s="66"/>
    </row>
    <row r="611" spans="1:5">
      <c r="A611" s="78"/>
      <c r="B611" s="78"/>
      <c r="C611" s="66" t="s">
        <v>275</v>
      </c>
      <c r="D611" s="66"/>
    </row>
    <row r="612" spans="1:5">
      <c r="A612" s="78"/>
      <c r="B612" s="78"/>
      <c r="C612" s="66" t="s">
        <v>392</v>
      </c>
      <c r="D612" s="66"/>
    </row>
    <row r="613" spans="1:5">
      <c r="A613" s="78"/>
      <c r="B613" s="78"/>
      <c r="C613" s="66" t="s">
        <v>276</v>
      </c>
      <c r="D613" s="66"/>
    </row>
    <row r="614" spans="1:5">
      <c r="A614" s="78"/>
      <c r="B614" s="78"/>
      <c r="C614" s="66" t="s">
        <v>277</v>
      </c>
      <c r="D614" s="66"/>
    </row>
    <row r="615" spans="1:5">
      <c r="A615" s="78"/>
      <c r="B615" s="78"/>
      <c r="C615" s="66" t="s">
        <v>393</v>
      </c>
      <c r="D615" s="66"/>
    </row>
    <row r="616" spans="1:5">
      <c r="A616" s="78"/>
      <c r="B616" s="78"/>
      <c r="C616" s="66" t="s">
        <v>394</v>
      </c>
      <c r="D616" s="66"/>
    </row>
    <row r="617" spans="1:5">
      <c r="A617" s="78"/>
      <c r="B617" s="78"/>
      <c r="C617" s="66" t="s">
        <v>395</v>
      </c>
      <c r="D617" s="66"/>
    </row>
    <row r="618" spans="1:5">
      <c r="A618" s="78"/>
      <c r="B618" s="78"/>
      <c r="C618" s="66" t="s">
        <v>278</v>
      </c>
      <c r="D618" s="66"/>
    </row>
    <row r="619" spans="1:5">
      <c r="A619" s="78"/>
      <c r="B619" s="78"/>
      <c r="C619" s="66" t="s">
        <v>279</v>
      </c>
      <c r="D619" s="66"/>
    </row>
    <row r="620" spans="1:5">
      <c r="A620" s="78"/>
      <c r="B620" s="78"/>
      <c r="C620" s="66" t="s">
        <v>130</v>
      </c>
      <c r="D620" s="66"/>
    </row>
    <row r="621" spans="1:5">
      <c r="A621" s="78"/>
      <c r="B621" s="78"/>
      <c r="C621" s="66" t="s">
        <v>1162</v>
      </c>
      <c r="D621" s="66"/>
      <c r="E621" s="16" t="s">
        <v>1200</v>
      </c>
    </row>
    <row r="622" spans="1:5">
      <c r="A622" s="82"/>
      <c r="B622" s="82" t="s">
        <v>24</v>
      </c>
      <c r="C622" s="69" t="s">
        <v>446</v>
      </c>
      <c r="D622" s="69"/>
    </row>
    <row r="623" spans="1:5">
      <c r="A623" s="83"/>
      <c r="B623" s="83"/>
      <c r="C623" s="69" t="s">
        <v>112</v>
      </c>
      <c r="D623" s="69"/>
    </row>
    <row r="624" spans="1:5">
      <c r="A624" s="83"/>
      <c r="B624" s="83"/>
      <c r="C624" s="69" t="s">
        <v>105</v>
      </c>
      <c r="D624" s="69"/>
    </row>
    <row r="625" spans="1:5">
      <c r="A625" s="83"/>
      <c r="B625" s="83"/>
      <c r="C625" s="69" t="s">
        <v>87</v>
      </c>
      <c r="D625" s="69"/>
    </row>
    <row r="626" spans="1:5">
      <c r="A626" s="83"/>
      <c r="B626" s="83"/>
      <c r="C626" s="69" t="s">
        <v>1181</v>
      </c>
      <c r="D626" s="69"/>
      <c r="E626" s="16" t="s">
        <v>1200</v>
      </c>
    </row>
    <row r="627" spans="1:5">
      <c r="A627" s="83"/>
      <c r="B627" s="83"/>
      <c r="C627" s="69" t="s">
        <v>60</v>
      </c>
      <c r="D627" s="69"/>
    </row>
    <row r="628" spans="1:5">
      <c r="A628" s="83"/>
      <c r="B628" s="83"/>
      <c r="C628" s="69" t="s">
        <v>93</v>
      </c>
      <c r="D628" s="69"/>
    </row>
    <row r="629" spans="1:5">
      <c r="A629" s="83"/>
      <c r="B629" s="83"/>
      <c r="C629" s="69" t="s">
        <v>75</v>
      </c>
      <c r="D629" s="69"/>
    </row>
    <row r="630" spans="1:5">
      <c r="A630" s="83"/>
      <c r="B630" s="83"/>
      <c r="C630" s="69" t="s">
        <v>68</v>
      </c>
      <c r="D630" s="69"/>
    </row>
    <row r="631" spans="1:5">
      <c r="A631" s="83"/>
      <c r="B631" s="83"/>
      <c r="C631" s="69" t="s">
        <v>82</v>
      </c>
      <c r="D631" s="69"/>
    </row>
    <row r="632" spans="1:5">
      <c r="A632" s="83"/>
      <c r="B632" s="83"/>
      <c r="C632" s="69" t="s">
        <v>397</v>
      </c>
      <c r="D632" s="69"/>
    </row>
    <row r="633" spans="1:5">
      <c r="A633" s="84"/>
      <c r="B633" s="84"/>
      <c r="C633" s="69" t="s">
        <v>102</v>
      </c>
      <c r="D633" s="69"/>
    </row>
    <row r="634" spans="1:5">
      <c r="A634" s="78"/>
      <c r="B634" s="137" t="s">
        <v>286</v>
      </c>
      <c r="C634" s="66" t="s">
        <v>616</v>
      </c>
      <c r="D634" s="66" t="s">
        <v>1180</v>
      </c>
    </row>
    <row r="635" spans="1:5">
      <c r="A635" s="78"/>
      <c r="B635" s="137"/>
      <c r="C635" s="66" t="s">
        <v>294</v>
      </c>
      <c r="D635" s="66" t="s">
        <v>336</v>
      </c>
    </row>
    <row r="636" spans="1:5">
      <c r="A636" s="78"/>
      <c r="B636" s="137"/>
      <c r="C636" s="66" t="s">
        <v>295</v>
      </c>
      <c r="D636" s="66" t="s">
        <v>337</v>
      </c>
    </row>
    <row r="637" spans="1:5">
      <c r="A637" s="78"/>
      <c r="B637" s="137"/>
      <c r="C637" s="66" t="s">
        <v>296</v>
      </c>
      <c r="D637" s="66" t="s">
        <v>338</v>
      </c>
    </row>
    <row r="638" spans="1:5">
      <c r="A638" s="78"/>
      <c r="B638" s="137"/>
      <c r="C638" s="66" t="s">
        <v>284</v>
      </c>
      <c r="D638" s="66" t="s">
        <v>292</v>
      </c>
    </row>
    <row r="639" spans="1:5">
      <c r="A639" s="78"/>
      <c r="B639" s="137"/>
      <c r="C639" s="66" t="s">
        <v>285</v>
      </c>
      <c r="D639" s="66" t="s">
        <v>293</v>
      </c>
    </row>
    <row r="640" spans="1:5">
      <c r="A640" s="78"/>
      <c r="B640" s="137"/>
      <c r="C640" s="66" t="s">
        <v>617</v>
      </c>
      <c r="D640" s="66" t="s">
        <v>618</v>
      </c>
    </row>
    <row r="641" spans="1:4">
      <c r="A641" s="78"/>
      <c r="B641" s="137"/>
      <c r="C641" s="66" t="s">
        <v>287</v>
      </c>
      <c r="D641" s="66" t="s">
        <v>287</v>
      </c>
    </row>
    <row r="642" spans="1:4">
      <c r="A642" s="78"/>
      <c r="B642" s="137"/>
      <c r="C642" s="66" t="s">
        <v>102</v>
      </c>
      <c r="D642" s="66"/>
    </row>
    <row r="643" spans="1:4">
      <c r="A643" s="85"/>
      <c r="B643" s="85" t="s">
        <v>288</v>
      </c>
      <c r="C643" s="69" t="s">
        <v>447</v>
      </c>
      <c r="D643" s="69" t="s">
        <v>448</v>
      </c>
    </row>
    <row r="644" spans="1:4">
      <c r="A644" s="86"/>
      <c r="B644" s="86"/>
      <c r="C644" s="69" t="s">
        <v>450</v>
      </c>
      <c r="D644" s="69" t="s">
        <v>449</v>
      </c>
    </row>
    <row r="645" spans="1:4">
      <c r="A645" s="86"/>
      <c r="B645" s="86"/>
      <c r="C645" s="69" t="s">
        <v>452</v>
      </c>
      <c r="D645" s="69" t="s">
        <v>451</v>
      </c>
    </row>
    <row r="646" spans="1:4">
      <c r="A646" s="86"/>
      <c r="B646" s="86"/>
      <c r="C646" s="69" t="s">
        <v>454</v>
      </c>
      <c r="D646" s="69" t="s">
        <v>453</v>
      </c>
    </row>
    <row r="647" spans="1:4">
      <c r="A647" s="86"/>
      <c r="B647" s="86"/>
      <c r="C647" s="69" t="s">
        <v>958</v>
      </c>
      <c r="D647" s="69"/>
    </row>
    <row r="648" spans="1:4">
      <c r="A648" s="87"/>
      <c r="B648" s="87"/>
      <c r="C648" s="69" t="s">
        <v>102</v>
      </c>
      <c r="D648" s="69"/>
    </row>
    <row r="649" spans="1:4">
      <c r="A649" s="78"/>
      <c r="B649" s="137" t="s">
        <v>933</v>
      </c>
      <c r="C649" s="66" t="s">
        <v>302</v>
      </c>
      <c r="D649" s="66"/>
    </row>
    <row r="650" spans="1:4">
      <c r="A650" s="78"/>
      <c r="B650" s="137"/>
      <c r="C650" s="66" t="s">
        <v>303</v>
      </c>
      <c r="D650" s="66"/>
    </row>
    <row r="651" spans="1:4">
      <c r="A651" s="78"/>
      <c r="B651" s="137"/>
      <c r="C651" s="66" t="s">
        <v>791</v>
      </c>
      <c r="D651" s="66"/>
    </row>
    <row r="652" spans="1:4">
      <c r="A652" s="78"/>
      <c r="B652" s="137"/>
      <c r="C652" s="66" t="s">
        <v>301</v>
      </c>
      <c r="D652" s="66"/>
    </row>
    <row r="653" spans="1:4">
      <c r="A653" s="78"/>
      <c r="B653" s="137"/>
      <c r="C653" s="66" t="s">
        <v>102</v>
      </c>
      <c r="D653" s="66"/>
    </row>
    <row r="654" spans="1:4">
      <c r="A654" s="85"/>
      <c r="B654" s="85" t="s">
        <v>372</v>
      </c>
      <c r="C654" s="69" t="s">
        <v>304</v>
      </c>
      <c r="D654" s="69"/>
    </row>
    <row r="655" spans="1:4">
      <c r="A655" s="86"/>
      <c r="B655" s="86"/>
      <c r="C655" s="69" t="s">
        <v>305</v>
      </c>
      <c r="D655" s="69"/>
    </row>
    <row r="656" spans="1:4">
      <c r="A656" s="78"/>
      <c r="B656" s="137" t="s">
        <v>26</v>
      </c>
      <c r="C656" s="66" t="s">
        <v>17</v>
      </c>
      <c r="D656" s="66"/>
    </row>
    <row r="657" spans="1:6">
      <c r="A657" s="78"/>
      <c r="B657" s="137"/>
      <c r="C657" s="66" t="s">
        <v>27</v>
      </c>
      <c r="D657" s="66"/>
    </row>
    <row r="658" spans="1:6">
      <c r="A658" s="85"/>
      <c r="B658" s="85" t="s">
        <v>628</v>
      </c>
      <c r="C658" s="69" t="s">
        <v>356</v>
      </c>
      <c r="D658" s="69"/>
    </row>
    <row r="659" spans="1:6">
      <c r="A659" s="86"/>
      <c r="B659" s="86"/>
      <c r="C659" s="69" t="s">
        <v>357</v>
      </c>
      <c r="D659" s="69"/>
    </row>
    <row r="660" spans="1:6">
      <c r="A660" s="86"/>
      <c r="B660" s="86"/>
      <c r="C660" s="69" t="s">
        <v>358</v>
      </c>
      <c r="D660" s="69"/>
    </row>
    <row r="661" spans="1:6">
      <c r="A661" s="86"/>
      <c r="B661" s="86"/>
      <c r="C661" s="69" t="s">
        <v>359</v>
      </c>
      <c r="D661" s="69"/>
    </row>
    <row r="662" spans="1:6">
      <c r="A662" s="86"/>
      <c r="B662" s="86"/>
      <c r="C662" s="69" t="s">
        <v>360</v>
      </c>
      <c r="D662" s="69"/>
    </row>
    <row r="663" spans="1:6">
      <c r="A663" s="86"/>
      <c r="B663" s="86"/>
      <c r="C663" s="69" t="s">
        <v>361</v>
      </c>
      <c r="D663" s="69"/>
    </row>
    <row r="664" spans="1:6">
      <c r="A664" s="86"/>
      <c r="B664" s="86"/>
      <c r="C664" s="69" t="s">
        <v>102</v>
      </c>
      <c r="D664" s="69"/>
    </row>
    <row r="665" spans="1:6">
      <c r="A665" s="87"/>
      <c r="B665" s="87"/>
      <c r="C665" s="69" t="s">
        <v>362</v>
      </c>
      <c r="D665" s="69"/>
    </row>
    <row r="666" spans="1:6">
      <c r="A666" s="78"/>
      <c r="B666" s="137" t="s">
        <v>308</v>
      </c>
      <c r="C666" s="66" t="s">
        <v>363</v>
      </c>
      <c r="D666" s="66"/>
    </row>
    <row r="667" spans="1:6">
      <c r="A667" s="78"/>
      <c r="B667" s="137"/>
      <c r="C667" s="66" t="s">
        <v>370</v>
      </c>
      <c r="D667" s="66"/>
      <c r="F667" s="8"/>
    </row>
    <row r="668" spans="1:6">
      <c r="A668" s="85"/>
      <c r="B668" s="85" t="s">
        <v>309</v>
      </c>
      <c r="C668" s="69" t="s">
        <v>701</v>
      </c>
      <c r="D668" s="69"/>
    </row>
    <row r="669" spans="1:6">
      <c r="A669" s="86"/>
      <c r="B669" s="86"/>
      <c r="C669" s="69" t="s">
        <v>702</v>
      </c>
      <c r="D669" s="69"/>
    </row>
    <row r="670" spans="1:6">
      <c r="A670" s="86"/>
      <c r="B670" s="86"/>
      <c r="C670" s="69" t="s">
        <v>319</v>
      </c>
      <c r="D670" s="69"/>
    </row>
    <row r="671" spans="1:6">
      <c r="A671" s="86"/>
      <c r="B671" s="86"/>
      <c r="C671" s="69" t="s">
        <v>324</v>
      </c>
      <c r="D671" s="69"/>
    </row>
    <row r="672" spans="1:6">
      <c r="A672" s="86"/>
      <c r="B672" s="86"/>
      <c r="C672" s="69" t="s">
        <v>321</v>
      </c>
      <c r="D672" s="69"/>
    </row>
    <row r="673" spans="1:4">
      <c r="A673" s="86"/>
      <c r="B673" s="86"/>
      <c r="C673" s="69" t="s">
        <v>320</v>
      </c>
      <c r="D673" s="69"/>
    </row>
    <row r="674" spans="1:4">
      <c r="A674" s="86"/>
      <c r="B674" s="86"/>
      <c r="C674" s="69" t="s">
        <v>325</v>
      </c>
      <c r="D674" s="69"/>
    </row>
    <row r="675" spans="1:4">
      <c r="A675" s="86"/>
      <c r="B675" s="86"/>
      <c r="C675" s="69" t="s">
        <v>322</v>
      </c>
      <c r="D675" s="69"/>
    </row>
    <row r="676" spans="1:4">
      <c r="A676" s="86"/>
      <c r="B676" s="86"/>
      <c r="C676" s="69" t="s">
        <v>443</v>
      </c>
      <c r="D676" s="69"/>
    </row>
    <row r="677" spans="1:4">
      <c r="A677" s="86"/>
      <c r="B677" s="86"/>
      <c r="C677" s="69" t="s">
        <v>323</v>
      </c>
      <c r="D677" s="69"/>
    </row>
    <row r="678" spans="1:4">
      <c r="A678" s="86"/>
      <c r="B678" s="86"/>
      <c r="C678" s="69" t="s">
        <v>130</v>
      </c>
      <c r="D678" s="69"/>
    </row>
    <row r="679" spans="1:4">
      <c r="A679" s="87"/>
      <c r="B679" s="87"/>
      <c r="C679" s="69" t="s">
        <v>362</v>
      </c>
      <c r="D679" s="69"/>
    </row>
    <row r="680" spans="1:4">
      <c r="A680" s="107"/>
      <c r="B680" s="107" t="s">
        <v>310</v>
      </c>
      <c r="C680" s="66" t="s">
        <v>356</v>
      </c>
      <c r="D680" s="66"/>
    </row>
    <row r="681" spans="1:4">
      <c r="A681" s="109"/>
      <c r="B681" s="109"/>
      <c r="C681" s="66" t="s">
        <v>357</v>
      </c>
      <c r="D681" s="66"/>
    </row>
    <row r="682" spans="1:4">
      <c r="A682" s="109"/>
      <c r="B682" s="109"/>
      <c r="C682" s="66" t="s">
        <v>358</v>
      </c>
      <c r="D682" s="66"/>
    </row>
    <row r="683" spans="1:4">
      <c r="A683" s="109"/>
      <c r="B683" s="109"/>
      <c r="C683" s="66" t="s">
        <v>359</v>
      </c>
      <c r="D683" s="66"/>
    </row>
    <row r="684" spans="1:4">
      <c r="A684" s="109"/>
      <c r="B684" s="109"/>
      <c r="C684" s="66" t="s">
        <v>360</v>
      </c>
      <c r="D684" s="66"/>
    </row>
    <row r="685" spans="1:4">
      <c r="A685" s="109"/>
      <c r="B685" s="109"/>
      <c r="C685" s="66" t="s">
        <v>361</v>
      </c>
      <c r="D685" s="66"/>
    </row>
    <row r="686" spans="1:4">
      <c r="A686" s="109"/>
      <c r="B686" s="109"/>
      <c r="C686" s="66" t="s">
        <v>102</v>
      </c>
      <c r="D686" s="66"/>
    </row>
    <row r="687" spans="1:4">
      <c r="A687" s="109"/>
      <c r="B687" s="109"/>
      <c r="C687" s="66" t="s">
        <v>362</v>
      </c>
      <c r="D687" s="66"/>
    </row>
    <row r="688" spans="1:4">
      <c r="A688" s="85"/>
      <c r="B688" s="82" t="s">
        <v>369</v>
      </c>
      <c r="C688" s="69" t="s">
        <v>339</v>
      </c>
      <c r="D688" s="69"/>
    </row>
    <row r="689" spans="1:4">
      <c r="A689" s="86"/>
      <c r="B689" s="84"/>
      <c r="C689" s="69" t="s">
        <v>340</v>
      </c>
      <c r="D689" s="69"/>
    </row>
    <row r="690" spans="1:4">
      <c r="A690" s="107"/>
      <c r="B690" s="107" t="s">
        <v>753</v>
      </c>
      <c r="C690" s="66" t="s">
        <v>341</v>
      </c>
      <c r="D690" s="66"/>
    </row>
    <row r="691" spans="1:4">
      <c r="A691" s="109"/>
      <c r="B691" s="109"/>
      <c r="C691" s="66" t="s">
        <v>342</v>
      </c>
      <c r="D691" s="66"/>
    </row>
    <row r="692" spans="1:4">
      <c r="A692" s="85"/>
      <c r="B692" s="85" t="s">
        <v>343</v>
      </c>
      <c r="C692" s="69" t="s">
        <v>398</v>
      </c>
      <c r="D692" s="69"/>
    </row>
    <row r="693" spans="1:4">
      <c r="A693" s="86"/>
      <c r="B693" s="86"/>
      <c r="C693" s="69" t="s">
        <v>381</v>
      </c>
      <c r="D693" s="69"/>
    </row>
    <row r="694" spans="1:4">
      <c r="A694" s="86"/>
      <c r="B694" s="86"/>
      <c r="C694" s="69" t="s">
        <v>376</v>
      </c>
      <c r="D694" s="69"/>
    </row>
    <row r="695" spans="1:4">
      <c r="A695" s="86"/>
      <c r="B695" s="86"/>
      <c r="C695" s="69" t="s">
        <v>333</v>
      </c>
      <c r="D695" s="69"/>
    </row>
    <row r="696" spans="1:4">
      <c r="A696" s="86"/>
      <c r="B696" s="86"/>
      <c r="C696" s="69" t="s">
        <v>73</v>
      </c>
      <c r="D696" s="69"/>
    </row>
    <row r="697" spans="1:4">
      <c r="A697" s="86"/>
      <c r="B697" s="86"/>
      <c r="C697" s="69" t="s">
        <v>9</v>
      </c>
      <c r="D697" s="69"/>
    </row>
    <row r="698" spans="1:4">
      <c r="A698" s="86"/>
      <c r="B698" s="86"/>
      <c r="C698" s="69" t="s">
        <v>344</v>
      </c>
      <c r="D698" s="69"/>
    </row>
    <row r="699" spans="1:4">
      <c r="A699" s="86"/>
      <c r="B699" s="86"/>
      <c r="C699" s="69" t="s">
        <v>332</v>
      </c>
      <c r="D699" s="69"/>
    </row>
    <row r="700" spans="1:4">
      <c r="A700" s="86"/>
      <c r="B700" s="86"/>
      <c r="C700" s="69" t="s">
        <v>102</v>
      </c>
      <c r="D700" s="69"/>
    </row>
    <row r="701" spans="1:4">
      <c r="A701" s="107"/>
      <c r="B701" s="107" t="s">
        <v>463</v>
      </c>
      <c r="C701" s="66" t="s">
        <v>414</v>
      </c>
      <c r="D701" s="66"/>
    </row>
    <row r="702" spans="1:4">
      <c r="A702" s="109"/>
      <c r="B702" s="109"/>
      <c r="C702" s="66" t="s">
        <v>262</v>
      </c>
      <c r="D702" s="66"/>
    </row>
    <row r="703" spans="1:4">
      <c r="A703" s="109"/>
      <c r="B703" s="109"/>
      <c r="C703" s="66" t="s">
        <v>172</v>
      </c>
      <c r="D703" s="66"/>
    </row>
    <row r="704" spans="1:4">
      <c r="A704" s="109"/>
      <c r="B704" s="109"/>
      <c r="C704" s="66" t="s">
        <v>653</v>
      </c>
      <c r="D704" s="66"/>
    </row>
    <row r="705" spans="1:5">
      <c r="A705" s="109"/>
      <c r="B705" s="109"/>
      <c r="C705" s="66" t="s">
        <v>156</v>
      </c>
      <c r="D705" s="66"/>
    </row>
    <row r="706" spans="1:5">
      <c r="A706" s="109"/>
      <c r="B706" s="109"/>
      <c r="C706" s="66" t="s">
        <v>647</v>
      </c>
      <c r="D706" s="66"/>
    </row>
    <row r="707" spans="1:5">
      <c r="A707" s="109"/>
      <c r="B707" s="109"/>
      <c r="C707" s="66" t="s">
        <v>649</v>
      </c>
      <c r="D707" s="66"/>
    </row>
    <row r="708" spans="1:5">
      <c r="A708" s="109"/>
      <c r="B708" s="109"/>
      <c r="C708" s="66" t="s">
        <v>66</v>
      </c>
      <c r="D708" s="66"/>
    </row>
    <row r="709" spans="1:5">
      <c r="A709" s="109"/>
      <c r="B709" s="109"/>
      <c r="C709" s="66" t="s">
        <v>269</v>
      </c>
      <c r="D709" s="66"/>
    </row>
    <row r="710" spans="1:5">
      <c r="A710" s="109"/>
      <c r="B710" s="109"/>
      <c r="C710" s="66" t="s">
        <v>654</v>
      </c>
      <c r="D710" s="66"/>
    </row>
    <row r="711" spans="1:5">
      <c r="A711" s="109"/>
      <c r="B711" s="109"/>
      <c r="C711" s="66" t="s">
        <v>140</v>
      </c>
      <c r="D711" s="66"/>
    </row>
    <row r="712" spans="1:5">
      <c r="A712" s="109"/>
      <c r="B712" s="109"/>
      <c r="C712" s="66" t="s">
        <v>256</v>
      </c>
      <c r="D712" s="66"/>
    </row>
    <row r="713" spans="1:5">
      <c r="A713" s="109"/>
      <c r="B713" s="109"/>
      <c r="C713" s="66" t="s">
        <v>122</v>
      </c>
      <c r="D713" s="66"/>
    </row>
    <row r="714" spans="1:5">
      <c r="A714" s="109"/>
      <c r="B714" s="109"/>
      <c r="C714" s="66" t="s">
        <v>270</v>
      </c>
      <c r="D714" s="66"/>
    </row>
    <row r="715" spans="1:5">
      <c r="A715" s="109"/>
      <c r="B715" s="109"/>
      <c r="C715" s="66" t="s">
        <v>708</v>
      </c>
      <c r="D715" s="66"/>
    </row>
    <row r="716" spans="1:5">
      <c r="A716" s="109"/>
      <c r="B716" s="109"/>
      <c r="C716" s="66" t="s">
        <v>1170</v>
      </c>
      <c r="D716" s="66" t="s">
        <v>655</v>
      </c>
      <c r="E716" s="16" t="s">
        <v>1200</v>
      </c>
    </row>
    <row r="717" spans="1:5">
      <c r="A717" s="109"/>
      <c r="B717" s="109"/>
      <c r="C717" s="66" t="s">
        <v>267</v>
      </c>
      <c r="D717" s="66"/>
    </row>
    <row r="718" spans="1:5">
      <c r="A718" s="109"/>
      <c r="B718" s="109"/>
      <c r="C718" s="66" t="s">
        <v>264</v>
      </c>
      <c r="D718" s="66"/>
    </row>
    <row r="719" spans="1:5">
      <c r="A719" s="109"/>
      <c r="B719" s="109"/>
      <c r="C719" s="66" t="s">
        <v>265</v>
      </c>
      <c r="D719" s="66"/>
    </row>
    <row r="720" spans="1:5">
      <c r="A720" s="109"/>
      <c r="B720" s="109"/>
      <c r="C720" s="66" t="s">
        <v>167</v>
      </c>
      <c r="D720" s="66"/>
    </row>
    <row r="721" spans="1:4">
      <c r="A721" s="109"/>
      <c r="B721" s="109"/>
      <c r="C721" s="66" t="s">
        <v>254</v>
      </c>
      <c r="D721" s="66"/>
    </row>
    <row r="722" spans="1:4">
      <c r="A722" s="109"/>
      <c r="B722" s="109"/>
      <c r="C722" s="66" t="s">
        <v>261</v>
      </c>
      <c r="D722" s="66"/>
    </row>
    <row r="723" spans="1:4">
      <c r="A723" s="109"/>
      <c r="B723" s="109"/>
      <c r="C723" s="66" t="s">
        <v>71</v>
      </c>
      <c r="D723" s="66"/>
    </row>
    <row r="724" spans="1:4">
      <c r="A724" s="109"/>
      <c r="B724" s="109"/>
      <c r="C724" s="66" t="s">
        <v>259</v>
      </c>
      <c r="D724" s="66"/>
    </row>
    <row r="725" spans="1:4">
      <c r="A725" s="109"/>
      <c r="B725" s="109"/>
      <c r="C725" s="66" t="s">
        <v>75</v>
      </c>
      <c r="D725" s="66"/>
    </row>
    <row r="726" spans="1:4">
      <c r="A726" s="109"/>
      <c r="B726" s="109"/>
      <c r="C726" s="66" t="s">
        <v>263</v>
      </c>
      <c r="D726" s="66"/>
    </row>
    <row r="727" spans="1:4">
      <c r="A727" s="109"/>
      <c r="B727" s="109"/>
      <c r="C727" s="66" t="s">
        <v>651</v>
      </c>
      <c r="D727" s="66"/>
    </row>
    <row r="728" spans="1:4">
      <c r="A728" s="109"/>
      <c r="B728" s="109"/>
      <c r="C728" s="66" t="s">
        <v>652</v>
      </c>
      <c r="D728" s="66"/>
    </row>
    <row r="729" spans="1:4">
      <c r="A729" s="109"/>
      <c r="B729" s="109"/>
      <c r="C729" s="66" t="s">
        <v>266</v>
      </c>
      <c r="D729" s="66"/>
    </row>
    <row r="730" spans="1:4">
      <c r="A730" s="109"/>
      <c r="B730" s="109"/>
      <c r="C730" s="66" t="s">
        <v>85</v>
      </c>
      <c r="D730" s="66"/>
    </row>
    <row r="731" spans="1:4">
      <c r="A731" s="109"/>
      <c r="B731" s="109"/>
      <c r="C731" s="66" t="s">
        <v>648</v>
      </c>
      <c r="D731" s="66"/>
    </row>
    <row r="732" spans="1:4">
      <c r="A732" s="109"/>
      <c r="B732" s="109"/>
      <c r="C732" s="66" t="s">
        <v>646</v>
      </c>
      <c r="D732" s="66"/>
    </row>
    <row r="733" spans="1:4">
      <c r="A733" s="109"/>
      <c r="B733" s="109"/>
      <c r="C733" s="66" t="s">
        <v>656</v>
      </c>
      <c r="D733" s="66"/>
    </row>
    <row r="734" spans="1:4">
      <c r="A734" s="109"/>
      <c r="B734" s="109"/>
      <c r="C734" s="66" t="s">
        <v>255</v>
      </c>
      <c r="D734" s="66"/>
    </row>
    <row r="735" spans="1:4">
      <c r="A735" s="109"/>
      <c r="B735" s="109"/>
      <c r="C735" s="66" t="s">
        <v>738</v>
      </c>
      <c r="D735" s="66"/>
    </row>
    <row r="736" spans="1:4">
      <c r="A736" s="109"/>
      <c r="B736" s="109"/>
      <c r="C736" s="66" t="s">
        <v>34</v>
      </c>
      <c r="D736" s="66"/>
    </row>
    <row r="737" spans="1:4">
      <c r="A737" s="109"/>
      <c r="B737" s="109"/>
      <c r="C737" s="66" t="s">
        <v>645</v>
      </c>
      <c r="D737" s="66"/>
    </row>
    <row r="738" spans="1:4">
      <c r="A738" s="109"/>
      <c r="B738" s="109"/>
      <c r="C738" s="66" t="s">
        <v>268</v>
      </c>
      <c r="D738" s="66"/>
    </row>
    <row r="739" spans="1:4">
      <c r="A739" s="109"/>
      <c r="B739" s="109"/>
      <c r="C739" s="66" t="s">
        <v>650</v>
      </c>
      <c r="D739" s="66"/>
    </row>
    <row r="740" spans="1:4">
      <c r="A740" s="109"/>
      <c r="B740" s="109"/>
      <c r="C740" s="66" t="s">
        <v>252</v>
      </c>
      <c r="D740" s="66"/>
    </row>
    <row r="741" spans="1:4">
      <c r="A741" s="109"/>
      <c r="B741" s="109"/>
      <c r="C741" s="66" t="s">
        <v>258</v>
      </c>
      <c r="D741" s="66"/>
    </row>
    <row r="742" spans="1:4">
      <c r="A742" s="109"/>
      <c r="B742" s="109"/>
      <c r="C742" s="66" t="s">
        <v>257</v>
      </c>
      <c r="D742" s="66"/>
    </row>
    <row r="743" spans="1:4">
      <c r="A743" s="109"/>
      <c r="B743" s="109"/>
      <c r="C743" s="66" t="s">
        <v>174</v>
      </c>
      <c r="D743" s="66"/>
    </row>
    <row r="744" spans="1:4">
      <c r="A744" s="109"/>
      <c r="B744" s="109"/>
      <c r="C744" s="66" t="s">
        <v>253</v>
      </c>
      <c r="D744" s="66"/>
    </row>
    <row r="745" spans="1:4">
      <c r="A745" s="109"/>
      <c r="B745" s="109"/>
      <c r="C745" s="66" t="s">
        <v>169</v>
      </c>
      <c r="D745" s="66"/>
    </row>
    <row r="746" spans="1:4">
      <c r="A746" s="109"/>
      <c r="B746" s="109"/>
      <c r="C746" s="66" t="s">
        <v>170</v>
      </c>
      <c r="D746" s="66"/>
    </row>
    <row r="747" spans="1:4">
      <c r="A747" s="109"/>
      <c r="B747" s="109"/>
      <c r="C747" s="66" t="s">
        <v>165</v>
      </c>
      <c r="D747" s="66"/>
    </row>
    <row r="748" spans="1:4">
      <c r="A748" s="109"/>
      <c r="B748" s="109"/>
      <c r="C748" s="66" t="s">
        <v>260</v>
      </c>
      <c r="D748" s="66"/>
    </row>
    <row r="749" spans="1:4">
      <c r="A749" s="109"/>
      <c r="B749" s="109"/>
      <c r="C749" s="66" t="s">
        <v>163</v>
      </c>
      <c r="D749" s="66"/>
    </row>
    <row r="750" spans="1:4">
      <c r="A750" s="109"/>
      <c r="B750" s="109"/>
      <c r="C750" s="66" t="s">
        <v>53</v>
      </c>
      <c r="D750" s="66"/>
    </row>
    <row r="751" spans="1:4">
      <c r="A751" s="109"/>
      <c r="B751" s="109"/>
      <c r="C751" s="66" t="s">
        <v>59</v>
      </c>
      <c r="D751" s="66"/>
    </row>
    <row r="752" spans="1:4">
      <c r="A752" s="109"/>
      <c r="B752" s="109"/>
      <c r="C752" s="66" t="s">
        <v>67</v>
      </c>
      <c r="D752" s="66"/>
    </row>
    <row r="753" spans="1:4">
      <c r="A753" s="109"/>
      <c r="B753" s="109"/>
      <c r="C753" s="66" t="s">
        <v>74</v>
      </c>
      <c r="D753" s="66"/>
    </row>
    <row r="754" spans="1:4">
      <c r="A754" s="109"/>
      <c r="B754" s="109"/>
      <c r="C754" s="66" t="s">
        <v>81</v>
      </c>
      <c r="D754" s="66"/>
    </row>
    <row r="755" spans="1:4">
      <c r="A755" s="109"/>
      <c r="B755" s="109"/>
      <c r="C755" s="66" t="s">
        <v>946</v>
      </c>
      <c r="D755" s="66"/>
    </row>
    <row r="756" spans="1:4">
      <c r="A756" s="109"/>
      <c r="B756" s="109"/>
      <c r="C756" s="66" t="s">
        <v>92</v>
      </c>
      <c r="D756" s="66"/>
    </row>
    <row r="757" spans="1:4">
      <c r="A757" s="109"/>
      <c r="B757" s="109"/>
      <c r="C757" s="66" t="s">
        <v>977</v>
      </c>
      <c r="D757" s="66"/>
    </row>
    <row r="758" spans="1:4">
      <c r="A758" s="109"/>
      <c r="B758" s="109"/>
      <c r="C758" s="66" t="s">
        <v>978</v>
      </c>
      <c r="D758" s="66"/>
    </row>
    <row r="759" spans="1:4">
      <c r="A759" s="109"/>
      <c r="B759" s="109"/>
      <c r="C759" s="66" t="s">
        <v>104</v>
      </c>
      <c r="D759" s="66"/>
    </row>
    <row r="760" spans="1:4">
      <c r="A760" s="109"/>
      <c r="B760" s="109"/>
      <c r="C760" s="66" t="s">
        <v>109</v>
      </c>
      <c r="D760" s="66"/>
    </row>
    <row r="761" spans="1:4">
      <c r="A761" s="109"/>
      <c r="B761" s="109"/>
      <c r="C761" s="66" t="s">
        <v>111</v>
      </c>
      <c r="D761" s="66"/>
    </row>
    <row r="762" spans="1:4">
      <c r="A762" s="109"/>
      <c r="B762" s="109"/>
      <c r="C762" s="66" t="s">
        <v>114</v>
      </c>
      <c r="D762" s="66"/>
    </row>
    <row r="763" spans="1:4">
      <c r="A763" s="109"/>
      <c r="B763" s="109"/>
      <c r="C763" s="66" t="s">
        <v>117</v>
      </c>
      <c r="D763" s="66"/>
    </row>
    <row r="764" spans="1:4">
      <c r="A764" s="109"/>
      <c r="B764" s="109"/>
      <c r="C764" s="66" t="s">
        <v>120</v>
      </c>
      <c r="D764" s="66"/>
    </row>
    <row r="765" spans="1:4">
      <c r="A765" s="109"/>
      <c r="B765" s="109"/>
      <c r="C765" s="66" t="s">
        <v>123</v>
      </c>
      <c r="D765" s="66"/>
    </row>
    <row r="766" spans="1:4">
      <c r="A766" s="109"/>
      <c r="B766" s="109"/>
      <c r="C766" s="66" t="s">
        <v>125</v>
      </c>
      <c r="D766" s="66"/>
    </row>
    <row r="767" spans="1:4">
      <c r="A767" s="109"/>
      <c r="B767" s="109"/>
      <c r="C767" s="66" t="s">
        <v>314</v>
      </c>
      <c r="D767" s="66"/>
    </row>
    <row r="768" spans="1:4">
      <c r="A768" s="109"/>
      <c r="B768" s="109"/>
      <c r="C768" s="66" t="s">
        <v>128</v>
      </c>
      <c r="D768" s="66"/>
    </row>
    <row r="769" spans="1:5">
      <c r="A769" s="109"/>
      <c r="B769" s="109"/>
      <c r="C769" s="66" t="s">
        <v>131</v>
      </c>
      <c r="D769" s="66"/>
    </row>
    <row r="770" spans="1:5">
      <c r="A770" s="109"/>
      <c r="B770" s="109"/>
      <c r="C770" s="66" t="s">
        <v>132</v>
      </c>
      <c r="D770" s="66"/>
    </row>
    <row r="771" spans="1:5">
      <c r="A771" s="109"/>
      <c r="B771" s="109"/>
      <c r="C771" s="66" t="s">
        <v>134</v>
      </c>
      <c r="D771" s="66"/>
    </row>
    <row r="772" spans="1:5">
      <c r="A772" s="109"/>
      <c r="B772" s="109"/>
      <c r="C772" s="66" t="s">
        <v>136</v>
      </c>
      <c r="D772" s="66"/>
    </row>
    <row r="773" spans="1:5">
      <c r="A773" s="109"/>
      <c r="B773" s="109"/>
      <c r="C773" s="66" t="s">
        <v>138</v>
      </c>
      <c r="D773" s="66"/>
    </row>
    <row r="774" spans="1:5">
      <c r="A774" s="109"/>
      <c r="B774" s="109"/>
      <c r="C774" s="66" t="s">
        <v>141</v>
      </c>
      <c r="D774" s="66"/>
    </row>
    <row r="775" spans="1:5">
      <c r="A775" s="109"/>
      <c r="B775" s="109"/>
      <c r="C775" s="66" t="s">
        <v>143</v>
      </c>
      <c r="D775" s="66"/>
    </row>
    <row r="776" spans="1:5">
      <c r="A776" s="109"/>
      <c r="B776" s="109"/>
      <c r="C776" s="66" t="s">
        <v>315</v>
      </c>
      <c r="D776" s="66"/>
    </row>
    <row r="777" spans="1:5">
      <c r="A777" s="109"/>
      <c r="B777" s="109"/>
      <c r="C777" s="66" t="s">
        <v>145</v>
      </c>
      <c r="D777" s="66"/>
    </row>
    <row r="778" spans="1:5">
      <c r="A778" s="109"/>
      <c r="B778" s="109"/>
      <c r="C778" s="66" t="s">
        <v>147</v>
      </c>
      <c r="D778" s="66"/>
    </row>
    <row r="779" spans="1:5">
      <c r="A779" s="109"/>
      <c r="B779" s="109"/>
      <c r="C779" s="66" t="s">
        <v>149</v>
      </c>
      <c r="D779" s="66"/>
    </row>
    <row r="780" spans="1:5">
      <c r="A780" s="109"/>
      <c r="B780" s="109"/>
      <c r="C780" s="66" t="s">
        <v>151</v>
      </c>
      <c r="D780" s="66"/>
    </row>
    <row r="781" spans="1:5">
      <c r="A781" s="109"/>
      <c r="B781" s="109"/>
      <c r="C781" s="66" t="s">
        <v>153</v>
      </c>
      <c r="D781" s="66"/>
    </row>
    <row r="782" spans="1:5">
      <c r="A782" s="109"/>
      <c r="B782" s="109"/>
      <c r="C782" s="66" t="s">
        <v>1141</v>
      </c>
      <c r="D782" s="66"/>
      <c r="E782" s="16" t="s">
        <v>1200</v>
      </c>
    </row>
    <row r="783" spans="1:5">
      <c r="A783" s="109"/>
      <c r="B783" s="109"/>
      <c r="C783" s="66" t="s">
        <v>1140</v>
      </c>
      <c r="D783" s="66"/>
      <c r="E783" s="16" t="s">
        <v>1200</v>
      </c>
    </row>
    <row r="784" spans="1:5">
      <c r="A784" s="109"/>
      <c r="B784" s="109"/>
      <c r="C784" s="66" t="s">
        <v>971</v>
      </c>
      <c r="D784" s="66"/>
      <c r="E784" s="16" t="s">
        <v>1200</v>
      </c>
    </row>
    <row r="785" spans="1:5">
      <c r="A785" s="109"/>
      <c r="B785" s="109"/>
      <c r="C785" s="66" t="s">
        <v>157</v>
      </c>
      <c r="D785" s="66"/>
    </row>
    <row r="786" spans="1:5">
      <c r="A786" s="109"/>
      <c r="B786" s="109"/>
      <c r="C786" s="66" t="s">
        <v>158</v>
      </c>
      <c r="D786" s="66"/>
    </row>
    <row r="787" spans="1:5">
      <c r="A787" s="109"/>
      <c r="B787" s="109"/>
      <c r="C787" s="66" t="s">
        <v>159</v>
      </c>
      <c r="D787" s="66"/>
    </row>
    <row r="788" spans="1:5">
      <c r="A788" s="109"/>
      <c r="B788" s="109"/>
      <c r="C788" s="66" t="s">
        <v>160</v>
      </c>
      <c r="D788" s="66"/>
    </row>
    <row r="789" spans="1:5">
      <c r="A789" s="109"/>
      <c r="B789" s="109"/>
      <c r="C789" s="66" t="s">
        <v>161</v>
      </c>
      <c r="D789" s="66"/>
    </row>
    <row r="790" spans="1:5">
      <c r="A790" s="109"/>
      <c r="B790" s="109"/>
      <c r="C790" s="66" t="s">
        <v>973</v>
      </c>
      <c r="D790" s="66"/>
      <c r="E790" s="16" t="s">
        <v>1200</v>
      </c>
    </row>
    <row r="791" spans="1:5">
      <c r="A791" s="109"/>
      <c r="B791" s="109"/>
      <c r="C791" s="66" t="s">
        <v>164</v>
      </c>
      <c r="D791" s="66"/>
    </row>
    <row r="792" spans="1:5">
      <c r="A792" s="109"/>
      <c r="B792" s="109"/>
      <c r="C792" s="66" t="s">
        <v>166</v>
      </c>
      <c r="D792" s="66"/>
    </row>
    <row r="793" spans="1:5">
      <c r="A793" s="109"/>
      <c r="B793" s="109"/>
      <c r="C793" s="66" t="s">
        <v>168</v>
      </c>
      <c r="D793" s="66"/>
    </row>
    <row r="794" spans="1:5">
      <c r="A794" s="109"/>
      <c r="B794" s="109"/>
      <c r="C794" s="66" t="s">
        <v>171</v>
      </c>
      <c r="D794" s="66"/>
    </row>
    <row r="795" spans="1:5">
      <c r="A795" s="109"/>
      <c r="B795" s="109"/>
      <c r="C795" s="66" t="s">
        <v>173</v>
      </c>
      <c r="D795" s="66"/>
    </row>
    <row r="796" spans="1:5">
      <c r="A796" s="109"/>
      <c r="B796" s="109"/>
      <c r="C796" s="66" t="s">
        <v>175</v>
      </c>
      <c r="D796" s="66"/>
    </row>
    <row r="797" spans="1:5">
      <c r="A797" s="109"/>
      <c r="B797" s="109"/>
      <c r="C797" s="66" t="s">
        <v>177</v>
      </c>
      <c r="D797" s="66"/>
    </row>
    <row r="798" spans="1:5">
      <c r="A798" s="109"/>
      <c r="B798" s="109"/>
      <c r="C798" s="66" t="s">
        <v>178</v>
      </c>
      <c r="D798" s="66"/>
    </row>
    <row r="799" spans="1:5">
      <c r="A799" s="109"/>
      <c r="B799" s="109"/>
      <c r="C799" s="66" t="s">
        <v>179</v>
      </c>
      <c r="D799" s="66"/>
    </row>
    <row r="800" spans="1:5">
      <c r="A800" s="109"/>
      <c r="B800" s="109"/>
      <c r="C800" s="66" t="s">
        <v>180</v>
      </c>
      <c r="D800" s="66"/>
    </row>
    <row r="801" spans="1:5">
      <c r="A801" s="109"/>
      <c r="B801" s="109"/>
      <c r="C801" s="66" t="s">
        <v>181</v>
      </c>
      <c r="D801" s="66"/>
    </row>
    <row r="802" spans="1:5">
      <c r="A802" s="109"/>
      <c r="B802" s="109"/>
      <c r="C802" s="66" t="s">
        <v>182</v>
      </c>
      <c r="D802" s="66"/>
    </row>
    <row r="803" spans="1:5">
      <c r="A803" s="109"/>
      <c r="B803" s="109"/>
      <c r="C803" s="66" t="s">
        <v>183</v>
      </c>
      <c r="D803" s="66"/>
    </row>
    <row r="804" spans="1:5">
      <c r="A804" s="109"/>
      <c r="B804" s="109"/>
      <c r="C804" s="66" t="s">
        <v>510</v>
      </c>
      <c r="D804" s="66"/>
    </row>
    <row r="805" spans="1:5">
      <c r="A805" s="109"/>
      <c r="B805" s="109"/>
      <c r="C805" s="66" t="s">
        <v>184</v>
      </c>
      <c r="D805" s="66"/>
    </row>
    <row r="806" spans="1:5">
      <c r="A806" s="109"/>
      <c r="B806" s="109"/>
      <c r="C806" s="66" t="s">
        <v>185</v>
      </c>
      <c r="D806" s="66"/>
    </row>
    <row r="807" spans="1:5">
      <c r="A807" s="109"/>
      <c r="B807" s="109"/>
      <c r="C807" s="66" t="s">
        <v>186</v>
      </c>
      <c r="D807" s="66"/>
    </row>
    <row r="808" spans="1:5">
      <c r="A808" s="109"/>
      <c r="B808" s="109"/>
      <c r="C808" s="66" t="s">
        <v>187</v>
      </c>
      <c r="D808" s="66"/>
    </row>
    <row r="809" spans="1:5">
      <c r="A809" s="109"/>
      <c r="B809" s="109"/>
      <c r="C809" s="66" t="s">
        <v>972</v>
      </c>
      <c r="D809" s="66"/>
      <c r="E809" s="16" t="s">
        <v>1200</v>
      </c>
    </row>
    <row r="810" spans="1:5">
      <c r="A810" s="109"/>
      <c r="B810" s="109"/>
      <c r="C810" s="66" t="s">
        <v>188</v>
      </c>
      <c r="D810" s="66"/>
    </row>
    <row r="811" spans="1:5">
      <c r="A811" s="109"/>
      <c r="B811" s="109"/>
      <c r="C811" s="66" t="s">
        <v>189</v>
      </c>
      <c r="D811" s="66"/>
    </row>
    <row r="812" spans="1:5">
      <c r="A812" s="109"/>
      <c r="B812" s="109"/>
      <c r="C812" s="66" t="s">
        <v>190</v>
      </c>
      <c r="D812" s="66"/>
    </row>
    <row r="813" spans="1:5">
      <c r="A813" s="109"/>
      <c r="B813" s="109"/>
      <c r="C813" s="66" t="s">
        <v>191</v>
      </c>
      <c r="D813" s="66"/>
    </row>
    <row r="814" spans="1:5">
      <c r="A814" s="109"/>
      <c r="B814" s="109"/>
      <c r="C814" s="66" t="s">
        <v>192</v>
      </c>
      <c r="D814" s="66"/>
    </row>
    <row r="815" spans="1:5">
      <c r="A815" s="109"/>
      <c r="B815" s="109"/>
      <c r="C815" s="66" t="s">
        <v>193</v>
      </c>
      <c r="D815" s="66"/>
    </row>
    <row r="816" spans="1:5">
      <c r="A816" s="109"/>
      <c r="B816" s="109"/>
      <c r="C816" s="66" t="s">
        <v>194</v>
      </c>
      <c r="D816" s="66"/>
    </row>
    <row r="817" spans="1:6">
      <c r="A817" s="109"/>
      <c r="B817" s="109"/>
      <c r="C817" s="66" t="s">
        <v>196</v>
      </c>
      <c r="D817" s="66"/>
    </row>
    <row r="818" spans="1:6">
      <c r="A818" s="109"/>
      <c r="B818" s="109"/>
      <c r="C818" s="66" t="s">
        <v>197</v>
      </c>
      <c r="D818" s="66"/>
    </row>
    <row r="819" spans="1:6">
      <c r="A819" s="109"/>
      <c r="B819" s="109"/>
      <c r="C819" s="66" t="s">
        <v>198</v>
      </c>
      <c r="D819" s="66"/>
    </row>
    <row r="820" spans="1:6">
      <c r="A820" s="109"/>
      <c r="B820" s="109"/>
      <c r="C820" s="66" t="s">
        <v>199</v>
      </c>
      <c r="D820" s="66"/>
    </row>
    <row r="821" spans="1:6">
      <c r="A821" s="109"/>
      <c r="B821" s="109"/>
      <c r="C821" s="66" t="s">
        <v>200</v>
      </c>
      <c r="D821" s="66"/>
    </row>
    <row r="822" spans="1:6">
      <c r="A822" s="109"/>
      <c r="B822" s="109"/>
      <c r="C822" s="66" t="s">
        <v>201</v>
      </c>
      <c r="D822" s="66"/>
    </row>
    <row r="823" spans="1:6">
      <c r="A823" s="109"/>
      <c r="B823" s="109"/>
      <c r="C823" s="66" t="s">
        <v>203</v>
      </c>
      <c r="D823" s="66"/>
    </row>
    <row r="824" spans="1:6">
      <c r="A824" s="109"/>
      <c r="B824" s="109"/>
      <c r="C824" s="66" t="s">
        <v>204</v>
      </c>
      <c r="D824" s="66"/>
    </row>
    <row r="825" spans="1:6">
      <c r="A825" s="109"/>
      <c r="B825" s="109"/>
      <c r="C825" s="66" t="s">
        <v>205</v>
      </c>
      <c r="D825" s="66"/>
    </row>
    <row r="826" spans="1:6">
      <c r="A826" s="109"/>
      <c r="B826" s="109"/>
      <c r="C826" s="66" t="s">
        <v>206</v>
      </c>
      <c r="D826" s="66"/>
    </row>
    <row r="827" spans="1:6">
      <c r="A827" s="109"/>
      <c r="B827" s="109"/>
      <c r="C827" s="66" t="s">
        <v>207</v>
      </c>
      <c r="D827" s="66"/>
    </row>
    <row r="828" spans="1:6">
      <c r="A828" s="109"/>
      <c r="B828" s="109"/>
      <c r="C828" s="66" t="s">
        <v>208</v>
      </c>
      <c r="D828" s="66"/>
    </row>
    <row r="829" spans="1:6">
      <c r="A829" s="109"/>
      <c r="B829" s="109"/>
      <c r="C829" s="66" t="s">
        <v>209</v>
      </c>
      <c r="D829" s="66"/>
    </row>
    <row r="830" spans="1:6">
      <c r="A830" s="109"/>
      <c r="B830" s="109"/>
      <c r="C830" s="66" t="s">
        <v>210</v>
      </c>
      <c r="D830" s="66"/>
    </row>
    <row r="831" spans="1:6">
      <c r="A831" s="109"/>
      <c r="B831" s="109"/>
      <c r="C831" s="66" t="s">
        <v>1194</v>
      </c>
      <c r="D831" s="146" t="s">
        <v>1193</v>
      </c>
      <c r="F831"/>
    </row>
    <row r="832" spans="1:6">
      <c r="A832" s="109"/>
      <c r="B832" s="109"/>
      <c r="C832" s="66" t="s">
        <v>1195</v>
      </c>
      <c r="D832" s="146" t="s">
        <v>963</v>
      </c>
      <c r="F832"/>
    </row>
    <row r="833" spans="1:6">
      <c r="A833" s="109"/>
      <c r="B833" s="109"/>
      <c r="C833" s="66" t="s">
        <v>1196</v>
      </c>
      <c r="D833" s="146" t="s">
        <v>963</v>
      </c>
      <c r="F833"/>
    </row>
    <row r="834" spans="1:6">
      <c r="A834" s="109"/>
      <c r="B834" s="109"/>
      <c r="C834" s="66" t="s">
        <v>959</v>
      </c>
      <c r="D834" s="143"/>
      <c r="F834"/>
    </row>
    <row r="835" spans="1:6">
      <c r="A835" s="109"/>
      <c r="B835" s="109"/>
      <c r="C835" s="66" t="s">
        <v>317</v>
      </c>
      <c r="D835" s="66"/>
      <c r="F835"/>
    </row>
    <row r="836" spans="1:6">
      <c r="A836" s="109"/>
      <c r="B836" s="109"/>
      <c r="C836" s="66" t="s">
        <v>947</v>
      </c>
      <c r="D836" s="66"/>
      <c r="F836"/>
    </row>
    <row r="837" spans="1:6">
      <c r="A837" s="109"/>
      <c r="B837" s="109"/>
      <c r="C837" s="66" t="s">
        <v>948</v>
      </c>
      <c r="D837" s="66"/>
      <c r="F837"/>
    </row>
    <row r="838" spans="1:6">
      <c r="A838" s="109"/>
      <c r="B838" s="109"/>
      <c r="C838" s="66" t="s">
        <v>316</v>
      </c>
      <c r="D838" s="66"/>
      <c r="F838"/>
    </row>
    <row r="839" spans="1:6">
      <c r="A839" s="109"/>
      <c r="B839" s="109"/>
      <c r="C839" s="66" t="s">
        <v>313</v>
      </c>
      <c r="D839" s="66"/>
      <c r="F839"/>
    </row>
    <row r="840" spans="1:6">
      <c r="A840" s="109"/>
      <c r="B840" s="109"/>
      <c r="C840" s="66" t="s">
        <v>318</v>
      </c>
      <c r="D840" s="66"/>
      <c r="F840"/>
    </row>
    <row r="841" spans="1:6">
      <c r="A841" s="109"/>
      <c r="B841" s="109"/>
      <c r="C841" s="66" t="s">
        <v>949</v>
      </c>
      <c r="D841" s="66"/>
      <c r="F841"/>
    </row>
    <row r="842" spans="1:6">
      <c r="A842" s="109"/>
      <c r="B842" s="109"/>
      <c r="C842" s="66" t="s">
        <v>704</v>
      </c>
      <c r="D842" s="66"/>
      <c r="F842"/>
    </row>
    <row r="843" spans="1:6">
      <c r="A843" s="109"/>
      <c r="B843" s="109"/>
      <c r="C843" s="66" t="s">
        <v>705</v>
      </c>
      <c r="D843" s="66"/>
      <c r="F843"/>
    </row>
    <row r="844" spans="1:6">
      <c r="A844" s="109"/>
      <c r="B844" s="109"/>
      <c r="C844" s="66" t="s">
        <v>707</v>
      </c>
      <c r="D844" s="66"/>
      <c r="F844"/>
    </row>
    <row r="845" spans="1:6">
      <c r="A845" s="109"/>
      <c r="B845" s="109"/>
      <c r="C845" s="66" t="s">
        <v>706</v>
      </c>
      <c r="D845" s="66"/>
    </row>
    <row r="846" spans="1:6">
      <c r="A846" s="109"/>
      <c r="B846" s="109"/>
      <c r="C846" s="66" t="s">
        <v>703</v>
      </c>
      <c r="D846" s="66"/>
    </row>
    <row r="847" spans="1:6">
      <c r="A847" s="109"/>
      <c r="B847" s="109"/>
      <c r="C847" s="66" t="s">
        <v>455</v>
      </c>
      <c r="D847" s="66"/>
    </row>
    <row r="848" spans="1:6">
      <c r="A848" s="109"/>
      <c r="B848" s="109"/>
      <c r="C848" s="66" t="s">
        <v>456</v>
      </c>
      <c r="D848" s="66"/>
    </row>
    <row r="849" spans="1:4">
      <c r="A849" s="109"/>
      <c r="B849" s="109"/>
      <c r="C849" s="66" t="s">
        <v>457</v>
      </c>
      <c r="D849" s="66"/>
    </row>
    <row r="850" spans="1:4">
      <c r="A850" s="109"/>
      <c r="B850" s="109"/>
      <c r="C850" s="66" t="s">
        <v>102</v>
      </c>
      <c r="D850" s="66"/>
    </row>
    <row r="851" spans="1:4">
      <c r="A851" s="82" t="s">
        <v>364</v>
      </c>
      <c r="B851" s="82"/>
      <c r="C851" s="69" t="s">
        <v>55</v>
      </c>
      <c r="D851" s="69"/>
    </row>
    <row r="852" spans="1:4">
      <c r="A852" s="83"/>
      <c r="B852" s="83"/>
      <c r="C852" s="69" t="s">
        <v>62</v>
      </c>
      <c r="D852" s="69"/>
    </row>
    <row r="853" spans="1:4">
      <c r="A853" s="109" t="s">
        <v>31</v>
      </c>
      <c r="B853" s="109" t="s">
        <v>1</v>
      </c>
      <c r="C853" s="66" t="s">
        <v>213</v>
      </c>
      <c r="D853" s="66"/>
    </row>
    <row r="854" spans="1:4">
      <c r="A854" s="109"/>
      <c r="B854" s="109"/>
      <c r="C854" s="66" t="s">
        <v>220</v>
      </c>
      <c r="D854" s="66"/>
    </row>
    <row r="855" spans="1:4">
      <c r="A855" s="109"/>
      <c r="B855" s="109"/>
      <c r="C855" s="66" t="s">
        <v>218</v>
      </c>
      <c r="D855" s="66"/>
    </row>
    <row r="856" spans="1:4">
      <c r="A856" s="109"/>
      <c r="B856" s="109"/>
      <c r="C856" s="66" t="s">
        <v>219</v>
      </c>
      <c r="D856" s="66"/>
    </row>
    <row r="857" spans="1:4">
      <c r="A857" s="109"/>
      <c r="B857" s="109"/>
      <c r="C857" s="66" t="s">
        <v>214</v>
      </c>
      <c r="D857" s="66"/>
    </row>
    <row r="858" spans="1:4">
      <c r="A858" s="109"/>
      <c r="B858" s="109"/>
      <c r="C858" s="66" t="s">
        <v>217</v>
      </c>
      <c r="D858" s="66"/>
    </row>
    <row r="859" spans="1:4">
      <c r="A859" s="109"/>
      <c r="B859" s="109"/>
      <c r="C859" s="66" t="s">
        <v>215</v>
      </c>
      <c r="D859" s="66"/>
    </row>
    <row r="860" spans="1:4">
      <c r="A860" s="109"/>
      <c r="B860" s="109"/>
      <c r="C860" s="66" t="s">
        <v>216</v>
      </c>
      <c r="D860" s="66"/>
    </row>
    <row r="861" spans="1:4">
      <c r="A861" s="109"/>
      <c r="B861" s="109"/>
      <c r="C861" s="66" t="s">
        <v>505</v>
      </c>
      <c r="D861" s="66"/>
    </row>
    <row r="862" spans="1:4">
      <c r="A862" s="82" t="s">
        <v>40</v>
      </c>
      <c r="B862" s="82" t="s">
        <v>1</v>
      </c>
      <c r="C862" s="69" t="s">
        <v>221</v>
      </c>
      <c r="D862" s="69"/>
    </row>
    <row r="863" spans="1:4">
      <c r="A863" s="83"/>
      <c r="B863" s="83"/>
      <c r="C863" s="69" t="s">
        <v>222</v>
      </c>
      <c r="D863" s="69"/>
    </row>
    <row r="864" spans="1:4">
      <c r="A864" s="83"/>
      <c r="B864" s="83"/>
      <c r="C864" s="69" t="s">
        <v>223</v>
      </c>
      <c r="D864" s="69"/>
    </row>
    <row r="865" spans="1:4">
      <c r="A865" s="83"/>
      <c r="B865" s="83"/>
      <c r="C865" s="69" t="s">
        <v>224</v>
      </c>
      <c r="D865" s="69"/>
    </row>
    <row r="866" spans="1:4">
      <c r="A866" s="83"/>
      <c r="B866" s="83"/>
      <c r="C866" s="69" t="s">
        <v>225</v>
      </c>
      <c r="D866" s="69"/>
    </row>
    <row r="867" spans="1:4">
      <c r="A867" s="83"/>
      <c r="B867" s="83"/>
      <c r="C867" s="69" t="s">
        <v>226</v>
      </c>
      <c r="D867" s="69"/>
    </row>
    <row r="868" spans="1:4">
      <c r="A868" s="83"/>
      <c r="B868" s="83"/>
      <c r="C868" s="69" t="s">
        <v>227</v>
      </c>
      <c r="D868" s="69"/>
    </row>
    <row r="869" spans="1:4">
      <c r="A869" s="83"/>
      <c r="B869" s="83"/>
      <c r="C869" s="69" t="s">
        <v>246</v>
      </c>
      <c r="D869" s="69"/>
    </row>
    <row r="870" spans="1:4">
      <c r="A870" s="109" t="s">
        <v>32</v>
      </c>
      <c r="B870" s="109" t="s">
        <v>1</v>
      </c>
      <c r="C870" s="66" t="s">
        <v>221</v>
      </c>
      <c r="D870" s="66"/>
    </row>
    <row r="871" spans="1:4">
      <c r="A871" s="109"/>
      <c r="B871" s="109"/>
      <c r="C871" s="66" t="s">
        <v>223</v>
      </c>
      <c r="D871" s="66"/>
    </row>
    <row r="872" spans="1:4">
      <c r="A872" s="109"/>
      <c r="B872" s="109"/>
      <c r="C872" s="66" t="s">
        <v>225</v>
      </c>
      <c r="D872" s="66"/>
    </row>
    <row r="873" spans="1:4">
      <c r="A873" s="109"/>
      <c r="B873" s="109"/>
      <c r="C873" s="66" t="s">
        <v>102</v>
      </c>
      <c r="D873" s="66"/>
    </row>
    <row r="874" spans="1:4">
      <c r="A874" s="82" t="s">
        <v>33</v>
      </c>
      <c r="B874" s="82" t="s">
        <v>1</v>
      </c>
      <c r="C874" s="69" t="s">
        <v>228</v>
      </c>
      <c r="D874" s="69"/>
    </row>
    <row r="875" spans="1:4">
      <c r="A875" s="83"/>
      <c r="B875" s="83"/>
      <c r="C875" s="69" t="s">
        <v>229</v>
      </c>
      <c r="D875" s="69"/>
    </row>
    <row r="876" spans="1:4">
      <c r="A876" s="83"/>
      <c r="B876" s="83"/>
      <c r="C876" s="69" t="s">
        <v>230</v>
      </c>
      <c r="D876" s="69"/>
    </row>
    <row r="877" spans="1:4">
      <c r="A877" s="83"/>
      <c r="B877" s="83"/>
      <c r="C877" s="69" t="s">
        <v>231</v>
      </c>
      <c r="D877" s="69"/>
    </row>
    <row r="878" spans="1:4">
      <c r="A878" s="83"/>
      <c r="B878" s="83"/>
      <c r="C878" s="69" t="s">
        <v>623</v>
      </c>
      <c r="D878" s="69"/>
    </row>
    <row r="879" spans="1:4">
      <c r="A879" s="83"/>
      <c r="B879" s="83"/>
      <c r="C879" s="69" t="s">
        <v>306</v>
      </c>
      <c r="D879" s="69"/>
    </row>
    <row r="880" spans="1:4">
      <c r="A880" s="83"/>
      <c r="B880" s="83"/>
      <c r="C880" s="69" t="s">
        <v>307</v>
      </c>
      <c r="D880" s="69"/>
    </row>
    <row r="881" spans="1:5">
      <c r="A881" s="83"/>
      <c r="B881" s="83"/>
      <c r="C881" s="69" t="s">
        <v>291</v>
      </c>
      <c r="D881" s="69"/>
    </row>
    <row r="882" spans="1:5">
      <c r="A882" s="83"/>
      <c r="B882" s="83"/>
      <c r="C882" s="69" t="s">
        <v>785</v>
      </c>
      <c r="D882" s="69" t="s">
        <v>785</v>
      </c>
      <c r="E882" s="16" t="s">
        <v>1200</v>
      </c>
    </row>
    <row r="883" spans="1:5">
      <c r="A883" s="84"/>
      <c r="B883" s="84"/>
      <c r="C883" s="69" t="s">
        <v>102</v>
      </c>
      <c r="D883" s="69"/>
    </row>
    <row r="884" spans="1:5">
      <c r="A884" s="98" t="s">
        <v>459</v>
      </c>
      <c r="B884" s="98" t="s">
        <v>1</v>
      </c>
      <c r="C884" s="66" t="s">
        <v>73</v>
      </c>
      <c r="D884" s="66"/>
    </row>
    <row r="885" spans="1:5">
      <c r="A885" s="99"/>
      <c r="B885" s="99"/>
      <c r="C885" s="66" t="s">
        <v>232</v>
      </c>
      <c r="D885" s="66"/>
    </row>
    <row r="886" spans="1:5">
      <c r="A886" s="99"/>
      <c r="B886" s="99"/>
      <c r="C886" s="66" t="s">
        <v>460</v>
      </c>
      <c r="D886" s="66"/>
    </row>
    <row r="887" spans="1:5">
      <c r="A887" s="99"/>
      <c r="B887" s="99"/>
      <c r="C887" s="66" t="s">
        <v>162</v>
      </c>
      <c r="D887" s="66"/>
    </row>
    <row r="888" spans="1:5">
      <c r="A888" s="99"/>
      <c r="B888" s="99"/>
      <c r="C888" s="66" t="s">
        <v>951</v>
      </c>
      <c r="D888" s="66"/>
    </row>
    <row r="889" spans="1:5">
      <c r="A889" s="99"/>
      <c r="B889" s="99"/>
      <c r="C889" s="66" t="s">
        <v>416</v>
      </c>
      <c r="D889" s="66" t="s">
        <v>417</v>
      </c>
    </row>
    <row r="890" spans="1:5">
      <c r="A890" s="99"/>
      <c r="B890" s="99"/>
      <c r="C890" s="66" t="s">
        <v>233</v>
      </c>
      <c r="D890" s="66"/>
    </row>
    <row r="891" spans="1:5">
      <c r="A891" s="82" t="s">
        <v>34</v>
      </c>
      <c r="B891" s="82" t="s">
        <v>1</v>
      </c>
      <c r="C891" s="69" t="s">
        <v>234</v>
      </c>
      <c r="D891" s="69"/>
    </row>
    <row r="892" spans="1:5">
      <c r="A892" s="83"/>
      <c r="B892" s="83"/>
      <c r="C892" s="69" t="s">
        <v>235</v>
      </c>
      <c r="D892" s="69"/>
    </row>
    <row r="893" spans="1:5">
      <c r="A893" s="83"/>
      <c r="B893" s="83"/>
      <c r="C893" s="69" t="s">
        <v>236</v>
      </c>
      <c r="D893" s="69"/>
    </row>
    <row r="894" spans="1:5">
      <c r="A894" s="83"/>
      <c r="B894" s="83"/>
      <c r="C894" s="69" t="s">
        <v>237</v>
      </c>
      <c r="D894" s="69"/>
    </row>
    <row r="895" spans="1:5">
      <c r="A895" s="83"/>
      <c r="B895" s="83"/>
      <c r="C895" s="69" t="s">
        <v>238</v>
      </c>
      <c r="D895" s="69"/>
    </row>
    <row r="896" spans="1:5">
      <c r="A896" s="83"/>
      <c r="B896" s="83"/>
      <c r="C896" s="69" t="s">
        <v>102</v>
      </c>
      <c r="D896" s="69"/>
    </row>
    <row r="897" spans="1:4">
      <c r="A897" s="98" t="s">
        <v>35</v>
      </c>
      <c r="B897" s="98" t="s">
        <v>1</v>
      </c>
      <c r="C897" s="66" t="s">
        <v>211</v>
      </c>
      <c r="D897" s="66"/>
    </row>
    <row r="898" spans="1:4">
      <c r="A898" s="99"/>
      <c r="B898" s="99"/>
      <c r="C898" s="66" t="s">
        <v>212</v>
      </c>
      <c r="D898" s="66"/>
    </row>
    <row r="899" spans="1:4">
      <c r="A899" s="99"/>
      <c r="B899" s="99"/>
      <c r="C899" s="66" t="s">
        <v>73</v>
      </c>
      <c r="D899" s="66"/>
    </row>
    <row r="900" spans="1:4">
      <c r="A900" s="99"/>
      <c r="B900" s="99"/>
      <c r="C900" s="66" t="s">
        <v>102</v>
      </c>
      <c r="D900" s="66"/>
    </row>
    <row r="901" spans="1:4">
      <c r="A901" s="82" t="s">
        <v>37</v>
      </c>
      <c r="B901" s="82" t="s">
        <v>1</v>
      </c>
      <c r="C901" s="69" t="s">
        <v>657</v>
      </c>
      <c r="D901" s="69"/>
    </row>
    <row r="902" spans="1:4">
      <c r="A902" s="83"/>
      <c r="B902" s="83"/>
      <c r="C902" s="69" t="s">
        <v>658</v>
      </c>
      <c r="D902" s="69"/>
    </row>
    <row r="903" spans="1:4">
      <c r="A903" s="83"/>
      <c r="B903" s="83"/>
      <c r="C903" s="69" t="s">
        <v>72</v>
      </c>
      <c r="D903" s="69"/>
    </row>
    <row r="904" spans="1:4">
      <c r="A904" s="83"/>
      <c r="B904" s="83"/>
      <c r="C904" s="69" t="s">
        <v>659</v>
      </c>
      <c r="D904" s="69"/>
    </row>
    <row r="905" spans="1:4">
      <c r="A905" s="83"/>
      <c r="B905" s="83"/>
      <c r="C905" s="69" t="s">
        <v>660</v>
      </c>
      <c r="D905" s="69"/>
    </row>
    <row r="906" spans="1:4">
      <c r="A906" s="108" t="s">
        <v>39</v>
      </c>
      <c r="B906" s="108" t="s">
        <v>1</v>
      </c>
      <c r="C906" s="72" t="s">
        <v>239</v>
      </c>
      <c r="D906" s="72"/>
    </row>
    <row r="907" spans="1:4">
      <c r="A907" s="109"/>
      <c r="B907" s="109"/>
      <c r="C907" s="72" t="s">
        <v>240</v>
      </c>
      <c r="D907" s="72"/>
    </row>
    <row r="908" spans="1:4">
      <c r="A908" s="109"/>
      <c r="B908" s="109"/>
      <c r="C908" s="66" t="s">
        <v>676</v>
      </c>
      <c r="D908" s="66"/>
    </row>
    <row r="909" spans="1:4">
      <c r="A909" s="109"/>
      <c r="B909" s="109"/>
      <c r="C909" s="66" t="s">
        <v>677</v>
      </c>
      <c r="D909" s="66"/>
    </row>
    <row r="910" spans="1:4">
      <c r="A910" s="109"/>
      <c r="B910" s="109"/>
      <c r="C910" s="66" t="s">
        <v>678</v>
      </c>
      <c r="D910" s="66"/>
    </row>
    <row r="911" spans="1:4">
      <c r="A911" s="109"/>
      <c r="B911" s="109"/>
      <c r="C911" s="66" t="s">
        <v>679</v>
      </c>
      <c r="D911" s="66"/>
    </row>
    <row r="912" spans="1:4">
      <c r="A912" s="104" t="s">
        <v>41</v>
      </c>
      <c r="B912" s="104" t="s">
        <v>1</v>
      </c>
      <c r="C912" s="74" t="s">
        <v>221</v>
      </c>
      <c r="D912" s="74"/>
    </row>
    <row r="913" spans="1:5">
      <c r="A913" s="86"/>
      <c r="B913" s="86"/>
      <c r="C913" s="74" t="s">
        <v>222</v>
      </c>
      <c r="D913" s="74"/>
    </row>
    <row r="914" spans="1:5">
      <c r="A914" s="86"/>
      <c r="B914" s="86"/>
      <c r="C914" s="69" t="s">
        <v>223</v>
      </c>
      <c r="D914" s="69"/>
    </row>
    <row r="915" spans="1:5">
      <c r="A915" s="86"/>
      <c r="B915" s="86"/>
      <c r="C915" s="69" t="s">
        <v>224</v>
      </c>
      <c r="D915" s="69"/>
    </row>
    <row r="916" spans="1:5">
      <c r="A916" s="86"/>
      <c r="B916" s="86"/>
      <c r="C916" s="69" t="s">
        <v>225</v>
      </c>
      <c r="D916" s="69"/>
    </row>
    <row r="917" spans="1:5">
      <c r="A917" s="86"/>
      <c r="B917" s="86"/>
      <c r="C917" s="69" t="s">
        <v>226</v>
      </c>
      <c r="D917" s="69"/>
    </row>
    <row r="918" spans="1:5">
      <c r="A918" s="86"/>
      <c r="B918" s="86"/>
      <c r="C918" s="74" t="s">
        <v>227</v>
      </c>
      <c r="D918" s="74"/>
    </row>
    <row r="919" spans="1:5">
      <c r="A919" s="86"/>
      <c r="B919" s="86"/>
      <c r="C919" s="74" t="s">
        <v>246</v>
      </c>
      <c r="D919" s="74"/>
    </row>
    <row r="920" spans="1:5">
      <c r="A920" s="108" t="s">
        <v>42</v>
      </c>
      <c r="B920" s="108" t="s">
        <v>1</v>
      </c>
      <c r="C920" s="72" t="s">
        <v>626</v>
      </c>
      <c r="D920" s="72"/>
      <c r="E920" s="73"/>
    </row>
    <row r="921" spans="1:5">
      <c r="A921" s="109"/>
      <c r="B921" s="109"/>
      <c r="C921" s="72" t="s">
        <v>664</v>
      </c>
      <c r="D921" s="72"/>
      <c r="E921" s="73"/>
    </row>
    <row r="922" spans="1:5">
      <c r="A922" s="109"/>
      <c r="B922" s="109"/>
      <c r="C922" s="66" t="s">
        <v>665</v>
      </c>
      <c r="D922" s="66"/>
      <c r="E922" s="73"/>
    </row>
    <row r="923" spans="1:5">
      <c r="A923" s="109"/>
      <c r="B923" s="109"/>
      <c r="C923" s="66" t="s">
        <v>666</v>
      </c>
      <c r="D923" s="66"/>
      <c r="E923" s="73"/>
    </row>
    <row r="924" spans="1:5">
      <c r="A924" s="109"/>
      <c r="B924" s="109"/>
      <c r="C924" s="66" t="s">
        <v>627</v>
      </c>
      <c r="D924" s="66"/>
      <c r="E924" s="73"/>
    </row>
    <row r="925" spans="1:5">
      <c r="A925" s="109"/>
      <c r="B925" s="109"/>
      <c r="C925" s="66" t="s">
        <v>102</v>
      </c>
      <c r="D925" s="66"/>
    </row>
    <row r="926" spans="1:5">
      <c r="A926" s="104" t="s">
        <v>683</v>
      </c>
      <c r="B926" s="104" t="s">
        <v>1</v>
      </c>
      <c r="C926" s="69" t="s">
        <v>945</v>
      </c>
      <c r="D926" s="69"/>
    </row>
    <row r="927" spans="1:5">
      <c r="A927" s="86"/>
      <c r="B927" s="86"/>
      <c r="C927" s="69" t="s">
        <v>688</v>
      </c>
      <c r="D927" s="69"/>
    </row>
    <row r="928" spans="1:5">
      <c r="A928" s="86"/>
      <c r="B928" s="86"/>
      <c r="C928" s="69" t="s">
        <v>687</v>
      </c>
      <c r="D928" s="69"/>
    </row>
    <row r="929" spans="1:5">
      <c r="A929" s="105" t="s">
        <v>43</v>
      </c>
      <c r="B929" s="105" t="s">
        <v>1</v>
      </c>
      <c r="C929" s="72" t="s">
        <v>312</v>
      </c>
      <c r="D929" s="72"/>
    </row>
    <row r="930" spans="1:5">
      <c r="A930" s="106"/>
      <c r="B930" s="106"/>
      <c r="C930" s="72" t="s">
        <v>229</v>
      </c>
      <c r="D930" s="72"/>
    </row>
    <row r="931" spans="1:5">
      <c r="A931" s="106"/>
      <c r="B931" s="106"/>
      <c r="C931" s="66" t="s">
        <v>228</v>
      </c>
      <c r="D931" s="66"/>
    </row>
    <row r="932" spans="1:5">
      <c r="A932" s="106"/>
      <c r="B932" s="106"/>
      <c r="C932" s="66" t="s">
        <v>230</v>
      </c>
      <c r="D932" s="66"/>
    </row>
    <row r="933" spans="1:5">
      <c r="A933" s="106"/>
      <c r="B933" s="106"/>
      <c r="C933" s="66" t="s">
        <v>102</v>
      </c>
      <c r="D933" s="66"/>
    </row>
    <row r="934" spans="1:5">
      <c r="A934" s="112" t="s">
        <v>44</v>
      </c>
      <c r="B934" s="112" t="s">
        <v>1</v>
      </c>
      <c r="C934" s="74" t="s">
        <v>228</v>
      </c>
      <c r="D934" s="74"/>
    </row>
    <row r="935" spans="1:5">
      <c r="A935" s="113"/>
      <c r="B935" s="113"/>
      <c r="C935" s="74" t="s">
        <v>229</v>
      </c>
      <c r="D935" s="74"/>
    </row>
    <row r="936" spans="1:5">
      <c r="A936" s="113"/>
      <c r="B936" s="113"/>
      <c r="C936" s="69" t="s">
        <v>230</v>
      </c>
      <c r="D936" s="69"/>
    </row>
    <row r="937" spans="1:5">
      <c r="A937" s="113"/>
      <c r="B937" s="113"/>
      <c r="C937" s="69" t="s">
        <v>231</v>
      </c>
      <c r="D937" s="69"/>
    </row>
    <row r="938" spans="1:5">
      <c r="A938" s="113"/>
      <c r="B938" s="113"/>
      <c r="C938" s="69" t="s">
        <v>290</v>
      </c>
      <c r="D938" s="69"/>
    </row>
    <row r="939" spans="1:5">
      <c r="A939" s="113"/>
      <c r="B939" s="113"/>
      <c r="C939" s="74" t="s">
        <v>290</v>
      </c>
      <c r="D939" s="74"/>
    </row>
    <row r="940" spans="1:5">
      <c r="A940" s="113"/>
      <c r="B940" s="113"/>
      <c r="C940" s="74" t="s">
        <v>306</v>
      </c>
      <c r="D940" s="74"/>
    </row>
    <row r="941" spans="1:5">
      <c r="A941" s="113"/>
      <c r="B941" s="113"/>
      <c r="C941" s="69" t="s">
        <v>307</v>
      </c>
      <c r="D941" s="69"/>
    </row>
    <row r="942" spans="1:5">
      <c r="A942" s="113"/>
      <c r="B942" s="113"/>
      <c r="C942" s="74" t="s">
        <v>291</v>
      </c>
      <c r="D942" s="74"/>
    </row>
    <row r="943" spans="1:5">
      <c r="A943" s="113"/>
      <c r="B943" s="113"/>
      <c r="C943" s="74" t="s">
        <v>312</v>
      </c>
      <c r="D943" s="74"/>
    </row>
    <row r="944" spans="1:5">
      <c r="A944" s="113"/>
      <c r="B944" s="113"/>
      <c r="C944" s="69" t="s">
        <v>786</v>
      </c>
      <c r="D944" s="69" t="s">
        <v>786</v>
      </c>
      <c r="E944" s="16" t="s">
        <v>1200</v>
      </c>
    </row>
    <row r="945" spans="1:4">
      <c r="A945" s="141"/>
      <c r="B945" s="141"/>
      <c r="C945" s="69" t="s">
        <v>102</v>
      </c>
      <c r="D945" s="69"/>
    </row>
    <row r="946" spans="1:4" ht="14.25" customHeight="1">
      <c r="A946" s="105" t="s">
        <v>462</v>
      </c>
      <c r="B946" s="105" t="s">
        <v>1</v>
      </c>
      <c r="C946" s="72" t="s">
        <v>467</v>
      </c>
      <c r="D946" s="72"/>
    </row>
    <row r="947" spans="1:4">
      <c r="A947" s="106"/>
      <c r="B947" s="106"/>
      <c r="C947" s="72" t="s">
        <v>468</v>
      </c>
      <c r="D947" s="72"/>
    </row>
    <row r="948" spans="1:4">
      <c r="A948" s="106"/>
      <c r="B948" s="106"/>
      <c r="C948" s="66" t="s">
        <v>469</v>
      </c>
      <c r="D948" s="66"/>
    </row>
    <row r="949" spans="1:4">
      <c r="A949" s="106"/>
      <c r="B949" s="106"/>
      <c r="C949" s="66" t="s">
        <v>471</v>
      </c>
      <c r="D949" s="66"/>
    </row>
    <row r="950" spans="1:4">
      <c r="A950" s="106"/>
      <c r="B950" s="106"/>
      <c r="C950" s="66" t="s">
        <v>466</v>
      </c>
      <c r="D950" s="66"/>
    </row>
    <row r="951" spans="1:4">
      <c r="A951" s="106"/>
      <c r="B951" s="106"/>
      <c r="C951" s="72" t="s">
        <v>465</v>
      </c>
      <c r="D951" s="72"/>
    </row>
    <row r="952" spans="1:4">
      <c r="A952" s="106"/>
      <c r="B952" s="106"/>
      <c r="C952" s="72" t="s">
        <v>312</v>
      </c>
      <c r="D952" s="72"/>
    </row>
    <row r="953" spans="1:4">
      <c r="A953" s="106"/>
      <c r="B953" s="106"/>
      <c r="C953" s="66" t="s">
        <v>474</v>
      </c>
      <c r="D953" s="66" t="s">
        <v>640</v>
      </c>
    </row>
    <row r="954" spans="1:4">
      <c r="A954" s="106"/>
      <c r="B954" s="106"/>
      <c r="C954" s="66" t="s">
        <v>416</v>
      </c>
      <c r="D954" s="66" t="s">
        <v>417</v>
      </c>
    </row>
    <row r="955" spans="1:4">
      <c r="A955" s="106"/>
      <c r="B955" s="106"/>
      <c r="C955" s="66" t="s">
        <v>102</v>
      </c>
      <c r="D955" s="66"/>
    </row>
    <row r="956" spans="1:4">
      <c r="A956" s="112" t="s">
        <v>45</v>
      </c>
      <c r="B956" s="112" t="s">
        <v>1</v>
      </c>
      <c r="C956" s="69" t="s">
        <v>766</v>
      </c>
      <c r="D956" s="69"/>
    </row>
    <row r="957" spans="1:4">
      <c r="A957" s="113"/>
      <c r="B957" s="113"/>
      <c r="C957" s="69" t="s">
        <v>765</v>
      </c>
      <c r="D957" s="69"/>
    </row>
    <row r="958" spans="1:4">
      <c r="A958" s="113"/>
      <c r="B958" s="113"/>
      <c r="C958" s="69" t="s">
        <v>242</v>
      </c>
      <c r="D958" s="69"/>
    </row>
    <row r="959" spans="1:4">
      <c r="A959" s="113"/>
      <c r="B959" s="113"/>
      <c r="C959" s="69" t="s">
        <v>281</v>
      </c>
      <c r="D959" s="69"/>
    </row>
    <row r="960" spans="1:4">
      <c r="A960" s="113"/>
      <c r="B960" s="113"/>
      <c r="C960" s="69" t="s">
        <v>280</v>
      </c>
      <c r="D960" s="69"/>
    </row>
    <row r="961" spans="1:5">
      <c r="A961" s="113"/>
      <c r="B961" s="113"/>
      <c r="C961" s="69" t="s">
        <v>241</v>
      </c>
      <c r="D961" s="69"/>
    </row>
    <row r="962" spans="1:5">
      <c r="A962" s="113"/>
      <c r="B962" s="113"/>
      <c r="C962" s="69" t="s">
        <v>943</v>
      </c>
      <c r="D962" s="69"/>
    </row>
    <row r="963" spans="1:5">
      <c r="A963" s="113"/>
      <c r="B963" s="113"/>
      <c r="C963" s="69" t="s">
        <v>1162</v>
      </c>
      <c r="D963" s="69"/>
      <c r="E963" s="16" t="s">
        <v>1200</v>
      </c>
    </row>
    <row r="964" spans="1:5">
      <c r="A964" s="114" t="s">
        <v>47</v>
      </c>
      <c r="B964" s="105" t="s">
        <v>1</v>
      </c>
      <c r="C964" s="66" t="s">
        <v>657</v>
      </c>
      <c r="D964" s="66"/>
    </row>
    <row r="965" spans="1:5">
      <c r="A965" s="115"/>
      <c r="B965" s="106"/>
      <c r="C965" s="66" t="s">
        <v>658</v>
      </c>
      <c r="D965" s="66"/>
    </row>
    <row r="966" spans="1:5">
      <c r="A966" s="115"/>
      <c r="B966" s="106"/>
      <c r="C966" s="66" t="s">
        <v>72</v>
      </c>
      <c r="D966" s="66"/>
    </row>
    <row r="967" spans="1:5">
      <c r="A967" s="115"/>
      <c r="B967" s="106"/>
      <c r="C967" s="66" t="s">
        <v>659</v>
      </c>
      <c r="D967" s="66"/>
    </row>
    <row r="968" spans="1:5">
      <c r="A968" s="115"/>
      <c r="B968" s="106"/>
      <c r="C968" s="66" t="s">
        <v>660</v>
      </c>
      <c r="D968" s="66"/>
    </row>
    <row r="969" spans="1:5">
      <c r="A969" s="115"/>
      <c r="B969" s="106"/>
      <c r="C969" s="66" t="s">
        <v>974</v>
      </c>
      <c r="D969" s="66"/>
      <c r="E969" s="16" t="s">
        <v>1200</v>
      </c>
    </row>
    <row r="970" spans="1:5">
      <c r="A970" s="116" t="s">
        <v>48</v>
      </c>
      <c r="B970" s="112" t="s">
        <v>1</v>
      </c>
      <c r="C970" s="69" t="s">
        <v>470</v>
      </c>
      <c r="D970" s="69"/>
    </row>
    <row r="971" spans="1:5">
      <c r="A971" s="117"/>
      <c r="B971" s="113"/>
      <c r="C971" s="69" t="s">
        <v>643</v>
      </c>
      <c r="D971" s="69"/>
    </row>
    <row r="972" spans="1:5">
      <c r="A972" s="117"/>
      <c r="B972" s="113"/>
      <c r="C972" s="69" t="s">
        <v>243</v>
      </c>
      <c r="D972" s="69"/>
    </row>
    <row r="973" spans="1:5">
      <c r="A973" s="117"/>
      <c r="B973" s="113"/>
      <c r="C973" s="69" t="s">
        <v>244</v>
      </c>
      <c r="D973" s="69"/>
    </row>
    <row r="974" spans="1:5">
      <c r="A974" s="117"/>
      <c r="B974" s="113"/>
      <c r="C974" s="69" t="s">
        <v>644</v>
      </c>
      <c r="D974" s="69"/>
    </row>
    <row r="975" spans="1:5">
      <c r="A975" s="117"/>
      <c r="B975" s="113"/>
      <c r="C975" s="69" t="s">
        <v>245</v>
      </c>
      <c r="D975" s="69"/>
    </row>
    <row r="976" spans="1:5">
      <c r="A976" s="142"/>
      <c r="B976" s="141"/>
      <c r="C976" s="69" t="s">
        <v>102</v>
      </c>
      <c r="D976" s="69"/>
    </row>
    <row r="977" spans="1:5">
      <c r="A977" s="105" t="s">
        <v>461</v>
      </c>
      <c r="B977" s="105" t="s">
        <v>1</v>
      </c>
      <c r="C977" s="66" t="s">
        <v>350</v>
      </c>
      <c r="D977" s="66"/>
      <c r="E977" s="16" t="s">
        <v>1201</v>
      </c>
    </row>
    <row r="978" spans="1:5">
      <c r="A978" s="106"/>
      <c r="B978" s="106"/>
      <c r="C978" s="66" t="s">
        <v>351</v>
      </c>
      <c r="D978" s="66"/>
    </row>
    <row r="979" spans="1:5">
      <c r="A979" s="106"/>
      <c r="B979" s="106"/>
      <c r="C979" s="66" t="s">
        <v>352</v>
      </c>
      <c r="D979" s="66"/>
    </row>
    <row r="980" spans="1:5">
      <c r="A980" s="106"/>
      <c r="B980" s="106"/>
      <c r="C980" s="66" t="s">
        <v>353</v>
      </c>
      <c r="D980" s="66"/>
    </row>
    <row r="981" spans="1:5">
      <c r="A981" s="106"/>
      <c r="B981" s="106"/>
      <c r="C981" s="66" t="s">
        <v>354</v>
      </c>
      <c r="D981" s="66"/>
    </row>
    <row r="982" spans="1:5">
      <c r="A982" s="106"/>
      <c r="B982" s="106"/>
      <c r="C982" s="66" t="s">
        <v>355</v>
      </c>
      <c r="D982" s="66"/>
    </row>
    <row r="983" spans="1:5">
      <c r="A983" s="106"/>
      <c r="B983" s="106"/>
      <c r="C983" s="66" t="s">
        <v>399</v>
      </c>
      <c r="D983" s="66"/>
    </row>
    <row r="984" spans="1:5">
      <c r="A984" s="106"/>
      <c r="B984" s="106"/>
      <c r="C984" s="66" t="s">
        <v>400</v>
      </c>
      <c r="D984" s="66"/>
    </row>
    <row r="985" spans="1:5">
      <c r="A985" s="106"/>
      <c r="B985" s="106"/>
      <c r="C985" s="66" t="s">
        <v>1144</v>
      </c>
      <c r="D985" s="66" t="s">
        <v>1169</v>
      </c>
      <c r="E985" s="16" t="s">
        <v>1200</v>
      </c>
    </row>
    <row r="986" spans="1:5">
      <c r="A986" s="116" t="s">
        <v>49</v>
      </c>
      <c r="B986" s="112" t="s">
        <v>1</v>
      </c>
      <c r="C986" s="69" t="s">
        <v>239</v>
      </c>
      <c r="D986" s="69"/>
    </row>
    <row r="987" spans="1:5">
      <c r="A987" s="117"/>
      <c r="B987" s="113"/>
      <c r="C987" s="69" t="s">
        <v>240</v>
      </c>
      <c r="D987" s="69"/>
    </row>
    <row r="988" spans="1:5">
      <c r="A988" s="117"/>
      <c r="B988" s="113"/>
      <c r="C988" s="69" t="s">
        <v>661</v>
      </c>
      <c r="D988" s="69"/>
    </row>
    <row r="989" spans="1:5">
      <c r="A989" s="117"/>
      <c r="B989" s="113"/>
      <c r="C989" s="69" t="s">
        <v>662</v>
      </c>
      <c r="D989" s="69"/>
    </row>
    <row r="990" spans="1:5">
      <c r="A990" s="117"/>
      <c r="B990" s="113"/>
      <c r="C990" s="69" t="s">
        <v>663</v>
      </c>
      <c r="D990" s="69"/>
    </row>
    <row r="991" spans="1:5">
      <c r="A991" s="117"/>
      <c r="B991" s="113"/>
      <c r="C991" s="69" t="s">
        <v>684</v>
      </c>
      <c r="D991" s="69"/>
    </row>
    <row r="992" spans="1:5">
      <c r="A992" s="105" t="s">
        <v>50</v>
      </c>
      <c r="B992" s="105" t="s">
        <v>1</v>
      </c>
      <c r="C992" s="66" t="s">
        <v>229</v>
      </c>
      <c r="D992" s="66"/>
    </row>
    <row r="993" spans="1:5">
      <c r="A993" s="106"/>
      <c r="B993" s="106"/>
      <c r="C993" s="66" t="s">
        <v>228</v>
      </c>
      <c r="D993" s="66"/>
    </row>
    <row r="994" spans="1:5">
      <c r="A994" s="106"/>
      <c r="B994" s="106"/>
      <c r="C994" s="66" t="s">
        <v>246</v>
      </c>
      <c r="D994" s="66"/>
    </row>
    <row r="995" spans="1:5">
      <c r="A995" s="106"/>
      <c r="B995" s="106"/>
      <c r="C995" s="66" t="s">
        <v>230</v>
      </c>
      <c r="D995" s="66"/>
    </row>
    <row r="996" spans="1:5">
      <c r="A996" s="106"/>
      <c r="B996" s="106"/>
      <c r="C996" s="66" t="s">
        <v>247</v>
      </c>
      <c r="D996" s="66" t="s">
        <v>700</v>
      </c>
    </row>
    <row r="997" spans="1:5">
      <c r="A997" s="106"/>
      <c r="B997" s="106"/>
      <c r="C997" s="66" t="s">
        <v>102</v>
      </c>
      <c r="D997" s="66"/>
    </row>
    <row r="998" spans="1:5">
      <c r="A998" s="112" t="s">
        <v>51</v>
      </c>
      <c r="B998" s="112" t="s">
        <v>1</v>
      </c>
      <c r="C998" s="69" t="s">
        <v>750</v>
      </c>
      <c r="D998" s="69"/>
      <c r="E998" s="16" t="s">
        <v>1201</v>
      </c>
    </row>
    <row r="999" spans="1:5">
      <c r="A999" s="113"/>
      <c r="B999" s="113"/>
      <c r="C999" s="69" t="s">
        <v>751</v>
      </c>
      <c r="D999" s="69"/>
    </row>
    <row r="1000" spans="1:5">
      <c r="A1000" s="105" t="s">
        <v>52</v>
      </c>
      <c r="B1000" s="105" t="s">
        <v>1</v>
      </c>
      <c r="C1000" s="66" t="s">
        <v>709</v>
      </c>
      <c r="D1000" s="66"/>
    </row>
    <row r="1001" spans="1:5">
      <c r="A1001" s="106"/>
      <c r="B1001" s="106"/>
      <c r="C1001" s="66" t="s">
        <v>710</v>
      </c>
      <c r="D1001" s="66"/>
    </row>
    <row r="1002" spans="1:5">
      <c r="A1002" s="106"/>
      <c r="B1002" s="106"/>
      <c r="C1002" s="66" t="s">
        <v>711</v>
      </c>
      <c r="D1002" s="66"/>
    </row>
    <row r="1003" spans="1:5">
      <c r="A1003" s="106"/>
      <c r="B1003" s="106"/>
      <c r="C1003" s="66" t="s">
        <v>1198</v>
      </c>
      <c r="D1003" s="66"/>
      <c r="E1003" s="16" t="s">
        <v>1200</v>
      </c>
    </row>
    <row r="1004" spans="1:5">
      <c r="A1004" s="106"/>
      <c r="B1004" s="106"/>
      <c r="C1004" s="66" t="s">
        <v>712</v>
      </c>
      <c r="D1004" s="66"/>
    </row>
    <row r="1005" spans="1:5">
      <c r="A1005" s="106"/>
      <c r="B1005" s="106"/>
      <c r="C1005" s="66" t="s">
        <v>713</v>
      </c>
      <c r="D1005" s="66"/>
    </row>
    <row r="1006" spans="1:5">
      <c r="A1006" s="106"/>
      <c r="B1006" s="106"/>
      <c r="C1006" s="66" t="s">
        <v>1197</v>
      </c>
      <c r="D1006" s="66"/>
      <c r="E1006" s="16" t="s">
        <v>1200</v>
      </c>
    </row>
    <row r="1007" spans="1:5">
      <c r="A1007" s="106"/>
      <c r="B1007" s="106"/>
      <c r="C1007" s="66" t="s">
        <v>714</v>
      </c>
      <c r="D1007" s="66"/>
    </row>
    <row r="1008" spans="1:5">
      <c r="A1008" s="106"/>
      <c r="B1008" s="106"/>
      <c r="C1008" s="66" t="s">
        <v>715</v>
      </c>
      <c r="D1008" s="66"/>
    </row>
    <row r="1009" spans="1:4">
      <c r="A1009" s="106"/>
      <c r="B1009" s="106"/>
      <c r="C1009" s="66" t="s">
        <v>716</v>
      </c>
      <c r="D1009" s="66"/>
    </row>
    <row r="1010" spans="1:4">
      <c r="A1010" s="106"/>
      <c r="B1010" s="106"/>
      <c r="C1010" s="66" t="s">
        <v>717</v>
      </c>
      <c r="D1010" s="66"/>
    </row>
    <row r="1011" spans="1:4">
      <c r="A1011" s="106"/>
      <c r="B1011" s="106"/>
      <c r="C1011" s="66" t="s">
        <v>718</v>
      </c>
      <c r="D1011" s="66"/>
    </row>
    <row r="1012" spans="1:4">
      <c r="A1012" s="106"/>
      <c r="B1012" s="106"/>
      <c r="C1012" s="66" t="s">
        <v>1199</v>
      </c>
      <c r="D1012" s="66"/>
    </row>
    <row r="1013" spans="1:4">
      <c r="A1013" s="106"/>
      <c r="B1013" s="106"/>
      <c r="C1013" s="66" t="s">
        <v>719</v>
      </c>
      <c r="D1013" s="66"/>
    </row>
    <row r="1014" spans="1:4">
      <c r="A1014" s="106"/>
      <c r="B1014" s="106"/>
      <c r="C1014" s="66" t="s">
        <v>720</v>
      </c>
      <c r="D1014" s="66"/>
    </row>
    <row r="1015" spans="1:4">
      <c r="A1015" s="106"/>
      <c r="B1015" s="106"/>
      <c r="C1015" s="66" t="s">
        <v>721</v>
      </c>
      <c r="D1015" s="66"/>
    </row>
    <row r="1016" spans="1:4">
      <c r="A1016" s="106"/>
      <c r="B1016" s="106"/>
      <c r="C1016" s="66" t="s">
        <v>722</v>
      </c>
      <c r="D1016" s="66"/>
    </row>
    <row r="1017" spans="1:4">
      <c r="A1017" s="106"/>
      <c r="B1017" s="106"/>
      <c r="C1017" s="66" t="s">
        <v>723</v>
      </c>
      <c r="D1017" s="66"/>
    </row>
    <row r="1018" spans="1:4">
      <c r="A1018" s="106"/>
      <c r="B1018" s="106"/>
      <c r="C1018" s="66" t="s">
        <v>724</v>
      </c>
      <c r="D1018" s="66"/>
    </row>
    <row r="1019" spans="1:4">
      <c r="A1019" s="106"/>
      <c r="B1019" s="106"/>
      <c r="C1019" s="66" t="s">
        <v>725</v>
      </c>
      <c r="D1019" s="66"/>
    </row>
    <row r="1020" spans="1:4">
      <c r="A1020" s="106"/>
      <c r="B1020" s="106"/>
      <c r="C1020" s="66" t="s">
        <v>726</v>
      </c>
      <c r="D1020" s="66"/>
    </row>
    <row r="1021" spans="1:4">
      <c r="A1021" s="106"/>
      <c r="B1021" s="106"/>
      <c r="C1021" s="66" t="s">
        <v>727</v>
      </c>
      <c r="D1021" s="66"/>
    </row>
    <row r="1022" spans="1:4">
      <c r="A1022" s="106"/>
      <c r="B1022" s="106"/>
      <c r="C1022" s="66" t="s">
        <v>935</v>
      </c>
      <c r="D1022" s="66"/>
    </row>
    <row r="1023" spans="1:4">
      <c r="A1023" s="106"/>
      <c r="B1023" s="106"/>
      <c r="C1023" s="66" t="s">
        <v>728</v>
      </c>
      <c r="D1023" s="66"/>
    </row>
    <row r="1024" spans="1:4">
      <c r="A1024" s="106"/>
      <c r="B1024" s="106"/>
      <c r="C1024" s="66" t="s">
        <v>729</v>
      </c>
      <c r="D1024" s="66"/>
    </row>
    <row r="1025" spans="1:5">
      <c r="A1025" s="106"/>
      <c r="B1025" s="106"/>
      <c r="C1025" s="66" t="s">
        <v>730</v>
      </c>
      <c r="D1025" s="66"/>
    </row>
    <row r="1026" spans="1:5">
      <c r="A1026" s="106"/>
      <c r="B1026" s="106"/>
      <c r="C1026" s="66" t="s">
        <v>731</v>
      </c>
      <c r="D1026" s="66"/>
    </row>
    <row r="1027" spans="1:5">
      <c r="A1027" s="106"/>
      <c r="B1027" s="106"/>
      <c r="C1027" s="66" t="s">
        <v>732</v>
      </c>
      <c r="D1027" s="66"/>
    </row>
    <row r="1028" spans="1:5">
      <c r="A1028" s="106"/>
      <c r="B1028" s="106"/>
      <c r="C1028" s="66" t="s">
        <v>733</v>
      </c>
      <c r="D1028" s="66"/>
    </row>
    <row r="1029" spans="1:5">
      <c r="A1029" s="106"/>
      <c r="B1029" s="106"/>
      <c r="C1029" s="66" t="s">
        <v>734</v>
      </c>
      <c r="D1029" s="66"/>
    </row>
    <row r="1030" spans="1:5">
      <c r="A1030" s="106"/>
      <c r="B1030" s="106"/>
      <c r="C1030" s="66" t="s">
        <v>735</v>
      </c>
      <c r="D1030" s="66"/>
    </row>
    <row r="1031" spans="1:5">
      <c r="A1031" s="106"/>
      <c r="B1031" s="106"/>
      <c r="C1031" s="152" t="s">
        <v>736</v>
      </c>
      <c r="D1031" s="66"/>
      <c r="E1031" s="16" t="s">
        <v>1200</v>
      </c>
    </row>
    <row r="1032" spans="1:5">
      <c r="A1032" s="106"/>
      <c r="B1032" s="106"/>
      <c r="C1032" s="66" t="s">
        <v>737</v>
      </c>
      <c r="D1032" s="66"/>
    </row>
    <row r="1033" spans="1:5">
      <c r="A1033" s="106"/>
      <c r="B1033" s="106"/>
      <c r="C1033" s="66" t="s">
        <v>102</v>
      </c>
      <c r="D1033" s="66"/>
    </row>
    <row r="1034" spans="1:5">
      <c r="A1034" s="82" t="s">
        <v>506</v>
      </c>
      <c r="B1034" s="82" t="s">
        <v>1</v>
      </c>
      <c r="C1034" s="69" t="s">
        <v>472</v>
      </c>
      <c r="D1034" s="69"/>
      <c r="E1034" s="16" t="s">
        <v>1201</v>
      </c>
    </row>
    <row r="1035" spans="1:5">
      <c r="A1035" s="83"/>
      <c r="B1035" s="83"/>
      <c r="C1035" s="69" t="s">
        <v>473</v>
      </c>
      <c r="D1035" s="69"/>
    </row>
    <row r="1036" spans="1:5">
      <c r="A1036" s="83"/>
      <c r="B1036" s="83"/>
      <c r="C1036" s="69" t="s">
        <v>102</v>
      </c>
      <c r="D1036" s="69"/>
    </row>
    <row r="1037" spans="1:5">
      <c r="A1037" s="105" t="s">
        <v>790</v>
      </c>
      <c r="B1037" s="105" t="s">
        <v>1</v>
      </c>
      <c r="C1037" s="66" t="s">
        <v>248</v>
      </c>
      <c r="D1037" s="66"/>
    </row>
    <row r="1038" spans="1:5">
      <c r="A1038" s="106"/>
      <c r="B1038" s="106"/>
      <c r="C1038" s="66" t="s">
        <v>670</v>
      </c>
      <c r="D1038" s="66" t="s">
        <v>671</v>
      </c>
    </row>
    <row r="1039" spans="1:5">
      <c r="A1039" s="106"/>
      <c r="B1039" s="106"/>
      <c r="C1039" s="66" t="s">
        <v>668</v>
      </c>
      <c r="D1039" s="66" t="s">
        <v>673</v>
      </c>
    </row>
    <row r="1040" spans="1:5">
      <c r="A1040" s="106"/>
      <c r="B1040" s="106"/>
      <c r="C1040" s="66" t="s">
        <v>669</v>
      </c>
      <c r="D1040" s="66" t="s">
        <v>672</v>
      </c>
    </row>
    <row r="1044" spans="4:4">
      <c r="D1044" s="68"/>
    </row>
    <row r="1045" spans="4:4">
      <c r="D1045" s="68"/>
    </row>
    <row r="1046" spans="4:4">
      <c r="D1046" s="68"/>
    </row>
    <row r="1047" spans="4:4">
      <c r="D1047" s="68"/>
    </row>
    <row r="1065" spans="1:4">
      <c r="D1065" s="40"/>
    </row>
    <row r="1070" spans="1:4">
      <c r="A1070" s="40"/>
    </row>
    <row r="1072" spans="1:4">
      <c r="C1072" s="16"/>
    </row>
    <row r="1073" spans="1:8" s="11" customFormat="1">
      <c r="B1073" s="16"/>
      <c r="C1073" s="16"/>
      <c r="E1073" s="16"/>
      <c r="F1073" s="16"/>
      <c r="G1073" s="16"/>
      <c r="H1073" s="16"/>
    </row>
    <row r="1074" spans="1:8" s="11" customFormat="1">
      <c r="A1074" s="53"/>
      <c r="B1074" s="16"/>
      <c r="C1074" s="16"/>
      <c r="E1074" s="16"/>
      <c r="F1074" s="16"/>
      <c r="G1074" s="16"/>
      <c r="H1074" s="16"/>
    </row>
    <row r="1075" spans="1:8" s="11" customFormat="1">
      <c r="B1075" s="16"/>
      <c r="C1075" s="68"/>
      <c r="E1075" s="16"/>
      <c r="F1075" s="16"/>
      <c r="G1075" s="16"/>
      <c r="H1075" s="16"/>
    </row>
    <row r="1076" spans="1:8" s="11" customFormat="1">
      <c r="B1076" s="16"/>
      <c r="C1076" s="68" t="s">
        <v>429</v>
      </c>
      <c r="E1076" s="16"/>
      <c r="F1076" s="16"/>
      <c r="G1076" s="16"/>
      <c r="H1076" s="16"/>
    </row>
    <row r="1077" spans="1:8" s="11" customFormat="1">
      <c r="B1077" s="16"/>
      <c r="C1077" s="68" t="s">
        <v>2</v>
      </c>
      <c r="E1077" s="16"/>
      <c r="F1077" s="16"/>
      <c r="G1077" s="16"/>
      <c r="H1077" s="16"/>
    </row>
    <row r="1078" spans="1:8" s="11" customFormat="1">
      <c r="B1078" s="16"/>
      <c r="C1078" s="68" t="s">
        <v>432</v>
      </c>
      <c r="E1078" s="16"/>
      <c r="F1078" s="16"/>
      <c r="G1078" s="16"/>
      <c r="H1078" s="16"/>
    </row>
    <row r="1079" spans="1:8" s="11" customFormat="1">
      <c r="B1079" s="16"/>
      <c r="C1079" s="68" t="s">
        <v>430</v>
      </c>
      <c r="E1079" s="16"/>
      <c r="F1079" s="16"/>
      <c r="G1079" s="16"/>
      <c r="H1079" s="16"/>
    </row>
    <row r="1080" spans="1:8" s="11" customFormat="1">
      <c r="B1080" s="16"/>
      <c r="C1080" s="68"/>
      <c r="E1080" s="16"/>
      <c r="F1080" s="16"/>
      <c r="G1080" s="16"/>
      <c r="H1080" s="16"/>
    </row>
    <row r="1081" spans="1:8" s="11" customFormat="1">
      <c r="B1081" s="16"/>
      <c r="C1081" s="68" t="s">
        <v>429</v>
      </c>
      <c r="E1081" s="16"/>
      <c r="F1081" s="16"/>
      <c r="G1081" s="16"/>
      <c r="H1081" s="16"/>
    </row>
    <row r="1082" spans="1:8" s="11" customFormat="1">
      <c r="B1082" s="16"/>
      <c r="C1082" s="68" t="s">
        <v>2</v>
      </c>
      <c r="E1082" s="16"/>
      <c r="F1082" s="16"/>
      <c r="G1082" s="16"/>
      <c r="H1082" s="16"/>
    </row>
    <row r="1083" spans="1:8" s="11" customFormat="1">
      <c r="B1083" s="16"/>
      <c r="C1083" s="68" t="s">
        <v>432</v>
      </c>
      <c r="E1083" s="16"/>
      <c r="F1083" s="16"/>
      <c r="G1083" s="16"/>
      <c r="H1083" s="16"/>
    </row>
    <row r="1084" spans="1:8" s="11" customFormat="1">
      <c r="B1084" s="16"/>
      <c r="C1084" s="68" t="s">
        <v>430</v>
      </c>
      <c r="E1084" s="16"/>
      <c r="F1084" s="16"/>
      <c r="G1084" s="16"/>
      <c r="H1084" s="16"/>
    </row>
    <row r="1085" spans="1:8" s="11" customFormat="1">
      <c r="B1085" s="16"/>
      <c r="C1085" s="68" t="s">
        <v>783</v>
      </c>
      <c r="E1085" s="16"/>
      <c r="F1085" s="16"/>
      <c r="G1085" s="16"/>
      <c r="H1085" s="16"/>
    </row>
    <row r="1086" spans="1:8" s="11" customFormat="1">
      <c r="B1086" s="16"/>
      <c r="C1086" s="68"/>
      <c r="E1086" s="16"/>
      <c r="F1086" s="16"/>
      <c r="G1086" s="16"/>
      <c r="H1086" s="16"/>
    </row>
    <row r="1087" spans="1:8" s="11" customFormat="1">
      <c r="A1087" s="40"/>
      <c r="B1087" s="16"/>
      <c r="C1087" s="68" t="s">
        <v>429</v>
      </c>
      <c r="E1087" s="16"/>
      <c r="F1087" s="16"/>
      <c r="G1087" s="16"/>
      <c r="H1087" s="16"/>
    </row>
    <row r="1088" spans="1:8" s="11" customFormat="1">
      <c r="B1088" s="16"/>
      <c r="C1088" s="68" t="s">
        <v>2</v>
      </c>
      <c r="E1088" s="16"/>
      <c r="F1088" s="16"/>
      <c r="G1088" s="16"/>
      <c r="H1088" s="16"/>
    </row>
    <row r="1089" spans="2:8" s="11" customFormat="1">
      <c r="B1089" s="16"/>
      <c r="C1089" s="68" t="s">
        <v>430</v>
      </c>
      <c r="E1089" s="16"/>
      <c r="F1089" s="16"/>
      <c r="G1089" s="16"/>
      <c r="H1089" s="16"/>
    </row>
    <row r="1090" spans="2:8" s="11" customFormat="1">
      <c r="B1090" s="16"/>
      <c r="C1090" s="68"/>
      <c r="E1090" s="16"/>
      <c r="F1090" s="16"/>
      <c r="G1090" s="16"/>
      <c r="H1090" s="16"/>
    </row>
    <row r="1091" spans="2:8" s="11" customFormat="1">
      <c r="B1091" s="16"/>
      <c r="C1091" s="68" t="s">
        <v>791</v>
      </c>
      <c r="E1091" s="16"/>
      <c r="F1091" s="16"/>
      <c r="G1091" s="16"/>
      <c r="H1091" s="16"/>
    </row>
    <row r="1092" spans="2:8" s="11" customFormat="1">
      <c r="B1092" s="16"/>
      <c r="C1092" s="68" t="s">
        <v>102</v>
      </c>
      <c r="E1092" s="16"/>
      <c r="F1092" s="16"/>
      <c r="G1092" s="16"/>
      <c r="H1092" s="16"/>
    </row>
    <row r="1093" spans="2:8" s="11" customFormat="1">
      <c r="B1093" s="16"/>
      <c r="C1093" s="68"/>
      <c r="E1093" s="16"/>
      <c r="F1093" s="16"/>
      <c r="G1093" s="16"/>
      <c r="H1093" s="16"/>
    </row>
    <row r="1094" spans="2:8" s="11" customFormat="1">
      <c r="B1094" s="16"/>
      <c r="C1094" s="68" t="s">
        <v>156</v>
      </c>
      <c r="E1094" s="16"/>
      <c r="F1094" s="16"/>
      <c r="G1094" s="16"/>
      <c r="H1094" s="16"/>
    </row>
    <row r="1095" spans="2:8" s="11" customFormat="1">
      <c r="B1095" s="16"/>
      <c r="C1095" s="68" t="s">
        <v>681</v>
      </c>
      <c r="E1095" s="16"/>
      <c r="F1095" s="16"/>
      <c r="G1095" s="16"/>
      <c r="H1095" s="16"/>
    </row>
    <row r="1096" spans="2:8" s="11" customFormat="1">
      <c r="B1096" s="16"/>
      <c r="C1096" s="68" t="s">
        <v>680</v>
      </c>
      <c r="E1096" s="16"/>
      <c r="F1096" s="16"/>
      <c r="G1096" s="16"/>
      <c r="H1096" s="16"/>
    </row>
    <row r="1097" spans="2:8" s="11" customFormat="1">
      <c r="B1097" s="16"/>
      <c r="C1097" s="68" t="s">
        <v>79</v>
      </c>
      <c r="E1097" s="16"/>
      <c r="F1097" s="16"/>
      <c r="G1097" s="16"/>
      <c r="H1097" s="16"/>
    </row>
    <row r="1098" spans="2:8" s="11" customFormat="1">
      <c r="B1098" s="16"/>
      <c r="C1098" s="68" t="s">
        <v>381</v>
      </c>
      <c r="E1098" s="16"/>
      <c r="F1098" s="16"/>
      <c r="G1098" s="16"/>
      <c r="H1098" s="16"/>
    </row>
    <row r="1099" spans="2:8" s="11" customFormat="1">
      <c r="B1099" s="16"/>
      <c r="C1099" s="68" t="s">
        <v>72</v>
      </c>
      <c r="E1099" s="16"/>
      <c r="F1099" s="16"/>
      <c r="G1099" s="16"/>
      <c r="H1099" s="16"/>
    </row>
    <row r="1100" spans="2:8" s="11" customFormat="1">
      <c r="B1100" s="16"/>
      <c r="C1100" s="68" t="s">
        <v>97</v>
      </c>
      <c r="E1100" s="16"/>
      <c r="F1100" s="16"/>
      <c r="G1100" s="16"/>
      <c r="H1100" s="16"/>
    </row>
    <row r="1101" spans="2:8" s="11" customFormat="1">
      <c r="B1101" s="16"/>
      <c r="C1101" s="68" t="s">
        <v>98</v>
      </c>
      <c r="E1101" s="16"/>
      <c r="F1101" s="16"/>
      <c r="G1101" s="16"/>
      <c r="H1101" s="16"/>
    </row>
    <row r="1102" spans="2:8" s="11" customFormat="1">
      <c r="B1102" s="16"/>
      <c r="C1102" s="68" t="s">
        <v>377</v>
      </c>
      <c r="E1102" s="16"/>
      <c r="F1102" s="16"/>
      <c r="G1102" s="16"/>
      <c r="H1102" s="16"/>
    </row>
    <row r="1103" spans="2:8" s="11" customFormat="1">
      <c r="B1103" s="16"/>
      <c r="C1103" s="68" t="s">
        <v>382</v>
      </c>
      <c r="E1103" s="16"/>
      <c r="F1103" s="16"/>
      <c r="G1103" s="16"/>
      <c r="H1103" s="16"/>
    </row>
    <row r="1104" spans="2:8" s="11" customFormat="1">
      <c r="B1104" s="16"/>
      <c r="C1104" s="68" t="s">
        <v>163</v>
      </c>
      <c r="E1104" s="16"/>
      <c r="F1104" s="16"/>
      <c r="G1104" s="16"/>
      <c r="H1104" s="16"/>
    </row>
    <row r="1105" spans="2:8" s="11" customFormat="1">
      <c r="B1105" s="16"/>
      <c r="C1105" s="68" t="s">
        <v>102</v>
      </c>
      <c r="E1105" s="16"/>
      <c r="F1105" s="16"/>
      <c r="G1105" s="16"/>
      <c r="H1105" s="16"/>
    </row>
    <row r="1106" spans="2:8" s="11" customFormat="1">
      <c r="B1106" s="16"/>
      <c r="C1106" s="68"/>
      <c r="E1106" s="16"/>
      <c r="F1106" s="16"/>
      <c r="G1106" s="16"/>
      <c r="H1106" s="16"/>
    </row>
    <row r="1107" spans="2:8" s="11" customFormat="1">
      <c r="B1107" s="16"/>
      <c r="C1107" s="68"/>
      <c r="E1107" s="16"/>
      <c r="F1107" s="16"/>
      <c r="G1107" s="16"/>
      <c r="H1107" s="16"/>
    </row>
    <row r="1108" spans="2:8">
      <c r="C1108" s="68" t="s">
        <v>302</v>
      </c>
    </row>
    <row r="1109" spans="2:8" s="11" customFormat="1">
      <c r="B1109" s="16"/>
      <c r="C1109" s="68" t="s">
        <v>303</v>
      </c>
      <c r="E1109" s="16"/>
      <c r="F1109" s="16"/>
      <c r="G1109" s="16"/>
      <c r="H1109" s="16"/>
    </row>
    <row r="1110" spans="2:8" s="11" customFormat="1">
      <c r="B1110" s="16"/>
      <c r="C1110" s="68" t="s">
        <v>301</v>
      </c>
      <c r="E1110" s="16"/>
      <c r="F1110" s="16"/>
      <c r="G1110" s="16"/>
      <c r="H1110" s="16"/>
    </row>
    <row r="1111" spans="2:8" s="11" customFormat="1">
      <c r="B1111" s="16"/>
      <c r="C1111" s="68" t="s">
        <v>102</v>
      </c>
      <c r="E1111" s="16"/>
      <c r="F1111" s="16"/>
      <c r="G1111" s="16"/>
      <c r="H1111" s="16"/>
    </row>
    <row r="1112" spans="2:8" s="11" customFormat="1">
      <c r="B1112" s="16"/>
      <c r="C1112" s="68"/>
      <c r="E1112" s="16"/>
      <c r="F1112" s="16"/>
      <c r="G1112" s="16"/>
      <c r="H1112" s="16"/>
    </row>
    <row r="1113" spans="2:8" s="11" customFormat="1">
      <c r="B1113" s="16"/>
      <c r="C1113" s="68" t="s">
        <v>76</v>
      </c>
      <c r="E1113" s="16"/>
      <c r="F1113" s="16"/>
      <c r="G1113" s="16"/>
      <c r="H1113" s="16"/>
    </row>
    <row r="1114" spans="2:8" s="11" customFormat="1">
      <c r="B1114" s="16"/>
      <c r="C1114" s="68" t="s">
        <v>88</v>
      </c>
      <c r="E1114" s="16"/>
      <c r="F1114" s="16"/>
      <c r="G1114" s="16"/>
      <c r="H1114" s="16"/>
    </row>
    <row r="1115" spans="2:8" s="11" customFormat="1">
      <c r="B1115" s="16"/>
      <c r="C1115" s="68" t="s">
        <v>78</v>
      </c>
      <c r="E1115" s="16"/>
      <c r="F1115" s="16"/>
      <c r="G1115" s="16"/>
      <c r="H1115" s="16"/>
    </row>
    <row r="1116" spans="2:8" s="11" customFormat="1">
      <c r="B1116" s="16"/>
      <c r="C1116" s="68" t="s">
        <v>102</v>
      </c>
      <c r="E1116" s="16"/>
      <c r="F1116" s="16"/>
      <c r="G1116" s="16"/>
      <c r="H1116" s="16"/>
    </row>
    <row r="1117" spans="2:8" s="11" customFormat="1">
      <c r="B1117" s="16"/>
      <c r="C1117" s="68"/>
      <c r="E1117" s="16"/>
      <c r="F1117" s="16"/>
      <c r="G1117" s="16"/>
      <c r="H1117" s="16"/>
    </row>
    <row r="1118" spans="2:8" s="11" customFormat="1">
      <c r="B1118" s="16"/>
      <c r="C1118" s="68" t="s">
        <v>821</v>
      </c>
      <c r="E1118" s="16"/>
      <c r="F1118" s="16"/>
      <c r="G1118" s="16"/>
      <c r="H1118" s="16"/>
    </row>
    <row r="1119" spans="2:8" s="11" customFormat="1">
      <c r="B1119" s="16"/>
      <c r="C1119" s="68" t="s">
        <v>822</v>
      </c>
      <c r="E1119" s="16"/>
      <c r="F1119" s="16"/>
      <c r="G1119" s="16"/>
      <c r="H1119" s="16"/>
    </row>
    <row r="1120" spans="2:8" s="11" customFormat="1">
      <c r="B1120" s="16"/>
      <c r="C1120" s="68"/>
      <c r="E1120" s="16"/>
      <c r="F1120" s="16"/>
      <c r="G1120" s="16"/>
      <c r="H1120" s="16"/>
    </row>
    <row r="1121" spans="2:8">
      <c r="C1121" s="68" t="s">
        <v>821</v>
      </c>
    </row>
    <row r="1122" spans="2:8" s="11" customFormat="1">
      <c r="B1122" s="16"/>
      <c r="C1122" s="68" t="s">
        <v>54</v>
      </c>
      <c r="E1122" s="16"/>
      <c r="F1122" s="16"/>
      <c r="G1122" s="16"/>
      <c r="H1122" s="16"/>
    </row>
    <row r="1123" spans="2:8" s="11" customFormat="1">
      <c r="B1123" s="16"/>
      <c r="C1123" s="68" t="s">
        <v>69</v>
      </c>
      <c r="E1123" s="16"/>
      <c r="F1123" s="16"/>
      <c r="G1123" s="16"/>
      <c r="H1123" s="16"/>
    </row>
    <row r="1124" spans="2:8" s="11" customFormat="1">
      <c r="B1124" s="16"/>
      <c r="C1124" s="68" t="s">
        <v>624</v>
      </c>
      <c r="E1124" s="16"/>
      <c r="F1124" s="16"/>
      <c r="G1124" s="16"/>
      <c r="H1124" s="16"/>
    </row>
    <row r="1125" spans="2:8">
      <c r="C1125" s="68" t="s">
        <v>956</v>
      </c>
    </row>
    <row r="1126" spans="2:8">
      <c r="C1126" s="68" t="s">
        <v>102</v>
      </c>
    </row>
    <row r="1129" spans="2:8">
      <c r="C1129" s="68" t="s">
        <v>414</v>
      </c>
    </row>
    <row r="1130" spans="2:8">
      <c r="C1130" s="68" t="s">
        <v>262</v>
      </c>
    </row>
    <row r="1131" spans="2:8">
      <c r="C1131" s="68" t="s">
        <v>653</v>
      </c>
    </row>
    <row r="1132" spans="2:8">
      <c r="C1132" s="68" t="s">
        <v>156</v>
      </c>
    </row>
    <row r="1133" spans="2:8">
      <c r="C1133" s="68" t="s">
        <v>647</v>
      </c>
    </row>
    <row r="1134" spans="2:8">
      <c r="C1134" s="68" t="s">
        <v>649</v>
      </c>
    </row>
    <row r="1135" spans="2:8">
      <c r="C1135" s="68" t="s">
        <v>66</v>
      </c>
    </row>
    <row r="1136" spans="2:8">
      <c r="C1136" s="68" t="s">
        <v>269</v>
      </c>
    </row>
    <row r="1137" spans="3:3">
      <c r="C1137" s="68" t="s">
        <v>654</v>
      </c>
    </row>
    <row r="1138" spans="3:3">
      <c r="C1138" s="68" t="s">
        <v>140</v>
      </c>
    </row>
    <row r="1139" spans="3:3">
      <c r="C1139" s="68" t="s">
        <v>256</v>
      </c>
    </row>
    <row r="1140" spans="3:3">
      <c r="C1140" s="68" t="s">
        <v>122</v>
      </c>
    </row>
    <row r="1141" spans="3:3">
      <c r="C1141" s="68" t="s">
        <v>270</v>
      </c>
    </row>
    <row r="1142" spans="3:3">
      <c r="C1142" s="68" t="s">
        <v>708</v>
      </c>
    </row>
    <row r="1143" spans="3:3">
      <c r="C1143" s="68" t="s">
        <v>1170</v>
      </c>
    </row>
    <row r="1144" spans="3:3">
      <c r="C1144" s="68" t="s">
        <v>267</v>
      </c>
    </row>
    <row r="1145" spans="3:3">
      <c r="C1145" s="68" t="s">
        <v>264</v>
      </c>
    </row>
    <row r="1146" spans="3:3">
      <c r="C1146" s="68" t="s">
        <v>265</v>
      </c>
    </row>
    <row r="1147" spans="3:3">
      <c r="C1147" s="68" t="s">
        <v>254</v>
      </c>
    </row>
    <row r="1148" spans="3:3">
      <c r="C1148" s="68" t="s">
        <v>261</v>
      </c>
    </row>
    <row r="1149" spans="3:3">
      <c r="C1149" s="68" t="s">
        <v>71</v>
      </c>
    </row>
    <row r="1150" spans="3:3">
      <c r="C1150" s="68" t="s">
        <v>259</v>
      </c>
    </row>
    <row r="1151" spans="3:3">
      <c r="C1151" s="68" t="s">
        <v>75</v>
      </c>
    </row>
    <row r="1152" spans="3:3">
      <c r="C1152" s="68" t="s">
        <v>263</v>
      </c>
    </row>
    <row r="1153" spans="3:3">
      <c r="C1153" s="68" t="s">
        <v>651</v>
      </c>
    </row>
    <row r="1154" spans="3:3">
      <c r="C1154" s="68" t="s">
        <v>652</v>
      </c>
    </row>
    <row r="1155" spans="3:3">
      <c r="C1155" s="68" t="s">
        <v>266</v>
      </c>
    </row>
    <row r="1156" spans="3:3">
      <c r="C1156" s="68" t="s">
        <v>85</v>
      </c>
    </row>
    <row r="1157" spans="3:3">
      <c r="C1157" s="68" t="s">
        <v>648</v>
      </c>
    </row>
    <row r="1158" spans="3:3">
      <c r="C1158" s="68" t="s">
        <v>646</v>
      </c>
    </row>
    <row r="1159" spans="3:3">
      <c r="C1159" s="68" t="s">
        <v>656</v>
      </c>
    </row>
    <row r="1160" spans="3:3">
      <c r="C1160" s="68" t="s">
        <v>255</v>
      </c>
    </row>
    <row r="1161" spans="3:3">
      <c r="C1161" s="68" t="s">
        <v>738</v>
      </c>
    </row>
    <row r="1162" spans="3:3">
      <c r="C1162" s="68" t="s">
        <v>34</v>
      </c>
    </row>
    <row r="1163" spans="3:3" ht="14.45" customHeight="1">
      <c r="C1163" s="68" t="s">
        <v>645</v>
      </c>
    </row>
    <row r="1164" spans="3:3">
      <c r="C1164" s="68" t="s">
        <v>650</v>
      </c>
    </row>
    <row r="1165" spans="3:3">
      <c r="C1165" s="68" t="s">
        <v>252</v>
      </c>
    </row>
    <row r="1166" spans="3:3">
      <c r="C1166" s="68" t="s">
        <v>258</v>
      </c>
    </row>
    <row r="1167" spans="3:3">
      <c r="C1167" s="68" t="s">
        <v>257</v>
      </c>
    </row>
    <row r="1168" spans="3:3">
      <c r="C1168" s="68" t="s">
        <v>253</v>
      </c>
    </row>
    <row r="1169" spans="3:3">
      <c r="C1169" s="68" t="s">
        <v>260</v>
      </c>
    </row>
    <row r="1170" spans="3:3">
      <c r="C1170" s="68" t="s">
        <v>102</v>
      </c>
    </row>
    <row r="1171" spans="3:3">
      <c r="C1171" s="68" t="s">
        <v>878</v>
      </c>
    </row>
    <row r="1172" spans="3:3">
      <c r="C1172" s="68" t="s">
        <v>879</v>
      </c>
    </row>
    <row r="1173" spans="3:3">
      <c r="C1173" s="68" t="s">
        <v>880</v>
      </c>
    </row>
    <row r="1174" spans="3:3">
      <c r="C1174" s="68" t="s">
        <v>881</v>
      </c>
    </row>
    <row r="1175" spans="3:3">
      <c r="C1175" s="68" t="s">
        <v>882</v>
      </c>
    </row>
    <row r="1176" spans="3:3">
      <c r="C1176" s="68" t="s">
        <v>883</v>
      </c>
    </row>
    <row r="1177" spans="3:3">
      <c r="C1177" s="68" t="s">
        <v>884</v>
      </c>
    </row>
    <row r="1178" spans="3:3">
      <c r="C1178" s="68" t="s">
        <v>885</v>
      </c>
    </row>
    <row r="1179" spans="3:3">
      <c r="C1179" s="68" t="s">
        <v>886</v>
      </c>
    </row>
    <row r="1180" spans="3:3">
      <c r="C1180" s="68" t="s">
        <v>887</v>
      </c>
    </row>
    <row r="1181" spans="3:3">
      <c r="C1181" s="68" t="s">
        <v>888</v>
      </c>
    </row>
    <row r="1182" spans="3:3">
      <c r="C1182" s="68" t="s">
        <v>889</v>
      </c>
    </row>
    <row r="1183" spans="3:3">
      <c r="C1183" s="68" t="s">
        <v>890</v>
      </c>
    </row>
    <row r="1184" spans="3:3">
      <c r="C1184" s="68" t="s">
        <v>891</v>
      </c>
    </row>
    <row r="1185" spans="3:3">
      <c r="C1185" s="68" t="s">
        <v>892</v>
      </c>
    </row>
    <row r="1186" spans="3:3">
      <c r="C1186" s="68" t="s">
        <v>893</v>
      </c>
    </row>
    <row r="1187" spans="3:3">
      <c r="C1187" s="68" t="s">
        <v>877</v>
      </c>
    </row>
    <row r="1188" spans="3:3">
      <c r="C1188" s="68" t="s">
        <v>1146</v>
      </c>
    </row>
    <row r="1189" spans="3:3">
      <c r="C1189" s="68" t="s">
        <v>1148</v>
      </c>
    </row>
    <row r="1190" spans="3:3">
      <c r="C1190" s="68" t="s">
        <v>1150</v>
      </c>
    </row>
    <row r="1191" spans="3:3">
      <c r="C1191" s="68" t="s">
        <v>894</v>
      </c>
    </row>
    <row r="1192" spans="3:3">
      <c r="C1192" s="151" t="s">
        <v>1152</v>
      </c>
    </row>
    <row r="1193" spans="3:3">
      <c r="C1193" s="68" t="s">
        <v>895</v>
      </c>
    </row>
    <row r="1194" spans="3:3">
      <c r="C1194" s="68" t="s">
        <v>896</v>
      </c>
    </row>
    <row r="1195" spans="3:3">
      <c r="C1195" s="68" t="s">
        <v>897</v>
      </c>
    </row>
    <row r="1196" spans="3:3">
      <c r="C1196" s="68" t="s">
        <v>898</v>
      </c>
    </row>
    <row r="1197" spans="3:3">
      <c r="C1197" s="68" t="s">
        <v>899</v>
      </c>
    </row>
    <row r="1198" spans="3:3">
      <c r="C1198" s="68" t="s">
        <v>900</v>
      </c>
    </row>
    <row r="1199" spans="3:3">
      <c r="C1199" s="68" t="s">
        <v>873</v>
      </c>
    </row>
    <row r="1200" spans="3:3">
      <c r="C1200" s="68" t="s">
        <v>1154</v>
      </c>
    </row>
    <row r="1201" spans="3:3">
      <c r="C1201" s="68" t="s">
        <v>901</v>
      </c>
    </row>
    <row r="1202" spans="3:3">
      <c r="C1202" s="68" t="s">
        <v>1156</v>
      </c>
    </row>
    <row r="1203" spans="3:3">
      <c r="C1203" s="68" t="s">
        <v>902</v>
      </c>
    </row>
    <row r="1204" spans="3:3">
      <c r="C1204" s="68" t="s">
        <v>903</v>
      </c>
    </row>
    <row r="1205" spans="3:3">
      <c r="C1205" s="68" t="s">
        <v>904</v>
      </c>
    </row>
    <row r="1206" spans="3:3">
      <c r="C1206" s="68" t="s">
        <v>905</v>
      </c>
    </row>
    <row r="1207" spans="3:3">
      <c r="C1207" s="68" t="s">
        <v>1158</v>
      </c>
    </row>
    <row r="1208" spans="3:3">
      <c r="C1208" s="68" t="s">
        <v>906</v>
      </c>
    </row>
    <row r="1209" spans="3:3">
      <c r="C1209" s="68" t="s">
        <v>907</v>
      </c>
    </row>
    <row r="1210" spans="3:3">
      <c r="C1210" s="68" t="s">
        <v>908</v>
      </c>
    </row>
    <row r="1211" spans="3:3">
      <c r="C1211" s="68" t="s">
        <v>909</v>
      </c>
    </row>
    <row r="1212" spans="3:3">
      <c r="C1212" s="68" t="s">
        <v>910</v>
      </c>
    </row>
    <row r="1213" spans="3:3">
      <c r="C1213" s="68" t="s">
        <v>911</v>
      </c>
    </row>
    <row r="1214" spans="3:3">
      <c r="C1214" s="68" t="s">
        <v>195</v>
      </c>
    </row>
    <row r="1215" spans="3:3">
      <c r="C1215" s="68" t="s">
        <v>1159</v>
      </c>
    </row>
    <row r="1216" spans="3:3">
      <c r="C1216" s="68" t="s">
        <v>912</v>
      </c>
    </row>
    <row r="1217" spans="3:3">
      <c r="C1217" s="68" t="s">
        <v>913</v>
      </c>
    </row>
    <row r="1218" spans="3:3">
      <c r="C1218" s="68" t="s">
        <v>1161</v>
      </c>
    </row>
    <row r="1219" spans="3:3">
      <c r="C1219" s="68" t="s">
        <v>249</v>
      </c>
    </row>
    <row r="1220" spans="3:3">
      <c r="C1220" s="68" t="s">
        <v>914</v>
      </c>
    </row>
    <row r="1221" spans="3:3">
      <c r="C1221" s="68" t="s">
        <v>915</v>
      </c>
    </row>
    <row r="1222" spans="3:3">
      <c r="C1222" s="68" t="s">
        <v>916</v>
      </c>
    </row>
    <row r="1223" spans="3:3">
      <c r="C1223" s="68" t="s">
        <v>917</v>
      </c>
    </row>
    <row r="1224" spans="3:3">
      <c r="C1224" s="68" t="s">
        <v>918</v>
      </c>
    </row>
    <row r="1225" spans="3:3">
      <c r="C1225" s="68" t="s">
        <v>202</v>
      </c>
    </row>
    <row r="1226" spans="3:3">
      <c r="C1226" s="68" t="s">
        <v>919</v>
      </c>
    </row>
    <row r="1227" spans="3:3">
      <c r="C1227" s="68" t="s">
        <v>920</v>
      </c>
    </row>
    <row r="1228" spans="3:3">
      <c r="C1228" s="68" t="s">
        <v>968</v>
      </c>
    </row>
    <row r="1229" spans="3:3">
      <c r="C1229" s="68" t="s">
        <v>969</v>
      </c>
    </row>
    <row r="1230" spans="3:3">
      <c r="C1230" s="68" t="s">
        <v>970</v>
      </c>
    </row>
    <row r="1231" spans="3:3">
      <c r="C1231" s="68" t="s">
        <v>921</v>
      </c>
    </row>
    <row r="1232" spans="3:3">
      <c r="C1232" s="68" t="s">
        <v>922</v>
      </c>
    </row>
    <row r="1233" spans="3:3">
      <c r="C1233" s="68" t="s">
        <v>923</v>
      </c>
    </row>
    <row r="1234" spans="3:3">
      <c r="C1234" s="68" t="s">
        <v>924</v>
      </c>
    </row>
    <row r="1235" spans="3:3">
      <c r="C1235" s="68" t="s">
        <v>925</v>
      </c>
    </row>
    <row r="1236" spans="3:3">
      <c r="C1236" s="68" t="s">
        <v>967</v>
      </c>
    </row>
    <row r="1237" spans="3:3">
      <c r="C1237" s="68" t="s">
        <v>927</v>
      </c>
    </row>
    <row r="1238" spans="3:3">
      <c r="C1238" s="68" t="s">
        <v>928</v>
      </c>
    </row>
    <row r="1239" spans="3:3">
      <c r="C1239" s="68" t="s">
        <v>874</v>
      </c>
    </row>
    <row r="1240" spans="3:3">
      <c r="C1240" s="68" t="s">
        <v>875</v>
      </c>
    </row>
    <row r="1241" spans="3:3">
      <c r="C1241" s="68" t="s">
        <v>929</v>
      </c>
    </row>
    <row r="1242" spans="3:3">
      <c r="C1242" s="68" t="s">
        <v>876</v>
      </c>
    </row>
    <row r="1243" spans="3:3">
      <c r="C1243" s="68" t="s">
        <v>930</v>
      </c>
    </row>
    <row r="1244" spans="3:3">
      <c r="C1244" s="68" t="s">
        <v>931</v>
      </c>
    </row>
    <row r="1245" spans="3:3">
      <c r="C1245" s="68" t="s">
        <v>130</v>
      </c>
    </row>
    <row r="1248" spans="3:3">
      <c r="C1248" s="68" t="s">
        <v>975</v>
      </c>
    </row>
    <row r="1249" spans="3:3">
      <c r="C1249" s="68" t="s">
        <v>54</v>
      </c>
    </row>
    <row r="1250" spans="3:3">
      <c r="C1250" s="68" t="s">
        <v>69</v>
      </c>
    </row>
    <row r="1251" spans="3:3">
      <c r="C1251" s="68" t="s">
        <v>694</v>
      </c>
    </row>
    <row r="1252" spans="3:3">
      <c r="C1252" s="68" t="s">
        <v>696</v>
      </c>
    </row>
    <row r="1253" spans="3:3">
      <c r="C1253" s="68" t="s">
        <v>102</v>
      </c>
    </row>
    <row r="1255" spans="3:3">
      <c r="C1255" s="68" t="s">
        <v>975</v>
      </c>
    </row>
    <row r="1256" spans="3:3">
      <c r="C1256" s="68" t="s">
        <v>624</v>
      </c>
    </row>
    <row r="1257" spans="3:3">
      <c r="C1257" s="68" t="s">
        <v>956</v>
      </c>
    </row>
    <row r="1258" spans="3:3">
      <c r="C1258" s="68" t="s">
        <v>54</v>
      </c>
    </row>
    <row r="1259" spans="3:3">
      <c r="C1259" s="68" t="s">
        <v>102</v>
      </c>
    </row>
    <row r="1261" spans="3:3">
      <c r="C1261" s="68" t="s">
        <v>821</v>
      </c>
    </row>
    <row r="1262" spans="3:3">
      <c r="C1262" s="68" t="s">
        <v>54</v>
      </c>
    </row>
    <row r="1263" spans="3:3">
      <c r="C1263" s="68" t="s">
        <v>696</v>
      </c>
    </row>
    <row r="1264" spans="3:3">
      <c r="C1264" s="68" t="s">
        <v>694</v>
      </c>
    </row>
    <row r="1265" spans="3:3">
      <c r="C1265" s="68" t="s">
        <v>102</v>
      </c>
    </row>
    <row r="1267" spans="3:3">
      <c r="C1267" s="68" t="s">
        <v>975</v>
      </c>
    </row>
    <row r="1268" spans="3:3">
      <c r="C1268" s="68" t="s">
        <v>54</v>
      </c>
    </row>
    <row r="1269" spans="3:3">
      <c r="C1269" s="68" t="s">
        <v>102</v>
      </c>
    </row>
    <row r="1272" spans="3:3">
      <c r="C1272" s="68" t="s">
        <v>821</v>
      </c>
    </row>
    <row r="1273" spans="3:3">
      <c r="C1273" s="68" t="s">
        <v>54</v>
      </c>
    </row>
    <row r="1274" spans="3:3">
      <c r="C1274" s="68" t="s">
        <v>69</v>
      </c>
    </row>
    <row r="1275" spans="3:3">
      <c r="C1275" s="68" t="s">
        <v>624</v>
      </c>
    </row>
    <row r="1276" spans="3:3">
      <c r="C1276" s="68" t="s">
        <v>694</v>
      </c>
    </row>
    <row r="1277" spans="3:3">
      <c r="C1277" s="68" t="s">
        <v>695</v>
      </c>
    </row>
    <row r="1278" spans="3:3">
      <c r="C1278" s="68" t="s">
        <v>696</v>
      </c>
    </row>
    <row r="1279" spans="3:3">
      <c r="C1279" s="68" t="s">
        <v>697</v>
      </c>
    </row>
    <row r="1280" spans="3:3">
      <c r="C1280" s="68" t="s">
        <v>956</v>
      </c>
    </row>
    <row r="1281" spans="3:3">
      <c r="C1281" s="68" t="s">
        <v>102</v>
      </c>
    </row>
    <row r="1283" spans="3:3">
      <c r="C1283" s="68" t="s">
        <v>311</v>
      </c>
    </row>
    <row r="1284" spans="3:3">
      <c r="C1284" s="68" t="s">
        <v>944</v>
      </c>
    </row>
    <row r="1285" spans="3:3">
      <c r="C1285" s="68" t="s">
        <v>476</v>
      </c>
    </row>
    <row r="1286" spans="3:3">
      <c r="C1286" s="68" t="s">
        <v>479</v>
      </c>
    </row>
    <row r="1287" spans="3:3">
      <c r="C1287" s="68" t="s">
        <v>480</v>
      </c>
    </row>
    <row r="1288" spans="3:3">
      <c r="C1288" s="68" t="s">
        <v>477</v>
      </c>
    </row>
    <row r="1289" spans="3:3">
      <c r="C1289" s="68" t="s">
        <v>481</v>
      </c>
    </row>
    <row r="1290" spans="3:3">
      <c r="C1290" s="68" t="s">
        <v>478</v>
      </c>
    </row>
    <row r="1291" spans="3:3">
      <c r="C1291" s="68" t="s">
        <v>482</v>
      </c>
    </row>
    <row r="1292" spans="3:3">
      <c r="C1292" s="68" t="s">
        <v>483</v>
      </c>
    </row>
    <row r="1293" spans="3:3">
      <c r="C1293" s="68" t="s">
        <v>485</v>
      </c>
    </row>
    <row r="1294" spans="3:3">
      <c r="C1294" s="68" t="s">
        <v>484</v>
      </c>
    </row>
    <row r="1295" spans="3:3">
      <c r="C1295" s="68" t="s">
        <v>486</v>
      </c>
    </row>
    <row r="1296" spans="3:3">
      <c r="C1296" s="68" t="s">
        <v>487</v>
      </c>
    </row>
    <row r="1297" spans="3:3">
      <c r="C1297" s="68" t="s">
        <v>488</v>
      </c>
    </row>
    <row r="1298" spans="3:3">
      <c r="C1298" s="68" t="s">
        <v>489</v>
      </c>
    </row>
    <row r="1299" spans="3:3">
      <c r="C1299" s="68" t="s">
        <v>490</v>
      </c>
    </row>
    <row r="1300" spans="3:3">
      <c r="C1300" s="68" t="s">
        <v>491</v>
      </c>
    </row>
    <row r="1301" spans="3:3">
      <c r="C1301" s="68" t="s">
        <v>492</v>
      </c>
    </row>
    <row r="1302" spans="3:3">
      <c r="C1302" s="68" t="s">
        <v>493</v>
      </c>
    </row>
    <row r="1303" spans="3:3">
      <c r="C1303" s="68" t="s">
        <v>494</v>
      </c>
    </row>
    <row r="1304" spans="3:3">
      <c r="C1304" s="68" t="s">
        <v>495</v>
      </c>
    </row>
    <row r="1305" spans="3:3">
      <c r="C1305" s="68" t="s">
        <v>609</v>
      </c>
    </row>
    <row r="1306" spans="3:3">
      <c r="C1306" s="68" t="s">
        <v>496</v>
      </c>
    </row>
    <row r="1307" spans="3:3">
      <c r="C1307" s="68" t="s">
        <v>497</v>
      </c>
    </row>
    <row r="1308" spans="3:3">
      <c r="C1308" s="68" t="s">
        <v>498</v>
      </c>
    </row>
    <row r="1309" spans="3:3">
      <c r="C1309" s="68" t="s">
        <v>499</v>
      </c>
    </row>
    <row r="1310" spans="3:3">
      <c r="C1310" s="68" t="s">
        <v>500</v>
      </c>
    </row>
    <row r="1311" spans="3:3">
      <c r="C1311" s="68" t="s">
        <v>501</v>
      </c>
    </row>
    <row r="1312" spans="3:3">
      <c r="C1312" s="68" t="s">
        <v>502</v>
      </c>
    </row>
    <row r="1313" spans="3:3">
      <c r="C1313" s="68" t="s">
        <v>503</v>
      </c>
    </row>
    <row r="1314" spans="3:3">
      <c r="C1314" s="68" t="s">
        <v>504</v>
      </c>
    </row>
    <row r="1315" spans="3:3">
      <c r="C1315" s="68" t="s">
        <v>102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5703125" style="73" customWidth="1"/>
    <col min="2" max="2" width="48.7109375" style="73" customWidth="1"/>
    <col min="3" max="3" width="12" customWidth="1"/>
    <col min="4" max="4" width="23.42578125" style="1" customWidth="1"/>
    <col min="5" max="5" width="14.28515625" customWidth="1"/>
  </cols>
  <sheetData>
    <row r="1" spans="1:5" ht="15.75">
      <c r="A1" s="127" t="s">
        <v>805</v>
      </c>
      <c r="B1" s="128" t="s">
        <v>806</v>
      </c>
      <c r="C1" s="128" t="s">
        <v>816</v>
      </c>
      <c r="D1" s="129" t="s">
        <v>964</v>
      </c>
      <c r="E1" s="145"/>
    </row>
    <row r="2" spans="1:5" ht="15.75" outlineLevel="1">
      <c r="A2" s="48" t="s">
        <v>31</v>
      </c>
      <c r="B2" s="49" t="s">
        <v>667</v>
      </c>
      <c r="C2" s="48">
        <v>5.0999999999999996</v>
      </c>
      <c r="D2" s="131"/>
    </row>
    <row r="3" spans="1:5" ht="15.75" outlineLevel="1">
      <c r="A3" s="48" t="s">
        <v>31</v>
      </c>
      <c r="B3" s="49" t="s">
        <v>0</v>
      </c>
      <c r="C3" s="48">
        <v>5.2</v>
      </c>
      <c r="D3" s="131"/>
    </row>
    <row r="4" spans="1:5" ht="15.75" outlineLevel="1">
      <c r="A4" s="48" t="s">
        <v>31</v>
      </c>
      <c r="B4" s="49" t="s">
        <v>739</v>
      </c>
      <c r="C4" s="48">
        <v>5.4</v>
      </c>
      <c r="D4" s="131"/>
    </row>
    <row r="5" spans="1:5" ht="15.75" outlineLevel="1">
      <c r="A5" s="48" t="s">
        <v>31</v>
      </c>
      <c r="B5" s="49" t="s">
        <v>757</v>
      </c>
      <c r="C5" s="48">
        <v>5.7</v>
      </c>
      <c r="D5" s="131"/>
    </row>
    <row r="6" spans="1:5" ht="15.75" outlineLevel="1">
      <c r="A6" s="48" t="s">
        <v>31</v>
      </c>
      <c r="B6" s="49" t="s">
        <v>758</v>
      </c>
      <c r="C6" s="48">
        <v>5.1100000000000003</v>
      </c>
      <c r="D6" s="131"/>
    </row>
    <row r="7" spans="1:5" ht="15.75" outlineLevel="1">
      <c r="A7" s="48" t="s">
        <v>31</v>
      </c>
      <c r="B7" s="49" t="s">
        <v>1</v>
      </c>
      <c r="C7" s="48">
        <v>5.26</v>
      </c>
      <c r="D7" s="131"/>
    </row>
    <row r="8" spans="1:5" ht="15.75" outlineLevel="1">
      <c r="A8" s="48" t="s">
        <v>31</v>
      </c>
      <c r="B8" s="49" t="s">
        <v>620</v>
      </c>
      <c r="C8" s="48">
        <v>5.27</v>
      </c>
      <c r="D8" s="131"/>
    </row>
    <row r="9" spans="1:5" ht="15.75" outlineLevel="1">
      <c r="A9" s="48" t="s">
        <v>31</v>
      </c>
      <c r="B9" s="49" t="s">
        <v>622</v>
      </c>
      <c r="C9" s="48">
        <v>5.36</v>
      </c>
      <c r="D9" s="131"/>
    </row>
    <row r="10" spans="1:5" ht="15.75" outlineLevel="1">
      <c r="A10" s="48" t="s">
        <v>31</v>
      </c>
      <c r="B10" s="49" t="s">
        <v>788</v>
      </c>
      <c r="C10" s="50">
        <v>5.5</v>
      </c>
      <c r="D10" s="131"/>
    </row>
    <row r="11" spans="1:5" ht="15.75" outlineLevel="1">
      <c r="A11" s="48" t="s">
        <v>31</v>
      </c>
      <c r="B11" s="49" t="s">
        <v>8</v>
      </c>
      <c r="C11" s="48">
        <v>5.51</v>
      </c>
      <c r="D11" s="131"/>
    </row>
    <row r="12" spans="1:5" ht="15.75" outlineLevel="1">
      <c r="A12" s="48" t="s">
        <v>31</v>
      </c>
      <c r="B12" s="49" t="s">
        <v>396</v>
      </c>
      <c r="C12" s="48">
        <v>5.53</v>
      </c>
      <c r="D12" s="131"/>
    </row>
    <row r="13" spans="1:5" ht="15.75" outlineLevel="1">
      <c r="A13" s="48" t="s">
        <v>31</v>
      </c>
      <c r="B13" s="49" t="s">
        <v>938</v>
      </c>
      <c r="C13" s="48">
        <v>5.59</v>
      </c>
      <c r="D13" s="131"/>
    </row>
    <row r="14" spans="1:5" ht="15.75" outlineLevel="1">
      <c r="A14" s="48" t="s">
        <v>31</v>
      </c>
      <c r="B14" s="49" t="s">
        <v>11</v>
      </c>
      <c r="C14" s="48">
        <v>5.54</v>
      </c>
      <c r="D14" s="131"/>
    </row>
    <row r="15" spans="1:5" ht="15.75" outlineLevel="1">
      <c r="A15" s="48" t="s">
        <v>31</v>
      </c>
      <c r="B15" s="49" t="s">
        <v>14</v>
      </c>
      <c r="C15" s="50">
        <v>5.7</v>
      </c>
      <c r="D15" s="130" t="s">
        <v>952</v>
      </c>
    </row>
    <row r="16" spans="1:5" ht="15.75" outlineLevel="1">
      <c r="A16" s="48" t="s">
        <v>31</v>
      </c>
      <c r="B16" s="49" t="s">
        <v>1171</v>
      </c>
      <c r="C16" s="48">
        <v>5.63</v>
      </c>
      <c r="D16" s="131"/>
    </row>
    <row r="17" spans="1:4" ht="15.75" outlineLevel="1">
      <c r="A17" s="48" t="s">
        <v>31</v>
      </c>
      <c r="B17" s="49" t="s">
        <v>19</v>
      </c>
      <c r="C17" s="48">
        <v>5.47</v>
      </c>
      <c r="D17" s="131"/>
    </row>
    <row r="18" spans="1:4" ht="15.75" outlineLevel="1">
      <c r="A18" s="48" t="s">
        <v>31</v>
      </c>
      <c r="B18" s="49" t="s">
        <v>30</v>
      </c>
      <c r="C18" s="48">
        <v>5.48</v>
      </c>
      <c r="D18" s="131"/>
    </row>
    <row r="19" spans="1:4" ht="15.75">
      <c r="A19" s="55" t="s">
        <v>31</v>
      </c>
      <c r="B19" s="49"/>
      <c r="C19" s="48"/>
      <c r="D19" s="131"/>
    </row>
    <row r="20" spans="1:4" ht="15.75" outlineLevel="1">
      <c r="A20" s="48" t="s">
        <v>40</v>
      </c>
      <c r="B20" s="49" t="s">
        <v>667</v>
      </c>
      <c r="C20" s="48">
        <v>5.0999999999999996</v>
      </c>
      <c r="D20" s="131"/>
    </row>
    <row r="21" spans="1:4" ht="15.75" outlineLevel="1">
      <c r="A21" s="48" t="s">
        <v>40</v>
      </c>
      <c r="B21" s="49" t="s">
        <v>0</v>
      </c>
      <c r="C21" s="48">
        <v>5.2</v>
      </c>
      <c r="D21" s="131"/>
    </row>
    <row r="22" spans="1:4" ht="15.75" outlineLevel="1">
      <c r="A22" s="48" t="s">
        <v>40</v>
      </c>
      <c r="B22" s="49" t="s">
        <v>740</v>
      </c>
      <c r="C22" s="48">
        <v>5.3</v>
      </c>
      <c r="D22" s="131"/>
    </row>
    <row r="23" spans="1:4" ht="15.75" outlineLevel="1">
      <c r="A23" s="48" t="s">
        <v>40</v>
      </c>
      <c r="B23" s="49" t="s">
        <v>3</v>
      </c>
      <c r="C23" s="48">
        <v>5.14</v>
      </c>
      <c r="D23" s="131"/>
    </row>
    <row r="24" spans="1:4" ht="15.75" outlineLevel="1">
      <c r="A24" s="48" t="s">
        <v>40</v>
      </c>
      <c r="B24" s="49" t="s">
        <v>29</v>
      </c>
      <c r="C24" s="48">
        <v>5.19</v>
      </c>
      <c r="D24" s="131"/>
    </row>
    <row r="25" spans="1:4" ht="15.75" outlineLevel="1">
      <c r="A25" s="48" t="s">
        <v>40</v>
      </c>
      <c r="B25" s="49" t="s">
        <v>1</v>
      </c>
      <c r="C25" s="48">
        <v>5.26</v>
      </c>
      <c r="D25" s="131"/>
    </row>
    <row r="26" spans="1:4" ht="15.75" outlineLevel="1">
      <c r="A26" s="48" t="s">
        <v>40</v>
      </c>
      <c r="B26" s="49" t="s">
        <v>620</v>
      </c>
      <c r="C26" s="48">
        <v>5.27</v>
      </c>
      <c r="D26" s="131"/>
    </row>
    <row r="27" spans="1:4" ht="15.75" outlineLevel="1">
      <c r="A27" s="48" t="s">
        <v>40</v>
      </c>
      <c r="B27" s="49" t="s">
        <v>621</v>
      </c>
      <c r="C27" s="48">
        <v>5.28</v>
      </c>
      <c r="D27" s="131"/>
    </row>
    <row r="28" spans="1:4" ht="15.75" outlineLevel="1">
      <c r="A28" s="48" t="s">
        <v>40</v>
      </c>
      <c r="B28" s="49" t="s">
        <v>5</v>
      </c>
      <c r="C28" s="50">
        <v>5.3</v>
      </c>
      <c r="D28" s="131"/>
    </row>
    <row r="29" spans="1:4" ht="15.75" outlineLevel="1">
      <c r="A29" s="48" t="s">
        <v>40</v>
      </c>
      <c r="B29" s="49" t="s">
        <v>6</v>
      </c>
      <c r="C29" s="48">
        <v>5.49</v>
      </c>
      <c r="D29" s="131"/>
    </row>
    <row r="30" spans="1:4" ht="15.75" outlineLevel="1">
      <c r="A30" s="48" t="s">
        <v>40</v>
      </c>
      <c r="B30" s="49" t="s">
        <v>8</v>
      </c>
      <c r="C30" s="48">
        <v>5.51</v>
      </c>
      <c r="D30" s="131"/>
    </row>
    <row r="31" spans="1:4" ht="15.75" outlineLevel="1">
      <c r="A31" s="48" t="s">
        <v>40</v>
      </c>
      <c r="B31" s="49" t="s">
        <v>396</v>
      </c>
      <c r="C31" s="48">
        <v>5.53</v>
      </c>
      <c r="D31" s="131"/>
    </row>
    <row r="32" spans="1:4" ht="15.75" outlineLevel="1">
      <c r="A32" s="48" t="s">
        <v>40</v>
      </c>
      <c r="B32" s="49" t="s">
        <v>13</v>
      </c>
      <c r="C32" s="48">
        <v>5.69</v>
      </c>
      <c r="D32" s="131"/>
    </row>
    <row r="33" spans="1:4" ht="15.75" outlineLevel="1">
      <c r="A33" s="48" t="s">
        <v>40</v>
      </c>
      <c r="B33" s="49" t="s">
        <v>421</v>
      </c>
      <c r="C33" s="48">
        <v>5.75</v>
      </c>
      <c r="D33" s="131"/>
    </row>
    <row r="34" spans="1:4" ht="15.75" outlineLevel="1">
      <c r="A34" s="48" t="s">
        <v>40</v>
      </c>
      <c r="B34" s="49" t="s">
        <v>14</v>
      </c>
      <c r="C34" s="50">
        <v>5.7</v>
      </c>
      <c r="D34" s="131"/>
    </row>
    <row r="35" spans="1:4" ht="15.75" outlineLevel="1">
      <c r="A35" s="48" t="s">
        <v>40</v>
      </c>
      <c r="B35" s="49" t="s">
        <v>637</v>
      </c>
      <c r="C35" s="48">
        <v>5.74</v>
      </c>
      <c r="D35" s="131"/>
    </row>
    <row r="36" spans="1:4" ht="15.75" outlineLevel="1">
      <c r="A36" s="48" t="s">
        <v>40</v>
      </c>
      <c r="B36" s="49" t="s">
        <v>955</v>
      </c>
      <c r="C36" s="48">
        <v>5.62</v>
      </c>
      <c r="D36" s="131"/>
    </row>
    <row r="37" spans="1:4" ht="15.75" outlineLevel="1">
      <c r="A37" s="48" t="s">
        <v>40</v>
      </c>
      <c r="B37" s="49" t="s">
        <v>789</v>
      </c>
      <c r="C37" s="48">
        <v>5.58</v>
      </c>
      <c r="D37" s="131"/>
    </row>
    <row r="38" spans="1:4" ht="15.75" outlineLevel="1">
      <c r="A38" s="48" t="s">
        <v>40</v>
      </c>
      <c r="B38" s="49" t="s">
        <v>11</v>
      </c>
      <c r="C38" s="48">
        <v>5.54</v>
      </c>
      <c r="D38" s="131"/>
    </row>
    <row r="39" spans="1:4" ht="15.75" outlineLevel="1">
      <c r="A39" s="48" t="s">
        <v>40</v>
      </c>
      <c r="B39" s="49" t="s">
        <v>15</v>
      </c>
      <c r="C39" s="48">
        <v>5.55</v>
      </c>
      <c r="D39" s="131"/>
    </row>
    <row r="40" spans="1:4" ht="15.75" outlineLevel="1">
      <c r="A40" s="48" t="s">
        <v>40</v>
      </c>
      <c r="B40" s="49" t="s">
        <v>1171</v>
      </c>
      <c r="C40" s="48">
        <v>5.63</v>
      </c>
      <c r="D40" s="131"/>
    </row>
    <row r="41" spans="1:4" ht="15.75" outlineLevel="1">
      <c r="A41" s="48" t="s">
        <v>40</v>
      </c>
      <c r="B41" s="49" t="s">
        <v>1172</v>
      </c>
      <c r="C41" s="48">
        <v>5.65</v>
      </c>
      <c r="D41" s="131"/>
    </row>
    <row r="42" spans="1:4" ht="15.75" outlineLevel="1">
      <c r="A42" s="48" t="s">
        <v>40</v>
      </c>
      <c r="B42" s="49" t="s">
        <v>26</v>
      </c>
      <c r="C42" s="48">
        <v>5.68</v>
      </c>
      <c r="D42" s="131"/>
    </row>
    <row r="43" spans="1:4" ht="15.75" outlineLevel="1">
      <c r="A43" s="48" t="s">
        <v>40</v>
      </c>
      <c r="B43" s="49" t="s">
        <v>18</v>
      </c>
      <c r="C43" s="48">
        <v>5.45</v>
      </c>
      <c r="D43" s="131"/>
    </row>
    <row r="44" spans="1:4" ht="15.75" outlineLevel="1">
      <c r="A44" s="48" t="s">
        <v>40</v>
      </c>
      <c r="B44" s="49" t="s">
        <v>19</v>
      </c>
      <c r="C44" s="48">
        <v>5.47</v>
      </c>
      <c r="D44" s="131"/>
    </row>
    <row r="45" spans="1:4" ht="15.75" outlineLevel="1">
      <c r="A45" s="48" t="s">
        <v>40</v>
      </c>
      <c r="B45" s="49" t="s">
        <v>30</v>
      </c>
      <c r="C45" s="48">
        <v>5.48</v>
      </c>
      <c r="D45" s="131"/>
    </row>
    <row r="46" spans="1:4" ht="15.75">
      <c r="A46" s="55" t="s">
        <v>40</v>
      </c>
      <c r="B46" s="49"/>
      <c r="C46" s="48"/>
      <c r="D46" s="131"/>
    </row>
    <row r="47" spans="1:4" ht="15.75" outlineLevel="1">
      <c r="A47" s="48" t="s">
        <v>32</v>
      </c>
      <c r="B47" s="49" t="s">
        <v>667</v>
      </c>
      <c r="C47" s="48">
        <v>5.0999999999999996</v>
      </c>
      <c r="D47" s="131"/>
    </row>
    <row r="48" spans="1:4" ht="15.75" outlineLevel="1">
      <c r="A48" s="48" t="s">
        <v>32</v>
      </c>
      <c r="B48" s="49" t="s">
        <v>0</v>
      </c>
      <c r="C48" s="48">
        <v>5.2</v>
      </c>
      <c r="D48" s="131"/>
    </row>
    <row r="49" spans="1:4" ht="15.75" outlineLevel="1">
      <c r="A49" s="48" t="s">
        <v>32</v>
      </c>
      <c r="B49" s="49" t="s">
        <v>740</v>
      </c>
      <c r="C49" s="48">
        <v>5.3</v>
      </c>
      <c r="D49" s="131"/>
    </row>
    <row r="50" spans="1:4" ht="15.75" outlineLevel="1">
      <c r="A50" s="48" t="s">
        <v>32</v>
      </c>
      <c r="B50" s="49" t="s">
        <v>2</v>
      </c>
      <c r="C50" s="48">
        <v>5.6</v>
      </c>
      <c r="D50" s="131"/>
    </row>
    <row r="51" spans="1:4" ht="15.75" outlineLevel="1">
      <c r="A51" s="48" t="s">
        <v>32</v>
      </c>
      <c r="B51" s="49" t="s">
        <v>746</v>
      </c>
      <c r="C51" s="50">
        <v>5.0999999999999996</v>
      </c>
      <c r="D51" s="131"/>
    </row>
    <row r="52" spans="1:4" ht="15.75" outlineLevel="1">
      <c r="A52" s="48" t="s">
        <v>32</v>
      </c>
      <c r="B52" s="49" t="s">
        <v>3</v>
      </c>
      <c r="C52" s="48">
        <v>5.14</v>
      </c>
      <c r="D52" s="131"/>
    </row>
    <row r="53" spans="1:4" ht="15.75" outlineLevel="1">
      <c r="A53" s="48" t="s">
        <v>32</v>
      </c>
      <c r="B53" s="49" t="s">
        <v>29</v>
      </c>
      <c r="C53" s="48">
        <v>5.19</v>
      </c>
      <c r="D53" s="131"/>
    </row>
    <row r="54" spans="1:4" ht="15.75" outlineLevel="1">
      <c r="A54" s="48" t="s">
        <v>32</v>
      </c>
      <c r="B54" s="49" t="s">
        <v>28</v>
      </c>
      <c r="C54" s="48">
        <v>5.24</v>
      </c>
      <c r="D54" s="131"/>
    </row>
    <row r="55" spans="1:4" ht="15.75" outlineLevel="1">
      <c r="A55" s="48" t="s">
        <v>32</v>
      </c>
      <c r="B55" s="49" t="s">
        <v>1</v>
      </c>
      <c r="C55" s="48">
        <v>5.26</v>
      </c>
      <c r="D55" s="131"/>
    </row>
    <row r="56" spans="1:4" ht="15.75" outlineLevel="1">
      <c r="A56" s="48" t="s">
        <v>32</v>
      </c>
      <c r="B56" s="49" t="s">
        <v>620</v>
      </c>
      <c r="C56" s="48">
        <v>5.27</v>
      </c>
      <c r="D56" s="131"/>
    </row>
    <row r="57" spans="1:4" ht="15.75" outlineLevel="1">
      <c r="A57" s="48" t="s">
        <v>32</v>
      </c>
      <c r="B57" s="49" t="s">
        <v>621</v>
      </c>
      <c r="C57" s="48">
        <v>5.28</v>
      </c>
      <c r="D57" s="131"/>
    </row>
    <row r="58" spans="1:4" ht="15.75" outlineLevel="1">
      <c r="A58" s="48" t="s">
        <v>32</v>
      </c>
      <c r="B58" s="49" t="s">
        <v>5</v>
      </c>
      <c r="C58" s="50">
        <v>5.3</v>
      </c>
      <c r="D58" s="131"/>
    </row>
    <row r="59" spans="1:4" ht="15.75" outlineLevel="1">
      <c r="A59" s="48" t="s">
        <v>32</v>
      </c>
      <c r="B59" s="49" t="s">
        <v>9</v>
      </c>
      <c r="C59" s="48">
        <v>5.31</v>
      </c>
      <c r="D59" s="131"/>
    </row>
    <row r="60" spans="1:4" ht="15.75" outlineLevel="1">
      <c r="A60" s="48" t="s">
        <v>32</v>
      </c>
      <c r="B60" s="49" t="s">
        <v>622</v>
      </c>
      <c r="C60" s="48">
        <v>5.36</v>
      </c>
      <c r="D60" s="131"/>
    </row>
    <row r="61" spans="1:4" ht="15.75" outlineLevel="1">
      <c r="A61" s="48" t="s">
        <v>32</v>
      </c>
      <c r="B61" s="49" t="s">
        <v>6</v>
      </c>
      <c r="C61" s="48">
        <v>5.49</v>
      </c>
      <c r="D61" s="131"/>
    </row>
    <row r="62" spans="1:4" ht="15.75" outlineLevel="1">
      <c r="A62" s="48" t="s">
        <v>32</v>
      </c>
      <c r="B62" s="49" t="s">
        <v>8</v>
      </c>
      <c r="C62" s="48">
        <v>5.51</v>
      </c>
      <c r="D62" s="131"/>
    </row>
    <row r="63" spans="1:4" ht="15.75" outlineLevel="1">
      <c r="A63" s="48" t="s">
        <v>32</v>
      </c>
      <c r="B63" s="49" t="s">
        <v>7</v>
      </c>
      <c r="C63" s="48">
        <v>5.52</v>
      </c>
      <c r="D63" s="131"/>
    </row>
    <row r="64" spans="1:4" ht="15.75" outlineLevel="1">
      <c r="A64" s="48" t="s">
        <v>32</v>
      </c>
      <c r="B64" s="49" t="s">
        <v>396</v>
      </c>
      <c r="C64" s="48">
        <v>5.53</v>
      </c>
      <c r="D64" s="131"/>
    </row>
    <row r="65" spans="1:4" ht="15.75" outlineLevel="1">
      <c r="A65" s="48" t="s">
        <v>32</v>
      </c>
      <c r="B65" s="49" t="s">
        <v>13</v>
      </c>
      <c r="C65" s="48">
        <v>5.69</v>
      </c>
      <c r="D65" s="131"/>
    </row>
    <row r="66" spans="1:4" ht="15.75" outlineLevel="1">
      <c r="A66" s="48" t="s">
        <v>32</v>
      </c>
      <c r="B66" s="49" t="s">
        <v>309</v>
      </c>
      <c r="C66" s="50">
        <v>5.72</v>
      </c>
      <c r="D66" s="131"/>
    </row>
    <row r="67" spans="1:4" ht="15.75" outlineLevel="1">
      <c r="A67" s="48" t="s">
        <v>32</v>
      </c>
      <c r="B67" s="49" t="s">
        <v>421</v>
      </c>
      <c r="C67" s="48">
        <v>5.75</v>
      </c>
      <c r="D67" s="131"/>
    </row>
    <row r="68" spans="1:4" ht="15.75" outlineLevel="1">
      <c r="A68" s="48" t="s">
        <v>32</v>
      </c>
      <c r="B68" s="49" t="s">
        <v>14</v>
      </c>
      <c r="C68" s="50">
        <v>5.7</v>
      </c>
      <c r="D68" s="131"/>
    </row>
    <row r="69" spans="1:4" ht="15.75" outlineLevel="1">
      <c r="A69" s="48" t="s">
        <v>32</v>
      </c>
      <c r="B69" s="49" t="s">
        <v>637</v>
      </c>
      <c r="C69" s="48">
        <v>5.74</v>
      </c>
      <c r="D69" s="131"/>
    </row>
    <row r="70" spans="1:4" ht="15.75" outlineLevel="1">
      <c r="A70" s="48" t="s">
        <v>32</v>
      </c>
      <c r="B70" s="49" t="s">
        <v>942</v>
      </c>
      <c r="C70" s="48">
        <v>5.76</v>
      </c>
      <c r="D70" s="131"/>
    </row>
    <row r="71" spans="1:4" ht="15.75" outlineLevel="1">
      <c r="A71" s="48" t="s">
        <v>32</v>
      </c>
      <c r="B71" s="49" t="s">
        <v>685</v>
      </c>
      <c r="C71" s="48">
        <v>5.89</v>
      </c>
      <c r="D71" s="130" t="s">
        <v>952</v>
      </c>
    </row>
    <row r="72" spans="1:4" ht="15.75" outlineLevel="1">
      <c r="A72" s="48" t="s">
        <v>32</v>
      </c>
      <c r="B72" s="49" t="s">
        <v>789</v>
      </c>
      <c r="C72" s="48">
        <v>5.58</v>
      </c>
      <c r="D72" s="131"/>
    </row>
    <row r="73" spans="1:4" ht="15.75" outlineLevel="1">
      <c r="A73" s="48" t="s">
        <v>32</v>
      </c>
      <c r="B73" s="49" t="s">
        <v>955</v>
      </c>
      <c r="C73" s="48">
        <v>5.62</v>
      </c>
      <c r="D73" s="131"/>
    </row>
    <row r="74" spans="1:4" ht="15.75" outlineLevel="1">
      <c r="A74" s="48" t="s">
        <v>32</v>
      </c>
      <c r="B74" s="49" t="s">
        <v>11</v>
      </c>
      <c r="C74" s="48">
        <v>5.54</v>
      </c>
      <c r="D74" s="131"/>
    </row>
    <row r="75" spans="1:4" ht="15.75" outlineLevel="1">
      <c r="A75" s="48" t="s">
        <v>32</v>
      </c>
      <c r="B75" s="49" t="s">
        <v>15</v>
      </c>
      <c r="C75" s="48">
        <v>5.55</v>
      </c>
      <c r="D75" s="131"/>
    </row>
    <row r="76" spans="1:4" ht="15.75" outlineLevel="1">
      <c r="A76" s="48" t="s">
        <v>32</v>
      </c>
      <c r="B76" s="49" t="s">
        <v>1171</v>
      </c>
      <c r="C76" s="48">
        <v>5.63</v>
      </c>
      <c r="D76" s="131"/>
    </row>
    <row r="77" spans="1:4" ht="15.75" outlineLevel="1">
      <c r="A77" s="48" t="s">
        <v>32</v>
      </c>
      <c r="B77" s="49" t="s">
        <v>1172</v>
      </c>
      <c r="C77" s="48">
        <v>5.65</v>
      </c>
      <c r="D77" s="131"/>
    </row>
    <row r="78" spans="1:4" ht="15.75" outlineLevel="1">
      <c r="A78" s="48" t="s">
        <v>32</v>
      </c>
      <c r="B78" s="49" t="s">
        <v>804</v>
      </c>
      <c r="C78" s="48">
        <v>5.66</v>
      </c>
      <c r="D78" s="131"/>
    </row>
    <row r="79" spans="1:4" ht="15.75" outlineLevel="1">
      <c r="A79" s="48" t="s">
        <v>32</v>
      </c>
      <c r="B79" s="49" t="s">
        <v>26</v>
      </c>
      <c r="C79" s="48">
        <v>5.68</v>
      </c>
      <c r="D79" s="131"/>
    </row>
    <row r="80" spans="1:4" ht="15.75" outlineLevel="1">
      <c r="A80" s="48" t="s">
        <v>32</v>
      </c>
      <c r="B80" s="49" t="s">
        <v>18</v>
      </c>
      <c r="C80" s="48">
        <v>5.45</v>
      </c>
      <c r="D80" s="131"/>
    </row>
    <row r="81" spans="1:4" ht="15.75" outlineLevel="1">
      <c r="A81" s="48" t="s">
        <v>32</v>
      </c>
      <c r="B81" s="49" t="s">
        <v>19</v>
      </c>
      <c r="C81" s="48">
        <v>5.47</v>
      </c>
      <c r="D81" s="131"/>
    </row>
    <row r="82" spans="1:4" ht="15.75" outlineLevel="1">
      <c r="A82" s="48" t="s">
        <v>32</v>
      </c>
      <c r="B82" s="49" t="s">
        <v>30</v>
      </c>
      <c r="C82" s="48">
        <v>5.48</v>
      </c>
      <c r="D82" s="131"/>
    </row>
    <row r="83" spans="1:4" ht="15.75">
      <c r="A83" s="55" t="s">
        <v>32</v>
      </c>
      <c r="B83" s="49"/>
      <c r="C83" s="48"/>
      <c r="D83" s="131"/>
    </row>
    <row r="84" spans="1:4" ht="15.75" outlineLevel="1">
      <c r="A84" s="48" t="s">
        <v>33</v>
      </c>
      <c r="B84" s="49" t="s">
        <v>667</v>
      </c>
      <c r="C84" s="48">
        <v>5.0999999999999996</v>
      </c>
      <c r="D84" s="131"/>
    </row>
    <row r="85" spans="1:4" ht="15.75" outlineLevel="1">
      <c r="A85" s="48" t="s">
        <v>33</v>
      </c>
      <c r="B85" s="49" t="s">
        <v>0</v>
      </c>
      <c r="C85" s="48">
        <v>5.2</v>
      </c>
      <c r="D85" s="131"/>
    </row>
    <row r="86" spans="1:4" ht="15.75" outlineLevel="1">
      <c r="A86" s="48" t="s">
        <v>33</v>
      </c>
      <c r="B86" s="49" t="s">
        <v>740</v>
      </c>
      <c r="C86" s="48">
        <v>5.3</v>
      </c>
      <c r="D86" s="131"/>
    </row>
    <row r="87" spans="1:4" ht="15.75" outlineLevel="1">
      <c r="A87" s="48" t="s">
        <v>33</v>
      </c>
      <c r="B87" s="49" t="s">
        <v>2</v>
      </c>
      <c r="C87" s="48">
        <v>5.6</v>
      </c>
      <c r="D87" s="131"/>
    </row>
    <row r="88" spans="1:4" ht="15.75" outlineLevel="1">
      <c r="A88" s="48" t="s">
        <v>33</v>
      </c>
      <c r="B88" s="49" t="s">
        <v>746</v>
      </c>
      <c r="C88" s="50">
        <v>5.0999999999999996</v>
      </c>
      <c r="D88" s="131"/>
    </row>
    <row r="89" spans="1:4" ht="15.75" outlineLevel="1">
      <c r="A89" s="48" t="s">
        <v>33</v>
      </c>
      <c r="B89" s="49" t="s">
        <v>3</v>
      </c>
      <c r="C89" s="48">
        <v>5.14</v>
      </c>
      <c r="D89" s="131"/>
    </row>
    <row r="90" spans="1:4" ht="15.75" outlineLevel="1">
      <c r="A90" s="48" t="s">
        <v>33</v>
      </c>
      <c r="B90" s="49" t="s">
        <v>29</v>
      </c>
      <c r="C90" s="48">
        <v>5.19</v>
      </c>
      <c r="D90" s="131"/>
    </row>
    <row r="91" spans="1:4" ht="15.75" outlineLevel="1">
      <c r="A91" s="48" t="s">
        <v>33</v>
      </c>
      <c r="B91" s="49" t="s">
        <v>28</v>
      </c>
      <c r="C91" s="48">
        <v>5.24</v>
      </c>
      <c r="D91" s="131"/>
    </row>
    <row r="92" spans="1:4" ht="15.75" outlineLevel="1">
      <c r="A92" s="48" t="s">
        <v>33</v>
      </c>
      <c r="B92" s="49" t="s">
        <v>1</v>
      </c>
      <c r="C92" s="48">
        <v>5.26</v>
      </c>
      <c r="D92" s="131"/>
    </row>
    <row r="93" spans="1:4" ht="15.75" outlineLevel="1">
      <c r="A93" s="48" t="s">
        <v>33</v>
      </c>
      <c r="B93" s="49" t="s">
        <v>620</v>
      </c>
      <c r="C93" s="48">
        <v>5.27</v>
      </c>
      <c r="D93" s="131"/>
    </row>
    <row r="94" spans="1:4" ht="15.75" outlineLevel="1">
      <c r="A94" s="48" t="s">
        <v>33</v>
      </c>
      <c r="B94" s="49" t="s">
        <v>621</v>
      </c>
      <c r="C94" s="48">
        <v>5.28</v>
      </c>
      <c r="D94" s="131"/>
    </row>
    <row r="95" spans="1:4" ht="15.75" outlineLevel="1">
      <c r="A95" s="48" t="s">
        <v>33</v>
      </c>
      <c r="B95" s="49" t="s">
        <v>625</v>
      </c>
      <c r="C95" s="48">
        <v>5.29</v>
      </c>
      <c r="D95" s="131"/>
    </row>
    <row r="96" spans="1:4" ht="15.75" outlineLevel="1">
      <c r="A96" s="48" t="s">
        <v>33</v>
      </c>
      <c r="B96" s="49" t="s">
        <v>5</v>
      </c>
      <c r="C96" s="50">
        <v>5.3</v>
      </c>
      <c r="D96" s="131"/>
    </row>
    <row r="97" spans="1:4" ht="15.75" outlineLevel="1">
      <c r="A97" s="48" t="s">
        <v>33</v>
      </c>
      <c r="B97" s="49" t="s">
        <v>9</v>
      </c>
      <c r="C97" s="48">
        <v>5.31</v>
      </c>
      <c r="D97" s="131"/>
    </row>
    <row r="98" spans="1:4" ht="15.75" outlineLevel="1">
      <c r="A98" s="48" t="s">
        <v>33</v>
      </c>
      <c r="B98" s="49" t="s">
        <v>622</v>
      </c>
      <c r="C98" s="48">
        <v>5.36</v>
      </c>
      <c r="D98" s="131"/>
    </row>
    <row r="99" spans="1:4" ht="15.75" outlineLevel="1">
      <c r="A99" s="48" t="s">
        <v>33</v>
      </c>
      <c r="B99" s="49" t="s">
        <v>6</v>
      </c>
      <c r="C99" s="48">
        <v>5.49</v>
      </c>
      <c r="D99" s="131"/>
    </row>
    <row r="100" spans="1:4" ht="15.75" outlineLevel="1">
      <c r="A100" s="48" t="s">
        <v>33</v>
      </c>
      <c r="B100" s="49" t="s">
        <v>8</v>
      </c>
      <c r="C100" s="48">
        <v>5.51</v>
      </c>
      <c r="D100" s="131"/>
    </row>
    <row r="101" spans="1:4" ht="15.75" outlineLevel="1">
      <c r="A101" s="48" t="s">
        <v>33</v>
      </c>
      <c r="B101" s="49" t="s">
        <v>7</v>
      </c>
      <c r="C101" s="48">
        <v>5.52</v>
      </c>
      <c r="D101" s="131"/>
    </row>
    <row r="102" spans="1:4" ht="15.75" outlineLevel="1">
      <c r="A102" s="48" t="s">
        <v>33</v>
      </c>
      <c r="B102" s="49" t="s">
        <v>396</v>
      </c>
      <c r="C102" s="48">
        <v>5.53</v>
      </c>
      <c r="D102" s="131"/>
    </row>
    <row r="103" spans="1:4" ht="15.75" outlineLevel="1">
      <c r="A103" s="48" t="s">
        <v>33</v>
      </c>
      <c r="B103" s="49" t="s">
        <v>13</v>
      </c>
      <c r="C103" s="48">
        <v>5.69</v>
      </c>
      <c r="D103" s="131"/>
    </row>
    <row r="104" spans="1:4" ht="15.75" outlineLevel="1">
      <c r="A104" s="48" t="s">
        <v>33</v>
      </c>
      <c r="B104" s="49" t="s">
        <v>421</v>
      </c>
      <c r="C104" s="48">
        <v>5.75</v>
      </c>
      <c r="D104" s="131"/>
    </row>
    <row r="105" spans="1:4" ht="15.75" outlineLevel="1">
      <c r="A105" s="48" t="s">
        <v>33</v>
      </c>
      <c r="B105" s="49" t="s">
        <v>14</v>
      </c>
      <c r="C105" s="50">
        <v>5.7</v>
      </c>
      <c r="D105" s="131"/>
    </row>
    <row r="106" spans="1:4" ht="15.75" outlineLevel="1">
      <c r="A106" s="48" t="s">
        <v>33</v>
      </c>
      <c r="B106" s="49" t="s">
        <v>637</v>
      </c>
      <c r="C106" s="48">
        <v>5.74</v>
      </c>
      <c r="D106" s="131"/>
    </row>
    <row r="107" spans="1:4" ht="15.75" outlineLevel="1">
      <c r="A107" s="48" t="s">
        <v>33</v>
      </c>
      <c r="B107" s="49" t="s">
        <v>942</v>
      </c>
      <c r="C107" s="48">
        <v>5.76</v>
      </c>
      <c r="D107" s="131"/>
    </row>
    <row r="108" spans="1:4" ht="15.75" outlineLevel="1">
      <c r="A108" s="48" t="s">
        <v>33</v>
      </c>
      <c r="B108" s="49" t="s">
        <v>685</v>
      </c>
      <c r="C108" s="48">
        <v>5.89</v>
      </c>
      <c r="D108" s="130" t="s">
        <v>952</v>
      </c>
    </row>
    <row r="109" spans="1:4" ht="15.75" outlineLevel="1">
      <c r="A109" s="48" t="s">
        <v>33</v>
      </c>
      <c r="B109" s="49" t="s">
        <v>789</v>
      </c>
      <c r="C109" s="48">
        <v>5.58</v>
      </c>
      <c r="D109" s="131"/>
    </row>
    <row r="110" spans="1:4" ht="15.75" outlineLevel="1">
      <c r="A110" s="48" t="s">
        <v>33</v>
      </c>
      <c r="B110" s="49" t="s">
        <v>955</v>
      </c>
      <c r="C110" s="48">
        <v>5.62</v>
      </c>
      <c r="D110" s="131"/>
    </row>
    <row r="111" spans="1:4" ht="15.75" outlineLevel="1">
      <c r="A111" s="48" t="s">
        <v>33</v>
      </c>
      <c r="B111" s="49" t="s">
        <v>11</v>
      </c>
      <c r="C111" s="48">
        <v>5.54</v>
      </c>
      <c r="D111" s="131"/>
    </row>
    <row r="112" spans="1:4" ht="15.75" outlineLevel="1">
      <c r="A112" s="48" t="s">
        <v>33</v>
      </c>
      <c r="B112" s="49" t="s">
        <v>15</v>
      </c>
      <c r="C112" s="48">
        <v>5.55</v>
      </c>
      <c r="D112" s="131"/>
    </row>
    <row r="113" spans="1:4" ht="15.75" outlineLevel="1">
      <c r="A113" s="48" t="s">
        <v>33</v>
      </c>
      <c r="B113" s="49" t="s">
        <v>1172</v>
      </c>
      <c r="C113" s="48">
        <v>5.65</v>
      </c>
      <c r="D113" s="131"/>
    </row>
    <row r="114" spans="1:4" ht="15.75" outlineLevel="1">
      <c r="A114" s="48" t="s">
        <v>33</v>
      </c>
      <c r="B114" s="49" t="s">
        <v>804</v>
      </c>
      <c r="C114" s="48">
        <v>5.66</v>
      </c>
      <c r="D114" s="131"/>
    </row>
    <row r="115" spans="1:4" ht="15.75" outlineLevel="1">
      <c r="A115" s="48" t="s">
        <v>33</v>
      </c>
      <c r="B115" s="49" t="s">
        <v>26</v>
      </c>
      <c r="C115" s="48">
        <v>5.68</v>
      </c>
      <c r="D115" s="131"/>
    </row>
    <row r="116" spans="1:4" ht="15.75" outlineLevel="1">
      <c r="A116" s="48" t="s">
        <v>33</v>
      </c>
      <c r="B116" s="49" t="s">
        <v>18</v>
      </c>
      <c r="C116" s="48">
        <v>5.45</v>
      </c>
      <c r="D116" s="131"/>
    </row>
    <row r="117" spans="1:4" ht="15.75" outlineLevel="1">
      <c r="A117" s="48" t="s">
        <v>33</v>
      </c>
      <c r="B117" s="49" t="s">
        <v>19</v>
      </c>
      <c r="C117" s="48">
        <v>5.47</v>
      </c>
      <c r="D117" s="131"/>
    </row>
    <row r="118" spans="1:4" ht="15.75" outlineLevel="1">
      <c r="A118" s="48" t="s">
        <v>33</v>
      </c>
      <c r="B118" s="49" t="s">
        <v>30</v>
      </c>
      <c r="C118" s="48">
        <v>5.48</v>
      </c>
      <c r="D118" s="131"/>
    </row>
    <row r="119" spans="1:4" ht="15.75">
      <c r="A119" s="55" t="s">
        <v>33</v>
      </c>
      <c r="B119" s="49"/>
      <c r="C119" s="48"/>
      <c r="D119" s="131"/>
    </row>
    <row r="120" spans="1:4" ht="15.75" outlineLevel="1">
      <c r="A120" s="48" t="s">
        <v>807</v>
      </c>
      <c r="B120" s="49" t="s">
        <v>667</v>
      </c>
      <c r="C120" s="48">
        <v>5.0999999999999996</v>
      </c>
      <c r="D120" s="131"/>
    </row>
    <row r="121" spans="1:4" ht="15.75" outlineLevel="1">
      <c r="A121" s="48" t="s">
        <v>807</v>
      </c>
      <c r="B121" s="49" t="s">
        <v>0</v>
      </c>
      <c r="C121" s="48">
        <v>5.2</v>
      </c>
      <c r="D121" s="131"/>
    </row>
    <row r="122" spans="1:4" ht="15.75" outlineLevel="1">
      <c r="A122" s="48" t="s">
        <v>807</v>
      </c>
      <c r="B122" s="49" t="s">
        <v>740</v>
      </c>
      <c r="C122" s="48">
        <v>5.3</v>
      </c>
      <c r="D122" s="131"/>
    </row>
    <row r="123" spans="1:4" ht="15.75" outlineLevel="1">
      <c r="A123" s="48" t="s">
        <v>807</v>
      </c>
      <c r="B123" s="49" t="s">
        <v>2</v>
      </c>
      <c r="C123" s="48">
        <v>5.6</v>
      </c>
      <c r="D123" s="131"/>
    </row>
    <row r="124" spans="1:4" ht="15.75" outlineLevel="1">
      <c r="A124" s="48" t="s">
        <v>807</v>
      </c>
      <c r="B124" s="49" t="s">
        <v>746</v>
      </c>
      <c r="C124" s="50">
        <v>5.0999999999999996</v>
      </c>
      <c r="D124" s="131"/>
    </row>
    <row r="125" spans="1:4" ht="15.75" outlineLevel="1">
      <c r="A125" s="48" t="s">
        <v>807</v>
      </c>
      <c r="B125" s="49" t="s">
        <v>3</v>
      </c>
      <c r="C125" s="48">
        <v>5.14</v>
      </c>
      <c r="D125" s="131"/>
    </row>
    <row r="126" spans="1:4" ht="15.75" outlineLevel="1">
      <c r="A126" s="48" t="s">
        <v>807</v>
      </c>
      <c r="B126" s="49" t="s">
        <v>29</v>
      </c>
      <c r="C126" s="48">
        <v>5.19</v>
      </c>
      <c r="D126" s="131"/>
    </row>
    <row r="127" spans="1:4" ht="15.75" outlineLevel="1">
      <c r="A127" s="48" t="s">
        <v>807</v>
      </c>
      <c r="B127" s="49" t="s">
        <v>28</v>
      </c>
      <c r="C127" s="48">
        <v>5.24</v>
      </c>
      <c r="D127" s="131"/>
    </row>
    <row r="128" spans="1:4" ht="15.75" outlineLevel="1">
      <c r="A128" s="48" t="s">
        <v>807</v>
      </c>
      <c r="B128" s="49" t="s">
        <v>1</v>
      </c>
      <c r="C128" s="48">
        <v>5.26</v>
      </c>
      <c r="D128" s="131"/>
    </row>
    <row r="129" spans="1:4" ht="15.75" outlineLevel="1">
      <c r="A129" s="48" t="s">
        <v>807</v>
      </c>
      <c r="B129" s="49" t="s">
        <v>620</v>
      </c>
      <c r="C129" s="48">
        <v>5.27</v>
      </c>
      <c r="D129" s="131"/>
    </row>
    <row r="130" spans="1:4" ht="15.75" outlineLevel="1">
      <c r="A130" s="48" t="s">
        <v>807</v>
      </c>
      <c r="B130" s="49" t="s">
        <v>621</v>
      </c>
      <c r="C130" s="48">
        <v>5.28</v>
      </c>
      <c r="D130" s="131"/>
    </row>
    <row r="131" spans="1:4" ht="15.75" outlineLevel="1">
      <c r="A131" s="48" t="s">
        <v>807</v>
      </c>
      <c r="B131" s="49" t="s">
        <v>625</v>
      </c>
      <c r="C131" s="48">
        <v>5.29</v>
      </c>
      <c r="D131" s="131"/>
    </row>
    <row r="132" spans="1:4" ht="15.75" outlineLevel="1">
      <c r="A132" s="48" t="s">
        <v>807</v>
      </c>
      <c r="B132" s="49" t="s">
        <v>5</v>
      </c>
      <c r="C132" s="50">
        <v>5.3</v>
      </c>
      <c r="D132" s="131"/>
    </row>
    <row r="133" spans="1:4" ht="15.75" outlineLevel="1">
      <c r="A133" s="48" t="s">
        <v>807</v>
      </c>
      <c r="B133" s="49" t="s">
        <v>9</v>
      </c>
      <c r="C133" s="48">
        <v>5.31</v>
      </c>
      <c r="D133" s="131"/>
    </row>
    <row r="134" spans="1:4" ht="15.75" outlineLevel="1">
      <c r="A134" s="48" t="s">
        <v>807</v>
      </c>
      <c r="B134" s="49" t="s">
        <v>622</v>
      </c>
      <c r="C134" s="48">
        <v>5.36</v>
      </c>
      <c r="D134" s="131"/>
    </row>
    <row r="135" spans="1:4" ht="15.75" outlineLevel="1">
      <c r="A135" s="48" t="s">
        <v>807</v>
      </c>
      <c r="B135" s="49" t="s">
        <v>396</v>
      </c>
      <c r="C135" s="48">
        <v>5.53</v>
      </c>
      <c r="D135" s="131"/>
    </row>
    <row r="136" spans="1:4" ht="15.75" outlineLevel="1">
      <c r="A136" s="48" t="s">
        <v>807</v>
      </c>
      <c r="B136" s="49" t="s">
        <v>789</v>
      </c>
      <c r="C136" s="48">
        <v>5.58</v>
      </c>
      <c r="D136" s="131"/>
    </row>
    <row r="137" spans="1:4" ht="15.75" outlineLevel="1">
      <c r="A137" s="48" t="s">
        <v>807</v>
      </c>
      <c r="B137" s="49" t="s">
        <v>955</v>
      </c>
      <c r="C137" s="48">
        <v>5.62</v>
      </c>
      <c r="D137" s="131"/>
    </row>
    <row r="138" spans="1:4" ht="15.75" outlineLevel="1">
      <c r="A138" s="48" t="s">
        <v>807</v>
      </c>
      <c r="B138" s="49" t="s">
        <v>11</v>
      </c>
      <c r="C138" s="48">
        <v>5.54</v>
      </c>
      <c r="D138" s="131"/>
    </row>
    <row r="139" spans="1:4" ht="15.75" outlineLevel="1">
      <c r="A139" s="48" t="s">
        <v>807</v>
      </c>
      <c r="B139" s="49" t="s">
        <v>15</v>
      </c>
      <c r="C139" s="48">
        <v>5.55</v>
      </c>
      <c r="D139" s="131"/>
    </row>
    <row r="140" spans="1:4" ht="15.75" outlineLevel="1">
      <c r="A140" s="48" t="s">
        <v>807</v>
      </c>
      <c r="B140" s="49" t="s">
        <v>1171</v>
      </c>
      <c r="C140" s="48">
        <v>5.63</v>
      </c>
      <c r="D140" s="131"/>
    </row>
    <row r="141" spans="1:4" ht="15.75" outlineLevel="1">
      <c r="A141" s="48" t="s">
        <v>807</v>
      </c>
      <c r="B141" s="49" t="s">
        <v>18</v>
      </c>
      <c r="C141" s="48">
        <v>5.45</v>
      </c>
      <c r="D141" s="131"/>
    </row>
    <row r="142" spans="1:4" ht="15.75" outlineLevel="1">
      <c r="A142" s="48" t="s">
        <v>807</v>
      </c>
      <c r="B142" s="49" t="s">
        <v>19</v>
      </c>
      <c r="C142" s="48">
        <v>5.47</v>
      </c>
      <c r="D142" s="131"/>
    </row>
    <row r="143" spans="1:4" ht="15.75" outlineLevel="1">
      <c r="A143" s="48" t="s">
        <v>807</v>
      </c>
      <c r="B143" s="49" t="s">
        <v>30</v>
      </c>
      <c r="C143" s="48">
        <v>5.48</v>
      </c>
      <c r="D143" s="131"/>
    </row>
    <row r="144" spans="1:4" ht="15.75">
      <c r="A144" s="55" t="s">
        <v>807</v>
      </c>
      <c r="B144" s="49"/>
      <c r="C144" s="48"/>
      <c r="D144" s="131"/>
    </row>
    <row r="145" spans="1:4" ht="15.75" outlineLevel="1">
      <c r="A145" s="48" t="s">
        <v>34</v>
      </c>
      <c r="B145" s="49" t="s">
        <v>667</v>
      </c>
      <c r="C145" s="48">
        <v>5.0999999999999996</v>
      </c>
      <c r="D145" s="131"/>
    </row>
    <row r="146" spans="1:4" ht="15.75" outlineLevel="1">
      <c r="A146" s="48" t="s">
        <v>34</v>
      </c>
      <c r="B146" s="49" t="s">
        <v>0</v>
      </c>
      <c r="C146" s="48">
        <v>5.2</v>
      </c>
      <c r="D146" s="131"/>
    </row>
    <row r="147" spans="1:4" ht="15.75" outlineLevel="1">
      <c r="A147" s="48" t="s">
        <v>34</v>
      </c>
      <c r="B147" s="49" t="s">
        <v>740</v>
      </c>
      <c r="C147" s="48">
        <v>5.3</v>
      </c>
      <c r="D147" s="131"/>
    </row>
    <row r="148" spans="1:4" ht="15.75" outlineLevel="1">
      <c r="A148" s="48" t="s">
        <v>34</v>
      </c>
      <c r="B148" s="49" t="s">
        <v>2</v>
      </c>
      <c r="C148" s="48">
        <v>5.6</v>
      </c>
      <c r="D148" s="131"/>
    </row>
    <row r="149" spans="1:4" ht="15.75" outlineLevel="1">
      <c r="A149" s="48" t="s">
        <v>34</v>
      </c>
      <c r="B149" s="49" t="s">
        <v>746</v>
      </c>
      <c r="C149" s="50">
        <v>5.0999999999999996</v>
      </c>
      <c r="D149" s="131"/>
    </row>
    <row r="150" spans="1:4" ht="15.75" outlineLevel="1">
      <c r="A150" s="48" t="s">
        <v>34</v>
      </c>
      <c r="B150" s="49" t="s">
        <v>3</v>
      </c>
      <c r="C150" s="48">
        <v>5.14</v>
      </c>
      <c r="D150" s="131"/>
    </row>
    <row r="151" spans="1:4" ht="15.75" outlineLevel="1">
      <c r="A151" s="48" t="s">
        <v>34</v>
      </c>
      <c r="B151" s="49" t="s">
        <v>29</v>
      </c>
      <c r="C151" s="48">
        <v>5.19</v>
      </c>
      <c r="D151" s="131"/>
    </row>
    <row r="152" spans="1:4" ht="15.75" outlineLevel="1">
      <c r="A152" s="48" t="s">
        <v>34</v>
      </c>
      <c r="B152" s="49" t="s">
        <v>28</v>
      </c>
      <c r="C152" s="48">
        <v>5.24</v>
      </c>
      <c r="D152" s="131"/>
    </row>
    <row r="153" spans="1:4" ht="15.75" outlineLevel="1">
      <c r="A153" s="48" t="s">
        <v>34</v>
      </c>
      <c r="B153" s="49" t="s">
        <v>1</v>
      </c>
      <c r="C153" s="48">
        <v>5.26</v>
      </c>
      <c r="D153" s="131"/>
    </row>
    <row r="154" spans="1:4" ht="15.75" outlineLevel="1">
      <c r="A154" s="48" t="s">
        <v>34</v>
      </c>
      <c r="B154" s="49" t="s">
        <v>620</v>
      </c>
      <c r="C154" s="48">
        <v>5.27</v>
      </c>
      <c r="D154" s="131"/>
    </row>
    <row r="155" spans="1:4" ht="15.75" outlineLevel="1">
      <c r="A155" s="48" t="s">
        <v>34</v>
      </c>
      <c r="B155" s="49" t="s">
        <v>621</v>
      </c>
      <c r="C155" s="48">
        <v>5.28</v>
      </c>
      <c r="D155" s="131"/>
    </row>
    <row r="156" spans="1:4" ht="15.75" outlineLevel="1">
      <c r="A156" s="48" t="s">
        <v>34</v>
      </c>
      <c r="B156" s="49" t="s">
        <v>5</v>
      </c>
      <c r="C156" s="50">
        <v>5.3</v>
      </c>
      <c r="D156" s="131"/>
    </row>
    <row r="157" spans="1:4" ht="15.75" outlineLevel="1">
      <c r="A157" s="48" t="s">
        <v>34</v>
      </c>
      <c r="B157" s="49" t="s">
        <v>300</v>
      </c>
      <c r="C157" s="48">
        <v>5.32</v>
      </c>
      <c r="D157" s="131"/>
    </row>
    <row r="158" spans="1:4" ht="15.75" outlineLevel="1">
      <c r="A158" s="48" t="s">
        <v>34</v>
      </c>
      <c r="B158" s="49" t="s">
        <v>622</v>
      </c>
      <c r="C158" s="48">
        <v>5.36</v>
      </c>
      <c r="D158" s="131"/>
    </row>
    <row r="159" spans="1:4" ht="15.75" outlineLevel="1">
      <c r="A159" s="48" t="s">
        <v>34</v>
      </c>
      <c r="B159" s="49" t="s">
        <v>396</v>
      </c>
      <c r="C159" s="48">
        <v>5.53</v>
      </c>
      <c r="D159" s="131"/>
    </row>
    <row r="160" spans="1:4" ht="15.75" outlineLevel="1">
      <c r="A160" s="48" t="s">
        <v>34</v>
      </c>
      <c r="B160" s="49" t="s">
        <v>789</v>
      </c>
      <c r="C160" s="48">
        <v>5.58</v>
      </c>
      <c r="D160" s="131"/>
    </row>
    <row r="161" spans="1:5" ht="15.75" outlineLevel="1">
      <c r="A161" s="48" t="s">
        <v>34</v>
      </c>
      <c r="B161" s="49" t="s">
        <v>11</v>
      </c>
      <c r="C161" s="48">
        <v>5.54</v>
      </c>
      <c r="D161" s="131"/>
    </row>
    <row r="162" spans="1:5" ht="15.75" outlineLevel="1">
      <c r="A162" s="48" t="s">
        <v>34</v>
      </c>
      <c r="B162" s="49" t="s">
        <v>15</v>
      </c>
      <c r="C162" s="48">
        <v>5.55</v>
      </c>
      <c r="D162" s="131"/>
    </row>
    <row r="163" spans="1:5" ht="15.75" outlineLevel="1">
      <c r="A163" s="48" t="s">
        <v>34</v>
      </c>
      <c r="B163" s="49" t="s">
        <v>955</v>
      </c>
      <c r="C163" s="48">
        <v>5.62</v>
      </c>
      <c r="D163" s="131"/>
      <c r="E163" t="s">
        <v>1143</v>
      </c>
    </row>
    <row r="164" spans="1:5" ht="15.75" outlineLevel="1">
      <c r="A164" s="48" t="s">
        <v>34</v>
      </c>
      <c r="B164" s="49" t="s">
        <v>1171</v>
      </c>
      <c r="C164" s="48">
        <v>5.63</v>
      </c>
      <c r="D164" s="131"/>
    </row>
    <row r="165" spans="1:5" ht="15.75" outlineLevel="1">
      <c r="A165" s="48" t="s">
        <v>34</v>
      </c>
      <c r="B165" s="49" t="s">
        <v>18</v>
      </c>
      <c r="C165" s="48">
        <v>5.45</v>
      </c>
      <c r="D165" s="131"/>
    </row>
    <row r="166" spans="1:5" ht="15.75" outlineLevel="1">
      <c r="A166" s="48" t="s">
        <v>34</v>
      </c>
      <c r="B166" s="49" t="s">
        <v>19</v>
      </c>
      <c r="C166" s="48">
        <v>5.47</v>
      </c>
      <c r="D166" s="131"/>
    </row>
    <row r="167" spans="1:5" ht="15.75" outlineLevel="1">
      <c r="A167" s="48" t="s">
        <v>34</v>
      </c>
      <c r="B167" s="49" t="s">
        <v>30</v>
      </c>
      <c r="C167" s="48">
        <v>5.48</v>
      </c>
      <c r="D167" s="131"/>
    </row>
    <row r="168" spans="1:5" ht="15.75">
      <c r="A168" s="55" t="s">
        <v>34</v>
      </c>
      <c r="B168" s="49"/>
      <c r="C168" s="48"/>
      <c r="D168" s="131"/>
    </row>
    <row r="169" spans="1:5" ht="15.75" outlineLevel="1">
      <c r="A169" s="48" t="s">
        <v>35</v>
      </c>
      <c r="B169" s="49" t="s">
        <v>667</v>
      </c>
      <c r="C169" s="48">
        <v>5.0999999999999996</v>
      </c>
      <c r="D169" s="131"/>
    </row>
    <row r="170" spans="1:5" ht="15.75" outlineLevel="1">
      <c r="A170" s="48" t="s">
        <v>35</v>
      </c>
      <c r="B170" s="49" t="s">
        <v>0</v>
      </c>
      <c r="C170" s="48">
        <v>5.2</v>
      </c>
      <c r="D170" s="131"/>
    </row>
    <row r="171" spans="1:5" ht="15.75" outlineLevel="1">
      <c r="A171" s="48" t="s">
        <v>35</v>
      </c>
      <c r="B171" s="49" t="s">
        <v>740</v>
      </c>
      <c r="C171" s="48">
        <v>5.3</v>
      </c>
      <c r="D171" s="131"/>
    </row>
    <row r="172" spans="1:5" ht="15.75" outlineLevel="1">
      <c r="A172" s="48" t="s">
        <v>35</v>
      </c>
      <c r="B172" s="49" t="s">
        <v>2</v>
      </c>
      <c r="C172" s="48">
        <v>5.6</v>
      </c>
      <c r="D172" s="131"/>
    </row>
    <row r="173" spans="1:5" ht="15.75" outlineLevel="1">
      <c r="A173" s="48" t="s">
        <v>35</v>
      </c>
      <c r="B173" s="49" t="s">
        <v>746</v>
      </c>
      <c r="C173" s="50">
        <v>5.0999999999999996</v>
      </c>
      <c r="D173" s="131"/>
    </row>
    <row r="174" spans="1:5" ht="15.75" outlineLevel="1">
      <c r="A174" s="48" t="s">
        <v>35</v>
      </c>
      <c r="B174" s="49" t="s">
        <v>3</v>
      </c>
      <c r="C174" s="48">
        <v>5.14</v>
      </c>
      <c r="D174" s="131"/>
    </row>
    <row r="175" spans="1:5" ht="15.75" outlineLevel="1">
      <c r="A175" s="48" t="s">
        <v>35</v>
      </c>
      <c r="B175" s="49" t="s">
        <v>29</v>
      </c>
      <c r="C175" s="48">
        <v>5.19</v>
      </c>
      <c r="D175" s="131"/>
    </row>
    <row r="176" spans="1:5" ht="15.75" outlineLevel="1">
      <c r="A176" s="48" t="s">
        <v>35</v>
      </c>
      <c r="B176" s="49" t="s">
        <v>28</v>
      </c>
      <c r="C176" s="48">
        <v>5.24</v>
      </c>
      <c r="D176" s="131"/>
    </row>
    <row r="177" spans="1:4" ht="15.75" outlineLevel="1">
      <c r="A177" s="48" t="s">
        <v>35</v>
      </c>
      <c r="B177" s="49" t="s">
        <v>1</v>
      </c>
      <c r="C177" s="48">
        <v>5.26</v>
      </c>
      <c r="D177" s="131"/>
    </row>
    <row r="178" spans="1:4" ht="15.75" outlineLevel="1">
      <c r="A178" s="48" t="s">
        <v>35</v>
      </c>
      <c r="B178" s="49" t="s">
        <v>620</v>
      </c>
      <c r="C178" s="48">
        <v>5.27</v>
      </c>
      <c r="D178" s="131"/>
    </row>
    <row r="179" spans="1:4" ht="15.75" outlineLevel="1">
      <c r="A179" s="48" t="s">
        <v>35</v>
      </c>
      <c r="B179" s="49" t="s">
        <v>621</v>
      </c>
      <c r="C179" s="48">
        <v>5.28</v>
      </c>
      <c r="D179" s="131"/>
    </row>
    <row r="180" spans="1:4" ht="15.75" outlineLevel="1">
      <c r="A180" s="48" t="s">
        <v>35</v>
      </c>
      <c r="B180" s="49" t="s">
        <v>625</v>
      </c>
      <c r="C180" s="48">
        <v>5.29</v>
      </c>
      <c r="D180" s="131"/>
    </row>
    <row r="181" spans="1:4" ht="15.75" outlineLevel="1">
      <c r="A181" s="48" t="s">
        <v>35</v>
      </c>
      <c r="B181" s="49" t="s">
        <v>5</v>
      </c>
      <c r="C181" s="50">
        <v>5.3</v>
      </c>
      <c r="D181" s="131"/>
    </row>
    <row r="182" spans="1:4" ht="15.75" outlineLevel="1">
      <c r="A182" s="48" t="s">
        <v>35</v>
      </c>
      <c r="B182" s="49" t="s">
        <v>300</v>
      </c>
      <c r="C182" s="48">
        <v>5.32</v>
      </c>
      <c r="D182" s="131"/>
    </row>
    <row r="183" spans="1:4" ht="15.75" outlineLevel="1">
      <c r="A183" s="48" t="s">
        <v>35</v>
      </c>
      <c r="B183" s="49" t="s">
        <v>622</v>
      </c>
      <c r="C183" s="48">
        <v>5.36</v>
      </c>
      <c r="D183" s="131"/>
    </row>
    <row r="184" spans="1:4" ht="15.75" outlineLevel="1">
      <c r="A184" s="48" t="s">
        <v>35</v>
      </c>
      <c r="B184" s="49" t="s">
        <v>396</v>
      </c>
      <c r="C184" s="48">
        <v>5.53</v>
      </c>
      <c r="D184" s="131"/>
    </row>
    <row r="185" spans="1:4" ht="15.75" outlineLevel="1">
      <c r="A185" s="48" t="s">
        <v>35</v>
      </c>
      <c r="B185" s="49" t="s">
        <v>789</v>
      </c>
      <c r="C185" s="48">
        <v>5.58</v>
      </c>
      <c r="D185" s="131"/>
    </row>
    <row r="186" spans="1:4" ht="15.75" outlineLevel="1">
      <c r="A186" s="48" t="s">
        <v>35</v>
      </c>
      <c r="B186" s="49" t="s">
        <v>11</v>
      </c>
      <c r="C186" s="48">
        <v>5.54</v>
      </c>
      <c r="D186" s="131"/>
    </row>
    <row r="187" spans="1:4" ht="15.75" outlineLevel="1">
      <c r="A187" s="48" t="s">
        <v>35</v>
      </c>
      <c r="B187" s="49" t="s">
        <v>15</v>
      </c>
      <c r="C187" s="48">
        <v>5.55</v>
      </c>
      <c r="D187" s="131"/>
    </row>
    <row r="188" spans="1:4" ht="15.75" outlineLevel="1">
      <c r="A188" s="48" t="s">
        <v>35</v>
      </c>
      <c r="B188" s="49" t="s">
        <v>1171</v>
      </c>
      <c r="C188" s="48">
        <v>5.63</v>
      </c>
      <c r="D188" s="131"/>
    </row>
    <row r="189" spans="1:4" ht="15.75" outlineLevel="1">
      <c r="A189" s="48" t="s">
        <v>35</v>
      </c>
      <c r="B189" s="49" t="s">
        <v>18</v>
      </c>
      <c r="C189" s="48">
        <v>5.45</v>
      </c>
      <c r="D189" s="131"/>
    </row>
    <row r="190" spans="1:4" ht="15.75" outlineLevel="1">
      <c r="A190" s="48" t="s">
        <v>35</v>
      </c>
      <c r="B190" s="49" t="s">
        <v>19</v>
      </c>
      <c r="C190" s="48">
        <v>5.47</v>
      </c>
      <c r="D190" s="131"/>
    </row>
    <row r="191" spans="1:4" ht="15.75" outlineLevel="1">
      <c r="A191" s="48" t="s">
        <v>35</v>
      </c>
      <c r="B191" s="49" t="s">
        <v>30</v>
      </c>
      <c r="C191" s="48">
        <v>5.48</v>
      </c>
      <c r="D191" s="131"/>
    </row>
    <row r="192" spans="1:4" ht="15.75">
      <c r="A192" s="55" t="s">
        <v>35</v>
      </c>
      <c r="B192" s="49"/>
      <c r="C192" s="48"/>
      <c r="D192" s="131"/>
    </row>
    <row r="193" spans="1:4" ht="15.75" outlineLevel="1">
      <c r="A193" s="48" t="s">
        <v>36</v>
      </c>
      <c r="B193" s="49" t="s">
        <v>667</v>
      </c>
      <c r="C193" s="48">
        <v>5.0999999999999996</v>
      </c>
      <c r="D193" s="131"/>
    </row>
    <row r="194" spans="1:4" ht="15.75" outlineLevel="1">
      <c r="A194" s="48" t="s">
        <v>36</v>
      </c>
      <c r="B194" s="49" t="s">
        <v>0</v>
      </c>
      <c r="C194" s="48">
        <v>5.2</v>
      </c>
      <c r="D194" s="131"/>
    </row>
    <row r="195" spans="1:4" ht="15.75" outlineLevel="1">
      <c r="A195" s="48" t="s">
        <v>36</v>
      </c>
      <c r="B195" s="49" t="s">
        <v>740</v>
      </c>
      <c r="C195" s="48">
        <v>5.3</v>
      </c>
      <c r="D195" s="131"/>
    </row>
    <row r="196" spans="1:4" ht="15.75" outlineLevel="1">
      <c r="A196" s="48" t="s">
        <v>36</v>
      </c>
      <c r="B196" s="49" t="s">
        <v>2</v>
      </c>
      <c r="C196" s="48">
        <v>5.6</v>
      </c>
      <c r="D196" s="131"/>
    </row>
    <row r="197" spans="1:4" ht="15.75" outlineLevel="1">
      <c r="A197" s="48" t="s">
        <v>36</v>
      </c>
      <c r="B197" s="49" t="s">
        <v>746</v>
      </c>
      <c r="C197" s="50">
        <v>5.0999999999999996</v>
      </c>
      <c r="D197" s="131"/>
    </row>
    <row r="198" spans="1:4" ht="15.75" outlineLevel="1">
      <c r="A198" s="48" t="s">
        <v>36</v>
      </c>
      <c r="B198" s="49" t="s">
        <v>3</v>
      </c>
      <c r="C198" s="48">
        <v>5.14</v>
      </c>
      <c r="D198" s="131"/>
    </row>
    <row r="199" spans="1:4" ht="15.75" outlineLevel="1">
      <c r="A199" s="48" t="s">
        <v>36</v>
      </c>
      <c r="B199" s="49" t="s">
        <v>29</v>
      </c>
      <c r="C199" s="48">
        <v>5.19</v>
      </c>
      <c r="D199" s="131"/>
    </row>
    <row r="200" spans="1:4" ht="15.75" outlineLevel="1">
      <c r="A200" s="48" t="s">
        <v>36</v>
      </c>
      <c r="B200" s="49" t="s">
        <v>28</v>
      </c>
      <c r="C200" s="48">
        <v>5.24</v>
      </c>
      <c r="D200" s="131"/>
    </row>
    <row r="201" spans="1:4" ht="15.75" outlineLevel="1">
      <c r="A201" s="48" t="s">
        <v>36</v>
      </c>
      <c r="B201" s="49" t="s">
        <v>620</v>
      </c>
      <c r="C201" s="48">
        <v>5.27</v>
      </c>
      <c r="D201" s="131"/>
    </row>
    <row r="202" spans="1:4" ht="15.75" outlineLevel="1">
      <c r="A202" s="48" t="s">
        <v>36</v>
      </c>
      <c r="B202" s="49" t="s">
        <v>621</v>
      </c>
      <c r="C202" s="48">
        <v>5.28</v>
      </c>
      <c r="D202" s="131"/>
    </row>
    <row r="203" spans="1:4" ht="15.75" outlineLevel="1">
      <c r="A203" s="48" t="s">
        <v>36</v>
      </c>
      <c r="B203" s="49" t="s">
        <v>625</v>
      </c>
      <c r="C203" s="48">
        <v>5.29</v>
      </c>
      <c r="D203" s="131"/>
    </row>
    <row r="204" spans="1:4" ht="15.75" outlineLevel="1">
      <c r="A204" s="48" t="s">
        <v>36</v>
      </c>
      <c r="B204" s="49" t="s">
        <v>5</v>
      </c>
      <c r="C204" s="50">
        <v>5.3</v>
      </c>
      <c r="D204" s="131"/>
    </row>
    <row r="205" spans="1:4" ht="15.75" outlineLevel="1">
      <c r="A205" s="48" t="s">
        <v>36</v>
      </c>
      <c r="B205" s="49" t="s">
        <v>754</v>
      </c>
      <c r="C205" s="48">
        <v>5.34</v>
      </c>
      <c r="D205" s="131"/>
    </row>
    <row r="206" spans="1:4" ht="15.75" outlineLevel="1">
      <c r="A206" s="48" t="s">
        <v>36</v>
      </c>
      <c r="B206" s="49" t="s">
        <v>9</v>
      </c>
      <c r="C206" s="48">
        <v>5.31</v>
      </c>
      <c r="D206" s="131"/>
    </row>
    <row r="207" spans="1:4" ht="15.75" outlineLevel="1">
      <c r="A207" s="48" t="s">
        <v>36</v>
      </c>
      <c r="B207" s="49" t="s">
        <v>682</v>
      </c>
      <c r="C207" s="48">
        <v>5.101</v>
      </c>
      <c r="D207" s="131"/>
    </row>
    <row r="208" spans="1:4" ht="15.75" outlineLevel="1">
      <c r="A208" s="48" t="s">
        <v>36</v>
      </c>
      <c r="B208" s="49" t="s">
        <v>622</v>
      </c>
      <c r="C208" s="48">
        <v>5.36</v>
      </c>
      <c r="D208" s="131"/>
    </row>
    <row r="209" spans="1:4" ht="15.75" outlineLevel="1">
      <c r="A209" s="48" t="s">
        <v>36</v>
      </c>
      <c r="B209" s="49" t="s">
        <v>396</v>
      </c>
      <c r="C209" s="48">
        <v>5.53</v>
      </c>
      <c r="D209" s="131"/>
    </row>
    <row r="210" spans="1:4" ht="15.75" outlineLevel="1">
      <c r="A210" s="48" t="s">
        <v>36</v>
      </c>
      <c r="B210" s="49" t="s">
        <v>23</v>
      </c>
      <c r="C210" s="48">
        <v>5.1020000000000003</v>
      </c>
      <c r="D210" s="131"/>
    </row>
    <row r="211" spans="1:4" ht="15.75" outlineLevel="1">
      <c r="A211" s="48" t="s">
        <v>36</v>
      </c>
      <c r="B211" s="49" t="s">
        <v>629</v>
      </c>
      <c r="C211" s="51">
        <v>5.0999999999999996</v>
      </c>
      <c r="D211" s="131"/>
    </row>
    <row r="212" spans="1:4" ht="15.75" outlineLevel="1">
      <c r="A212" s="48" t="s">
        <v>36</v>
      </c>
      <c r="B212" s="49" t="s">
        <v>789</v>
      </c>
      <c r="C212" s="48">
        <v>5.58</v>
      </c>
      <c r="D212" s="131"/>
    </row>
    <row r="213" spans="1:4" ht="15.75" outlineLevel="1">
      <c r="A213" s="48" t="s">
        <v>36</v>
      </c>
      <c r="B213" s="49" t="s">
        <v>11</v>
      </c>
      <c r="C213" s="48">
        <v>5.54</v>
      </c>
      <c r="D213" s="131"/>
    </row>
    <row r="214" spans="1:4" ht="15.75" outlineLevel="1">
      <c r="A214" s="48" t="s">
        <v>36</v>
      </c>
      <c r="B214" s="49" t="s">
        <v>15</v>
      </c>
      <c r="C214" s="48">
        <v>5.55</v>
      </c>
      <c r="D214" s="131"/>
    </row>
    <row r="215" spans="1:4" ht="15.75" outlineLevel="1">
      <c r="A215" s="48" t="s">
        <v>36</v>
      </c>
      <c r="B215" s="49" t="s">
        <v>1171</v>
      </c>
      <c r="C215" s="48">
        <v>5.63</v>
      </c>
      <c r="D215" s="131"/>
    </row>
    <row r="216" spans="1:4" ht="15.75" outlineLevel="1">
      <c r="A216" s="48" t="s">
        <v>36</v>
      </c>
      <c r="B216" s="49" t="s">
        <v>19</v>
      </c>
      <c r="C216" s="48">
        <v>5.47</v>
      </c>
      <c r="D216" s="131"/>
    </row>
    <row r="217" spans="1:4" ht="15.75" outlineLevel="1">
      <c r="A217" s="48" t="s">
        <v>36</v>
      </c>
      <c r="B217" s="49" t="s">
        <v>30</v>
      </c>
      <c r="C217" s="48">
        <v>5.48</v>
      </c>
      <c r="D217" s="131"/>
    </row>
    <row r="218" spans="1:4" ht="15.75">
      <c r="A218" s="55" t="s">
        <v>36</v>
      </c>
      <c r="B218" s="49"/>
      <c r="C218" s="48"/>
      <c r="D218" s="131"/>
    </row>
    <row r="219" spans="1:4" ht="15.75" outlineLevel="1">
      <c r="A219" s="48" t="s">
        <v>37</v>
      </c>
      <c r="B219" s="49" t="s">
        <v>667</v>
      </c>
      <c r="C219" s="48">
        <v>5.0999999999999996</v>
      </c>
      <c r="D219" s="131"/>
    </row>
    <row r="220" spans="1:4" ht="15.75" outlineLevel="1">
      <c r="A220" s="48" t="s">
        <v>37</v>
      </c>
      <c r="B220" s="49" t="s">
        <v>0</v>
      </c>
      <c r="C220" s="48">
        <v>5.2</v>
      </c>
      <c r="D220" s="131"/>
    </row>
    <row r="221" spans="1:4" ht="15.75" outlineLevel="1">
      <c r="A221" s="48" t="s">
        <v>37</v>
      </c>
      <c r="B221" s="49" t="s">
        <v>740</v>
      </c>
      <c r="C221" s="48">
        <v>5.3</v>
      </c>
      <c r="D221" s="131"/>
    </row>
    <row r="222" spans="1:4" ht="15.75" outlineLevel="1">
      <c r="A222" s="48" t="s">
        <v>37</v>
      </c>
      <c r="B222" s="49" t="s">
        <v>2</v>
      </c>
      <c r="C222" s="48">
        <v>5.6</v>
      </c>
      <c r="D222" s="131"/>
    </row>
    <row r="223" spans="1:4" ht="15.75" outlineLevel="1">
      <c r="A223" s="48" t="s">
        <v>37</v>
      </c>
      <c r="B223" s="49" t="s">
        <v>746</v>
      </c>
      <c r="C223" s="50">
        <v>5.0999999999999996</v>
      </c>
      <c r="D223" s="131"/>
    </row>
    <row r="224" spans="1:4" ht="15.75" outlineLevel="1">
      <c r="A224" s="48" t="s">
        <v>37</v>
      </c>
      <c r="B224" s="49" t="s">
        <v>3</v>
      </c>
      <c r="C224" s="48">
        <v>5.14</v>
      </c>
      <c r="D224" s="131"/>
    </row>
    <row r="225" spans="1:4" ht="15.75" outlineLevel="1">
      <c r="A225" s="48" t="s">
        <v>37</v>
      </c>
      <c r="B225" s="49" t="s">
        <v>29</v>
      </c>
      <c r="C225" s="48">
        <v>5.19</v>
      </c>
      <c r="D225" s="131"/>
    </row>
    <row r="226" spans="1:4" ht="15.75" outlineLevel="1">
      <c r="A226" s="48" t="s">
        <v>37</v>
      </c>
      <c r="B226" s="49" t="s">
        <v>28</v>
      </c>
      <c r="C226" s="48">
        <v>5.24</v>
      </c>
      <c r="D226" s="131"/>
    </row>
    <row r="227" spans="1:4" ht="15.75" outlineLevel="1">
      <c r="A227" s="48" t="s">
        <v>37</v>
      </c>
      <c r="B227" s="49" t="s">
        <v>1</v>
      </c>
      <c r="C227" s="48">
        <v>5.26</v>
      </c>
      <c r="D227" s="131"/>
    </row>
    <row r="228" spans="1:4" ht="15.75" outlineLevel="1">
      <c r="A228" s="48" t="s">
        <v>37</v>
      </c>
      <c r="B228" s="49" t="s">
        <v>620</v>
      </c>
      <c r="C228" s="48">
        <v>5.27</v>
      </c>
      <c r="D228" s="131"/>
    </row>
    <row r="229" spans="1:4" ht="15.75" outlineLevel="1">
      <c r="A229" s="48" t="s">
        <v>37</v>
      </c>
      <c r="B229" s="49" t="s">
        <v>621</v>
      </c>
      <c r="C229" s="48">
        <v>5.28</v>
      </c>
      <c r="D229" s="131"/>
    </row>
    <row r="230" spans="1:4" ht="15.75" outlineLevel="1">
      <c r="A230" s="48" t="s">
        <v>37</v>
      </c>
      <c r="B230" s="49" t="s">
        <v>625</v>
      </c>
      <c r="C230" s="48">
        <v>5.29</v>
      </c>
      <c r="D230" s="131"/>
    </row>
    <row r="231" spans="1:4" ht="15.75" outlineLevel="1">
      <c r="A231" s="48" t="s">
        <v>37</v>
      </c>
      <c r="B231" s="49" t="s">
        <v>5</v>
      </c>
      <c r="C231" s="50">
        <v>5.3</v>
      </c>
      <c r="D231" s="131"/>
    </row>
    <row r="232" spans="1:4" ht="15.75" outlineLevel="1">
      <c r="A232" s="48" t="s">
        <v>37</v>
      </c>
      <c r="B232" s="49" t="s">
        <v>9</v>
      </c>
      <c r="C232" s="48">
        <v>5.31</v>
      </c>
      <c r="D232" s="131"/>
    </row>
    <row r="233" spans="1:4" ht="15.75" outlineLevel="1">
      <c r="A233" s="48" t="s">
        <v>37</v>
      </c>
      <c r="B233" s="49" t="s">
        <v>10</v>
      </c>
      <c r="C233" s="48">
        <v>5.33</v>
      </c>
      <c r="D233" s="131"/>
    </row>
    <row r="234" spans="1:4" ht="15.75" outlineLevel="1">
      <c r="A234" s="48" t="s">
        <v>37</v>
      </c>
      <c r="B234" s="49" t="s">
        <v>682</v>
      </c>
      <c r="C234" s="48">
        <v>5.101</v>
      </c>
      <c r="D234" s="131"/>
    </row>
    <row r="235" spans="1:4" ht="15.75" outlineLevel="1">
      <c r="A235" s="48" t="s">
        <v>37</v>
      </c>
      <c r="B235" s="49" t="s">
        <v>622</v>
      </c>
      <c r="C235" s="48">
        <v>5.36</v>
      </c>
      <c r="D235" s="131"/>
    </row>
    <row r="236" spans="1:4" ht="15.75" outlineLevel="1">
      <c r="A236" s="48" t="s">
        <v>37</v>
      </c>
      <c r="B236" s="49" t="s">
        <v>396</v>
      </c>
      <c r="C236" s="48">
        <v>5.53</v>
      </c>
      <c r="D236" s="131"/>
    </row>
    <row r="237" spans="1:4" ht="15.75" outlineLevel="1">
      <c r="A237" s="48" t="s">
        <v>37</v>
      </c>
      <c r="B237" s="49" t="s">
        <v>23</v>
      </c>
      <c r="C237" s="48">
        <v>5.1020000000000003</v>
      </c>
      <c r="D237" s="131"/>
    </row>
    <row r="238" spans="1:4" ht="15.75" outlineLevel="1">
      <c r="A238" s="48" t="s">
        <v>37</v>
      </c>
      <c r="B238" s="49" t="s">
        <v>789</v>
      </c>
      <c r="C238" s="48">
        <v>5.58</v>
      </c>
      <c r="D238" s="131"/>
    </row>
    <row r="239" spans="1:4" ht="15.75" outlineLevel="1">
      <c r="A239" s="48" t="s">
        <v>37</v>
      </c>
      <c r="B239" s="49" t="s">
        <v>11</v>
      </c>
      <c r="C239" s="48">
        <v>5.54</v>
      </c>
      <c r="D239" s="131"/>
    </row>
    <row r="240" spans="1:4" ht="15.75" outlineLevel="1">
      <c r="A240" s="48" t="s">
        <v>37</v>
      </c>
      <c r="B240" s="49" t="s">
        <v>15</v>
      </c>
      <c r="C240" s="48">
        <v>5.55</v>
      </c>
      <c r="D240" s="131"/>
    </row>
    <row r="241" spans="1:4" ht="15.75" outlineLevel="1">
      <c r="A241" s="48" t="s">
        <v>37</v>
      </c>
      <c r="B241" s="49" t="s">
        <v>1171</v>
      </c>
      <c r="C241" s="48">
        <v>5.63</v>
      </c>
      <c r="D241" s="131"/>
    </row>
    <row r="242" spans="1:4" ht="15.75" outlineLevel="1">
      <c r="A242" s="48" t="s">
        <v>37</v>
      </c>
      <c r="B242" s="49" t="s">
        <v>19</v>
      </c>
      <c r="C242" s="48">
        <v>5.47</v>
      </c>
      <c r="D242" s="131"/>
    </row>
    <row r="243" spans="1:4" ht="15.75" outlineLevel="1">
      <c r="A243" s="48" t="s">
        <v>37</v>
      </c>
      <c r="B243" s="49" t="s">
        <v>30</v>
      </c>
      <c r="C243" s="48">
        <v>5.48</v>
      </c>
      <c r="D243" s="131"/>
    </row>
    <row r="244" spans="1:4" ht="15.75">
      <c r="A244" s="55" t="s">
        <v>37</v>
      </c>
      <c r="B244" s="49"/>
      <c r="C244" s="48"/>
      <c r="D244" s="131"/>
    </row>
    <row r="245" spans="1:4" ht="15.75" outlineLevel="1">
      <c r="A245" s="48" t="s">
        <v>38</v>
      </c>
      <c r="B245" s="49" t="s">
        <v>667</v>
      </c>
      <c r="C245" s="48">
        <v>5.0999999999999996</v>
      </c>
      <c r="D245" s="131"/>
    </row>
    <row r="246" spans="1:4" ht="15.75" outlineLevel="1">
      <c r="A246" s="48" t="s">
        <v>38</v>
      </c>
      <c r="B246" s="49" t="s">
        <v>0</v>
      </c>
      <c r="C246" s="48">
        <v>5.2</v>
      </c>
      <c r="D246" s="131"/>
    </row>
    <row r="247" spans="1:4" ht="15.75" outlineLevel="1">
      <c r="A247" s="48" t="s">
        <v>38</v>
      </c>
      <c r="B247" s="49" t="s">
        <v>740</v>
      </c>
      <c r="C247" s="48">
        <v>5.3</v>
      </c>
      <c r="D247" s="131"/>
    </row>
    <row r="248" spans="1:4" ht="15.75" outlineLevel="1">
      <c r="A248" s="48" t="s">
        <v>38</v>
      </c>
      <c r="B248" s="49" t="s">
        <v>2</v>
      </c>
      <c r="C248" s="48">
        <v>5.6</v>
      </c>
      <c r="D248" s="131"/>
    </row>
    <row r="249" spans="1:4" ht="15.75" outlineLevel="1">
      <c r="A249" s="48" t="s">
        <v>38</v>
      </c>
      <c r="B249" s="49" t="s">
        <v>746</v>
      </c>
      <c r="C249" s="50">
        <v>5.0999999999999996</v>
      </c>
      <c r="D249" s="131"/>
    </row>
    <row r="250" spans="1:4" ht="15.75" outlineLevel="1">
      <c r="A250" s="48" t="s">
        <v>38</v>
      </c>
      <c r="B250" s="49" t="s">
        <v>3</v>
      </c>
      <c r="C250" s="48">
        <v>5.14</v>
      </c>
      <c r="D250" s="131"/>
    </row>
    <row r="251" spans="1:4" ht="15.75" outlineLevel="1">
      <c r="A251" s="48" t="s">
        <v>38</v>
      </c>
      <c r="B251" s="49" t="s">
        <v>29</v>
      </c>
      <c r="C251" s="48">
        <v>5.19</v>
      </c>
      <c r="D251" s="131"/>
    </row>
    <row r="252" spans="1:4" ht="15.75" outlineLevel="1">
      <c r="A252" s="48" t="s">
        <v>38</v>
      </c>
      <c r="B252" s="49" t="s">
        <v>28</v>
      </c>
      <c r="C252" s="48">
        <v>5.24</v>
      </c>
      <c r="D252" s="131"/>
    </row>
    <row r="253" spans="1:4" ht="15.75" outlineLevel="1">
      <c r="A253" s="48" t="s">
        <v>38</v>
      </c>
      <c r="B253" s="49" t="s">
        <v>620</v>
      </c>
      <c r="C253" s="48">
        <v>5.27</v>
      </c>
      <c r="D253" s="131"/>
    </row>
    <row r="254" spans="1:4" ht="15.75" outlineLevel="1">
      <c r="A254" s="48" t="s">
        <v>38</v>
      </c>
      <c r="B254" s="49" t="s">
        <v>621</v>
      </c>
      <c r="C254" s="48">
        <v>5.28</v>
      </c>
      <c r="D254" s="131"/>
    </row>
    <row r="255" spans="1:4" ht="15.75" outlineLevel="1">
      <c r="A255" s="48" t="s">
        <v>38</v>
      </c>
      <c r="B255" s="49" t="s">
        <v>5</v>
      </c>
      <c r="C255" s="50">
        <v>5.3</v>
      </c>
      <c r="D255" s="131"/>
    </row>
    <row r="256" spans="1:4" ht="15.75" outlineLevel="1">
      <c r="A256" s="48" t="s">
        <v>38</v>
      </c>
      <c r="B256" s="49" t="s">
        <v>10</v>
      </c>
      <c r="C256" s="48">
        <v>5.33</v>
      </c>
      <c r="D256" s="131"/>
    </row>
    <row r="257" spans="1:4" ht="15.75" outlineLevel="1">
      <c r="A257" s="48" t="s">
        <v>38</v>
      </c>
      <c r="B257" s="49" t="s">
        <v>622</v>
      </c>
      <c r="C257" s="48">
        <v>5.36</v>
      </c>
      <c r="D257" s="131"/>
    </row>
    <row r="258" spans="1:4" ht="15.75" outlineLevel="1">
      <c r="A258" s="48" t="s">
        <v>38</v>
      </c>
      <c r="B258" s="49" t="s">
        <v>396</v>
      </c>
      <c r="C258" s="48">
        <v>5.53</v>
      </c>
      <c r="D258" s="131"/>
    </row>
    <row r="259" spans="1:4" ht="15.75" outlineLevel="1">
      <c r="A259" s="48" t="s">
        <v>38</v>
      </c>
      <c r="B259" s="49" t="s">
        <v>789</v>
      </c>
      <c r="C259" s="48">
        <v>5.58</v>
      </c>
      <c r="D259" s="131"/>
    </row>
    <row r="260" spans="1:4" ht="15.75" outlineLevel="1">
      <c r="A260" s="48" t="s">
        <v>38</v>
      </c>
      <c r="B260" s="49" t="s">
        <v>11</v>
      </c>
      <c r="C260" s="48">
        <v>5.54</v>
      </c>
      <c r="D260" s="131"/>
    </row>
    <row r="261" spans="1:4" ht="15.75" outlineLevel="1">
      <c r="A261" s="48" t="s">
        <v>38</v>
      </c>
      <c r="B261" s="49" t="s">
        <v>15</v>
      </c>
      <c r="C261" s="48">
        <v>5.55</v>
      </c>
      <c r="D261" s="131"/>
    </row>
    <row r="262" spans="1:4" ht="15.75" outlineLevel="1">
      <c r="A262" s="48" t="s">
        <v>38</v>
      </c>
      <c r="B262" s="49" t="s">
        <v>1171</v>
      </c>
      <c r="C262" s="48">
        <v>5.63</v>
      </c>
      <c r="D262" s="131"/>
    </row>
    <row r="263" spans="1:4" ht="15.75" outlineLevel="1">
      <c r="A263" s="48" t="s">
        <v>38</v>
      </c>
      <c r="B263" s="49" t="s">
        <v>19</v>
      </c>
      <c r="C263" s="48">
        <v>5.47</v>
      </c>
      <c r="D263" s="131"/>
    </row>
    <row r="264" spans="1:4" ht="15.75" outlineLevel="1">
      <c r="A264" s="48" t="s">
        <v>38</v>
      </c>
      <c r="B264" s="49" t="s">
        <v>30</v>
      </c>
      <c r="C264" s="48">
        <v>5.48</v>
      </c>
      <c r="D264" s="131"/>
    </row>
    <row r="265" spans="1:4" ht="15.75">
      <c r="A265" s="55" t="s">
        <v>38</v>
      </c>
      <c r="B265" s="49"/>
      <c r="C265" s="48"/>
      <c r="D265" s="131"/>
    </row>
    <row r="266" spans="1:4" ht="15.75" outlineLevel="1">
      <c r="A266" s="48" t="s">
        <v>39</v>
      </c>
      <c r="B266" s="49" t="s">
        <v>667</v>
      </c>
      <c r="C266" s="48">
        <v>5.0999999999999996</v>
      </c>
      <c r="D266" s="131"/>
    </row>
    <row r="267" spans="1:4" ht="15.75" outlineLevel="1">
      <c r="A267" s="48" t="s">
        <v>39</v>
      </c>
      <c r="B267" s="49" t="s">
        <v>0</v>
      </c>
      <c r="C267" s="48">
        <v>5.2</v>
      </c>
      <c r="D267" s="131"/>
    </row>
    <row r="268" spans="1:4" ht="15.75" outlineLevel="1">
      <c r="A268" s="48" t="s">
        <v>39</v>
      </c>
      <c r="B268" s="49" t="s">
        <v>740</v>
      </c>
      <c r="C268" s="48">
        <v>5.3</v>
      </c>
      <c r="D268" s="131"/>
    </row>
    <row r="269" spans="1:4" ht="15.75" outlineLevel="1">
      <c r="A269" s="48" t="s">
        <v>39</v>
      </c>
      <c r="B269" s="49" t="s">
        <v>2</v>
      </c>
      <c r="C269" s="48">
        <v>5.6</v>
      </c>
      <c r="D269" s="131"/>
    </row>
    <row r="270" spans="1:4" ht="15.75" outlineLevel="1">
      <c r="A270" s="48" t="s">
        <v>39</v>
      </c>
      <c r="B270" s="49" t="s">
        <v>746</v>
      </c>
      <c r="C270" s="50">
        <v>5.0999999999999996</v>
      </c>
      <c r="D270" s="131"/>
    </row>
    <row r="271" spans="1:4" ht="15.75" outlineLevel="1">
      <c r="A271" s="48" t="s">
        <v>39</v>
      </c>
      <c r="B271" s="49" t="s">
        <v>3</v>
      </c>
      <c r="C271" s="48">
        <v>5.14</v>
      </c>
      <c r="D271" s="131"/>
    </row>
    <row r="272" spans="1:4" ht="15.75" outlineLevel="1">
      <c r="A272" s="48" t="s">
        <v>39</v>
      </c>
      <c r="B272" s="49" t="s">
        <v>29</v>
      </c>
      <c r="C272" s="48">
        <v>5.19</v>
      </c>
      <c r="D272" s="131"/>
    </row>
    <row r="273" spans="1:4" ht="15.75" outlineLevel="1">
      <c r="A273" s="48" t="s">
        <v>39</v>
      </c>
      <c r="B273" s="49" t="s">
        <v>28</v>
      </c>
      <c r="C273" s="48">
        <v>5.24</v>
      </c>
      <c r="D273" s="131"/>
    </row>
    <row r="274" spans="1:4" ht="15.75" outlineLevel="1">
      <c r="A274" s="48" t="s">
        <v>39</v>
      </c>
      <c r="B274" s="49" t="s">
        <v>1</v>
      </c>
      <c r="C274" s="48">
        <v>5.26</v>
      </c>
      <c r="D274" s="131"/>
    </row>
    <row r="275" spans="1:4" ht="15.75" outlineLevel="1">
      <c r="A275" s="48" t="s">
        <v>39</v>
      </c>
      <c r="B275" s="49" t="s">
        <v>620</v>
      </c>
      <c r="C275" s="48">
        <v>5.27</v>
      </c>
      <c r="D275" s="131"/>
    </row>
    <row r="276" spans="1:4" ht="15.75" outlineLevel="1">
      <c r="A276" s="48" t="s">
        <v>39</v>
      </c>
      <c r="B276" s="49" t="s">
        <v>621</v>
      </c>
      <c r="C276" s="48">
        <v>5.28</v>
      </c>
      <c r="D276" s="131"/>
    </row>
    <row r="277" spans="1:4" ht="15.75" outlineLevel="1">
      <c r="A277" s="48" t="s">
        <v>39</v>
      </c>
      <c r="B277" s="49" t="s">
        <v>625</v>
      </c>
      <c r="C277" s="48">
        <v>5.29</v>
      </c>
      <c r="D277" s="131"/>
    </row>
    <row r="278" spans="1:4" ht="15.75" outlineLevel="1">
      <c r="A278" s="48" t="s">
        <v>39</v>
      </c>
      <c r="B278" s="49" t="s">
        <v>5</v>
      </c>
      <c r="C278" s="50">
        <v>5.3</v>
      </c>
      <c r="D278" s="131"/>
    </row>
    <row r="279" spans="1:4" ht="15.75" outlineLevel="1">
      <c r="A279" s="48" t="s">
        <v>39</v>
      </c>
      <c r="B279" s="49" t="s">
        <v>10</v>
      </c>
      <c r="C279" s="48">
        <v>5.33</v>
      </c>
      <c r="D279" s="131"/>
    </row>
    <row r="280" spans="1:4" ht="15.75" outlineLevel="1">
      <c r="A280" s="48" t="s">
        <v>39</v>
      </c>
      <c r="B280" s="49" t="s">
        <v>622</v>
      </c>
      <c r="C280" s="48">
        <v>5.36</v>
      </c>
      <c r="D280" s="131"/>
    </row>
    <row r="281" spans="1:4" ht="15.75" outlineLevel="1">
      <c r="A281" s="48" t="s">
        <v>39</v>
      </c>
      <c r="B281" s="49" t="s">
        <v>13</v>
      </c>
      <c r="C281" s="48">
        <v>5.69</v>
      </c>
      <c r="D281" s="131"/>
    </row>
    <row r="282" spans="1:4" ht="15.75" outlineLevel="1">
      <c r="A282" s="48" t="s">
        <v>39</v>
      </c>
      <c r="B282" s="49" t="s">
        <v>14</v>
      </c>
      <c r="C282" s="50">
        <v>5.7</v>
      </c>
      <c r="D282" s="131"/>
    </row>
    <row r="283" spans="1:4" ht="15.75" outlineLevel="1">
      <c r="A283" s="48" t="s">
        <v>39</v>
      </c>
      <c r="B283" s="49" t="s">
        <v>637</v>
      </c>
      <c r="C283" s="48">
        <v>5.74</v>
      </c>
      <c r="D283" s="131"/>
    </row>
    <row r="284" spans="1:4" ht="15.75" outlineLevel="1">
      <c r="A284" s="48" t="s">
        <v>39</v>
      </c>
      <c r="B284" s="49" t="s">
        <v>6</v>
      </c>
      <c r="C284" s="48">
        <v>5.49</v>
      </c>
      <c r="D284" s="131"/>
    </row>
    <row r="285" spans="1:4" ht="15.75" outlineLevel="1">
      <c r="A285" s="48" t="s">
        <v>39</v>
      </c>
      <c r="B285" s="49" t="s">
        <v>8</v>
      </c>
      <c r="C285" s="48">
        <v>5.51</v>
      </c>
      <c r="D285" s="131"/>
    </row>
    <row r="286" spans="1:4" ht="15.75" outlineLevel="1">
      <c r="A286" s="48" t="s">
        <v>39</v>
      </c>
      <c r="B286" s="49" t="s">
        <v>7</v>
      </c>
      <c r="C286" s="48">
        <v>5.52</v>
      </c>
      <c r="D286" s="131"/>
    </row>
    <row r="287" spans="1:4" ht="15.75" outlineLevel="1">
      <c r="A287" s="48" t="s">
        <v>39</v>
      </c>
      <c r="B287" s="49" t="s">
        <v>396</v>
      </c>
      <c r="C287" s="48">
        <v>5.53</v>
      </c>
      <c r="D287" s="131"/>
    </row>
    <row r="288" spans="1:4" ht="15.75" outlineLevel="1">
      <c r="A288" s="48" t="s">
        <v>39</v>
      </c>
      <c r="B288" s="49" t="s">
        <v>789</v>
      </c>
      <c r="C288" s="48">
        <v>5.58</v>
      </c>
      <c r="D288" s="131"/>
    </row>
    <row r="289" spans="1:4" ht="15.75" outlineLevel="1">
      <c r="A289" s="48" t="s">
        <v>39</v>
      </c>
      <c r="B289" s="49" t="s">
        <v>11</v>
      </c>
      <c r="C289" s="48">
        <v>5.54</v>
      </c>
      <c r="D289" s="131"/>
    </row>
    <row r="290" spans="1:4" ht="15.75" outlineLevel="1">
      <c r="A290" s="48" t="s">
        <v>39</v>
      </c>
      <c r="B290" s="49" t="s">
        <v>15</v>
      </c>
      <c r="C290" s="48">
        <v>5.55</v>
      </c>
      <c r="D290" s="131"/>
    </row>
    <row r="291" spans="1:4" ht="15.75" outlineLevel="1">
      <c r="A291" s="48" t="s">
        <v>39</v>
      </c>
      <c r="B291" s="49" t="s">
        <v>1171</v>
      </c>
      <c r="C291" s="48">
        <v>5.63</v>
      </c>
      <c r="D291" s="131"/>
    </row>
    <row r="292" spans="1:4" ht="15.75" outlineLevel="1">
      <c r="A292" s="48" t="s">
        <v>39</v>
      </c>
      <c r="B292" s="49" t="s">
        <v>19</v>
      </c>
      <c r="C292" s="48">
        <v>5.47</v>
      </c>
      <c r="D292" s="131"/>
    </row>
    <row r="293" spans="1:4" ht="15.75" outlineLevel="1">
      <c r="A293" s="48" t="s">
        <v>39</v>
      </c>
      <c r="B293" s="49" t="s">
        <v>30</v>
      </c>
      <c r="C293" s="48">
        <v>5.48</v>
      </c>
      <c r="D293" s="131"/>
    </row>
    <row r="294" spans="1:4" ht="15.75">
      <c r="A294" s="55" t="s">
        <v>39</v>
      </c>
      <c r="B294" s="49"/>
      <c r="C294" s="48"/>
      <c r="D294" s="131"/>
    </row>
    <row r="295" spans="1:4" ht="31.5" outlineLevel="1">
      <c r="A295" s="48" t="s">
        <v>41</v>
      </c>
      <c r="B295" s="49" t="s">
        <v>667</v>
      </c>
      <c r="C295" s="48">
        <v>5.0999999999999996</v>
      </c>
      <c r="D295" s="131"/>
    </row>
    <row r="296" spans="1:4" ht="31.5" outlineLevel="1">
      <c r="A296" s="48" t="s">
        <v>41</v>
      </c>
      <c r="B296" s="49" t="s">
        <v>0</v>
      </c>
      <c r="C296" s="48">
        <v>5.2</v>
      </c>
      <c r="D296" s="131"/>
    </row>
    <row r="297" spans="1:4" ht="31.5" outlineLevel="1">
      <c r="A297" s="48" t="s">
        <v>41</v>
      </c>
      <c r="B297" s="49" t="s">
        <v>740</v>
      </c>
      <c r="C297" s="48">
        <v>5.3</v>
      </c>
      <c r="D297" s="131"/>
    </row>
    <row r="298" spans="1:4" ht="31.5" outlineLevel="1">
      <c r="A298" s="48" t="s">
        <v>41</v>
      </c>
      <c r="B298" s="49" t="s">
        <v>3</v>
      </c>
      <c r="C298" s="48">
        <v>5.14</v>
      </c>
      <c r="D298" s="131"/>
    </row>
    <row r="299" spans="1:4" ht="31.5" outlineLevel="1">
      <c r="A299" s="48" t="s">
        <v>41</v>
      </c>
      <c r="B299" s="49" t="s">
        <v>29</v>
      </c>
      <c r="C299" s="48">
        <v>5.19</v>
      </c>
      <c r="D299" s="131"/>
    </row>
    <row r="300" spans="1:4" ht="31.5" outlineLevel="1">
      <c r="A300" s="48" t="s">
        <v>41</v>
      </c>
      <c r="B300" s="49" t="s">
        <v>28</v>
      </c>
      <c r="C300" s="48">
        <v>5.24</v>
      </c>
      <c r="D300" s="131"/>
    </row>
    <row r="301" spans="1:4" ht="31.5" outlineLevel="1">
      <c r="A301" s="48" t="s">
        <v>41</v>
      </c>
      <c r="B301" s="49" t="s">
        <v>1</v>
      </c>
      <c r="C301" s="48">
        <v>5.26</v>
      </c>
      <c r="D301" s="131"/>
    </row>
    <row r="302" spans="1:4" ht="31.5" outlineLevel="1">
      <c r="A302" s="48" t="s">
        <v>41</v>
      </c>
      <c r="B302" s="49" t="s">
        <v>620</v>
      </c>
      <c r="C302" s="48">
        <v>5.27</v>
      </c>
      <c r="D302" s="131"/>
    </row>
    <row r="303" spans="1:4" ht="31.5" outlineLevel="1">
      <c r="A303" s="48" t="s">
        <v>41</v>
      </c>
      <c r="B303" s="49" t="s">
        <v>621</v>
      </c>
      <c r="C303" s="48">
        <v>5.28</v>
      </c>
      <c r="D303" s="131"/>
    </row>
    <row r="304" spans="1:4" ht="31.5" outlineLevel="1">
      <c r="A304" s="48" t="s">
        <v>41</v>
      </c>
      <c r="B304" s="49" t="s">
        <v>12</v>
      </c>
      <c r="C304" s="48">
        <v>5.37</v>
      </c>
      <c r="D304" s="131"/>
    </row>
    <row r="305" spans="1:4" ht="31.5" outlineLevel="1">
      <c r="A305" s="48" t="s">
        <v>41</v>
      </c>
      <c r="B305" s="49" t="s">
        <v>6</v>
      </c>
      <c r="C305" s="48">
        <v>5.49</v>
      </c>
      <c r="D305" s="131"/>
    </row>
    <row r="306" spans="1:4" ht="31.5" outlineLevel="1">
      <c r="A306" s="48" t="s">
        <v>41</v>
      </c>
      <c r="B306" s="49" t="s">
        <v>8</v>
      </c>
      <c r="C306" s="48">
        <v>5.51</v>
      </c>
      <c r="D306" s="131"/>
    </row>
    <row r="307" spans="1:4" ht="31.5" outlineLevel="1">
      <c r="A307" s="48" t="s">
        <v>41</v>
      </c>
      <c r="B307" s="49" t="s">
        <v>396</v>
      </c>
      <c r="C307" s="48">
        <v>5.53</v>
      </c>
      <c r="D307" s="131"/>
    </row>
    <row r="308" spans="1:4" ht="31.5" outlineLevel="1">
      <c r="A308" s="48" t="s">
        <v>41</v>
      </c>
      <c r="B308" s="49" t="s">
        <v>13</v>
      </c>
      <c r="C308" s="48">
        <v>5.69</v>
      </c>
      <c r="D308" s="131"/>
    </row>
    <row r="309" spans="1:4" ht="31.5" outlineLevel="1">
      <c r="A309" s="48" t="s">
        <v>41</v>
      </c>
      <c r="B309" s="49" t="s">
        <v>421</v>
      </c>
      <c r="C309" s="48">
        <v>5.75</v>
      </c>
      <c r="D309" s="131"/>
    </row>
    <row r="310" spans="1:4" ht="31.5" outlineLevel="1">
      <c r="A310" s="48" t="s">
        <v>41</v>
      </c>
      <c r="B310" s="49" t="s">
        <v>14</v>
      </c>
      <c r="C310" s="50">
        <v>5.7</v>
      </c>
      <c r="D310" s="131"/>
    </row>
    <row r="311" spans="1:4" ht="31.5" outlineLevel="1">
      <c r="A311" s="48" t="s">
        <v>41</v>
      </c>
      <c r="B311" s="49" t="s">
        <v>637</v>
      </c>
      <c r="C311" s="48">
        <v>5.74</v>
      </c>
      <c r="D311" s="131"/>
    </row>
    <row r="312" spans="1:4" ht="31.5" outlineLevel="1">
      <c r="A312" s="48" t="s">
        <v>41</v>
      </c>
      <c r="B312" s="49" t="s">
        <v>789</v>
      </c>
      <c r="C312" s="48">
        <v>5.58</v>
      </c>
      <c r="D312" s="131"/>
    </row>
    <row r="313" spans="1:4" ht="31.5" outlineLevel="1">
      <c r="A313" s="48" t="s">
        <v>41</v>
      </c>
      <c r="B313" s="49" t="s">
        <v>11</v>
      </c>
      <c r="C313" s="48">
        <v>5.54</v>
      </c>
      <c r="D313" s="131"/>
    </row>
    <row r="314" spans="1:4" ht="31.5" outlineLevel="1">
      <c r="A314" s="48" t="s">
        <v>41</v>
      </c>
      <c r="B314" s="49" t="s">
        <v>15</v>
      </c>
      <c r="C314" s="48">
        <v>5.55</v>
      </c>
      <c r="D314" s="131"/>
    </row>
    <row r="315" spans="1:4" ht="31.5" outlineLevel="1">
      <c r="A315" s="48" t="s">
        <v>41</v>
      </c>
      <c r="B315" s="49" t="s">
        <v>1171</v>
      </c>
      <c r="C315" s="48">
        <v>5.63</v>
      </c>
      <c r="D315" s="131"/>
    </row>
    <row r="316" spans="1:4" ht="31.5" outlineLevel="1">
      <c r="A316" s="48" t="s">
        <v>41</v>
      </c>
      <c r="B316" s="49" t="s">
        <v>1172</v>
      </c>
      <c r="C316" s="48">
        <v>5.65</v>
      </c>
      <c r="D316" s="131"/>
    </row>
    <row r="317" spans="1:4" ht="31.5" outlineLevel="1">
      <c r="A317" s="48" t="s">
        <v>41</v>
      </c>
      <c r="B317" s="49" t="s">
        <v>26</v>
      </c>
      <c r="C317" s="48">
        <v>5.68</v>
      </c>
      <c r="D317" s="131"/>
    </row>
    <row r="318" spans="1:4" ht="31.5" outlineLevel="1">
      <c r="A318" s="48" t="s">
        <v>41</v>
      </c>
      <c r="B318" s="49" t="s">
        <v>19</v>
      </c>
      <c r="C318" s="48">
        <v>5.47</v>
      </c>
      <c r="D318" s="131"/>
    </row>
    <row r="319" spans="1:4" ht="31.5" outlineLevel="1">
      <c r="A319" s="48" t="s">
        <v>41</v>
      </c>
      <c r="B319" s="49" t="s">
        <v>30</v>
      </c>
      <c r="C319" s="48">
        <v>5.48</v>
      </c>
      <c r="D319" s="131"/>
    </row>
    <row r="320" spans="1:4" ht="31.5">
      <c r="A320" s="55" t="s">
        <v>41</v>
      </c>
      <c r="B320" s="49"/>
      <c r="C320" s="48"/>
      <c r="D320" s="131"/>
    </row>
    <row r="321" spans="1:4" ht="31.5" outlineLevel="1">
      <c r="A321" s="48" t="s">
        <v>42</v>
      </c>
      <c r="B321" s="49" t="s">
        <v>667</v>
      </c>
      <c r="C321" s="48">
        <v>5.0999999999999996</v>
      </c>
      <c r="D321" s="131"/>
    </row>
    <row r="322" spans="1:4" ht="31.5" outlineLevel="1">
      <c r="A322" s="48" t="s">
        <v>42</v>
      </c>
      <c r="B322" s="49" t="s">
        <v>0</v>
      </c>
      <c r="C322" s="48">
        <v>5.2</v>
      </c>
      <c r="D322" s="131"/>
    </row>
    <row r="323" spans="1:4" ht="31.5" outlineLevel="1">
      <c r="A323" s="48" t="s">
        <v>42</v>
      </c>
      <c r="B323" s="49" t="s">
        <v>1</v>
      </c>
      <c r="C323" s="48">
        <v>5.26</v>
      </c>
      <c r="D323" s="131"/>
    </row>
    <row r="324" spans="1:4" ht="31.5" outlineLevel="1">
      <c r="A324" s="48" t="s">
        <v>42</v>
      </c>
      <c r="B324" s="49" t="s">
        <v>3</v>
      </c>
      <c r="C324" s="48">
        <v>5.14</v>
      </c>
      <c r="D324" s="131"/>
    </row>
    <row r="325" spans="1:4" ht="31.5" outlineLevel="1">
      <c r="A325" s="48" t="s">
        <v>42</v>
      </c>
      <c r="B325" s="49" t="s">
        <v>29</v>
      </c>
      <c r="C325" s="48">
        <v>5.19</v>
      </c>
      <c r="D325" s="131"/>
    </row>
    <row r="326" spans="1:4" ht="31.5" outlineLevel="1">
      <c r="A326" s="48" t="s">
        <v>42</v>
      </c>
      <c r="B326" s="49" t="s">
        <v>12</v>
      </c>
      <c r="C326" s="48">
        <v>5.37</v>
      </c>
      <c r="D326" s="131"/>
    </row>
    <row r="327" spans="1:4" ht="31.5" outlineLevel="1">
      <c r="A327" s="48" t="s">
        <v>42</v>
      </c>
      <c r="B327" s="49" t="s">
        <v>13</v>
      </c>
      <c r="C327" s="48">
        <v>5.69</v>
      </c>
      <c r="D327" s="131"/>
    </row>
    <row r="328" spans="1:4" ht="31.5" outlineLevel="1">
      <c r="A328" s="48" t="s">
        <v>42</v>
      </c>
      <c r="B328" s="49" t="s">
        <v>282</v>
      </c>
      <c r="C328" s="50">
        <v>5.8</v>
      </c>
      <c r="D328" s="131"/>
    </row>
    <row r="329" spans="1:4" ht="31.5" outlineLevel="1">
      <c r="A329" s="48" t="s">
        <v>42</v>
      </c>
      <c r="B329" s="49" t="s">
        <v>421</v>
      </c>
      <c r="C329" s="48">
        <v>5.75</v>
      </c>
      <c r="D329" s="131"/>
    </row>
    <row r="330" spans="1:4" ht="31.5" outlineLevel="1">
      <c r="A330" s="48" t="s">
        <v>42</v>
      </c>
      <c r="B330" s="49" t="s">
        <v>14</v>
      </c>
      <c r="C330" s="50">
        <v>5.7</v>
      </c>
      <c r="D330" s="131"/>
    </row>
    <row r="331" spans="1:4" ht="31.5" outlineLevel="1">
      <c r="A331" s="48" t="s">
        <v>42</v>
      </c>
      <c r="B331" s="49" t="s">
        <v>637</v>
      </c>
      <c r="C331" s="48">
        <v>5.74</v>
      </c>
      <c r="D331" s="131"/>
    </row>
    <row r="332" spans="1:4" ht="31.5" outlineLevel="1">
      <c r="A332" s="48" t="s">
        <v>42</v>
      </c>
      <c r="B332" s="49" t="s">
        <v>789</v>
      </c>
      <c r="C332" s="48">
        <v>5.58</v>
      </c>
      <c r="D332" s="131"/>
    </row>
    <row r="333" spans="1:4" ht="31.5" outlineLevel="1">
      <c r="A333" s="48" t="s">
        <v>42</v>
      </c>
      <c r="B333" s="49" t="s">
        <v>15</v>
      </c>
      <c r="C333" s="48">
        <v>5.55</v>
      </c>
      <c r="D333" s="131"/>
    </row>
    <row r="334" spans="1:4" ht="31.5" outlineLevel="1">
      <c r="A334" s="48" t="s">
        <v>42</v>
      </c>
      <c r="B334" s="49" t="s">
        <v>1171</v>
      </c>
      <c r="C334" s="48">
        <v>5.63</v>
      </c>
      <c r="D334" s="131"/>
    </row>
    <row r="335" spans="1:4" ht="31.5" outlineLevel="1">
      <c r="A335" s="48" t="s">
        <v>42</v>
      </c>
      <c r="B335" s="49" t="s">
        <v>1172</v>
      </c>
      <c r="C335" s="48">
        <v>5.65</v>
      </c>
      <c r="D335" s="131"/>
    </row>
    <row r="336" spans="1:4" ht="31.5" outlineLevel="1">
      <c r="A336" s="48" t="s">
        <v>42</v>
      </c>
      <c r="B336" s="49" t="s">
        <v>26</v>
      </c>
      <c r="C336" s="48">
        <v>5.68</v>
      </c>
      <c r="D336" s="131"/>
    </row>
    <row r="337" spans="1:4" ht="31.5" outlineLevel="1">
      <c r="A337" s="48" t="s">
        <v>42</v>
      </c>
      <c r="B337" s="49" t="s">
        <v>19</v>
      </c>
      <c r="C337" s="48">
        <v>5.47</v>
      </c>
      <c r="D337" s="131"/>
    </row>
    <row r="338" spans="1:4" ht="31.5" outlineLevel="1">
      <c r="A338" s="48" t="s">
        <v>42</v>
      </c>
      <c r="B338" s="49" t="s">
        <v>30</v>
      </c>
      <c r="C338" s="48">
        <v>5.48</v>
      </c>
      <c r="D338" s="131"/>
    </row>
    <row r="339" spans="1:4" ht="31.5">
      <c r="A339" s="55" t="s">
        <v>42</v>
      </c>
      <c r="B339" s="49"/>
      <c r="C339" s="48"/>
      <c r="D339" s="131"/>
    </row>
    <row r="340" spans="1:4" ht="15.75" outlineLevel="1">
      <c r="A340" s="48" t="s">
        <v>683</v>
      </c>
      <c r="B340" s="49" t="s">
        <v>800</v>
      </c>
      <c r="C340" s="48">
        <v>5.0999999999999996</v>
      </c>
      <c r="D340" s="131"/>
    </row>
    <row r="341" spans="1:4" ht="15.75" outlineLevel="1">
      <c r="A341" s="48" t="s">
        <v>683</v>
      </c>
      <c r="B341" s="49" t="s">
        <v>0</v>
      </c>
      <c r="C341" s="48">
        <v>5.2</v>
      </c>
      <c r="D341" s="131"/>
    </row>
    <row r="342" spans="1:4" ht="15.75" outlineLevel="1">
      <c r="A342" s="48" t="s">
        <v>683</v>
      </c>
      <c r="B342" s="49" t="s">
        <v>1</v>
      </c>
      <c r="C342" s="48">
        <v>5.26</v>
      </c>
      <c r="D342" s="131"/>
    </row>
    <row r="343" spans="1:4" ht="15.75" outlineLevel="1">
      <c r="A343" s="48" t="s">
        <v>683</v>
      </c>
      <c r="B343" s="49" t="s">
        <v>774</v>
      </c>
      <c r="C343" s="48">
        <v>5.38</v>
      </c>
      <c r="D343" s="131"/>
    </row>
    <row r="344" spans="1:4" ht="15.75" outlineLevel="1">
      <c r="A344" s="48" t="s">
        <v>683</v>
      </c>
      <c r="B344" s="49" t="s">
        <v>773</v>
      </c>
      <c r="C344" s="48">
        <v>5.39</v>
      </c>
      <c r="D344" s="131"/>
    </row>
    <row r="345" spans="1:4" ht="15.75" outlineLevel="1">
      <c r="A345" s="48" t="s">
        <v>683</v>
      </c>
      <c r="B345" s="49" t="s">
        <v>1179</v>
      </c>
      <c r="C345" s="50">
        <v>5.6</v>
      </c>
      <c r="D345" s="131"/>
    </row>
    <row r="346" spans="1:4" ht="15.75" outlineLevel="1">
      <c r="A346" s="48" t="s">
        <v>683</v>
      </c>
      <c r="B346" s="49" t="s">
        <v>30</v>
      </c>
      <c r="C346" s="48">
        <v>5.48</v>
      </c>
      <c r="D346" s="131"/>
    </row>
    <row r="347" spans="1:4" ht="31.5">
      <c r="A347" s="55" t="s">
        <v>683</v>
      </c>
      <c r="B347" s="49"/>
      <c r="C347" s="48"/>
      <c r="D347" s="131"/>
    </row>
    <row r="348" spans="1:4" ht="31.5" outlineLevel="1">
      <c r="A348" s="48" t="s">
        <v>43</v>
      </c>
      <c r="B348" s="49" t="s">
        <v>667</v>
      </c>
      <c r="C348" s="48">
        <v>5.0999999999999996</v>
      </c>
      <c r="D348" s="131"/>
    </row>
    <row r="349" spans="1:4" ht="31.5" outlineLevel="1">
      <c r="A349" s="48" t="s">
        <v>43</v>
      </c>
      <c r="B349" s="49" t="s">
        <v>0</v>
      </c>
      <c r="C349" s="48">
        <v>5.2</v>
      </c>
      <c r="D349" s="131"/>
    </row>
    <row r="350" spans="1:4" ht="31.5" outlineLevel="1">
      <c r="A350" s="48" t="s">
        <v>43</v>
      </c>
      <c r="B350" s="49" t="s">
        <v>740</v>
      </c>
      <c r="C350" s="48">
        <v>5.3</v>
      </c>
      <c r="D350" s="131"/>
    </row>
    <row r="351" spans="1:4" ht="31.5" outlineLevel="1">
      <c r="A351" s="48" t="s">
        <v>43</v>
      </c>
      <c r="B351" s="49" t="s">
        <v>2</v>
      </c>
      <c r="C351" s="48">
        <v>5.6</v>
      </c>
      <c r="D351" s="131"/>
    </row>
    <row r="352" spans="1:4" ht="31.5" outlineLevel="1">
      <c r="A352" s="48" t="s">
        <v>43</v>
      </c>
      <c r="B352" s="49" t="s">
        <v>746</v>
      </c>
      <c r="C352" s="50">
        <v>5.0999999999999996</v>
      </c>
      <c r="D352" s="131"/>
    </row>
    <row r="353" spans="1:4" ht="31.5" outlineLevel="1">
      <c r="A353" s="48" t="s">
        <v>43</v>
      </c>
      <c r="B353" s="49" t="s">
        <v>3</v>
      </c>
      <c r="C353" s="48">
        <v>5.14</v>
      </c>
      <c r="D353" s="131"/>
    </row>
    <row r="354" spans="1:4" ht="31.5" outlineLevel="1">
      <c r="A354" s="48" t="s">
        <v>43</v>
      </c>
      <c r="B354" s="49" t="s">
        <v>29</v>
      </c>
      <c r="C354" s="48">
        <v>5.19</v>
      </c>
      <c r="D354" s="131"/>
    </row>
    <row r="355" spans="1:4" ht="31.5" outlineLevel="1">
      <c r="A355" s="48" t="s">
        <v>43</v>
      </c>
      <c r="B355" s="49" t="s">
        <v>28</v>
      </c>
      <c r="C355" s="48">
        <v>5.24</v>
      </c>
      <c r="D355" s="131"/>
    </row>
    <row r="356" spans="1:4" ht="31.5" outlineLevel="1">
      <c r="A356" s="48" t="s">
        <v>43</v>
      </c>
      <c r="B356" s="49" t="s">
        <v>1</v>
      </c>
      <c r="C356" s="48">
        <v>5.26</v>
      </c>
      <c r="D356" s="131"/>
    </row>
    <row r="357" spans="1:4" ht="31.5" outlineLevel="1">
      <c r="A357" s="48" t="s">
        <v>43</v>
      </c>
      <c r="B357" s="49" t="s">
        <v>620</v>
      </c>
      <c r="C357" s="48">
        <v>5.27</v>
      </c>
      <c r="D357" s="131"/>
    </row>
    <row r="358" spans="1:4" ht="31.5" outlineLevel="1">
      <c r="A358" s="48" t="s">
        <v>43</v>
      </c>
      <c r="B358" s="49" t="s">
        <v>621</v>
      </c>
      <c r="C358" s="48">
        <v>5.28</v>
      </c>
      <c r="D358" s="131"/>
    </row>
    <row r="359" spans="1:4" ht="31.5" outlineLevel="1">
      <c r="A359" s="48" t="s">
        <v>43</v>
      </c>
      <c r="B359" s="49" t="s">
        <v>9</v>
      </c>
      <c r="C359" s="48">
        <v>5.31</v>
      </c>
      <c r="D359" s="131"/>
    </row>
    <row r="360" spans="1:4" ht="31.5" outlineLevel="1">
      <c r="A360" s="48" t="s">
        <v>43</v>
      </c>
      <c r="B360" s="49" t="s">
        <v>622</v>
      </c>
      <c r="C360" s="48">
        <v>5.36</v>
      </c>
      <c r="D360" s="131"/>
    </row>
    <row r="361" spans="1:4" ht="31.5" outlineLevel="1">
      <c r="A361" s="48" t="s">
        <v>43</v>
      </c>
      <c r="B361" s="49" t="s">
        <v>12</v>
      </c>
      <c r="C361" s="48">
        <v>5.37</v>
      </c>
      <c r="D361" s="131"/>
    </row>
    <row r="362" spans="1:4" ht="31.5" outlineLevel="1">
      <c r="A362" s="48" t="s">
        <v>43</v>
      </c>
      <c r="B362" s="49" t="s">
        <v>6</v>
      </c>
      <c r="C362" s="48">
        <v>5.49</v>
      </c>
      <c r="D362" s="131"/>
    </row>
    <row r="363" spans="1:4" ht="31.5" outlineLevel="1">
      <c r="A363" s="48" t="s">
        <v>43</v>
      </c>
      <c r="B363" s="49" t="s">
        <v>8</v>
      </c>
      <c r="C363" s="48">
        <v>5.51</v>
      </c>
      <c r="D363" s="131"/>
    </row>
    <row r="364" spans="1:4" ht="31.5" outlineLevel="1">
      <c r="A364" s="48" t="s">
        <v>43</v>
      </c>
      <c r="B364" s="49" t="s">
        <v>7</v>
      </c>
      <c r="C364" s="48">
        <v>5.52</v>
      </c>
      <c r="D364" s="131"/>
    </row>
    <row r="365" spans="1:4" ht="31.5" outlineLevel="1">
      <c r="A365" s="48" t="s">
        <v>43</v>
      </c>
      <c r="B365" s="49" t="s">
        <v>396</v>
      </c>
      <c r="C365" s="48">
        <v>5.53</v>
      </c>
      <c r="D365" s="131"/>
    </row>
    <row r="366" spans="1:4" ht="31.5" outlineLevel="1">
      <c r="A366" s="48" t="s">
        <v>43</v>
      </c>
      <c r="B366" s="49" t="s">
        <v>13</v>
      </c>
      <c r="C366" s="48">
        <v>5.69</v>
      </c>
      <c r="D366" s="131"/>
    </row>
    <row r="367" spans="1:4" ht="31.5" outlineLevel="1">
      <c r="A367" s="48" t="s">
        <v>43</v>
      </c>
      <c r="B367" s="49" t="s">
        <v>282</v>
      </c>
      <c r="C367" s="50">
        <v>5.8</v>
      </c>
      <c r="D367" s="131"/>
    </row>
    <row r="368" spans="1:4" ht="31.5" outlineLevel="1">
      <c r="A368" s="48" t="s">
        <v>43</v>
      </c>
      <c r="B368" s="49" t="s">
        <v>309</v>
      </c>
      <c r="C368" s="50">
        <v>5.72</v>
      </c>
      <c r="D368" s="131"/>
    </row>
    <row r="369" spans="1:4" ht="31.5" outlineLevel="1">
      <c r="A369" s="48" t="s">
        <v>43</v>
      </c>
      <c r="B369" s="49" t="s">
        <v>421</v>
      </c>
      <c r="C369" s="48">
        <v>5.75</v>
      </c>
      <c r="D369" s="131"/>
    </row>
    <row r="370" spans="1:4" ht="31.5" outlineLevel="1">
      <c r="A370" s="48" t="s">
        <v>43</v>
      </c>
      <c r="B370" s="49" t="s">
        <v>14</v>
      </c>
      <c r="C370" s="50">
        <v>5.7</v>
      </c>
      <c r="D370" s="131"/>
    </row>
    <row r="371" spans="1:4" ht="31.5" outlineLevel="1">
      <c r="A371" s="48" t="s">
        <v>43</v>
      </c>
      <c r="B371" s="49" t="s">
        <v>637</v>
      </c>
      <c r="C371" s="48">
        <v>5.74</v>
      </c>
      <c r="D371" s="131"/>
    </row>
    <row r="372" spans="1:4" ht="31.5" outlineLevel="1">
      <c r="A372" s="48" t="s">
        <v>43</v>
      </c>
      <c r="B372" s="49" t="s">
        <v>942</v>
      </c>
      <c r="C372" s="48">
        <v>5.76</v>
      </c>
      <c r="D372" s="131"/>
    </row>
    <row r="373" spans="1:4" ht="31.5" outlineLevel="1">
      <c r="A373" s="48" t="s">
        <v>43</v>
      </c>
      <c r="B373" s="49" t="s">
        <v>685</v>
      </c>
      <c r="C373" s="48">
        <v>5.89</v>
      </c>
      <c r="D373" s="130" t="s">
        <v>952</v>
      </c>
    </row>
    <row r="374" spans="1:4" ht="31.5" outlineLevel="1">
      <c r="A374" s="48" t="s">
        <v>43</v>
      </c>
      <c r="B374" s="49" t="s">
        <v>933</v>
      </c>
      <c r="C374" s="48">
        <v>5.109</v>
      </c>
      <c r="D374" s="130"/>
    </row>
    <row r="375" spans="1:4" ht="31.5" outlineLevel="1">
      <c r="A375" s="48" t="s">
        <v>43</v>
      </c>
      <c r="B375" s="49" t="s">
        <v>372</v>
      </c>
      <c r="C375" s="48">
        <v>5.1109999999999998</v>
      </c>
      <c r="D375" s="131"/>
    </row>
    <row r="376" spans="1:4" ht="31.5" outlineLevel="1">
      <c r="A376" s="48" t="s">
        <v>43</v>
      </c>
      <c r="B376" s="49" t="s">
        <v>16</v>
      </c>
      <c r="C376" s="48">
        <v>5.1120000000000001</v>
      </c>
      <c r="D376" s="131"/>
    </row>
    <row r="377" spans="1:4" ht="31.5" outlineLevel="1">
      <c r="A377" s="48" t="s">
        <v>43</v>
      </c>
      <c r="B377" s="52" t="s">
        <v>475</v>
      </c>
      <c r="C377" s="48">
        <v>5.1130000000000004</v>
      </c>
      <c r="D377" s="131"/>
    </row>
    <row r="378" spans="1:4" ht="31.5" outlineLevel="1">
      <c r="A378" s="48" t="s">
        <v>43</v>
      </c>
      <c r="B378" s="49" t="s">
        <v>789</v>
      </c>
      <c r="C378" s="48">
        <v>5.58</v>
      </c>
      <c r="D378" s="131"/>
    </row>
    <row r="379" spans="1:4" ht="31.5" outlineLevel="1">
      <c r="A379" s="48" t="s">
        <v>43</v>
      </c>
      <c r="B379" s="49" t="s">
        <v>11</v>
      </c>
      <c r="C379" s="48">
        <v>5.54</v>
      </c>
      <c r="D379" s="131"/>
    </row>
    <row r="380" spans="1:4" ht="31.5" outlineLevel="1">
      <c r="A380" s="48" t="s">
        <v>43</v>
      </c>
      <c r="B380" s="49" t="s">
        <v>15</v>
      </c>
      <c r="C380" s="48">
        <v>5.55</v>
      </c>
      <c r="D380" s="131"/>
    </row>
    <row r="381" spans="1:4" ht="31.5" outlineLevel="1">
      <c r="A381" s="48" t="s">
        <v>43</v>
      </c>
      <c r="B381" s="49" t="s">
        <v>1171</v>
      </c>
      <c r="C381" s="48">
        <v>5.63</v>
      </c>
      <c r="D381" s="131"/>
    </row>
    <row r="382" spans="1:4" ht="31.5" outlineLevel="1">
      <c r="A382" s="48" t="s">
        <v>43</v>
      </c>
      <c r="B382" s="49" t="s">
        <v>1172</v>
      </c>
      <c r="C382" s="48">
        <v>5.65</v>
      </c>
      <c r="D382" s="131"/>
    </row>
    <row r="383" spans="1:4" ht="31.5" outlineLevel="1">
      <c r="A383" s="48" t="s">
        <v>43</v>
      </c>
      <c r="B383" s="49" t="s">
        <v>804</v>
      </c>
      <c r="C383" s="48">
        <v>5.66</v>
      </c>
      <c r="D383" s="131"/>
    </row>
    <row r="384" spans="1:4" ht="31.5" outlineLevel="1">
      <c r="A384" s="48" t="s">
        <v>43</v>
      </c>
      <c r="B384" s="49" t="s">
        <v>26</v>
      </c>
      <c r="C384" s="48">
        <v>5.68</v>
      </c>
      <c r="D384" s="131"/>
    </row>
    <row r="385" spans="1:4" ht="31.5" outlineLevel="1">
      <c r="A385" s="48" t="s">
        <v>43</v>
      </c>
      <c r="B385" s="49" t="s">
        <v>19</v>
      </c>
      <c r="C385" s="48">
        <v>5.47</v>
      </c>
      <c r="D385" s="131"/>
    </row>
    <row r="386" spans="1:4" ht="31.5" outlineLevel="1">
      <c r="A386" s="48" t="s">
        <v>43</v>
      </c>
      <c r="B386" s="49" t="s">
        <v>30</v>
      </c>
      <c r="C386" s="48">
        <v>5.48</v>
      </c>
      <c r="D386" s="131"/>
    </row>
    <row r="387" spans="1:4" ht="31.5">
      <c r="A387" s="55" t="s">
        <v>43</v>
      </c>
      <c r="B387" s="49"/>
      <c r="C387" s="48"/>
      <c r="D387" s="131"/>
    </row>
    <row r="388" spans="1:4" ht="15.75" outlineLevel="1">
      <c r="A388" s="48" t="s">
        <v>44</v>
      </c>
      <c r="B388" s="49" t="s">
        <v>667</v>
      </c>
      <c r="C388" s="48">
        <v>5.0999999999999996</v>
      </c>
      <c r="D388" s="131"/>
    </row>
    <row r="389" spans="1:4" ht="15.75" outlineLevel="1">
      <c r="A389" s="48" t="s">
        <v>44</v>
      </c>
      <c r="B389" s="49" t="s">
        <v>0</v>
      </c>
      <c r="C389" s="48">
        <v>5.2</v>
      </c>
      <c r="D389" s="131"/>
    </row>
    <row r="390" spans="1:4" ht="15.75" outlineLevel="1">
      <c r="A390" s="48" t="s">
        <v>44</v>
      </c>
      <c r="B390" s="49" t="s">
        <v>740</v>
      </c>
      <c r="C390" s="48">
        <v>5.3</v>
      </c>
      <c r="D390" s="131"/>
    </row>
    <row r="391" spans="1:4" ht="15.75" outlineLevel="1">
      <c r="A391" s="48" t="s">
        <v>44</v>
      </c>
      <c r="B391" s="49" t="s">
        <v>2</v>
      </c>
      <c r="C391" s="48">
        <v>5.6</v>
      </c>
      <c r="D391" s="131"/>
    </row>
    <row r="392" spans="1:4" ht="15.75" outlineLevel="1">
      <c r="A392" s="48" t="s">
        <v>44</v>
      </c>
      <c r="B392" s="49" t="s">
        <v>746</v>
      </c>
      <c r="C392" s="50">
        <v>5.0999999999999996</v>
      </c>
      <c r="D392" s="131"/>
    </row>
    <row r="393" spans="1:4" ht="15.75" outlineLevel="1">
      <c r="A393" s="48" t="s">
        <v>44</v>
      </c>
      <c r="B393" s="49" t="s">
        <v>3</v>
      </c>
      <c r="C393" s="48">
        <v>5.14</v>
      </c>
      <c r="D393" s="131"/>
    </row>
    <row r="394" spans="1:4" ht="15.75" outlineLevel="1">
      <c r="A394" s="48" t="s">
        <v>44</v>
      </c>
      <c r="B394" s="49" t="s">
        <v>29</v>
      </c>
      <c r="C394" s="48">
        <v>5.19</v>
      </c>
      <c r="D394" s="131"/>
    </row>
    <row r="395" spans="1:4" ht="15.75" outlineLevel="1">
      <c r="A395" s="48" t="s">
        <v>44</v>
      </c>
      <c r="B395" s="49" t="s">
        <v>28</v>
      </c>
      <c r="C395" s="48">
        <v>5.24</v>
      </c>
      <c r="D395" s="131"/>
    </row>
    <row r="396" spans="1:4" ht="15.75" outlineLevel="1">
      <c r="A396" s="48" t="s">
        <v>44</v>
      </c>
      <c r="B396" s="49" t="s">
        <v>1</v>
      </c>
      <c r="C396" s="48">
        <v>5.26</v>
      </c>
      <c r="D396" s="131"/>
    </row>
    <row r="397" spans="1:4" ht="15.75" outlineLevel="1">
      <c r="A397" s="48" t="s">
        <v>44</v>
      </c>
      <c r="B397" s="49" t="s">
        <v>620</v>
      </c>
      <c r="C397" s="48">
        <v>5.27</v>
      </c>
      <c r="D397" s="131"/>
    </row>
    <row r="398" spans="1:4" ht="15.75" outlineLevel="1">
      <c r="A398" s="48" t="s">
        <v>44</v>
      </c>
      <c r="B398" s="49" t="s">
        <v>621</v>
      </c>
      <c r="C398" s="48">
        <v>5.28</v>
      </c>
      <c r="D398" s="131"/>
    </row>
    <row r="399" spans="1:4" ht="15.75" outlineLevel="1">
      <c r="A399" s="48" t="s">
        <v>44</v>
      </c>
      <c r="B399" s="49" t="s">
        <v>625</v>
      </c>
      <c r="C399" s="48">
        <v>5.29</v>
      </c>
      <c r="D399" s="131"/>
    </row>
    <row r="400" spans="1:4" ht="15.75" outlineLevel="1">
      <c r="A400" s="48" t="s">
        <v>44</v>
      </c>
      <c r="B400" s="49" t="s">
        <v>9</v>
      </c>
      <c r="C400" s="48">
        <v>5.31</v>
      </c>
      <c r="D400" s="131"/>
    </row>
    <row r="401" spans="1:4" ht="15.75" outlineLevel="1">
      <c r="A401" s="48" t="s">
        <v>44</v>
      </c>
      <c r="B401" s="49" t="s">
        <v>622</v>
      </c>
      <c r="C401" s="48">
        <v>5.36</v>
      </c>
      <c r="D401" s="131"/>
    </row>
    <row r="402" spans="1:4" ht="15.75" outlineLevel="1">
      <c r="A402" s="48" t="s">
        <v>44</v>
      </c>
      <c r="B402" s="49" t="s">
        <v>12</v>
      </c>
      <c r="C402" s="48">
        <v>5.37</v>
      </c>
      <c r="D402" s="131"/>
    </row>
    <row r="403" spans="1:4" ht="15.75" outlineLevel="1">
      <c r="A403" s="48" t="s">
        <v>44</v>
      </c>
      <c r="B403" s="49" t="s">
        <v>6</v>
      </c>
      <c r="C403" s="48">
        <v>5.49</v>
      </c>
      <c r="D403" s="131"/>
    </row>
    <row r="404" spans="1:4" ht="15.75" outlineLevel="1">
      <c r="A404" s="48" t="s">
        <v>44</v>
      </c>
      <c r="B404" s="49" t="s">
        <v>8</v>
      </c>
      <c r="C404" s="48">
        <v>5.51</v>
      </c>
      <c r="D404" s="131"/>
    </row>
    <row r="405" spans="1:4" ht="15.75" outlineLevel="1">
      <c r="A405" s="48" t="s">
        <v>44</v>
      </c>
      <c r="B405" s="49" t="s">
        <v>7</v>
      </c>
      <c r="C405" s="48">
        <v>5.52</v>
      </c>
      <c r="D405" s="131"/>
    </row>
    <row r="406" spans="1:4" ht="15.75" outlineLevel="1">
      <c r="A406" s="48" t="s">
        <v>44</v>
      </c>
      <c r="B406" s="49" t="s">
        <v>396</v>
      </c>
      <c r="C406" s="48">
        <v>5.53</v>
      </c>
      <c r="D406" s="131"/>
    </row>
    <row r="407" spans="1:4" ht="15.75" outlineLevel="1">
      <c r="A407" s="48" t="s">
        <v>44</v>
      </c>
      <c r="B407" s="49" t="s">
        <v>13</v>
      </c>
      <c r="C407" s="48">
        <v>5.69</v>
      </c>
      <c r="D407" s="131"/>
    </row>
    <row r="408" spans="1:4" ht="15.75" outlineLevel="1">
      <c r="A408" s="48" t="s">
        <v>44</v>
      </c>
      <c r="B408" s="49" t="s">
        <v>421</v>
      </c>
      <c r="C408" s="48">
        <v>5.75</v>
      </c>
      <c r="D408" s="131"/>
    </row>
    <row r="409" spans="1:4" ht="15.75" outlineLevel="1">
      <c r="A409" s="48" t="s">
        <v>44</v>
      </c>
      <c r="B409" s="49" t="s">
        <v>637</v>
      </c>
      <c r="C409" s="48">
        <v>5.74</v>
      </c>
      <c r="D409" s="131"/>
    </row>
    <row r="410" spans="1:4" ht="15.75" outlineLevel="1">
      <c r="A410" s="48" t="s">
        <v>44</v>
      </c>
      <c r="B410" s="49" t="s">
        <v>14</v>
      </c>
      <c r="C410" s="50">
        <v>5.7</v>
      </c>
      <c r="D410" s="131"/>
    </row>
    <row r="411" spans="1:4" ht="15.75" outlineLevel="1">
      <c r="A411" s="48" t="s">
        <v>44</v>
      </c>
      <c r="B411" s="49" t="s">
        <v>942</v>
      </c>
      <c r="C411" s="48">
        <v>5.76</v>
      </c>
      <c r="D411" s="131"/>
    </row>
    <row r="412" spans="1:4" ht="15.75" outlineLevel="1">
      <c r="A412" s="48" t="s">
        <v>44</v>
      </c>
      <c r="B412" s="49" t="s">
        <v>685</v>
      </c>
      <c r="C412" s="48">
        <v>5.89</v>
      </c>
      <c r="D412" s="130" t="s">
        <v>952</v>
      </c>
    </row>
    <row r="413" spans="1:4" ht="15.75" outlineLevel="1">
      <c r="A413" s="48" t="s">
        <v>44</v>
      </c>
      <c r="B413" s="49" t="s">
        <v>933</v>
      </c>
      <c r="C413" s="48">
        <v>5.109</v>
      </c>
      <c r="D413" s="131"/>
    </row>
    <row r="414" spans="1:4" ht="15.75" outlineLevel="1">
      <c r="A414" s="48" t="s">
        <v>44</v>
      </c>
      <c r="B414" s="49" t="s">
        <v>372</v>
      </c>
      <c r="C414" s="48">
        <v>5.1109999999999998</v>
      </c>
      <c r="D414" s="131"/>
    </row>
    <row r="415" spans="1:4" ht="15.75" outlineLevel="1">
      <c r="A415" s="48" t="s">
        <v>44</v>
      </c>
      <c r="B415" s="49" t="s">
        <v>16</v>
      </c>
      <c r="C415" s="48">
        <v>5.1120000000000001</v>
      </c>
      <c r="D415" s="131"/>
    </row>
    <row r="416" spans="1:4" ht="15.75" outlineLevel="1">
      <c r="A416" s="48" t="s">
        <v>44</v>
      </c>
      <c r="B416" s="52" t="s">
        <v>475</v>
      </c>
      <c r="C416" s="48">
        <v>5.1130000000000004</v>
      </c>
      <c r="D416" s="131"/>
    </row>
    <row r="417" spans="1:4" ht="15.75" outlineLevel="1">
      <c r="A417" s="48" t="s">
        <v>44</v>
      </c>
      <c r="B417" s="49" t="s">
        <v>789</v>
      </c>
      <c r="C417" s="48">
        <v>5.58</v>
      </c>
      <c r="D417" s="131"/>
    </row>
    <row r="418" spans="1:4" ht="15.75" outlineLevel="1">
      <c r="A418" s="48" t="s">
        <v>44</v>
      </c>
      <c r="B418" s="49" t="s">
        <v>11</v>
      </c>
      <c r="C418" s="48">
        <v>5.54</v>
      </c>
      <c r="D418" s="131"/>
    </row>
    <row r="419" spans="1:4" ht="15.75" outlineLevel="1">
      <c r="A419" s="48" t="s">
        <v>44</v>
      </c>
      <c r="B419" s="49" t="s">
        <v>15</v>
      </c>
      <c r="C419" s="48">
        <v>5.55</v>
      </c>
      <c r="D419" s="131"/>
    </row>
    <row r="420" spans="1:4" ht="15.75" outlineLevel="1">
      <c r="A420" s="48" t="s">
        <v>44</v>
      </c>
      <c r="B420" s="49" t="s">
        <v>1171</v>
      </c>
      <c r="C420" s="48">
        <v>5.63</v>
      </c>
      <c r="D420" s="131"/>
    </row>
    <row r="421" spans="1:4" ht="15.75" outlineLevel="1">
      <c r="A421" s="48" t="s">
        <v>44</v>
      </c>
      <c r="B421" s="49" t="s">
        <v>1172</v>
      </c>
      <c r="C421" s="48">
        <v>5.65</v>
      </c>
      <c r="D421" s="131"/>
    </row>
    <row r="422" spans="1:4" ht="15.75" outlineLevel="1">
      <c r="A422" s="48" t="s">
        <v>44</v>
      </c>
      <c r="B422" s="49" t="s">
        <v>804</v>
      </c>
      <c r="C422" s="48">
        <v>5.66</v>
      </c>
      <c r="D422" s="131"/>
    </row>
    <row r="423" spans="1:4" ht="15.75" outlineLevel="1">
      <c r="A423" s="48" t="s">
        <v>44</v>
      </c>
      <c r="B423" s="49" t="s">
        <v>26</v>
      </c>
      <c r="C423" s="48">
        <v>5.68</v>
      </c>
      <c r="D423" s="131"/>
    </row>
    <row r="424" spans="1:4" ht="15.75" outlineLevel="1">
      <c r="A424" s="48" t="s">
        <v>44</v>
      </c>
      <c r="B424" s="49" t="s">
        <v>19</v>
      </c>
      <c r="C424" s="48">
        <v>5.47</v>
      </c>
      <c r="D424" s="131"/>
    </row>
    <row r="425" spans="1:4" ht="15.75" outlineLevel="1">
      <c r="A425" s="48" t="s">
        <v>44</v>
      </c>
      <c r="B425" s="49" t="s">
        <v>30</v>
      </c>
      <c r="C425" s="48">
        <v>5.48</v>
      </c>
      <c r="D425" s="131"/>
    </row>
    <row r="426" spans="1:4" ht="15.75">
      <c r="A426" s="55" t="s">
        <v>44</v>
      </c>
      <c r="B426" s="49"/>
      <c r="C426" s="48"/>
      <c r="D426" s="131"/>
    </row>
    <row r="427" spans="1:4" ht="15.75" outlineLevel="1">
      <c r="A427" s="48" t="s">
        <v>808</v>
      </c>
      <c r="B427" s="49" t="s">
        <v>667</v>
      </c>
      <c r="C427" s="48">
        <v>5.0999999999999996</v>
      </c>
      <c r="D427" s="131"/>
    </row>
    <row r="428" spans="1:4" ht="15.75" outlineLevel="1">
      <c r="A428" s="48" t="s">
        <v>808</v>
      </c>
      <c r="B428" s="49" t="s">
        <v>0</v>
      </c>
      <c r="C428" s="48">
        <v>5.2</v>
      </c>
      <c r="D428" s="131"/>
    </row>
    <row r="429" spans="1:4" ht="15.75" outlineLevel="1">
      <c r="A429" s="48" t="s">
        <v>808</v>
      </c>
      <c r="B429" s="49" t="s">
        <v>740</v>
      </c>
      <c r="C429" s="48">
        <v>5.3</v>
      </c>
      <c r="D429" s="131"/>
    </row>
    <row r="430" spans="1:4" ht="15.75" outlineLevel="1">
      <c r="A430" s="48" t="s">
        <v>808</v>
      </c>
      <c r="B430" s="49" t="s">
        <v>2</v>
      </c>
      <c r="C430" s="48">
        <v>5.6</v>
      </c>
      <c r="D430" s="131"/>
    </row>
    <row r="431" spans="1:4" ht="15.75" outlineLevel="1">
      <c r="A431" s="48" t="s">
        <v>808</v>
      </c>
      <c r="B431" s="49" t="s">
        <v>746</v>
      </c>
      <c r="C431" s="50">
        <v>5.0999999999999996</v>
      </c>
      <c r="D431" s="131"/>
    </row>
    <row r="432" spans="1:4" ht="15.75" outlineLevel="1">
      <c r="A432" s="48" t="s">
        <v>808</v>
      </c>
      <c r="B432" s="49" t="s">
        <v>3</v>
      </c>
      <c r="C432" s="48">
        <v>5.14</v>
      </c>
      <c r="D432" s="131"/>
    </row>
    <row r="433" spans="1:4" ht="15.75" outlineLevel="1">
      <c r="A433" s="48" t="s">
        <v>808</v>
      </c>
      <c r="B433" s="49" t="s">
        <v>29</v>
      </c>
      <c r="C433" s="48">
        <v>5.19</v>
      </c>
      <c r="D433" s="131"/>
    </row>
    <row r="434" spans="1:4" ht="15.75" outlineLevel="1">
      <c r="A434" s="48" t="s">
        <v>808</v>
      </c>
      <c r="B434" s="49" t="s">
        <v>28</v>
      </c>
      <c r="C434" s="48">
        <v>5.24</v>
      </c>
      <c r="D434" s="131"/>
    </row>
    <row r="435" spans="1:4" ht="15.75" outlineLevel="1">
      <c r="A435" s="48" t="s">
        <v>808</v>
      </c>
      <c r="B435" s="49" t="s">
        <v>1</v>
      </c>
      <c r="C435" s="48">
        <v>5.26</v>
      </c>
      <c r="D435" s="131"/>
    </row>
    <row r="436" spans="1:4" ht="15.75" outlineLevel="1">
      <c r="A436" s="48" t="s">
        <v>808</v>
      </c>
      <c r="B436" s="49" t="s">
        <v>620</v>
      </c>
      <c r="C436" s="48">
        <v>5.27</v>
      </c>
      <c r="D436" s="131"/>
    </row>
    <row r="437" spans="1:4" ht="15.75" outlineLevel="1">
      <c r="A437" s="48" t="s">
        <v>808</v>
      </c>
      <c r="B437" s="49" t="s">
        <v>621</v>
      </c>
      <c r="C437" s="48">
        <v>5.28</v>
      </c>
      <c r="D437" s="131"/>
    </row>
    <row r="438" spans="1:4" ht="15.75" outlineLevel="1">
      <c r="A438" s="48" t="s">
        <v>808</v>
      </c>
      <c r="B438" s="49" t="s">
        <v>625</v>
      </c>
      <c r="C438" s="48">
        <v>5.29</v>
      </c>
      <c r="D438" s="131"/>
    </row>
    <row r="439" spans="1:4" ht="15.75" outlineLevel="1">
      <c r="A439" s="48" t="s">
        <v>808</v>
      </c>
      <c r="B439" s="49" t="s">
        <v>9</v>
      </c>
      <c r="C439" s="48">
        <v>5.31</v>
      </c>
      <c r="D439" s="131"/>
    </row>
    <row r="440" spans="1:4" ht="15.75" outlineLevel="1">
      <c r="A440" s="48" t="s">
        <v>808</v>
      </c>
      <c r="B440" s="49" t="s">
        <v>622</v>
      </c>
      <c r="C440" s="48">
        <v>5.36</v>
      </c>
      <c r="D440" s="131"/>
    </row>
    <row r="441" spans="1:4" ht="15.75" outlineLevel="1">
      <c r="A441" s="48" t="s">
        <v>808</v>
      </c>
      <c r="B441" s="49" t="s">
        <v>12</v>
      </c>
      <c r="C441" s="48">
        <v>5.37</v>
      </c>
      <c r="D441" s="131"/>
    </row>
    <row r="442" spans="1:4" ht="15.75" outlineLevel="1">
      <c r="A442" s="48" t="s">
        <v>808</v>
      </c>
      <c r="B442" s="49" t="s">
        <v>396</v>
      </c>
      <c r="C442" s="48">
        <v>5.53</v>
      </c>
      <c r="D442" s="131"/>
    </row>
    <row r="443" spans="1:4" ht="15.75" outlineLevel="1">
      <c r="A443" s="48" t="s">
        <v>808</v>
      </c>
      <c r="B443" s="49" t="s">
        <v>933</v>
      </c>
      <c r="C443" s="48">
        <v>5.109</v>
      </c>
      <c r="D443" s="131"/>
    </row>
    <row r="444" spans="1:4" ht="15.75" outlineLevel="1">
      <c r="A444" s="48" t="s">
        <v>808</v>
      </c>
      <c r="B444" s="49" t="s">
        <v>372</v>
      </c>
      <c r="C444" s="48">
        <v>5.1109999999999998</v>
      </c>
      <c r="D444" s="131"/>
    </row>
    <row r="445" spans="1:4" ht="15.75" outlineLevel="1">
      <c r="A445" s="48" t="s">
        <v>808</v>
      </c>
      <c r="B445" s="49" t="s">
        <v>16</v>
      </c>
      <c r="C445" s="48">
        <v>5.1120000000000001</v>
      </c>
      <c r="D445" s="131"/>
    </row>
    <row r="446" spans="1:4" ht="15.75" outlineLevel="1">
      <c r="A446" s="48" t="s">
        <v>808</v>
      </c>
      <c r="B446" s="52" t="s">
        <v>475</v>
      </c>
      <c r="C446" s="48">
        <v>5.1130000000000004</v>
      </c>
      <c r="D446" s="131"/>
    </row>
    <row r="447" spans="1:4" ht="15.75" outlineLevel="1">
      <c r="A447" s="48" t="s">
        <v>808</v>
      </c>
      <c r="B447" s="49" t="s">
        <v>789</v>
      </c>
      <c r="C447" s="48">
        <v>5.58</v>
      </c>
      <c r="D447" s="131"/>
    </row>
    <row r="448" spans="1:4" ht="15.75" outlineLevel="1">
      <c r="A448" s="48" t="s">
        <v>808</v>
      </c>
      <c r="B448" s="49" t="s">
        <v>11</v>
      </c>
      <c r="C448" s="48">
        <v>5.54</v>
      </c>
      <c r="D448" s="131"/>
    </row>
    <row r="449" spans="1:4" ht="15.75" outlineLevel="1">
      <c r="A449" s="48" t="s">
        <v>808</v>
      </c>
      <c r="B449" s="49" t="s">
        <v>15</v>
      </c>
      <c r="C449" s="48">
        <v>5.55</v>
      </c>
      <c r="D449" s="131"/>
    </row>
    <row r="450" spans="1:4" ht="15.75" outlineLevel="1">
      <c r="A450" s="48" t="s">
        <v>808</v>
      </c>
      <c r="B450" s="49" t="s">
        <v>1171</v>
      </c>
      <c r="C450" s="48">
        <v>5.63</v>
      </c>
      <c r="D450" s="131"/>
    </row>
    <row r="451" spans="1:4" ht="15.75" outlineLevel="1">
      <c r="A451" s="48" t="s">
        <v>808</v>
      </c>
      <c r="B451" s="49" t="s">
        <v>19</v>
      </c>
      <c r="C451" s="48">
        <v>5.47</v>
      </c>
      <c r="D451" s="131"/>
    </row>
    <row r="452" spans="1:4" ht="15.75" outlineLevel="1">
      <c r="A452" s="48" t="s">
        <v>808</v>
      </c>
      <c r="B452" s="49" t="s">
        <v>30</v>
      </c>
      <c r="C452" s="48">
        <v>5.48</v>
      </c>
      <c r="D452" s="131"/>
    </row>
    <row r="453" spans="1:4" ht="31.5">
      <c r="A453" s="55" t="s">
        <v>808</v>
      </c>
      <c r="B453" s="49"/>
      <c r="C453" s="48"/>
      <c r="D453" s="131"/>
    </row>
    <row r="454" spans="1:4" ht="15.75" outlineLevel="1">
      <c r="A454" s="48" t="s">
        <v>45</v>
      </c>
      <c r="B454" s="49" t="s">
        <v>667</v>
      </c>
      <c r="C454" s="48">
        <v>5.0999999999999996</v>
      </c>
      <c r="D454" s="131"/>
    </row>
    <row r="455" spans="1:4" ht="15.75" outlineLevel="1">
      <c r="A455" s="48" t="s">
        <v>45</v>
      </c>
      <c r="B455" s="49" t="s">
        <v>0</v>
      </c>
      <c r="C455" s="48">
        <v>5.2</v>
      </c>
      <c r="D455" s="131"/>
    </row>
    <row r="456" spans="1:4" ht="15.75" outlineLevel="1">
      <c r="A456" s="48" t="s">
        <v>45</v>
      </c>
      <c r="B456" s="49" t="s">
        <v>796</v>
      </c>
      <c r="C456" s="48">
        <v>5.5</v>
      </c>
      <c r="D456" s="131"/>
    </row>
    <row r="457" spans="1:4" ht="15.75" outlineLevel="1">
      <c r="A457" s="48" t="s">
        <v>45</v>
      </c>
      <c r="B457" s="49" t="s">
        <v>809</v>
      </c>
      <c r="C457" s="48">
        <v>5.8</v>
      </c>
      <c r="D457" s="130" t="s">
        <v>952</v>
      </c>
    </row>
    <row r="458" spans="1:4" ht="15.75" outlineLevel="1">
      <c r="A458" s="48" t="s">
        <v>45</v>
      </c>
      <c r="B458" s="49" t="s">
        <v>797</v>
      </c>
      <c r="C458" s="48">
        <v>5.12</v>
      </c>
      <c r="D458" s="130" t="s">
        <v>952</v>
      </c>
    </row>
    <row r="459" spans="1:4" ht="15.75" outlineLevel="1">
      <c r="A459" s="48" t="s">
        <v>45</v>
      </c>
      <c r="B459" s="49" t="s">
        <v>763</v>
      </c>
      <c r="C459" s="48">
        <v>5.15</v>
      </c>
      <c r="D459" s="131"/>
    </row>
    <row r="460" spans="1:4" ht="15.75" outlineLevel="1">
      <c r="A460" s="48" t="s">
        <v>45</v>
      </c>
      <c r="B460" s="49" t="s">
        <v>762</v>
      </c>
      <c r="C460" s="50">
        <v>5.2</v>
      </c>
      <c r="D460" s="130"/>
    </row>
    <row r="461" spans="1:4" ht="15.75" outlineLevel="1">
      <c r="A461" s="48" t="s">
        <v>45</v>
      </c>
      <c r="B461" s="49" t="s">
        <v>767</v>
      </c>
      <c r="C461" s="48">
        <v>5.25</v>
      </c>
      <c r="D461" s="131"/>
    </row>
    <row r="462" spans="1:4" ht="15.75" outlineLevel="1">
      <c r="A462" s="48" t="s">
        <v>45</v>
      </c>
      <c r="B462" s="49" t="s">
        <v>1</v>
      </c>
      <c r="C462" s="48">
        <v>5.26</v>
      </c>
      <c r="D462" s="131"/>
    </row>
    <row r="463" spans="1:4" ht="15.75" outlineLevel="1">
      <c r="A463" s="48" t="s">
        <v>45</v>
      </c>
      <c r="B463" s="49" t="s">
        <v>289</v>
      </c>
      <c r="C463" s="48">
        <v>5.1139999999999999</v>
      </c>
      <c r="D463" s="130" t="s">
        <v>952</v>
      </c>
    </row>
    <row r="464" spans="1:4" ht="15.75" outlineLevel="1">
      <c r="A464" s="48" t="s">
        <v>45</v>
      </c>
      <c r="B464" s="49" t="s">
        <v>620</v>
      </c>
      <c r="C464" s="48">
        <v>5.27</v>
      </c>
      <c r="D464" s="131"/>
    </row>
    <row r="465" spans="1:4" ht="15.75" outlineLevel="1">
      <c r="A465" s="48" t="s">
        <v>45</v>
      </c>
      <c r="B465" s="49" t="s">
        <v>755</v>
      </c>
      <c r="C465" s="48">
        <v>5.1150000000000002</v>
      </c>
      <c r="D465" s="130" t="s">
        <v>952</v>
      </c>
    </row>
    <row r="466" spans="1:4" ht="15.75" outlineLevel="1">
      <c r="A466" s="48" t="s">
        <v>45</v>
      </c>
      <c r="B466" s="49" t="s">
        <v>770</v>
      </c>
      <c r="C466" s="48">
        <v>5.1159999999999997</v>
      </c>
      <c r="D466" s="130" t="s">
        <v>952</v>
      </c>
    </row>
    <row r="467" spans="1:4" ht="15.75" outlineLevel="1">
      <c r="A467" s="48" t="s">
        <v>45</v>
      </c>
      <c r="B467" s="49" t="s">
        <v>621</v>
      </c>
      <c r="C467" s="48">
        <v>5.28</v>
      </c>
      <c r="D467" s="131"/>
    </row>
    <row r="468" spans="1:4" ht="15.75" outlineLevel="1">
      <c r="A468" s="48" t="s">
        <v>45</v>
      </c>
      <c r="B468" s="49" t="s">
        <v>622</v>
      </c>
      <c r="C468" s="48">
        <v>5.36</v>
      </c>
      <c r="D468" s="131"/>
    </row>
    <row r="469" spans="1:4" ht="15.75" outlineLevel="1">
      <c r="A469" s="48" t="s">
        <v>45</v>
      </c>
      <c r="B469" s="49" t="s">
        <v>12</v>
      </c>
      <c r="C469" s="48">
        <v>5.37</v>
      </c>
      <c r="D469" s="131"/>
    </row>
    <row r="470" spans="1:4" ht="15.75" outlineLevel="1">
      <c r="A470" s="48" t="s">
        <v>45</v>
      </c>
      <c r="B470" s="49" t="s">
        <v>396</v>
      </c>
      <c r="C470" s="48">
        <v>5.53</v>
      </c>
      <c r="D470" s="131"/>
    </row>
    <row r="471" spans="1:4" ht="15.75" outlineLevel="1">
      <c r="A471" s="48" t="s">
        <v>45</v>
      </c>
      <c r="B471" s="49" t="s">
        <v>933</v>
      </c>
      <c r="C471" s="48">
        <v>5.109</v>
      </c>
      <c r="D471" s="131"/>
    </row>
    <row r="472" spans="1:4" ht="15.75" outlineLevel="1">
      <c r="A472" s="48" t="s">
        <v>45</v>
      </c>
      <c r="B472" s="49" t="s">
        <v>372</v>
      </c>
      <c r="C472" s="48">
        <v>5.1109999999999998</v>
      </c>
      <c r="D472" s="131"/>
    </row>
    <row r="473" spans="1:4" ht="15.75" outlineLevel="1">
      <c r="A473" s="48" t="s">
        <v>45</v>
      </c>
      <c r="B473" s="49" t="s">
        <v>16</v>
      </c>
      <c r="C473" s="48">
        <v>5.1120000000000001</v>
      </c>
      <c r="D473" s="131"/>
    </row>
    <row r="474" spans="1:4" ht="15.75" outlineLevel="1">
      <c r="A474" s="48" t="s">
        <v>45</v>
      </c>
      <c r="B474" s="49" t="s">
        <v>11</v>
      </c>
      <c r="C474" s="48">
        <v>5.54</v>
      </c>
      <c r="D474" s="131"/>
    </row>
    <row r="475" spans="1:4" ht="15.75" outlineLevel="1">
      <c r="A475" s="48" t="s">
        <v>45</v>
      </c>
      <c r="B475" s="49" t="s">
        <v>953</v>
      </c>
      <c r="C475" s="48">
        <v>5.61</v>
      </c>
      <c r="D475" s="131"/>
    </row>
    <row r="476" spans="1:4" ht="15.75" outlineLevel="1">
      <c r="A476" s="48" t="s">
        <v>45</v>
      </c>
      <c r="B476" s="49" t="s">
        <v>1171</v>
      </c>
      <c r="C476" s="48">
        <v>5.63</v>
      </c>
      <c r="D476" s="131"/>
    </row>
    <row r="477" spans="1:4" ht="15.75" outlineLevel="1">
      <c r="A477" s="48" t="s">
        <v>45</v>
      </c>
      <c r="B477" s="49" t="s">
        <v>752</v>
      </c>
      <c r="C477" s="48">
        <v>5.46</v>
      </c>
      <c r="D477" s="131"/>
    </row>
    <row r="478" spans="1:4" ht="15.75" outlineLevel="1">
      <c r="A478" s="48" t="s">
        <v>45</v>
      </c>
      <c r="B478" s="49" t="s">
        <v>19</v>
      </c>
      <c r="C478" s="48">
        <v>5.47</v>
      </c>
      <c r="D478" s="131"/>
    </row>
    <row r="479" spans="1:4" ht="15.75" outlineLevel="1">
      <c r="A479" s="48" t="s">
        <v>45</v>
      </c>
      <c r="B479" s="49" t="s">
        <v>30</v>
      </c>
      <c r="C479" s="48">
        <v>5.48</v>
      </c>
      <c r="D479" s="131"/>
    </row>
    <row r="480" spans="1:4" ht="15.75">
      <c r="A480" s="55" t="s">
        <v>45</v>
      </c>
      <c r="B480" s="49"/>
      <c r="C480" s="48"/>
      <c r="D480" s="131"/>
    </row>
    <row r="481" spans="1:4" ht="15.75" outlineLevel="1">
      <c r="A481" s="48" t="s">
        <v>46</v>
      </c>
      <c r="B481" s="49" t="s">
        <v>667</v>
      </c>
      <c r="C481" s="48">
        <v>5.0999999999999996</v>
      </c>
      <c r="D481" s="131"/>
    </row>
    <row r="482" spans="1:4" ht="15.75" outlineLevel="1">
      <c r="A482" s="48" t="s">
        <v>46</v>
      </c>
      <c r="B482" s="49" t="s">
        <v>0</v>
      </c>
      <c r="C482" s="48">
        <v>5.2</v>
      </c>
      <c r="D482" s="131"/>
    </row>
    <row r="483" spans="1:4" ht="15.75" outlineLevel="1">
      <c r="A483" s="48" t="s">
        <v>46</v>
      </c>
      <c r="B483" s="49" t="s">
        <v>740</v>
      </c>
      <c r="C483" s="48">
        <v>5.3</v>
      </c>
      <c r="D483" s="131"/>
    </row>
    <row r="484" spans="1:4" ht="15.75" outlineLevel="1">
      <c r="A484" s="48" t="s">
        <v>46</v>
      </c>
      <c r="B484" s="49" t="s">
        <v>2</v>
      </c>
      <c r="C484" s="48">
        <v>5.6</v>
      </c>
      <c r="D484" s="131"/>
    </row>
    <row r="485" spans="1:4" ht="15.75" outlineLevel="1">
      <c r="A485" s="48" t="s">
        <v>46</v>
      </c>
      <c r="B485" s="49" t="s">
        <v>746</v>
      </c>
      <c r="C485" s="50">
        <v>5.0999999999999996</v>
      </c>
      <c r="D485" s="131"/>
    </row>
    <row r="486" spans="1:4" ht="15.75" outlineLevel="1">
      <c r="A486" s="48" t="s">
        <v>46</v>
      </c>
      <c r="B486" s="49" t="s">
        <v>3</v>
      </c>
      <c r="C486" s="48">
        <v>5.14</v>
      </c>
      <c r="D486" s="131"/>
    </row>
    <row r="487" spans="1:4" ht="15.75" outlineLevel="1">
      <c r="A487" s="48" t="s">
        <v>46</v>
      </c>
      <c r="B487" s="49" t="s">
        <v>29</v>
      </c>
      <c r="C487" s="48">
        <v>5.19</v>
      </c>
      <c r="D487" s="131"/>
    </row>
    <row r="488" spans="1:4" ht="15.75" outlineLevel="1">
      <c r="A488" s="48" t="s">
        <v>46</v>
      </c>
      <c r="B488" s="49" t="s">
        <v>28</v>
      </c>
      <c r="C488" s="48">
        <v>5.24</v>
      </c>
      <c r="D488" s="131"/>
    </row>
    <row r="489" spans="1:4" ht="15.75" outlineLevel="1">
      <c r="A489" s="48" t="s">
        <v>46</v>
      </c>
      <c r="B489" s="49" t="s">
        <v>620</v>
      </c>
      <c r="C489" s="48">
        <v>5.27</v>
      </c>
      <c r="D489" s="131"/>
    </row>
    <row r="490" spans="1:4" ht="15.75" outlineLevel="1">
      <c r="A490" s="48" t="s">
        <v>46</v>
      </c>
      <c r="B490" s="49" t="s">
        <v>621</v>
      </c>
      <c r="C490" s="48">
        <v>5.28</v>
      </c>
      <c r="D490" s="131"/>
    </row>
    <row r="491" spans="1:4" ht="15.75" outlineLevel="1">
      <c r="A491" s="48" t="s">
        <v>46</v>
      </c>
      <c r="B491" s="49" t="s">
        <v>625</v>
      </c>
      <c r="C491" s="48">
        <v>5.29</v>
      </c>
      <c r="D491" s="131"/>
    </row>
    <row r="492" spans="1:4" ht="15.75" outlineLevel="1">
      <c r="A492" s="48" t="s">
        <v>46</v>
      </c>
      <c r="B492" s="49" t="s">
        <v>754</v>
      </c>
      <c r="C492" s="48">
        <v>5.34</v>
      </c>
      <c r="D492" s="131"/>
    </row>
    <row r="493" spans="1:4" ht="15.75" outlineLevel="1">
      <c r="A493" s="48" t="s">
        <v>46</v>
      </c>
      <c r="B493" s="49" t="s">
        <v>9</v>
      </c>
      <c r="C493" s="48">
        <v>5.31</v>
      </c>
      <c r="D493" s="131"/>
    </row>
    <row r="494" spans="1:4" ht="15.75" outlineLevel="1">
      <c r="A494" s="48" t="s">
        <v>46</v>
      </c>
      <c r="B494" s="49" t="s">
        <v>682</v>
      </c>
      <c r="C494" s="48">
        <v>5.101</v>
      </c>
      <c r="D494" s="131"/>
    </row>
    <row r="495" spans="1:4" ht="15.75" outlineLevel="1">
      <c r="A495" s="48" t="s">
        <v>46</v>
      </c>
      <c r="B495" s="49" t="s">
        <v>622</v>
      </c>
      <c r="C495" s="48">
        <v>5.36</v>
      </c>
      <c r="D495" s="131"/>
    </row>
    <row r="496" spans="1:4" ht="15.75" outlineLevel="1">
      <c r="A496" s="48" t="s">
        <v>46</v>
      </c>
      <c r="B496" s="49" t="s">
        <v>12</v>
      </c>
      <c r="C496" s="48">
        <v>5.37</v>
      </c>
      <c r="D496" s="131"/>
    </row>
    <row r="497" spans="1:4" ht="15.75" outlineLevel="1">
      <c r="A497" s="48" t="s">
        <v>46</v>
      </c>
      <c r="B497" s="49" t="s">
        <v>396</v>
      </c>
      <c r="C497" s="48">
        <v>5.53</v>
      </c>
      <c r="D497" s="131"/>
    </row>
    <row r="498" spans="1:4" ht="15.75" outlineLevel="1">
      <c r="A498" s="48" t="s">
        <v>46</v>
      </c>
      <c r="B498" s="49" t="s">
        <v>933</v>
      </c>
      <c r="C498" s="48">
        <v>5.109</v>
      </c>
      <c r="D498" s="131"/>
    </row>
    <row r="499" spans="1:4" ht="15.75" outlineLevel="1">
      <c r="A499" s="48" t="s">
        <v>46</v>
      </c>
      <c r="B499" s="49" t="s">
        <v>372</v>
      </c>
      <c r="C499" s="48">
        <v>5.1109999999999998</v>
      </c>
      <c r="D499" s="131"/>
    </row>
    <row r="500" spans="1:4" ht="15.75" outlineLevel="1">
      <c r="A500" s="48" t="s">
        <v>46</v>
      </c>
      <c r="B500" s="49" t="s">
        <v>16</v>
      </c>
      <c r="C500" s="48">
        <v>5.1120000000000001</v>
      </c>
      <c r="D500" s="131"/>
    </row>
    <row r="501" spans="1:4" ht="15.75" outlineLevel="1">
      <c r="A501" s="48" t="s">
        <v>46</v>
      </c>
      <c r="B501" s="49" t="s">
        <v>23</v>
      </c>
      <c r="C501" s="48">
        <v>5.1020000000000003</v>
      </c>
      <c r="D501" s="131"/>
    </row>
    <row r="502" spans="1:4" ht="15.75" outlineLevel="1">
      <c r="A502" s="48" t="s">
        <v>46</v>
      </c>
      <c r="B502" s="49" t="s">
        <v>629</v>
      </c>
      <c r="C502" s="51">
        <v>5.0999999999999996</v>
      </c>
      <c r="D502" s="131"/>
    </row>
    <row r="503" spans="1:4" ht="15.75" outlineLevel="1">
      <c r="A503" s="48" t="s">
        <v>46</v>
      </c>
      <c r="B503" s="49" t="s">
        <v>789</v>
      </c>
      <c r="C503" s="48">
        <v>5.58</v>
      </c>
      <c r="D503" s="131"/>
    </row>
    <row r="504" spans="1:4" ht="15.75" outlineLevel="1">
      <c r="A504" s="48" t="s">
        <v>46</v>
      </c>
      <c r="B504" s="49" t="s">
        <v>15</v>
      </c>
      <c r="C504" s="48">
        <v>5.55</v>
      </c>
      <c r="D504" s="131"/>
    </row>
    <row r="505" spans="1:4" ht="15.75" outlineLevel="1">
      <c r="A505" s="48" t="s">
        <v>46</v>
      </c>
      <c r="B505" s="49" t="s">
        <v>11</v>
      </c>
      <c r="C505" s="48">
        <v>5.54</v>
      </c>
      <c r="D505" s="131"/>
    </row>
    <row r="506" spans="1:4" ht="15.75" outlineLevel="1">
      <c r="A506" s="48" t="s">
        <v>46</v>
      </c>
      <c r="B506" s="49" t="s">
        <v>1171</v>
      </c>
      <c r="C506" s="48">
        <v>5.63</v>
      </c>
      <c r="D506" s="131"/>
    </row>
    <row r="507" spans="1:4" ht="15.75" outlineLevel="1">
      <c r="A507" s="48" t="s">
        <v>46</v>
      </c>
      <c r="B507" s="49" t="s">
        <v>19</v>
      </c>
      <c r="C507" s="48">
        <v>5.47</v>
      </c>
      <c r="D507" s="131"/>
    </row>
    <row r="508" spans="1:4" ht="15.75" outlineLevel="1">
      <c r="A508" s="48" t="s">
        <v>46</v>
      </c>
      <c r="B508" s="49" t="s">
        <v>30</v>
      </c>
      <c r="C508" s="48">
        <v>5.48</v>
      </c>
      <c r="D508" s="131"/>
    </row>
    <row r="509" spans="1:4" ht="15.75">
      <c r="A509" s="55" t="s">
        <v>46</v>
      </c>
      <c r="B509" s="49"/>
      <c r="C509" s="48"/>
      <c r="D509" s="131"/>
    </row>
    <row r="510" spans="1:4" ht="15.75" outlineLevel="1">
      <c r="A510" s="48" t="s">
        <v>47</v>
      </c>
      <c r="B510" s="49" t="s">
        <v>667</v>
      </c>
      <c r="C510" s="48">
        <v>5.0999999999999996</v>
      </c>
      <c r="D510" s="131"/>
    </row>
    <row r="511" spans="1:4" ht="15.75" outlineLevel="1">
      <c r="A511" s="48" t="s">
        <v>47</v>
      </c>
      <c r="B511" s="49" t="s">
        <v>0</v>
      </c>
      <c r="C511" s="48">
        <v>5.2</v>
      </c>
      <c r="D511" s="131"/>
    </row>
    <row r="512" spans="1:4" ht="15.75" outlineLevel="1">
      <c r="A512" s="48" t="s">
        <v>47</v>
      </c>
      <c r="B512" s="49" t="s">
        <v>740</v>
      </c>
      <c r="C512" s="48">
        <v>5.3</v>
      </c>
      <c r="D512" s="131"/>
    </row>
    <row r="513" spans="1:4" ht="15.75" outlineLevel="1">
      <c r="A513" s="48" t="s">
        <v>47</v>
      </c>
      <c r="B513" s="49" t="s">
        <v>2</v>
      </c>
      <c r="C513" s="48">
        <v>5.6</v>
      </c>
      <c r="D513" s="131"/>
    </row>
    <row r="514" spans="1:4" ht="15.75" outlineLevel="1">
      <c r="A514" s="48" t="s">
        <v>47</v>
      </c>
      <c r="B514" s="49" t="s">
        <v>746</v>
      </c>
      <c r="C514" s="50">
        <v>5.0999999999999996</v>
      </c>
      <c r="D514" s="131"/>
    </row>
    <row r="515" spans="1:4" ht="15.75" outlineLevel="1">
      <c r="A515" s="48" t="s">
        <v>47</v>
      </c>
      <c r="B515" s="49" t="s">
        <v>3</v>
      </c>
      <c r="C515" s="48">
        <v>5.14</v>
      </c>
      <c r="D515" s="131"/>
    </row>
    <row r="516" spans="1:4" ht="15.75" outlineLevel="1">
      <c r="A516" s="48" t="s">
        <v>47</v>
      </c>
      <c r="B516" s="49" t="s">
        <v>29</v>
      </c>
      <c r="C516" s="48">
        <v>5.19</v>
      </c>
      <c r="D516" s="131"/>
    </row>
    <row r="517" spans="1:4" ht="15.75" outlineLevel="1">
      <c r="A517" s="48" t="s">
        <v>47</v>
      </c>
      <c r="B517" s="49" t="s">
        <v>28</v>
      </c>
      <c r="C517" s="48">
        <v>5.24</v>
      </c>
      <c r="D517" s="131"/>
    </row>
    <row r="518" spans="1:4" ht="15.75" outlineLevel="1">
      <c r="A518" s="48" t="s">
        <v>47</v>
      </c>
      <c r="B518" s="49" t="s">
        <v>1</v>
      </c>
      <c r="C518" s="48">
        <v>5.26</v>
      </c>
      <c r="D518" s="131"/>
    </row>
    <row r="519" spans="1:4" ht="15.75" outlineLevel="1">
      <c r="A519" s="48" t="s">
        <v>47</v>
      </c>
      <c r="B519" s="49" t="s">
        <v>620</v>
      </c>
      <c r="C519" s="48">
        <v>5.27</v>
      </c>
      <c r="D519" s="131"/>
    </row>
    <row r="520" spans="1:4" ht="15.75" outlineLevel="1">
      <c r="A520" s="48" t="s">
        <v>47</v>
      </c>
      <c r="B520" s="49" t="s">
        <v>621</v>
      </c>
      <c r="C520" s="48">
        <v>5.28</v>
      </c>
      <c r="D520" s="131"/>
    </row>
    <row r="521" spans="1:4" ht="15.75" outlineLevel="1">
      <c r="A521" s="48" t="s">
        <v>47</v>
      </c>
      <c r="B521" s="49" t="s">
        <v>9</v>
      </c>
      <c r="C521" s="48">
        <v>5.31</v>
      </c>
      <c r="D521" s="131"/>
    </row>
    <row r="522" spans="1:4" ht="15.75" outlineLevel="1">
      <c r="A522" s="48" t="s">
        <v>47</v>
      </c>
      <c r="B522" s="49" t="s">
        <v>10</v>
      </c>
      <c r="C522" s="48">
        <v>5.33</v>
      </c>
      <c r="D522" s="131"/>
    </row>
    <row r="523" spans="1:4" ht="15.75" outlineLevel="1">
      <c r="A523" s="48" t="s">
        <v>47</v>
      </c>
      <c r="B523" s="49" t="s">
        <v>682</v>
      </c>
      <c r="C523" s="48">
        <v>5.101</v>
      </c>
      <c r="D523" s="131"/>
    </row>
    <row r="524" spans="1:4" ht="15.75" outlineLevel="1">
      <c r="A524" s="48" t="s">
        <v>47</v>
      </c>
      <c r="B524" s="49" t="s">
        <v>622</v>
      </c>
      <c r="C524" s="48">
        <v>5.36</v>
      </c>
      <c r="D524" s="131"/>
    </row>
    <row r="525" spans="1:4" ht="15.75" outlineLevel="1">
      <c r="A525" s="48" t="s">
        <v>47</v>
      </c>
      <c r="B525" s="49" t="s">
        <v>12</v>
      </c>
      <c r="C525" s="48">
        <v>5.37</v>
      </c>
      <c r="D525" s="131"/>
    </row>
    <row r="526" spans="1:4" ht="15.75" outlineLevel="1">
      <c r="A526" s="48" t="s">
        <v>47</v>
      </c>
      <c r="B526" s="49" t="s">
        <v>396</v>
      </c>
      <c r="C526" s="48">
        <v>5.53</v>
      </c>
      <c r="D526" s="131"/>
    </row>
    <row r="527" spans="1:4" ht="15.75" outlineLevel="1">
      <c r="A527" s="48" t="s">
        <v>47</v>
      </c>
      <c r="B527" s="49" t="s">
        <v>933</v>
      </c>
      <c r="C527" s="48">
        <v>5.109</v>
      </c>
      <c r="D527" s="131"/>
    </row>
    <row r="528" spans="1:4" ht="15.75" outlineLevel="1">
      <c r="A528" s="48" t="s">
        <v>47</v>
      </c>
      <c r="B528" s="49" t="s">
        <v>372</v>
      </c>
      <c r="C528" s="48">
        <v>5.1109999999999998</v>
      </c>
      <c r="D528" s="131"/>
    </row>
    <row r="529" spans="1:4" ht="15.75" outlineLevel="1">
      <c r="A529" s="48" t="s">
        <v>47</v>
      </c>
      <c r="B529" s="49" t="s">
        <v>16</v>
      </c>
      <c r="C529" s="48">
        <v>5.1120000000000001</v>
      </c>
      <c r="D529" s="131"/>
    </row>
    <row r="530" spans="1:4" ht="15.75" outlineLevel="1">
      <c r="A530" s="48" t="s">
        <v>47</v>
      </c>
      <c r="B530" s="49" t="s">
        <v>23</v>
      </c>
      <c r="C530" s="48">
        <v>5.1020000000000003</v>
      </c>
      <c r="D530" s="131"/>
    </row>
    <row r="531" spans="1:4" ht="15.75" outlineLevel="1">
      <c r="A531" s="48" t="s">
        <v>47</v>
      </c>
      <c r="B531" s="49" t="s">
        <v>629</v>
      </c>
      <c r="C531" s="51">
        <v>5.0999999999999996</v>
      </c>
      <c r="D531" s="131"/>
    </row>
    <row r="532" spans="1:4" ht="15.75" outlineLevel="1">
      <c r="A532" s="48" t="s">
        <v>47</v>
      </c>
      <c r="B532" s="49" t="s">
        <v>789</v>
      </c>
      <c r="C532" s="48">
        <v>5.58</v>
      </c>
      <c r="D532" s="131"/>
    </row>
    <row r="533" spans="1:4" ht="15.75" outlineLevel="1">
      <c r="A533" s="48" t="s">
        <v>47</v>
      </c>
      <c r="B533" s="49" t="s">
        <v>15</v>
      </c>
      <c r="C533" s="48">
        <v>5.55</v>
      </c>
      <c r="D533" s="131"/>
    </row>
    <row r="534" spans="1:4" ht="15.75" outlineLevel="1">
      <c r="A534" s="48" t="s">
        <v>47</v>
      </c>
      <c r="B534" s="49" t="s">
        <v>11</v>
      </c>
      <c r="C534" s="48">
        <v>5.54</v>
      </c>
      <c r="D534" s="131"/>
    </row>
    <row r="535" spans="1:4" ht="15.75" outlineLevel="1">
      <c r="A535" s="48" t="s">
        <v>47</v>
      </c>
      <c r="B535" s="49" t="s">
        <v>1171</v>
      </c>
      <c r="C535" s="48">
        <v>5.63</v>
      </c>
      <c r="D535" s="131"/>
    </row>
    <row r="536" spans="1:4" ht="15.75" outlineLevel="1">
      <c r="A536" s="48" t="s">
        <v>47</v>
      </c>
      <c r="B536" s="49" t="s">
        <v>19</v>
      </c>
      <c r="C536" s="48">
        <v>5.47</v>
      </c>
      <c r="D536" s="131"/>
    </row>
    <row r="537" spans="1:4" ht="15.75" outlineLevel="1">
      <c r="A537" s="48" t="s">
        <v>47</v>
      </c>
      <c r="B537" s="49" t="s">
        <v>30</v>
      </c>
      <c r="C537" s="48">
        <v>5.48</v>
      </c>
      <c r="D537" s="131"/>
    </row>
    <row r="538" spans="1:4" ht="15.75">
      <c r="A538" s="55" t="s">
        <v>47</v>
      </c>
      <c r="B538" s="49"/>
      <c r="C538" s="48"/>
      <c r="D538" s="131"/>
    </row>
    <row r="539" spans="1:4" ht="15.75" outlineLevel="1">
      <c r="A539" s="48" t="s">
        <v>461</v>
      </c>
      <c r="B539" s="49" t="s">
        <v>667</v>
      </c>
      <c r="C539" s="48">
        <v>5.0999999999999996</v>
      </c>
      <c r="D539" s="131"/>
    </row>
    <row r="540" spans="1:4" ht="15.75" outlineLevel="1">
      <c r="A540" s="48" t="s">
        <v>461</v>
      </c>
      <c r="B540" s="49" t="s">
        <v>0</v>
      </c>
      <c r="C540" s="48">
        <v>5.2</v>
      </c>
      <c r="D540" s="131"/>
    </row>
    <row r="541" spans="1:4" ht="15.75" outlineLevel="1">
      <c r="A541" s="48" t="s">
        <v>461</v>
      </c>
      <c r="B541" s="49" t="s">
        <v>1</v>
      </c>
      <c r="C541" s="48">
        <v>5.26</v>
      </c>
      <c r="D541" s="131"/>
    </row>
    <row r="542" spans="1:4" ht="15.75" outlineLevel="1">
      <c r="A542" s="48" t="s">
        <v>461</v>
      </c>
      <c r="B542" s="49" t="s">
        <v>418</v>
      </c>
      <c r="C542" s="48">
        <v>5.21</v>
      </c>
      <c r="D542" s="131"/>
    </row>
    <row r="543" spans="1:4" ht="15.75" outlineLevel="1">
      <c r="A543" s="48" t="s">
        <v>461</v>
      </c>
      <c r="B543" s="49" t="s">
        <v>814</v>
      </c>
      <c r="C543" s="48">
        <v>5.53</v>
      </c>
      <c r="D543" s="131"/>
    </row>
    <row r="544" spans="1:4" ht="15.75" outlineLevel="1">
      <c r="A544" s="48" t="s">
        <v>461</v>
      </c>
      <c r="B544" s="49" t="s">
        <v>11</v>
      </c>
      <c r="C544" s="48">
        <v>5.54</v>
      </c>
      <c r="D544" s="131"/>
    </row>
    <row r="545" spans="1:4" ht="15.75" outlineLevel="1">
      <c r="A545" s="48" t="s">
        <v>461</v>
      </c>
      <c r="B545" s="49" t="s">
        <v>326</v>
      </c>
      <c r="C545" s="48">
        <v>5.58</v>
      </c>
      <c r="D545" s="131"/>
    </row>
    <row r="546" spans="1:4" ht="15.75" outlineLevel="1">
      <c r="A546" s="48" t="s">
        <v>461</v>
      </c>
      <c r="B546" s="49" t="s">
        <v>330</v>
      </c>
      <c r="C546" s="48">
        <v>5.1180000000000003</v>
      </c>
      <c r="D546" s="131"/>
    </row>
    <row r="547" spans="1:4" ht="15.75" outlineLevel="1">
      <c r="A547" s="48" t="s">
        <v>461</v>
      </c>
      <c r="B547" s="52" t="s">
        <v>328</v>
      </c>
      <c r="C547" s="48">
        <v>5.47</v>
      </c>
      <c r="D547" s="131"/>
    </row>
    <row r="548" spans="1:4" ht="15.75" outlineLevel="1">
      <c r="A548" s="48" t="s">
        <v>461</v>
      </c>
      <c r="B548" s="49" t="s">
        <v>329</v>
      </c>
      <c r="C548" s="48">
        <v>5.48</v>
      </c>
      <c r="D548" s="131"/>
    </row>
    <row r="549" spans="1:4" ht="15.75" outlineLevel="1">
      <c r="A549" s="48" t="s">
        <v>461</v>
      </c>
      <c r="B549" s="49" t="s">
        <v>419</v>
      </c>
      <c r="C549" s="48">
        <v>5.21</v>
      </c>
      <c r="D549" s="131"/>
    </row>
    <row r="550" spans="1:4" ht="15.75" outlineLevel="1">
      <c r="A550" s="48" t="s">
        <v>461</v>
      </c>
      <c r="B550" s="49" t="s">
        <v>815</v>
      </c>
      <c r="C550" s="48">
        <v>5.53</v>
      </c>
      <c r="D550" s="131"/>
    </row>
    <row r="551" spans="1:4" ht="15.75" outlineLevel="1">
      <c r="A551" s="48" t="s">
        <v>461</v>
      </c>
      <c r="B551" s="49" t="s">
        <v>11</v>
      </c>
      <c r="C551" s="48">
        <v>5.54</v>
      </c>
      <c r="D551" s="131"/>
    </row>
    <row r="552" spans="1:4" ht="15.75" outlineLevel="1">
      <c r="A552" s="48" t="s">
        <v>461</v>
      </c>
      <c r="B552" s="49" t="s">
        <v>327</v>
      </c>
      <c r="C552" s="48">
        <v>5.58</v>
      </c>
      <c r="D552" s="131"/>
    </row>
    <row r="553" spans="1:4" ht="15.75" outlineLevel="1">
      <c r="A553" s="48" t="s">
        <v>461</v>
      </c>
      <c r="B553" s="49" t="s">
        <v>331</v>
      </c>
      <c r="C553" s="48">
        <v>5.1180000000000003</v>
      </c>
      <c r="D553" s="131"/>
    </row>
    <row r="554" spans="1:4" ht="15.75" outlineLevel="1">
      <c r="A554" s="48" t="s">
        <v>461</v>
      </c>
      <c r="B554" s="49" t="s">
        <v>961</v>
      </c>
      <c r="C554" s="48">
        <v>5.47</v>
      </c>
      <c r="D554" s="131"/>
    </row>
    <row r="555" spans="1:4" ht="15.75" outlineLevel="1">
      <c r="A555" s="48" t="s">
        <v>461</v>
      </c>
      <c r="B555" s="49" t="s">
        <v>962</v>
      </c>
      <c r="C555" s="48">
        <v>5.48</v>
      </c>
      <c r="D555" s="131"/>
    </row>
    <row r="556" spans="1:4" ht="15.75" outlineLevel="1">
      <c r="A556" s="48" t="s">
        <v>461</v>
      </c>
      <c r="B556" s="49" t="s">
        <v>1178</v>
      </c>
      <c r="C556" s="48">
        <v>5.63</v>
      </c>
      <c r="D556" s="131"/>
    </row>
    <row r="557" spans="1:4" ht="15.75" outlineLevel="1">
      <c r="A557" s="48" t="s">
        <v>461</v>
      </c>
      <c r="B557" s="49" t="s">
        <v>620</v>
      </c>
      <c r="C557" s="48">
        <v>5.27</v>
      </c>
      <c r="D557" s="131"/>
    </row>
    <row r="558" spans="1:4" ht="15.75" outlineLevel="1">
      <c r="A558" s="48" t="s">
        <v>461</v>
      </c>
      <c r="B558" s="49" t="s">
        <v>621</v>
      </c>
      <c r="C558" s="48">
        <v>5.28</v>
      </c>
      <c r="D558" s="131"/>
    </row>
    <row r="559" spans="1:4" ht="15.75" outlineLevel="1">
      <c r="A559" s="48" t="s">
        <v>461</v>
      </c>
      <c r="B559" s="49" t="s">
        <v>464</v>
      </c>
      <c r="C559" s="48">
        <v>5.35</v>
      </c>
      <c r="D559" s="131"/>
    </row>
    <row r="560" spans="1:4" ht="15.75" outlineLevel="1">
      <c r="A560" s="48" t="s">
        <v>461</v>
      </c>
      <c r="B560" s="49" t="s">
        <v>343</v>
      </c>
      <c r="C560" s="48">
        <v>5.1189999999999998</v>
      </c>
      <c r="D560" s="131"/>
    </row>
    <row r="561" spans="1:4" ht="15.75" outlineLevel="1">
      <c r="A561" s="48" t="s">
        <v>461</v>
      </c>
      <c r="B561" s="49" t="s">
        <v>463</v>
      </c>
      <c r="C561" s="51">
        <v>5.12</v>
      </c>
      <c r="D561" s="131"/>
    </row>
    <row r="562" spans="1:4" ht="15.75" outlineLevel="1">
      <c r="A562" s="48" t="s">
        <v>461</v>
      </c>
      <c r="B562" s="49" t="s">
        <v>99</v>
      </c>
      <c r="C562" s="48">
        <v>5.1210000000000004</v>
      </c>
      <c r="D562" s="131"/>
    </row>
    <row r="563" spans="1:4" ht="15.75" outlineLevel="1">
      <c r="A563" s="48" t="s">
        <v>461</v>
      </c>
      <c r="B563" s="49" t="s">
        <v>622</v>
      </c>
      <c r="C563" s="48">
        <v>5.36</v>
      </c>
      <c r="D563" s="131"/>
    </row>
    <row r="564" spans="1:4" ht="15.75" outlineLevel="1">
      <c r="A564" s="48" t="s">
        <v>461</v>
      </c>
      <c r="B564" s="49" t="s">
        <v>365</v>
      </c>
      <c r="C564" s="48">
        <v>5.1219999999999999</v>
      </c>
      <c r="D564" s="131"/>
    </row>
    <row r="565" spans="1:4" ht="15.75" outlineLevel="1">
      <c r="A565" s="48" t="s">
        <v>461</v>
      </c>
      <c r="B565" s="49" t="s">
        <v>366</v>
      </c>
      <c r="C565" s="48">
        <v>5.1230000000000002</v>
      </c>
      <c r="D565" s="131"/>
    </row>
    <row r="566" spans="1:4" ht="15.75" outlineLevel="1">
      <c r="A566" s="48" t="s">
        <v>461</v>
      </c>
      <c r="B566" s="49" t="s">
        <v>628</v>
      </c>
      <c r="C566" s="48">
        <v>5.1239999999999997</v>
      </c>
      <c r="D566" s="131"/>
    </row>
    <row r="567" spans="1:4" ht="15.75" outlineLevel="1">
      <c r="A567" s="48" t="s">
        <v>461</v>
      </c>
      <c r="B567" s="49" t="s">
        <v>308</v>
      </c>
      <c r="C567" s="48">
        <v>5.125</v>
      </c>
      <c r="D567" s="131"/>
    </row>
    <row r="568" spans="1:4" ht="15.75" outlineLevel="1">
      <c r="A568" s="48" t="s">
        <v>461</v>
      </c>
      <c r="B568" s="49" t="s">
        <v>368</v>
      </c>
      <c r="C568" s="48">
        <v>5.1260000000000003</v>
      </c>
      <c r="D568" s="131"/>
    </row>
    <row r="569" spans="1:4" ht="15.75" outlineLevel="1">
      <c r="A569" s="48" t="s">
        <v>461</v>
      </c>
      <c r="B569" s="49" t="s">
        <v>753</v>
      </c>
      <c r="C569" s="48">
        <v>5.1269999999999998</v>
      </c>
      <c r="D569" s="131"/>
    </row>
    <row r="570" spans="1:4" ht="15.75" outlineLevel="1">
      <c r="A570" s="48" t="s">
        <v>461</v>
      </c>
      <c r="B570" s="49" t="s">
        <v>309</v>
      </c>
      <c r="C570" s="50">
        <v>5.72</v>
      </c>
      <c r="D570" s="131"/>
    </row>
    <row r="571" spans="1:4" ht="15.75" outlineLevel="1">
      <c r="A571" s="48" t="s">
        <v>461</v>
      </c>
      <c r="B571" s="49" t="s">
        <v>310</v>
      </c>
      <c r="C571" s="48">
        <v>5.1280000000000001</v>
      </c>
      <c r="D571" s="131"/>
    </row>
    <row r="572" spans="1:4" ht="15.75" outlineLevel="1">
      <c r="A572" s="48" t="s">
        <v>461</v>
      </c>
      <c r="B572" s="49" t="s">
        <v>349</v>
      </c>
      <c r="C572" s="48">
        <v>5.1289999999999996</v>
      </c>
      <c r="D572" s="130" t="s">
        <v>952</v>
      </c>
    </row>
    <row r="573" spans="1:4" ht="15.75" outlineLevel="1">
      <c r="A573" s="48" t="s">
        <v>461</v>
      </c>
      <c r="B573" s="49" t="s">
        <v>367</v>
      </c>
      <c r="C573" s="48">
        <v>5.1310000000000002</v>
      </c>
      <c r="D573" s="131"/>
    </row>
    <row r="574" spans="1:4" ht="15.75" outlineLevel="1">
      <c r="A574" s="48" t="s">
        <v>461</v>
      </c>
      <c r="B574" s="49" t="s">
        <v>633</v>
      </c>
      <c r="C574" s="48">
        <v>5.1319999999999997</v>
      </c>
      <c r="D574" s="130" t="s">
        <v>952</v>
      </c>
    </row>
    <row r="575" spans="1:4" ht="15.75" outlineLevel="1">
      <c r="A575" s="48" t="s">
        <v>461</v>
      </c>
      <c r="B575" s="49" t="s">
        <v>364</v>
      </c>
      <c r="C575" s="48">
        <v>5.133</v>
      </c>
      <c r="D575" s="130" t="s">
        <v>952</v>
      </c>
    </row>
    <row r="576" spans="1:4" ht="15.75" outlineLevel="1">
      <c r="A576" s="48" t="s">
        <v>461</v>
      </c>
      <c r="B576" s="49" t="s">
        <v>458</v>
      </c>
      <c r="C576" s="48">
        <v>5.1340000000000003</v>
      </c>
      <c r="D576" s="130" t="s">
        <v>952</v>
      </c>
    </row>
    <row r="577" spans="1:4" ht="15.75" outlineLevel="1">
      <c r="A577" s="48" t="s">
        <v>461</v>
      </c>
      <c r="B577" s="49" t="s">
        <v>436</v>
      </c>
      <c r="C577" s="51">
        <v>5.13</v>
      </c>
      <c r="D577" s="131"/>
    </row>
    <row r="578" spans="1:4" ht="15.75" outlineLevel="1">
      <c r="A578" s="48" t="s">
        <v>461</v>
      </c>
      <c r="B578" s="49" t="s">
        <v>19</v>
      </c>
      <c r="C578" s="48">
        <v>5.47</v>
      </c>
      <c r="D578" s="131"/>
    </row>
    <row r="579" spans="1:4" ht="15.75" outlineLevel="1">
      <c r="A579" s="48" t="s">
        <v>461</v>
      </c>
      <c r="B579" s="49" t="s">
        <v>30</v>
      </c>
      <c r="C579" s="48">
        <v>5.48</v>
      </c>
      <c r="D579" s="131"/>
    </row>
    <row r="580" spans="1:4" ht="15.75">
      <c r="A580" s="55" t="s">
        <v>461</v>
      </c>
      <c r="B580" s="49"/>
      <c r="C580" s="48"/>
      <c r="D580" s="131"/>
    </row>
    <row r="581" spans="1:4" ht="15.75" outlineLevel="1">
      <c r="A581" s="48" t="s">
        <v>48</v>
      </c>
      <c r="B581" s="49" t="s">
        <v>667</v>
      </c>
      <c r="C581" s="48">
        <v>5.0999999999999996</v>
      </c>
      <c r="D581" s="131"/>
    </row>
    <row r="582" spans="1:4" ht="15.75" outlineLevel="1">
      <c r="A582" s="48" t="s">
        <v>48</v>
      </c>
      <c r="B582" s="49" t="s">
        <v>0</v>
      </c>
      <c r="C582" s="48">
        <v>5.2</v>
      </c>
      <c r="D582" s="131"/>
    </row>
    <row r="583" spans="1:4" ht="15.75" outlineLevel="1">
      <c r="A583" s="48" t="s">
        <v>48</v>
      </c>
      <c r="B583" s="49" t="s">
        <v>741</v>
      </c>
      <c r="C583" s="48">
        <v>5.9</v>
      </c>
      <c r="D583" s="130" t="s">
        <v>952</v>
      </c>
    </row>
    <row r="584" spans="1:4" ht="15.75" outlineLevel="1">
      <c r="A584" s="48" t="s">
        <v>48</v>
      </c>
      <c r="B584" s="49" t="s">
        <v>742</v>
      </c>
      <c r="C584" s="48">
        <v>5.13</v>
      </c>
      <c r="D584" s="130" t="s">
        <v>952</v>
      </c>
    </row>
    <row r="585" spans="1:4" ht="15.75" outlineLevel="1">
      <c r="A585" s="48" t="s">
        <v>48</v>
      </c>
      <c r="B585" s="49" t="s">
        <v>743</v>
      </c>
      <c r="C585" s="48">
        <v>5.16</v>
      </c>
      <c r="D585" s="130" t="s">
        <v>952</v>
      </c>
    </row>
    <row r="586" spans="1:4" ht="15.75" outlineLevel="1">
      <c r="A586" s="48" t="s">
        <v>48</v>
      </c>
      <c r="B586" s="49" t="s">
        <v>744</v>
      </c>
      <c r="C586" s="48">
        <v>5.22</v>
      </c>
      <c r="D586" s="130"/>
    </row>
    <row r="587" spans="1:4" ht="15.75" outlineLevel="1">
      <c r="A587" s="48" t="s">
        <v>48</v>
      </c>
      <c r="B587" s="49" t="s">
        <v>1</v>
      </c>
      <c r="C587" s="48">
        <v>5.26</v>
      </c>
      <c r="D587" s="131"/>
    </row>
    <row r="588" spans="1:4" ht="15.75" outlineLevel="1">
      <c r="A588" s="48" t="s">
        <v>48</v>
      </c>
      <c r="B588" s="49" t="s">
        <v>932</v>
      </c>
      <c r="C588" s="48">
        <v>5.77</v>
      </c>
      <c r="D588" s="131"/>
    </row>
    <row r="589" spans="1:4" ht="15.75" outlineLevel="1">
      <c r="A589" s="48" t="s">
        <v>48</v>
      </c>
      <c r="B589" s="49" t="s">
        <v>620</v>
      </c>
      <c r="C589" s="48">
        <v>5.27</v>
      </c>
      <c r="D589" s="131"/>
    </row>
    <row r="590" spans="1:4" ht="15.75" outlineLevel="1">
      <c r="A590" s="48" t="s">
        <v>48</v>
      </c>
      <c r="B590" s="49" t="s">
        <v>621</v>
      </c>
      <c r="C590" s="48">
        <v>5.28</v>
      </c>
      <c r="D590" s="130" t="s">
        <v>952</v>
      </c>
    </row>
    <row r="591" spans="1:4" ht="15.75" outlineLevel="1">
      <c r="A591" s="48" t="s">
        <v>48</v>
      </c>
      <c r="B591" s="49" t="s">
        <v>9</v>
      </c>
      <c r="C591" s="48">
        <v>5.31</v>
      </c>
      <c r="D591" s="131"/>
    </row>
    <row r="592" spans="1:4" ht="15.75" outlineLevel="1">
      <c r="A592" s="48" t="s">
        <v>48</v>
      </c>
      <c r="B592" s="49" t="s">
        <v>622</v>
      </c>
      <c r="C592" s="48">
        <v>5.36</v>
      </c>
      <c r="D592" s="131"/>
    </row>
    <row r="593" spans="1:4" ht="15.75" outlineLevel="1">
      <c r="A593" s="48" t="s">
        <v>48</v>
      </c>
      <c r="B593" s="49" t="s">
        <v>297</v>
      </c>
      <c r="C593" s="48">
        <v>5.78</v>
      </c>
      <c r="D593" s="131"/>
    </row>
    <row r="594" spans="1:4" ht="15.75" outlineLevel="1">
      <c r="A594" s="48" t="s">
        <v>48</v>
      </c>
      <c r="B594" s="49" t="s">
        <v>608</v>
      </c>
      <c r="C594" s="48">
        <v>5.79</v>
      </c>
      <c r="D594" s="130" t="s">
        <v>952</v>
      </c>
    </row>
    <row r="595" spans="1:4" ht="15.75" outlineLevel="1">
      <c r="A595" s="48" t="s">
        <v>48</v>
      </c>
      <c r="B595" s="49" t="s">
        <v>748</v>
      </c>
      <c r="C595" s="48">
        <v>5.41</v>
      </c>
      <c r="D595" s="131"/>
    </row>
    <row r="596" spans="1:4" ht="15.75" outlineLevel="1">
      <c r="A596" s="48" t="s">
        <v>48</v>
      </c>
      <c r="B596" s="49" t="s">
        <v>6</v>
      </c>
      <c r="C596" s="48">
        <v>5.49</v>
      </c>
      <c r="D596" s="131"/>
    </row>
    <row r="597" spans="1:4" ht="15.75" outlineLevel="1">
      <c r="A597" s="48" t="s">
        <v>48</v>
      </c>
      <c r="B597" s="49" t="s">
        <v>8</v>
      </c>
      <c r="C597" s="48">
        <v>5.51</v>
      </c>
      <c r="D597" s="131"/>
    </row>
    <row r="598" spans="1:4" ht="15.75" outlineLevel="1">
      <c r="A598" s="48" t="s">
        <v>48</v>
      </c>
      <c r="B598" s="49" t="s">
        <v>793</v>
      </c>
      <c r="C598" s="48">
        <v>5.52</v>
      </c>
      <c r="D598" s="131"/>
    </row>
    <row r="599" spans="1:4" ht="15.75" outlineLevel="1">
      <c r="A599" s="48" t="s">
        <v>48</v>
      </c>
      <c r="B599" s="49" t="s">
        <v>396</v>
      </c>
      <c r="C599" s="48">
        <v>5.53</v>
      </c>
      <c r="D599" s="131"/>
    </row>
    <row r="600" spans="1:4" ht="15.75" outlineLevel="1">
      <c r="A600" s="48" t="s">
        <v>48</v>
      </c>
      <c r="B600" s="49" t="s">
        <v>13</v>
      </c>
      <c r="C600" s="48">
        <v>5.69</v>
      </c>
      <c r="D600" s="131"/>
    </row>
    <row r="601" spans="1:4" ht="15.75" outlineLevel="1">
      <c r="A601" s="48" t="s">
        <v>48</v>
      </c>
      <c r="B601" s="49" t="s">
        <v>440</v>
      </c>
      <c r="C601" s="48">
        <v>5.71</v>
      </c>
      <c r="D601" s="131"/>
    </row>
    <row r="602" spans="1:4" ht="15.75" outlineLevel="1">
      <c r="A602" s="48" t="s">
        <v>48</v>
      </c>
      <c r="B602" s="49" t="s">
        <v>14</v>
      </c>
      <c r="C602" s="50">
        <v>5.7</v>
      </c>
      <c r="D602" s="131"/>
    </row>
    <row r="603" spans="1:4" ht="15.75" outlineLevel="1">
      <c r="A603" s="48" t="s">
        <v>48</v>
      </c>
      <c r="B603" s="49" t="s">
        <v>282</v>
      </c>
      <c r="C603" s="50">
        <v>5.8</v>
      </c>
      <c r="D603" s="130" t="s">
        <v>952</v>
      </c>
    </row>
    <row r="604" spans="1:4" ht="15.75" outlineLevel="1">
      <c r="A604" s="48" t="s">
        <v>48</v>
      </c>
      <c r="B604" s="49" t="s">
        <v>309</v>
      </c>
      <c r="C604" s="50">
        <v>5.72</v>
      </c>
      <c r="D604" s="130" t="s">
        <v>952</v>
      </c>
    </row>
    <row r="605" spans="1:4" ht="15.75" outlineLevel="1">
      <c r="A605" s="48" t="s">
        <v>48</v>
      </c>
      <c r="B605" s="49" t="s">
        <v>689</v>
      </c>
      <c r="C605" s="48">
        <v>5.73</v>
      </c>
      <c r="D605" s="130" t="s">
        <v>952</v>
      </c>
    </row>
    <row r="606" spans="1:4" ht="15.75" outlineLevel="1">
      <c r="A606" s="48" t="s">
        <v>48</v>
      </c>
      <c r="B606" s="49" t="s">
        <v>637</v>
      </c>
      <c r="C606" s="48">
        <v>5.74</v>
      </c>
      <c r="D606" s="131"/>
    </row>
    <row r="607" spans="1:4" ht="15.75" outlineLevel="1">
      <c r="A607" s="48" t="s">
        <v>48</v>
      </c>
      <c r="B607" s="49" t="s">
        <v>421</v>
      </c>
      <c r="C607" s="48">
        <v>5.75</v>
      </c>
      <c r="D607" s="131"/>
    </row>
    <row r="608" spans="1:4" ht="15.75" outlineLevel="1">
      <c r="A608" s="48" t="s">
        <v>48</v>
      </c>
      <c r="B608" s="49" t="s">
        <v>942</v>
      </c>
      <c r="C608" s="48">
        <v>5.76</v>
      </c>
      <c r="D608" s="131"/>
    </row>
    <row r="609" spans="1:4" ht="15.75" outlineLevel="1">
      <c r="A609" s="48" t="s">
        <v>48</v>
      </c>
      <c r="B609" s="49" t="s">
        <v>20</v>
      </c>
      <c r="C609" s="48">
        <v>5.81</v>
      </c>
      <c r="D609" s="130" t="s">
        <v>952</v>
      </c>
    </row>
    <row r="610" spans="1:4" ht="15.75" outlineLevel="1">
      <c r="A610" s="48" t="s">
        <v>48</v>
      </c>
      <c r="B610" s="49" t="s">
        <v>784</v>
      </c>
      <c r="C610" s="48">
        <v>5.82</v>
      </c>
      <c r="D610" s="130" t="s">
        <v>952</v>
      </c>
    </row>
    <row r="611" spans="1:4" ht="15.75" outlineLevel="1">
      <c r="A611" s="48" t="s">
        <v>48</v>
      </c>
      <c r="B611" s="49" t="s">
        <v>674</v>
      </c>
      <c r="C611" s="48">
        <v>5.83</v>
      </c>
      <c r="D611" s="130" t="s">
        <v>952</v>
      </c>
    </row>
    <row r="612" spans="1:4" ht="15.75" outlineLevel="1">
      <c r="A612" s="48" t="s">
        <v>48</v>
      </c>
      <c r="B612" s="49" t="s">
        <v>675</v>
      </c>
      <c r="C612" s="48">
        <v>5.84</v>
      </c>
      <c r="D612" s="131"/>
    </row>
    <row r="613" spans="1:4" ht="15.75" outlineLevel="1">
      <c r="A613" s="48" t="s">
        <v>48</v>
      </c>
      <c r="B613" s="49" t="s">
        <v>866</v>
      </c>
      <c r="C613" s="48">
        <v>5.85</v>
      </c>
      <c r="D613" s="130" t="s">
        <v>952</v>
      </c>
    </row>
    <row r="614" spans="1:4" ht="15.75" outlineLevel="1">
      <c r="A614" s="48" t="s">
        <v>48</v>
      </c>
      <c r="B614" s="49" t="s">
        <v>420</v>
      </c>
      <c r="C614" s="48">
        <v>5.86</v>
      </c>
      <c r="D614" s="130" t="s">
        <v>952</v>
      </c>
    </row>
    <row r="615" spans="1:4" ht="15.75" outlineLevel="1">
      <c r="A615" s="48" t="s">
        <v>48</v>
      </c>
      <c r="B615" s="49" t="s">
        <v>21</v>
      </c>
      <c r="C615" s="48">
        <v>5.88</v>
      </c>
      <c r="D615" s="130" t="s">
        <v>952</v>
      </c>
    </row>
    <row r="616" spans="1:4" ht="15.75" outlineLevel="1">
      <c r="A616" s="48" t="s">
        <v>48</v>
      </c>
      <c r="B616" s="49" t="s">
        <v>690</v>
      </c>
      <c r="C616" s="48">
        <v>5.87</v>
      </c>
      <c r="D616" s="131"/>
    </row>
    <row r="617" spans="1:4" ht="15.75" outlineLevel="1">
      <c r="A617" s="48" t="s">
        <v>48</v>
      </c>
      <c r="B617" s="49" t="s">
        <v>933</v>
      </c>
      <c r="C617" s="48">
        <v>5.109</v>
      </c>
      <c r="D617" s="131"/>
    </row>
    <row r="618" spans="1:4" ht="15.75" outlineLevel="1">
      <c r="A618" s="48" t="s">
        <v>48</v>
      </c>
      <c r="B618" s="49" t="s">
        <v>747</v>
      </c>
      <c r="C618" s="51">
        <v>5.1100000000000003</v>
      </c>
      <c r="D618" s="130" t="s">
        <v>952</v>
      </c>
    </row>
    <row r="619" spans="1:4" ht="15.75" outlineLevel="1">
      <c r="A619" s="48" t="s">
        <v>48</v>
      </c>
      <c r="B619" s="49" t="s">
        <v>372</v>
      </c>
      <c r="C619" s="48">
        <v>5.1109999999999998</v>
      </c>
      <c r="D619" s="131"/>
    </row>
    <row r="620" spans="1:4" ht="15.75" outlineLevel="1">
      <c r="A620" s="48" t="s">
        <v>48</v>
      </c>
      <c r="B620" s="49" t="s">
        <v>16</v>
      </c>
      <c r="C620" s="48">
        <v>5.1120000000000001</v>
      </c>
      <c r="D620" s="131"/>
    </row>
    <row r="621" spans="1:4" ht="15.75" outlineLevel="1">
      <c r="A621" s="48" t="s">
        <v>48</v>
      </c>
      <c r="B621" s="49" t="s">
        <v>475</v>
      </c>
      <c r="C621" s="48">
        <v>5.1130000000000004</v>
      </c>
      <c r="D621" s="131"/>
    </row>
    <row r="622" spans="1:4" ht="15.75" outlineLevel="1">
      <c r="A622" s="48" t="s">
        <v>48</v>
      </c>
      <c r="B622" s="49" t="s">
        <v>638</v>
      </c>
      <c r="C622" s="48">
        <v>5.99</v>
      </c>
      <c r="D622" s="130" t="s">
        <v>952</v>
      </c>
    </row>
    <row r="623" spans="1:4" ht="15.75" outlineLevel="1">
      <c r="A623" s="48" t="s">
        <v>48</v>
      </c>
      <c r="B623" s="49" t="s">
        <v>965</v>
      </c>
      <c r="C623" s="48">
        <v>5.58</v>
      </c>
      <c r="D623" s="130"/>
    </row>
    <row r="624" spans="1:4" ht="15.75" outlineLevel="1">
      <c r="A624" s="48" t="s">
        <v>48</v>
      </c>
      <c r="B624" s="49" t="s">
        <v>11</v>
      </c>
      <c r="C624" s="48">
        <v>5.54</v>
      </c>
      <c r="D624" s="131"/>
    </row>
    <row r="625" spans="1:4" ht="15.75" outlineLevel="1">
      <c r="A625" s="48" t="s">
        <v>48</v>
      </c>
      <c r="B625" s="49" t="s">
        <v>745</v>
      </c>
      <c r="C625" s="48">
        <v>5.56</v>
      </c>
      <c r="D625" s="131"/>
    </row>
    <row r="626" spans="1:4" ht="15.75" outlineLevel="1">
      <c r="A626" s="48" t="s">
        <v>48</v>
      </c>
      <c r="B626" s="49" t="s">
        <v>1171</v>
      </c>
      <c r="C626" s="48">
        <v>5.63</v>
      </c>
      <c r="D626" s="131"/>
    </row>
    <row r="627" spans="1:4" ht="15.75" outlineLevel="1">
      <c r="A627" s="48" t="s">
        <v>48</v>
      </c>
      <c r="B627" s="49" t="s">
        <v>803</v>
      </c>
      <c r="C627" s="48">
        <v>5.64</v>
      </c>
      <c r="D627" s="131"/>
    </row>
    <row r="628" spans="1:4" ht="15.75" outlineLevel="1">
      <c r="A628" s="48" t="s">
        <v>48</v>
      </c>
      <c r="B628" s="49" t="s">
        <v>1172</v>
      </c>
      <c r="C628" s="48">
        <v>5.65</v>
      </c>
      <c r="D628" s="131"/>
    </row>
    <row r="629" spans="1:4" ht="15.75" outlineLevel="1">
      <c r="A629" s="48" t="s">
        <v>48</v>
      </c>
      <c r="B629" s="49" t="s">
        <v>804</v>
      </c>
      <c r="C629" s="48">
        <v>5.66</v>
      </c>
      <c r="D629" s="131"/>
    </row>
    <row r="630" spans="1:4" ht="15.75" outlineLevel="1">
      <c r="A630" s="48" t="s">
        <v>48</v>
      </c>
      <c r="B630" s="49" t="s">
        <v>685</v>
      </c>
      <c r="C630" s="48">
        <v>5.89</v>
      </c>
      <c r="D630" s="130" t="s">
        <v>952</v>
      </c>
    </row>
    <row r="631" spans="1:4" ht="15.75" outlineLevel="1">
      <c r="A631" s="48" t="s">
        <v>48</v>
      </c>
      <c r="B631" s="49" t="s">
        <v>26</v>
      </c>
      <c r="C631" s="48">
        <v>5.68</v>
      </c>
      <c r="D631" s="131"/>
    </row>
    <row r="632" spans="1:4" ht="15.75" outlineLevel="1">
      <c r="A632" s="48" t="s">
        <v>48</v>
      </c>
      <c r="B632" s="49" t="s">
        <v>19</v>
      </c>
      <c r="C632" s="48">
        <v>5.47</v>
      </c>
      <c r="D632" s="131"/>
    </row>
    <row r="633" spans="1:4" ht="15.75" outlineLevel="1">
      <c r="A633" s="48" t="s">
        <v>48</v>
      </c>
      <c r="B633" s="49" t="s">
        <v>30</v>
      </c>
      <c r="C633" s="48">
        <v>5.48</v>
      </c>
      <c r="D633" s="131"/>
    </row>
    <row r="634" spans="1:4" ht="15.75">
      <c r="A634" s="55" t="s">
        <v>48</v>
      </c>
      <c r="B634" s="49"/>
      <c r="C634" s="48"/>
      <c r="D634" s="131"/>
    </row>
    <row r="635" spans="1:4" ht="15.75" outlineLevel="1">
      <c r="A635" s="48" t="s">
        <v>49</v>
      </c>
      <c r="B635" s="49" t="s">
        <v>667</v>
      </c>
      <c r="C635" s="48">
        <v>5.0999999999999996</v>
      </c>
      <c r="D635" s="131"/>
    </row>
    <row r="636" spans="1:4" ht="15.75" outlineLevel="1">
      <c r="A636" s="48" t="s">
        <v>49</v>
      </c>
      <c r="B636" s="49" t="s">
        <v>0</v>
      </c>
      <c r="C636" s="48">
        <v>5.2</v>
      </c>
      <c r="D636" s="131"/>
    </row>
    <row r="637" spans="1:4" ht="15.75" outlineLevel="1">
      <c r="A637" s="48" t="s">
        <v>49</v>
      </c>
      <c r="B637" s="49" t="s">
        <v>740</v>
      </c>
      <c r="C637" s="48">
        <v>5.3</v>
      </c>
      <c r="D637" s="131"/>
    </row>
    <row r="638" spans="1:4" ht="15.75" outlineLevel="1">
      <c r="A638" s="48" t="s">
        <v>49</v>
      </c>
      <c r="B638" s="49" t="s">
        <v>2</v>
      </c>
      <c r="C638" s="48">
        <v>5.6</v>
      </c>
      <c r="D638" s="131"/>
    </row>
    <row r="639" spans="1:4" ht="15.75" outlineLevel="1">
      <c r="A639" s="48" t="s">
        <v>49</v>
      </c>
      <c r="B639" s="49" t="s">
        <v>746</v>
      </c>
      <c r="C639" s="50">
        <v>5.0999999999999996</v>
      </c>
      <c r="D639" s="131"/>
    </row>
    <row r="640" spans="1:4" ht="15.75" outlineLevel="1">
      <c r="A640" s="48" t="s">
        <v>49</v>
      </c>
      <c r="B640" s="49" t="s">
        <v>3</v>
      </c>
      <c r="C640" s="48">
        <v>5.14</v>
      </c>
      <c r="D640" s="131"/>
    </row>
    <row r="641" spans="1:4" ht="15.75" outlineLevel="1">
      <c r="A641" s="48" t="s">
        <v>49</v>
      </c>
      <c r="B641" s="49" t="s">
        <v>29</v>
      </c>
      <c r="C641" s="48">
        <v>5.19</v>
      </c>
      <c r="D641" s="131"/>
    </row>
    <row r="642" spans="1:4" ht="15.75" outlineLevel="1">
      <c r="A642" s="48" t="s">
        <v>49</v>
      </c>
      <c r="B642" s="49" t="s">
        <v>28</v>
      </c>
      <c r="C642" s="48">
        <v>5.24</v>
      </c>
      <c r="D642" s="131"/>
    </row>
    <row r="643" spans="1:4" ht="15.75" outlineLevel="1">
      <c r="A643" s="48" t="s">
        <v>49</v>
      </c>
      <c r="B643" s="49" t="s">
        <v>1</v>
      </c>
      <c r="C643" s="48">
        <v>5.26</v>
      </c>
      <c r="D643" s="131"/>
    </row>
    <row r="644" spans="1:4" ht="15.75" outlineLevel="1">
      <c r="A644" s="48" t="s">
        <v>49</v>
      </c>
      <c r="B644" s="49" t="s">
        <v>620</v>
      </c>
      <c r="C644" s="48">
        <v>5.27</v>
      </c>
      <c r="D644" s="131"/>
    </row>
    <row r="645" spans="1:4" ht="15.75" outlineLevel="1">
      <c r="A645" s="48" t="s">
        <v>49</v>
      </c>
      <c r="B645" s="49" t="s">
        <v>621</v>
      </c>
      <c r="C645" s="48">
        <v>5.28</v>
      </c>
      <c r="D645" s="131"/>
    </row>
    <row r="646" spans="1:4" ht="15.75" outlineLevel="1">
      <c r="A646" s="48" t="s">
        <v>49</v>
      </c>
      <c r="B646" s="49" t="s">
        <v>622</v>
      </c>
      <c r="C646" s="48">
        <v>5.36</v>
      </c>
      <c r="D646" s="131"/>
    </row>
    <row r="647" spans="1:4" ht="15.75" outlineLevel="1">
      <c r="A647" s="48" t="s">
        <v>49</v>
      </c>
      <c r="B647" s="49" t="s">
        <v>10</v>
      </c>
      <c r="C647" s="48">
        <v>5.33</v>
      </c>
      <c r="D647" s="131"/>
    </row>
    <row r="648" spans="1:4" ht="15.75" outlineLevel="1">
      <c r="A648" s="48" t="s">
        <v>49</v>
      </c>
      <c r="B648" s="49" t="s">
        <v>12</v>
      </c>
      <c r="C648" s="48">
        <v>5.37</v>
      </c>
      <c r="D648" s="131"/>
    </row>
    <row r="649" spans="1:4" ht="15.75" outlineLevel="1">
      <c r="A649" s="48" t="s">
        <v>49</v>
      </c>
      <c r="B649" s="49" t="s">
        <v>6</v>
      </c>
      <c r="C649" s="48">
        <v>5.49</v>
      </c>
      <c r="D649" s="131"/>
    </row>
    <row r="650" spans="1:4" ht="15.75" outlineLevel="1">
      <c r="A650" s="48" t="s">
        <v>49</v>
      </c>
      <c r="B650" s="49" t="s">
        <v>8</v>
      </c>
      <c r="C650" s="48">
        <v>5.51</v>
      </c>
      <c r="D650" s="131"/>
    </row>
    <row r="651" spans="1:4" ht="15.75" outlineLevel="1">
      <c r="A651" s="48" t="s">
        <v>49</v>
      </c>
      <c r="B651" s="49" t="s">
        <v>7</v>
      </c>
      <c r="C651" s="48">
        <v>5.52</v>
      </c>
      <c r="D651" s="131"/>
    </row>
    <row r="652" spans="1:4" ht="15.75" outlineLevel="1">
      <c r="A652" s="48" t="s">
        <v>49</v>
      </c>
      <c r="B652" s="49" t="s">
        <v>396</v>
      </c>
      <c r="C652" s="48">
        <v>5.53</v>
      </c>
      <c r="D652" s="131"/>
    </row>
    <row r="653" spans="1:4" ht="15.75" outlineLevel="1">
      <c r="A653" s="48" t="s">
        <v>49</v>
      </c>
      <c r="B653" s="49" t="s">
        <v>13</v>
      </c>
      <c r="C653" s="48">
        <v>5.69</v>
      </c>
      <c r="D653" s="131"/>
    </row>
    <row r="654" spans="1:4" ht="15.75" outlineLevel="1">
      <c r="A654" s="48" t="s">
        <v>49</v>
      </c>
      <c r="B654" s="49" t="s">
        <v>14</v>
      </c>
      <c r="C654" s="50">
        <v>5.7</v>
      </c>
      <c r="D654" s="131"/>
    </row>
    <row r="655" spans="1:4" ht="15.75" outlineLevel="1">
      <c r="A655" s="48" t="s">
        <v>49</v>
      </c>
      <c r="B655" s="49" t="s">
        <v>637</v>
      </c>
      <c r="C655" s="48">
        <v>5.74</v>
      </c>
      <c r="D655" s="131"/>
    </row>
    <row r="656" spans="1:4" ht="15.75" outlineLevel="1">
      <c r="A656" s="48" t="s">
        <v>49</v>
      </c>
      <c r="B656" s="49" t="s">
        <v>933</v>
      </c>
      <c r="C656" s="48">
        <v>5.109</v>
      </c>
      <c r="D656" s="131"/>
    </row>
    <row r="657" spans="1:4" ht="15.75" outlineLevel="1">
      <c r="A657" s="48" t="s">
        <v>49</v>
      </c>
      <c r="B657" s="49" t="s">
        <v>372</v>
      </c>
      <c r="C657" s="48">
        <v>5.1109999999999998</v>
      </c>
      <c r="D657" s="131"/>
    </row>
    <row r="658" spans="1:4" ht="15.75" outlineLevel="1">
      <c r="A658" s="48" t="s">
        <v>49</v>
      </c>
      <c r="B658" s="49" t="s">
        <v>16</v>
      </c>
      <c r="C658" s="48">
        <v>5.1120000000000001</v>
      </c>
      <c r="D658" s="131"/>
    </row>
    <row r="659" spans="1:4" ht="15.75" outlineLevel="1">
      <c r="A659" s="48" t="s">
        <v>49</v>
      </c>
      <c r="B659" s="49" t="s">
        <v>789</v>
      </c>
      <c r="C659" s="48">
        <v>5.58</v>
      </c>
      <c r="D659" s="131"/>
    </row>
    <row r="660" spans="1:4" ht="15.75" outlineLevel="1">
      <c r="A660" s="48" t="s">
        <v>49</v>
      </c>
      <c r="B660" s="49" t="s">
        <v>11</v>
      </c>
      <c r="C660" s="48">
        <v>5.54</v>
      </c>
      <c r="D660" s="131"/>
    </row>
    <row r="661" spans="1:4" ht="15.75" outlineLevel="1">
      <c r="A661" s="48" t="s">
        <v>49</v>
      </c>
      <c r="B661" s="49" t="s">
        <v>15</v>
      </c>
      <c r="C661" s="48">
        <v>5.55</v>
      </c>
      <c r="D661" s="131"/>
    </row>
    <row r="662" spans="1:4" ht="15.75" outlineLevel="1">
      <c r="A662" s="48" t="s">
        <v>49</v>
      </c>
      <c r="B662" s="49" t="s">
        <v>1171</v>
      </c>
      <c r="C662" s="48">
        <v>5.63</v>
      </c>
      <c r="D662" s="131"/>
    </row>
    <row r="663" spans="1:4" ht="15.75" outlineLevel="1">
      <c r="A663" s="48" t="s">
        <v>49</v>
      </c>
      <c r="B663" s="49" t="s">
        <v>19</v>
      </c>
      <c r="C663" s="48">
        <v>5.47</v>
      </c>
      <c r="D663" s="131"/>
    </row>
    <row r="664" spans="1:4" ht="15.75" outlineLevel="1">
      <c r="A664" s="48" t="s">
        <v>49</v>
      </c>
      <c r="B664" s="49" t="s">
        <v>30</v>
      </c>
      <c r="C664" s="48">
        <v>5.48</v>
      </c>
      <c r="D664" s="131"/>
    </row>
    <row r="665" spans="1:4" ht="15.75">
      <c r="A665" s="55" t="s">
        <v>49</v>
      </c>
      <c r="B665" s="49"/>
      <c r="C665" s="48"/>
      <c r="D665" s="131"/>
    </row>
    <row r="666" spans="1:4" ht="15.75" outlineLevel="1">
      <c r="A666" s="48" t="s">
        <v>50</v>
      </c>
      <c r="B666" s="49" t="s">
        <v>667</v>
      </c>
      <c r="C666" s="48">
        <v>5.0999999999999996</v>
      </c>
      <c r="D666" s="131"/>
    </row>
    <row r="667" spans="1:4" ht="15.75" outlineLevel="1">
      <c r="A667" s="48" t="s">
        <v>50</v>
      </c>
      <c r="B667" s="49" t="s">
        <v>0</v>
      </c>
      <c r="C667" s="48">
        <v>5.2</v>
      </c>
      <c r="D667" s="131"/>
    </row>
    <row r="668" spans="1:4" ht="15.75" outlineLevel="1">
      <c r="A668" s="48" t="s">
        <v>50</v>
      </c>
      <c r="B668" s="49" t="s">
        <v>739</v>
      </c>
      <c r="C668" s="48">
        <v>5.4</v>
      </c>
      <c r="D668" s="131"/>
    </row>
    <row r="669" spans="1:4" ht="15.75" outlineLevel="1">
      <c r="A669" s="48" t="s">
        <v>50</v>
      </c>
      <c r="B669" s="49" t="s">
        <v>757</v>
      </c>
      <c r="C669" s="48">
        <v>5.7</v>
      </c>
      <c r="D669" s="131"/>
    </row>
    <row r="670" spans="1:4" ht="15.75" outlineLevel="1">
      <c r="A670" s="48" t="s">
        <v>50</v>
      </c>
      <c r="B670" s="49" t="s">
        <v>758</v>
      </c>
      <c r="C670" s="48">
        <v>5.1100000000000003</v>
      </c>
      <c r="D670" s="131"/>
    </row>
    <row r="671" spans="1:4" ht="15.75" outlineLevel="1">
      <c r="A671" s="48" t="s">
        <v>50</v>
      </c>
      <c r="B671" s="49" t="s">
        <v>1</v>
      </c>
      <c r="C671" s="48">
        <v>5.26</v>
      </c>
      <c r="D671" s="131"/>
    </row>
    <row r="672" spans="1:4" ht="15.75" outlineLevel="1">
      <c r="A672" s="48" t="s">
        <v>50</v>
      </c>
      <c r="B672" s="49" t="s">
        <v>641</v>
      </c>
      <c r="C672" s="48">
        <v>5.43</v>
      </c>
      <c r="D672" s="131"/>
    </row>
    <row r="673" spans="1:4" ht="15.75" outlineLevel="1">
      <c r="A673" s="48" t="s">
        <v>50</v>
      </c>
      <c r="B673" s="49" t="s">
        <v>620</v>
      </c>
      <c r="C673" s="48">
        <v>5.27</v>
      </c>
      <c r="D673" s="131"/>
    </row>
    <row r="674" spans="1:4" ht="15.75" outlineLevel="1">
      <c r="A674" s="48" t="s">
        <v>50</v>
      </c>
      <c r="B674" s="49" t="s">
        <v>621</v>
      </c>
      <c r="C674" s="48">
        <v>5.28</v>
      </c>
      <c r="D674" s="131"/>
    </row>
    <row r="675" spans="1:4" ht="15.75" outlineLevel="1">
      <c r="A675" s="48" t="s">
        <v>50</v>
      </c>
      <c r="B675" s="49" t="s">
        <v>622</v>
      </c>
      <c r="C675" s="48">
        <v>5.36</v>
      </c>
      <c r="D675" s="131"/>
    </row>
    <row r="676" spans="1:4" ht="15.75" outlineLevel="1">
      <c r="A676" s="48" t="s">
        <v>50</v>
      </c>
      <c r="B676" s="49" t="s">
        <v>788</v>
      </c>
      <c r="C676" s="50">
        <v>5.5</v>
      </c>
      <c r="D676" s="131"/>
    </row>
    <row r="677" spans="1:4" ht="15.75" outlineLevel="1">
      <c r="A677" s="48" t="s">
        <v>50</v>
      </c>
      <c r="B677" s="49" t="s">
        <v>8</v>
      </c>
      <c r="C677" s="48">
        <v>5.51</v>
      </c>
      <c r="D677" s="131"/>
    </row>
    <row r="678" spans="1:4" ht="15.75" outlineLevel="1">
      <c r="A678" s="48" t="s">
        <v>50</v>
      </c>
      <c r="B678" s="49" t="s">
        <v>396</v>
      </c>
      <c r="C678" s="48">
        <v>5.53</v>
      </c>
      <c r="D678" s="131"/>
    </row>
    <row r="679" spans="1:4" ht="15.75" outlineLevel="1">
      <c r="A679" s="48" t="s">
        <v>50</v>
      </c>
      <c r="B679" s="49" t="s">
        <v>13</v>
      </c>
      <c r="C679" s="48">
        <v>5.69</v>
      </c>
      <c r="D679" s="131"/>
    </row>
    <row r="680" spans="1:4" ht="15.75" outlineLevel="1">
      <c r="A680" s="48" t="s">
        <v>50</v>
      </c>
      <c r="B680" s="49" t="s">
        <v>14</v>
      </c>
      <c r="C680" s="50">
        <v>5.7</v>
      </c>
      <c r="D680" s="130" t="s">
        <v>952</v>
      </c>
    </row>
    <row r="681" spans="1:4" ht="15.75" outlineLevel="1">
      <c r="A681" s="48" t="s">
        <v>50</v>
      </c>
      <c r="B681" s="49" t="s">
        <v>637</v>
      </c>
      <c r="C681" s="48">
        <v>5.74</v>
      </c>
      <c r="D681" s="131"/>
    </row>
    <row r="682" spans="1:4" ht="15.75" outlineLevel="1">
      <c r="A682" s="48" t="s">
        <v>50</v>
      </c>
      <c r="B682" s="49" t="s">
        <v>938</v>
      </c>
      <c r="C682" s="48">
        <v>5.59</v>
      </c>
      <c r="D682" s="131"/>
    </row>
    <row r="683" spans="1:4" ht="15.75" outlineLevel="1">
      <c r="A683" s="48" t="s">
        <v>50</v>
      </c>
      <c r="B683" s="49" t="s">
        <v>11</v>
      </c>
      <c r="C683" s="48">
        <v>5.54</v>
      </c>
      <c r="D683" s="131"/>
    </row>
    <row r="684" spans="1:4" ht="15.75" outlineLevel="1">
      <c r="A684" s="48" t="s">
        <v>50</v>
      </c>
      <c r="B684" s="49" t="s">
        <v>811</v>
      </c>
      <c r="C684" s="48">
        <v>5.57</v>
      </c>
      <c r="D684" s="131"/>
    </row>
    <row r="685" spans="1:4" ht="15.75" outlineLevel="1">
      <c r="A685" s="48" t="s">
        <v>50</v>
      </c>
      <c r="B685" s="49" t="s">
        <v>1171</v>
      </c>
      <c r="C685" s="48">
        <v>5.63</v>
      </c>
      <c r="D685" s="131"/>
    </row>
    <row r="686" spans="1:4" ht="15.75" outlineLevel="1">
      <c r="A686" s="48" t="s">
        <v>50</v>
      </c>
      <c r="B686" s="49" t="s">
        <v>19</v>
      </c>
      <c r="C686" s="48">
        <v>5.47</v>
      </c>
      <c r="D686" s="131"/>
    </row>
    <row r="687" spans="1:4" ht="15.75" outlineLevel="1">
      <c r="A687" s="48" t="s">
        <v>50</v>
      </c>
      <c r="B687" s="49" t="s">
        <v>30</v>
      </c>
      <c r="C687" s="48">
        <v>5.48</v>
      </c>
      <c r="D687" s="131"/>
    </row>
    <row r="688" spans="1:4" ht="15.75">
      <c r="A688" s="55" t="s">
        <v>50</v>
      </c>
      <c r="B688" s="49"/>
      <c r="C688" s="48"/>
      <c r="D688" s="131"/>
    </row>
    <row r="689" spans="1:4" ht="15.75" outlineLevel="1">
      <c r="A689" s="48" t="s">
        <v>51</v>
      </c>
      <c r="B689" s="49" t="s">
        <v>667</v>
      </c>
      <c r="C689" s="48">
        <v>5.0999999999999996</v>
      </c>
      <c r="D689" s="131"/>
    </row>
    <row r="690" spans="1:4" ht="15.75" outlineLevel="1">
      <c r="A690" s="48" t="s">
        <v>51</v>
      </c>
      <c r="B690" s="49" t="s">
        <v>0</v>
      </c>
      <c r="C690" s="48">
        <v>5.2</v>
      </c>
      <c r="D690" s="131"/>
    </row>
    <row r="691" spans="1:4" ht="15.75" outlineLevel="1">
      <c r="A691" s="48" t="s">
        <v>51</v>
      </c>
      <c r="B691" s="49" t="s">
        <v>299</v>
      </c>
      <c r="C691" s="48">
        <v>5.17</v>
      </c>
      <c r="D691" s="131"/>
    </row>
    <row r="692" spans="1:4" ht="15.75" outlineLevel="1">
      <c r="A692" s="48" t="s">
        <v>51</v>
      </c>
      <c r="B692" s="49" t="s">
        <v>1</v>
      </c>
      <c r="C692" s="48">
        <v>5.26</v>
      </c>
      <c r="D692" s="131"/>
    </row>
    <row r="693" spans="1:4" ht="15.75" outlineLevel="1">
      <c r="A693" s="48" t="s">
        <v>51</v>
      </c>
      <c r="B693" s="49" t="s">
        <v>798</v>
      </c>
      <c r="C693" s="48">
        <v>5.1029999999999998</v>
      </c>
      <c r="D693" s="131"/>
    </row>
    <row r="694" spans="1:4" ht="15.75" outlineLevel="1">
      <c r="A694" s="48" t="s">
        <v>51</v>
      </c>
      <c r="B694" s="49" t="s">
        <v>622</v>
      </c>
      <c r="C694" s="48">
        <v>5.36</v>
      </c>
      <c r="D694" s="131"/>
    </row>
    <row r="695" spans="1:4" ht="15.75" outlineLevel="1">
      <c r="A695" s="48" t="s">
        <v>51</v>
      </c>
      <c r="B695" s="49" t="s">
        <v>12</v>
      </c>
      <c r="C695" s="48">
        <v>5.37</v>
      </c>
      <c r="D695" s="131"/>
    </row>
    <row r="696" spans="1:4" ht="15.75" outlineLevel="1">
      <c r="A696" s="48" t="s">
        <v>51</v>
      </c>
      <c r="B696" s="49" t="s">
        <v>24</v>
      </c>
      <c r="C696" s="48">
        <v>5.1040000000000001</v>
      </c>
      <c r="D696" s="131"/>
    </row>
    <row r="697" spans="1:4" ht="15.75" outlineLevel="1">
      <c r="A697" s="48" t="s">
        <v>51</v>
      </c>
      <c r="B697" s="49" t="s">
        <v>286</v>
      </c>
      <c r="C697" s="48">
        <v>5.1050000000000004</v>
      </c>
      <c r="D697" s="131"/>
    </row>
    <row r="698" spans="1:4" ht="15.75" outlineLevel="1">
      <c r="A698" s="48" t="s">
        <v>51</v>
      </c>
      <c r="B698" s="49" t="s">
        <v>25</v>
      </c>
      <c r="C698" s="48">
        <v>5.1059999999999999</v>
      </c>
      <c r="D698" s="131"/>
    </row>
    <row r="699" spans="1:4" ht="15.75" outlineLevel="1">
      <c r="A699" s="48" t="s">
        <v>51</v>
      </c>
      <c r="B699" s="49" t="s">
        <v>966</v>
      </c>
      <c r="C699" s="48">
        <v>5.1070000000000002</v>
      </c>
      <c r="D699" s="131"/>
    </row>
    <row r="700" spans="1:4" ht="15.75" outlineLevel="1">
      <c r="A700" s="48" t="s">
        <v>51</v>
      </c>
      <c r="B700" s="49" t="s">
        <v>288</v>
      </c>
      <c r="C700" s="48">
        <v>5.1079999999999997</v>
      </c>
      <c r="D700" s="130" t="s">
        <v>952</v>
      </c>
    </row>
    <row r="701" spans="1:4" ht="15.75" outlineLevel="1">
      <c r="A701" s="48" t="s">
        <v>51</v>
      </c>
      <c r="B701" s="49" t="s">
        <v>933</v>
      </c>
      <c r="C701" s="48">
        <v>5.109</v>
      </c>
      <c r="D701" s="131"/>
    </row>
    <row r="702" spans="1:4" ht="15.75" outlineLevel="1">
      <c r="A702" s="48" t="s">
        <v>51</v>
      </c>
      <c r="B702" s="49" t="s">
        <v>747</v>
      </c>
      <c r="C702" s="51">
        <v>5.1100000000000003</v>
      </c>
      <c r="D702" s="130" t="s">
        <v>952</v>
      </c>
    </row>
    <row r="703" spans="1:4" ht="15.75" outlineLevel="1">
      <c r="A703" s="48" t="s">
        <v>51</v>
      </c>
      <c r="B703" s="49" t="s">
        <v>372</v>
      </c>
      <c r="C703" s="48">
        <v>5.1109999999999998</v>
      </c>
      <c r="D703" s="131"/>
    </row>
    <row r="704" spans="1:4" ht="15.75" outlineLevel="1">
      <c r="A704" s="48" t="s">
        <v>51</v>
      </c>
      <c r="B704" s="49" t="s">
        <v>16</v>
      </c>
      <c r="C704" s="48">
        <v>5.1120000000000001</v>
      </c>
      <c r="D704" s="131"/>
    </row>
    <row r="705" spans="1:4" ht="15.75" outlineLevel="1">
      <c r="A705" s="48" t="s">
        <v>51</v>
      </c>
      <c r="B705" s="49" t="s">
        <v>396</v>
      </c>
      <c r="C705" s="48">
        <v>5.53</v>
      </c>
      <c r="D705" s="131"/>
    </row>
    <row r="706" spans="1:4" ht="15.75" outlineLevel="1">
      <c r="A706" s="48" t="s">
        <v>51</v>
      </c>
      <c r="B706" s="49" t="s">
        <v>803</v>
      </c>
      <c r="C706" s="48">
        <v>5.64</v>
      </c>
      <c r="D706" s="131"/>
    </row>
    <row r="707" spans="1:4" ht="15.75" outlineLevel="1">
      <c r="A707" s="48" t="s">
        <v>51</v>
      </c>
      <c r="B707" s="49" t="s">
        <v>1171</v>
      </c>
      <c r="C707" s="48">
        <v>5.63</v>
      </c>
      <c r="D707" s="131"/>
    </row>
    <row r="708" spans="1:4" ht="15.75" outlineLevel="1">
      <c r="A708" s="48" t="s">
        <v>51</v>
      </c>
      <c r="B708" s="49" t="s">
        <v>1172</v>
      </c>
      <c r="C708" s="48">
        <v>5.65</v>
      </c>
      <c r="D708" s="131"/>
    </row>
    <row r="709" spans="1:4" ht="15.75" outlineLevel="1">
      <c r="A709" s="48" t="s">
        <v>51</v>
      </c>
      <c r="B709" s="49" t="s">
        <v>804</v>
      </c>
      <c r="C709" s="48">
        <v>5.66</v>
      </c>
      <c r="D709" s="131"/>
    </row>
    <row r="710" spans="1:4" ht="15.75" outlineLevel="1">
      <c r="A710" s="48" t="s">
        <v>51</v>
      </c>
      <c r="B710" s="49" t="s">
        <v>26</v>
      </c>
      <c r="C710" s="48">
        <v>5.68</v>
      </c>
      <c r="D710" s="131"/>
    </row>
    <row r="711" spans="1:4" ht="15.75" outlineLevel="1">
      <c r="A711" s="48" t="s">
        <v>51</v>
      </c>
      <c r="B711" s="49" t="s">
        <v>19</v>
      </c>
      <c r="C711" s="48">
        <v>5.47</v>
      </c>
      <c r="D711" s="131"/>
    </row>
    <row r="712" spans="1:4" ht="15.75" outlineLevel="1">
      <c r="A712" s="48" t="s">
        <v>51</v>
      </c>
      <c r="B712" s="49" t="s">
        <v>30</v>
      </c>
      <c r="C712" s="48">
        <v>5.48</v>
      </c>
      <c r="D712" s="131"/>
    </row>
    <row r="713" spans="1:4" ht="15.75">
      <c r="A713" s="55" t="s">
        <v>51</v>
      </c>
      <c r="B713" s="49"/>
      <c r="C713" s="48"/>
      <c r="D713" s="131"/>
    </row>
    <row r="714" spans="1:4" ht="15.75" outlineLevel="1">
      <c r="A714" s="48" t="s">
        <v>954</v>
      </c>
      <c r="B714" s="49" t="s">
        <v>667</v>
      </c>
      <c r="C714" s="48">
        <v>5.0999999999999996</v>
      </c>
      <c r="D714" s="131"/>
    </row>
    <row r="715" spans="1:4" ht="15.75" outlineLevel="1">
      <c r="A715" s="48" t="s">
        <v>954</v>
      </c>
      <c r="B715" s="49" t="s">
        <v>0</v>
      </c>
      <c r="C715" s="48">
        <v>5.2</v>
      </c>
      <c r="D715" s="131"/>
    </row>
    <row r="716" spans="1:4" ht="15.75" outlineLevel="1">
      <c r="A716" s="48" t="s">
        <v>954</v>
      </c>
      <c r="B716" s="49" t="s">
        <v>740</v>
      </c>
      <c r="C716" s="48">
        <v>5.3</v>
      </c>
      <c r="D716" s="131"/>
    </row>
    <row r="717" spans="1:4" ht="15.75" outlineLevel="1">
      <c r="A717" s="48" t="s">
        <v>954</v>
      </c>
      <c r="B717" s="49" t="s">
        <v>2</v>
      </c>
      <c r="C717" s="48">
        <v>5.6</v>
      </c>
      <c r="D717" s="131"/>
    </row>
    <row r="718" spans="1:4" ht="15.75" outlineLevel="1">
      <c r="A718" s="48" t="s">
        <v>954</v>
      </c>
      <c r="B718" s="49" t="s">
        <v>746</v>
      </c>
      <c r="C718" s="50">
        <v>5.0999999999999996</v>
      </c>
      <c r="D718" s="131"/>
    </row>
    <row r="719" spans="1:4" ht="15.75" outlineLevel="1">
      <c r="A719" s="48" t="s">
        <v>954</v>
      </c>
      <c r="B719" s="49" t="s">
        <v>3</v>
      </c>
      <c r="C719" s="48">
        <v>5.14</v>
      </c>
      <c r="D719" s="131"/>
    </row>
    <row r="720" spans="1:4" ht="15.75" outlineLevel="1">
      <c r="A720" s="48" t="s">
        <v>954</v>
      </c>
      <c r="B720" s="49" t="s">
        <v>29</v>
      </c>
      <c r="C720" s="48">
        <v>5.19</v>
      </c>
      <c r="D720" s="131"/>
    </row>
    <row r="721" spans="1:4" ht="15.75" outlineLevel="1">
      <c r="A721" s="48" t="s">
        <v>954</v>
      </c>
      <c r="B721" s="49" t="s">
        <v>28</v>
      </c>
      <c r="C721" s="48">
        <v>5.24</v>
      </c>
      <c r="D721" s="131"/>
    </row>
    <row r="722" spans="1:4" ht="15.75" outlineLevel="1">
      <c r="A722" s="48" t="s">
        <v>954</v>
      </c>
      <c r="B722" s="49" t="s">
        <v>1</v>
      </c>
      <c r="C722" s="48">
        <v>5.26</v>
      </c>
      <c r="D722" s="131"/>
    </row>
    <row r="723" spans="1:4" ht="15.75" outlineLevel="1">
      <c r="A723" s="48" t="s">
        <v>954</v>
      </c>
      <c r="B723" s="49" t="s">
        <v>620</v>
      </c>
      <c r="C723" s="48">
        <v>5.27</v>
      </c>
      <c r="D723" s="131"/>
    </row>
    <row r="724" spans="1:4" ht="15.75" outlineLevel="1">
      <c r="A724" s="48" t="s">
        <v>954</v>
      </c>
      <c r="B724" s="49" t="s">
        <v>621</v>
      </c>
      <c r="C724" s="48">
        <v>5.28</v>
      </c>
      <c r="D724" s="131"/>
    </row>
    <row r="725" spans="1:4" ht="15.75" outlineLevel="1">
      <c r="A725" s="48" t="s">
        <v>954</v>
      </c>
      <c r="B725" s="49" t="s">
        <v>9</v>
      </c>
      <c r="C725" s="48">
        <v>5.31</v>
      </c>
      <c r="D725" s="131"/>
    </row>
    <row r="726" spans="1:4" ht="15.75" outlineLevel="1">
      <c r="A726" s="48" t="s">
        <v>954</v>
      </c>
      <c r="B726" s="49" t="s">
        <v>622</v>
      </c>
      <c r="C726" s="48">
        <v>5.36</v>
      </c>
      <c r="D726" s="131"/>
    </row>
    <row r="727" spans="1:4" ht="15.75" outlineLevel="1">
      <c r="A727" s="48" t="s">
        <v>954</v>
      </c>
      <c r="B727" s="49" t="s">
        <v>396</v>
      </c>
      <c r="C727" s="48">
        <v>5.53</v>
      </c>
      <c r="D727" s="131"/>
    </row>
    <row r="728" spans="1:4" ht="15.75" outlineLevel="1">
      <c r="A728" s="48" t="s">
        <v>954</v>
      </c>
      <c r="B728" s="49" t="s">
        <v>933</v>
      </c>
      <c r="C728" s="48">
        <v>5.109</v>
      </c>
      <c r="D728" s="131"/>
    </row>
    <row r="729" spans="1:4" ht="15.75" outlineLevel="1">
      <c r="A729" s="48" t="s">
        <v>954</v>
      </c>
      <c r="B729" s="49" t="s">
        <v>372</v>
      </c>
      <c r="C729" s="48">
        <v>5.1109999999999998</v>
      </c>
      <c r="D729" s="131"/>
    </row>
    <row r="730" spans="1:4" ht="15.75" outlineLevel="1">
      <c r="A730" s="48" t="s">
        <v>954</v>
      </c>
      <c r="B730" s="49" t="s">
        <v>16</v>
      </c>
      <c r="C730" s="48">
        <v>5.1120000000000001</v>
      </c>
      <c r="D730" s="131"/>
    </row>
    <row r="731" spans="1:4" ht="15.75" outlineLevel="1">
      <c r="A731" s="48" t="s">
        <v>954</v>
      </c>
      <c r="B731" s="49" t="s">
        <v>475</v>
      </c>
      <c r="C731" s="48">
        <v>5.1130000000000004</v>
      </c>
      <c r="D731" s="131"/>
    </row>
    <row r="732" spans="1:4" ht="15.75" outlineLevel="1">
      <c r="A732" s="48" t="s">
        <v>954</v>
      </c>
      <c r="B732" s="49" t="s">
        <v>634</v>
      </c>
      <c r="C732" s="48">
        <v>5.117</v>
      </c>
      <c r="D732" s="131"/>
    </row>
    <row r="733" spans="1:4" ht="15.75" outlineLevel="1">
      <c r="A733" s="48" t="s">
        <v>954</v>
      </c>
      <c r="B733" s="49" t="s">
        <v>1174</v>
      </c>
      <c r="C733" s="48">
        <v>5.67</v>
      </c>
      <c r="D733" s="131"/>
    </row>
    <row r="734" spans="1:4" ht="15.75" outlineLevel="1">
      <c r="A734" s="48" t="s">
        <v>954</v>
      </c>
      <c r="B734" s="49" t="s">
        <v>1171</v>
      </c>
      <c r="C734" s="48">
        <v>5.63</v>
      </c>
      <c r="D734" s="131"/>
    </row>
    <row r="735" spans="1:4" ht="15.75" outlineLevel="1">
      <c r="A735" s="48" t="s">
        <v>954</v>
      </c>
      <c r="B735" s="49" t="s">
        <v>19</v>
      </c>
      <c r="C735" s="48">
        <v>5.47</v>
      </c>
      <c r="D735" s="131"/>
    </row>
    <row r="736" spans="1:4" ht="15.75" outlineLevel="1">
      <c r="A736" s="48" t="s">
        <v>954</v>
      </c>
      <c r="B736" s="49" t="s">
        <v>30</v>
      </c>
      <c r="C736" s="48">
        <v>5.48</v>
      </c>
      <c r="D736" s="131"/>
    </row>
    <row r="737" spans="1:4" ht="15.75">
      <c r="A737" s="55" t="s">
        <v>976</v>
      </c>
      <c r="B737" s="49"/>
      <c r="C737" s="48"/>
      <c r="D737" s="131"/>
    </row>
    <row r="738" spans="1:4" ht="15.75" outlineLevel="1">
      <c r="A738" s="48" t="s">
        <v>52</v>
      </c>
      <c r="B738" s="49" t="s">
        <v>667</v>
      </c>
      <c r="C738" s="48">
        <v>5.0999999999999996</v>
      </c>
      <c r="D738" s="131"/>
    </row>
    <row r="739" spans="1:4" ht="15.75" outlineLevel="1">
      <c r="A739" s="48" t="s">
        <v>52</v>
      </c>
      <c r="B739" s="49" t="s">
        <v>0</v>
      </c>
      <c r="C739" s="48">
        <v>5.2</v>
      </c>
      <c r="D739" s="131"/>
    </row>
    <row r="740" spans="1:4" ht="15.75" outlineLevel="1">
      <c r="A740" s="48" t="s">
        <v>52</v>
      </c>
      <c r="B740" s="49" t="s">
        <v>801</v>
      </c>
      <c r="C740" s="48">
        <v>5.18</v>
      </c>
      <c r="D740" s="131"/>
    </row>
    <row r="741" spans="1:4" ht="15.75" outlineLevel="1">
      <c r="A741" s="48" t="s">
        <v>52</v>
      </c>
      <c r="B741" s="49" t="s">
        <v>802</v>
      </c>
      <c r="C741" s="48">
        <v>5.23</v>
      </c>
      <c r="D741" s="131"/>
    </row>
    <row r="742" spans="1:4" ht="15.75" outlineLevel="1">
      <c r="A742" s="48" t="s">
        <v>52</v>
      </c>
      <c r="B742" s="49" t="s">
        <v>1</v>
      </c>
      <c r="C742" s="48">
        <v>5.26</v>
      </c>
      <c r="D742" s="131"/>
    </row>
    <row r="743" spans="1:4" ht="15.75" outlineLevel="1">
      <c r="A743" s="48" t="s">
        <v>52</v>
      </c>
      <c r="B743" s="49" t="s">
        <v>620</v>
      </c>
      <c r="C743" s="48">
        <v>5.27</v>
      </c>
      <c r="D743" s="131"/>
    </row>
    <row r="744" spans="1:4" ht="15.75" outlineLevel="1">
      <c r="A744" s="48" t="s">
        <v>52</v>
      </c>
      <c r="B744" s="49" t="s">
        <v>621</v>
      </c>
      <c r="C744" s="48">
        <v>5.28</v>
      </c>
      <c r="D744" s="131"/>
    </row>
    <row r="745" spans="1:4" ht="15.75" outlineLevel="1">
      <c r="A745" s="48" t="s">
        <v>52</v>
      </c>
      <c r="B745" s="49" t="s">
        <v>622</v>
      </c>
      <c r="C745" s="48">
        <v>5.36</v>
      </c>
      <c r="D745" s="131"/>
    </row>
    <row r="746" spans="1:4" ht="15.75" outlineLevel="1">
      <c r="A746" s="48" t="s">
        <v>52</v>
      </c>
      <c r="B746" s="49" t="s">
        <v>810</v>
      </c>
      <c r="C746" s="48">
        <v>5.44</v>
      </c>
      <c r="D746" s="131"/>
    </row>
    <row r="747" spans="1:4" ht="15.75" outlineLevel="1">
      <c r="A747" s="48" t="s">
        <v>52</v>
      </c>
      <c r="B747" s="49" t="s">
        <v>396</v>
      </c>
      <c r="C747" s="48">
        <v>5.53</v>
      </c>
      <c r="D747" s="131"/>
    </row>
    <row r="748" spans="1:4" ht="15.75" outlineLevel="1">
      <c r="A748" s="48" t="s">
        <v>52</v>
      </c>
      <c r="B748" s="49" t="s">
        <v>16</v>
      </c>
      <c r="C748" s="48">
        <v>5.1120000000000001</v>
      </c>
      <c r="D748" s="131"/>
    </row>
    <row r="749" spans="1:4" ht="15.75" outlineLevel="1">
      <c r="A749" s="48" t="s">
        <v>52</v>
      </c>
      <c r="B749" s="49" t="s">
        <v>938</v>
      </c>
      <c r="C749" s="48">
        <v>5.59</v>
      </c>
      <c r="D749" s="131"/>
    </row>
    <row r="750" spans="1:4" ht="15.75" outlineLevel="1">
      <c r="A750" s="48" t="s">
        <v>52</v>
      </c>
      <c r="B750" s="49" t="s">
        <v>11</v>
      </c>
      <c r="C750" s="48">
        <v>5.54</v>
      </c>
      <c r="D750" s="131"/>
    </row>
    <row r="751" spans="1:4" ht="15.75" outlineLevel="1">
      <c r="A751" s="48" t="s">
        <v>52</v>
      </c>
      <c r="B751" s="49" t="s">
        <v>1171</v>
      </c>
      <c r="C751" s="48">
        <v>5.63</v>
      </c>
      <c r="D751" s="131"/>
    </row>
    <row r="752" spans="1:4" ht="15.75" outlineLevel="1">
      <c r="A752" s="48" t="s">
        <v>52</v>
      </c>
      <c r="B752" s="49" t="s">
        <v>1172</v>
      </c>
      <c r="C752" s="48">
        <v>5.65</v>
      </c>
      <c r="D752" s="131"/>
    </row>
    <row r="753" spans="1:4" ht="15.75" outlineLevel="1">
      <c r="A753" s="48" t="s">
        <v>52</v>
      </c>
      <c r="B753" s="49" t="s">
        <v>26</v>
      </c>
      <c r="C753" s="48">
        <v>5.68</v>
      </c>
      <c r="D753" s="131"/>
    </row>
    <row r="754" spans="1:4" ht="15.75" outlineLevel="1">
      <c r="A754" s="48" t="s">
        <v>52</v>
      </c>
      <c r="B754" s="49" t="s">
        <v>19</v>
      </c>
      <c r="C754" s="48">
        <v>5.47</v>
      </c>
      <c r="D754" s="131"/>
    </row>
    <row r="755" spans="1:4" ht="15.75" outlineLevel="1">
      <c r="A755" s="48" t="s">
        <v>52</v>
      </c>
      <c r="B755" s="49" t="s">
        <v>30</v>
      </c>
      <c r="C755" s="48">
        <v>5.48</v>
      </c>
      <c r="D755" s="131"/>
    </row>
    <row r="756" spans="1:4" ht="15.75">
      <c r="A756" s="55" t="s">
        <v>52</v>
      </c>
      <c r="B756" s="49"/>
      <c r="C756" s="48"/>
      <c r="D756" s="131"/>
    </row>
    <row r="757" spans="1:4" ht="15.75" outlineLevel="1">
      <c r="A757" s="48" t="s">
        <v>771</v>
      </c>
      <c r="B757" s="49" t="s">
        <v>667</v>
      </c>
      <c r="C757" s="48">
        <v>5.0999999999999996</v>
      </c>
      <c r="D757" s="131"/>
    </row>
    <row r="758" spans="1:4" ht="15.75" outlineLevel="1">
      <c r="A758" s="48" t="s">
        <v>771</v>
      </c>
      <c r="B758" s="49" t="s">
        <v>0</v>
      </c>
      <c r="C758" s="48">
        <v>5.2</v>
      </c>
      <c r="D758" s="131"/>
    </row>
    <row r="759" spans="1:4" ht="15.75" outlineLevel="1">
      <c r="A759" s="48" t="s">
        <v>771</v>
      </c>
      <c r="B759" s="49" t="s">
        <v>741</v>
      </c>
      <c r="C759" s="48">
        <v>5.9</v>
      </c>
      <c r="D759" s="130" t="s">
        <v>952</v>
      </c>
    </row>
    <row r="760" spans="1:4" ht="15.75" outlineLevel="1">
      <c r="A760" s="48" t="s">
        <v>771</v>
      </c>
      <c r="B760" s="49" t="s">
        <v>742</v>
      </c>
      <c r="C760" s="48">
        <v>5.13</v>
      </c>
      <c r="D760" s="131"/>
    </row>
    <row r="761" spans="1:4" ht="15.75" outlineLevel="1">
      <c r="A761" s="48" t="s">
        <v>771</v>
      </c>
      <c r="B761" s="49" t="s">
        <v>743</v>
      </c>
      <c r="C761" s="48">
        <v>5.16</v>
      </c>
      <c r="D761" s="130" t="s">
        <v>952</v>
      </c>
    </row>
    <row r="762" spans="1:4" ht="15.75" outlineLevel="1">
      <c r="A762" s="48" t="s">
        <v>771</v>
      </c>
      <c r="B762" s="49" t="s">
        <v>744</v>
      </c>
      <c r="C762" s="48">
        <v>5.22</v>
      </c>
      <c r="D762" s="130"/>
    </row>
    <row r="763" spans="1:4" ht="15.75" outlineLevel="1">
      <c r="A763" s="48" t="s">
        <v>771</v>
      </c>
      <c r="B763" s="49" t="s">
        <v>749</v>
      </c>
      <c r="C763" s="48">
        <v>5.42</v>
      </c>
      <c r="D763" s="131"/>
    </row>
    <row r="764" spans="1:4" ht="15.75" outlineLevel="1">
      <c r="A764" s="48" t="s">
        <v>771</v>
      </c>
      <c r="B764" s="49" t="s">
        <v>620</v>
      </c>
      <c r="C764" s="48">
        <v>5.27</v>
      </c>
      <c r="D764" s="131"/>
    </row>
    <row r="765" spans="1:4" ht="15.75" outlineLevel="1">
      <c r="A765" s="48" t="s">
        <v>771</v>
      </c>
      <c r="B765" s="49" t="s">
        <v>621</v>
      </c>
      <c r="C765" s="48">
        <v>5.28</v>
      </c>
      <c r="D765" s="130" t="s">
        <v>952</v>
      </c>
    </row>
    <row r="766" spans="1:4" ht="15.75" outlineLevel="1">
      <c r="A766" s="48" t="s">
        <v>771</v>
      </c>
      <c r="B766" s="49" t="s">
        <v>622</v>
      </c>
      <c r="C766" s="48">
        <v>5.36</v>
      </c>
      <c r="D766" s="131"/>
    </row>
    <row r="767" spans="1:4" ht="15.75" outlineLevel="1">
      <c r="A767" s="48" t="s">
        <v>771</v>
      </c>
      <c r="B767" s="49" t="s">
        <v>6</v>
      </c>
      <c r="C767" s="48">
        <v>5.49</v>
      </c>
      <c r="D767" s="131"/>
    </row>
    <row r="768" spans="1:4" ht="15.75" outlineLevel="1">
      <c r="A768" s="48" t="s">
        <v>771</v>
      </c>
      <c r="B768" s="49" t="s">
        <v>8</v>
      </c>
      <c r="C768" s="48">
        <v>5.51</v>
      </c>
      <c r="D768" s="131"/>
    </row>
    <row r="769" spans="1:4" ht="15.75" outlineLevel="1">
      <c r="A769" s="48" t="s">
        <v>771</v>
      </c>
      <c r="B769" s="49" t="s">
        <v>793</v>
      </c>
      <c r="C769" s="48">
        <v>5.52</v>
      </c>
      <c r="D769" s="131"/>
    </row>
    <row r="770" spans="1:4" ht="15.75" outlineLevel="1">
      <c r="A770" s="48" t="s">
        <v>771</v>
      </c>
      <c r="B770" s="49" t="s">
        <v>396</v>
      </c>
      <c r="C770" s="48">
        <v>5.53</v>
      </c>
      <c r="D770" s="131"/>
    </row>
    <row r="771" spans="1:4" ht="15.75" outlineLevel="1">
      <c r="A771" s="48" t="s">
        <v>771</v>
      </c>
      <c r="B771" s="49" t="s">
        <v>11</v>
      </c>
      <c r="C771" s="48">
        <v>5.54</v>
      </c>
      <c r="D771" s="131"/>
    </row>
    <row r="772" spans="1:4" ht="15.75" outlineLevel="1">
      <c r="A772" s="48" t="s">
        <v>771</v>
      </c>
      <c r="B772" s="49" t="s">
        <v>14</v>
      </c>
      <c r="C772" s="50">
        <v>5.7</v>
      </c>
      <c r="D772" s="131"/>
    </row>
    <row r="773" spans="1:4" ht="15.75" outlineLevel="1">
      <c r="A773" s="48" t="s">
        <v>771</v>
      </c>
      <c r="B773" s="49" t="s">
        <v>440</v>
      </c>
      <c r="C773" s="48">
        <v>5.71</v>
      </c>
      <c r="D773" s="131"/>
    </row>
    <row r="774" spans="1:4" ht="15.75" outlineLevel="1">
      <c r="A774" s="48" t="s">
        <v>771</v>
      </c>
      <c r="B774" s="49" t="s">
        <v>812</v>
      </c>
      <c r="C774" s="50">
        <v>5.9</v>
      </c>
      <c r="D774" s="131"/>
    </row>
    <row r="775" spans="1:4" ht="15.75" outlineLevel="1">
      <c r="A775" s="48" t="s">
        <v>771</v>
      </c>
      <c r="B775" s="49" t="s">
        <v>1175</v>
      </c>
      <c r="C775" s="48">
        <v>5.91</v>
      </c>
      <c r="D775" s="131"/>
    </row>
    <row r="776" spans="1:4" ht="15.75" outlineLevel="1">
      <c r="A776" s="48" t="s">
        <v>771</v>
      </c>
      <c r="B776" s="49" t="s">
        <v>764</v>
      </c>
      <c r="C776" s="48">
        <v>5.97</v>
      </c>
      <c r="D776" s="131"/>
    </row>
    <row r="777" spans="1:4" ht="15.75">
      <c r="A777" s="55" t="s">
        <v>771</v>
      </c>
      <c r="B777" s="49"/>
      <c r="C777" s="48"/>
      <c r="D777" s="131"/>
    </row>
    <row r="778" spans="1:4" ht="15.75" outlineLevel="1">
      <c r="A778" s="48" t="s">
        <v>790</v>
      </c>
      <c r="B778" s="49" t="s">
        <v>667</v>
      </c>
      <c r="C778" s="48">
        <v>5.0999999999999996</v>
      </c>
      <c r="D778" s="131"/>
    </row>
    <row r="779" spans="1:4" ht="15.75" outlineLevel="1">
      <c r="A779" s="48" t="s">
        <v>790</v>
      </c>
      <c r="B779" s="49" t="s">
        <v>0</v>
      </c>
      <c r="C779" s="48">
        <v>5.2</v>
      </c>
      <c r="D779" s="131"/>
    </row>
    <row r="780" spans="1:4" ht="15.75" outlineLevel="1">
      <c r="A780" s="48" t="s">
        <v>790</v>
      </c>
      <c r="B780" s="49" t="s">
        <v>1</v>
      </c>
      <c r="C780" s="48">
        <v>5.26</v>
      </c>
      <c r="D780" s="131"/>
    </row>
    <row r="781" spans="1:4" ht="15.75" outlineLevel="1">
      <c r="A781" s="48" t="s">
        <v>790</v>
      </c>
      <c r="B781" s="49" t="s">
        <v>796</v>
      </c>
      <c r="C781" s="48">
        <v>5.5</v>
      </c>
      <c r="D781" s="131"/>
    </row>
    <row r="782" spans="1:4" ht="15.75" outlineLevel="1">
      <c r="A782" s="48" t="s">
        <v>790</v>
      </c>
      <c r="B782" s="49" t="s">
        <v>809</v>
      </c>
      <c r="C782" s="48">
        <v>5.8</v>
      </c>
      <c r="D782" s="130" t="s">
        <v>952</v>
      </c>
    </row>
    <row r="783" spans="1:4" ht="15.75" outlineLevel="1">
      <c r="A783" s="48" t="s">
        <v>790</v>
      </c>
      <c r="B783" s="49" t="s">
        <v>797</v>
      </c>
      <c r="C783" s="48">
        <v>5.12</v>
      </c>
      <c r="D783" s="48"/>
    </row>
    <row r="784" spans="1:4" ht="15.75" outlineLevel="1">
      <c r="A784" s="48" t="s">
        <v>790</v>
      </c>
      <c r="B784" s="49" t="s">
        <v>763</v>
      </c>
      <c r="C784" s="48">
        <v>5.15</v>
      </c>
      <c r="D784" s="48"/>
    </row>
    <row r="785" spans="1:4" ht="15.75" outlineLevel="1">
      <c r="A785" s="48" t="s">
        <v>790</v>
      </c>
      <c r="B785" s="49" t="s">
        <v>762</v>
      </c>
      <c r="C785" s="50">
        <v>5.2</v>
      </c>
      <c r="D785" s="130"/>
    </row>
    <row r="786" spans="1:4" ht="15.75" outlineLevel="1">
      <c r="A786" s="48" t="s">
        <v>790</v>
      </c>
      <c r="B786" s="49" t="s">
        <v>767</v>
      </c>
      <c r="C786" s="48">
        <v>5.25</v>
      </c>
      <c r="D786" s="48"/>
    </row>
    <row r="787" spans="1:4" ht="15.75" outlineLevel="1">
      <c r="A787" s="48" t="s">
        <v>790</v>
      </c>
      <c r="B787" s="49" t="s">
        <v>396</v>
      </c>
      <c r="C787" s="48">
        <v>5.53</v>
      </c>
      <c r="D787" s="48"/>
    </row>
    <row r="788" spans="1:4" ht="15.75" outlineLevel="1">
      <c r="A788" s="48" t="s">
        <v>790</v>
      </c>
      <c r="B788" s="49" t="s">
        <v>761</v>
      </c>
      <c r="C788" s="50">
        <v>5.4</v>
      </c>
      <c r="D788" s="48"/>
    </row>
    <row r="789" spans="1:4" ht="31.5" outlineLevel="1">
      <c r="A789" s="48" t="s">
        <v>790</v>
      </c>
      <c r="B789" s="49" t="s">
        <v>940</v>
      </c>
      <c r="C789" s="48">
        <v>5.92</v>
      </c>
      <c r="D789" s="48"/>
    </row>
    <row r="790" spans="1:4" ht="15.75" outlineLevel="1">
      <c r="A790" s="48" t="s">
        <v>790</v>
      </c>
      <c r="B790" s="49" t="s">
        <v>1176</v>
      </c>
      <c r="C790" s="48">
        <v>5.93</v>
      </c>
      <c r="D790" s="48"/>
    </row>
    <row r="791" spans="1:4" ht="31.5" outlineLevel="1">
      <c r="A791" s="48" t="s">
        <v>790</v>
      </c>
      <c r="B791" s="49" t="s">
        <v>941</v>
      </c>
      <c r="C791" s="48">
        <v>5.94</v>
      </c>
      <c r="D791" s="48"/>
    </row>
    <row r="792" spans="1:4" ht="15.75" outlineLevel="1">
      <c r="A792" s="48" t="s">
        <v>790</v>
      </c>
      <c r="B792" s="49" t="s">
        <v>1177</v>
      </c>
      <c r="C792" s="48">
        <v>5.95</v>
      </c>
      <c r="D792" s="48"/>
    </row>
    <row r="793" spans="1:4" ht="15.75" outlineLevel="1">
      <c r="A793" s="48" t="s">
        <v>790</v>
      </c>
      <c r="B793" s="49" t="s">
        <v>22</v>
      </c>
      <c r="C793" s="48">
        <v>5.98</v>
      </c>
      <c r="D793" s="48"/>
    </row>
    <row r="794" spans="1:4" ht="15.75" outlineLevel="1">
      <c r="A794" s="48" t="s">
        <v>790</v>
      </c>
      <c r="B794" s="49" t="s">
        <v>813</v>
      </c>
      <c r="C794" s="48">
        <v>5.96</v>
      </c>
      <c r="D794" s="48"/>
    </row>
    <row r="795" spans="1:4" ht="15.75">
      <c r="A795" s="55" t="s">
        <v>790</v>
      </c>
      <c r="B795" s="49"/>
      <c r="C795" s="48"/>
      <c r="D795" s="48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5" t="s">
        <v>831</v>
      </c>
    </row>
    <row r="3" spans="1:2">
      <c r="A3" t="s">
        <v>827</v>
      </c>
      <c r="B3" t="s">
        <v>817</v>
      </c>
    </row>
    <row r="4" spans="1:2">
      <c r="A4" t="s">
        <v>823</v>
      </c>
      <c r="B4" t="s">
        <v>830</v>
      </c>
    </row>
    <row r="5" spans="1:2">
      <c r="A5" t="s">
        <v>824</v>
      </c>
      <c r="B5" t="s">
        <v>829</v>
      </c>
    </row>
    <row r="6" spans="1:2">
      <c r="A6" t="s">
        <v>825</v>
      </c>
      <c r="B6" t="s">
        <v>818</v>
      </c>
    </row>
    <row r="7" spans="1:2">
      <c r="A7" t="s">
        <v>826</v>
      </c>
      <c r="B7" t="s">
        <v>691</v>
      </c>
    </row>
    <row r="8" spans="1:2">
      <c r="A8" t="s">
        <v>828</v>
      </c>
      <c r="B8" t="s">
        <v>692</v>
      </c>
    </row>
    <row r="10" spans="1:2">
      <c r="A10" s="25" t="s">
        <v>832</v>
      </c>
    </row>
    <row r="11" spans="1:2">
      <c r="A11" t="s">
        <v>614</v>
      </c>
    </row>
    <row r="12" spans="1:2">
      <c r="A12" t="s">
        <v>615</v>
      </c>
      <c r="B12" t="s">
        <v>511</v>
      </c>
    </row>
    <row r="14" spans="1:2">
      <c r="A14" s="39"/>
    </row>
    <row r="15" spans="1:2">
      <c r="A15" s="25" t="s">
        <v>513</v>
      </c>
    </row>
    <row r="16" spans="1:2">
      <c r="A16" s="37" t="s">
        <v>514</v>
      </c>
    </row>
    <row r="17" spans="1:2">
      <c r="A17" s="37" t="s">
        <v>515</v>
      </c>
    </row>
    <row r="18" spans="1:2">
      <c r="A18" s="37" t="s">
        <v>516</v>
      </c>
    </row>
    <row r="19" spans="1:2">
      <c r="A19" s="37" t="s">
        <v>517</v>
      </c>
    </row>
    <row r="21" spans="1:2">
      <c r="A21" s="3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5" t="s">
        <v>580</v>
      </c>
      <c r="B34" s="25" t="s">
        <v>429</v>
      </c>
    </row>
    <row r="35" spans="1:2">
      <c r="A35" s="33" t="s">
        <v>603</v>
      </c>
      <c r="B35" s="54">
        <v>512310509</v>
      </c>
    </row>
    <row r="36" spans="1:2">
      <c r="A36" t="s">
        <v>588</v>
      </c>
      <c r="B36" s="54">
        <v>513910703</v>
      </c>
    </row>
    <row r="37" spans="1:2">
      <c r="A37" t="s">
        <v>599</v>
      </c>
      <c r="B37" s="54">
        <v>512304882</v>
      </c>
    </row>
    <row r="38" spans="1:2">
      <c r="A38" t="s">
        <v>585</v>
      </c>
      <c r="B38" s="54">
        <v>520030677</v>
      </c>
    </row>
    <row r="39" spans="1:2">
      <c r="A39" t="s">
        <v>819</v>
      </c>
      <c r="B39" s="54">
        <v>513621110</v>
      </c>
    </row>
    <row r="40" spans="1:2">
      <c r="A40" t="s">
        <v>534</v>
      </c>
      <c r="B40" s="75">
        <v>513173393</v>
      </c>
    </row>
    <row r="41" spans="1:2">
      <c r="A41" t="s">
        <v>568</v>
      </c>
      <c r="B41" s="75">
        <v>511880460</v>
      </c>
    </row>
    <row r="42" spans="1:2">
      <c r="A42" t="s">
        <v>557</v>
      </c>
      <c r="B42" s="75">
        <v>510773922</v>
      </c>
    </row>
    <row r="43" spans="1:2">
      <c r="A43" t="s">
        <v>598</v>
      </c>
      <c r="B43">
        <v>520021916</v>
      </c>
    </row>
    <row r="44" spans="1:2">
      <c r="A44" t="s">
        <v>590</v>
      </c>
      <c r="B44">
        <v>520044025</v>
      </c>
    </row>
    <row r="45" spans="1:2">
      <c r="A45" t="s">
        <v>591</v>
      </c>
      <c r="B45">
        <v>570003152</v>
      </c>
    </row>
    <row r="46" spans="1:2">
      <c r="A46" t="s">
        <v>573</v>
      </c>
      <c r="B46" s="75">
        <v>520023094</v>
      </c>
    </row>
    <row r="47" spans="1:2">
      <c r="A47" t="s">
        <v>600</v>
      </c>
      <c r="B47" s="75">
        <v>512711409</v>
      </c>
    </row>
    <row r="48" spans="1:2">
      <c r="A48" t="s">
        <v>592</v>
      </c>
      <c r="B48">
        <v>515859379</v>
      </c>
    </row>
    <row r="49" spans="1:2">
      <c r="A49" t="s">
        <v>556</v>
      </c>
      <c r="B49" s="75">
        <v>520030990</v>
      </c>
    </row>
    <row r="50" spans="1:2">
      <c r="A50" t="s">
        <v>578</v>
      </c>
      <c r="B50" s="75">
        <v>520028812</v>
      </c>
    </row>
    <row r="51" spans="1:2">
      <c r="A51" t="s">
        <v>519</v>
      </c>
      <c r="B51" s="75">
        <v>520034968</v>
      </c>
    </row>
    <row r="52" spans="1:2">
      <c r="A52" t="s">
        <v>562</v>
      </c>
      <c r="B52" s="75">
        <v>520031824</v>
      </c>
    </row>
    <row r="53" spans="1:2">
      <c r="A53" t="s">
        <v>542</v>
      </c>
      <c r="B53" s="75">
        <v>520005497</v>
      </c>
    </row>
    <row r="54" spans="1:2">
      <c r="A54" t="s">
        <v>522</v>
      </c>
      <c r="B54" s="75">
        <v>520022518</v>
      </c>
    </row>
    <row r="55" spans="1:2">
      <c r="A55" t="s">
        <v>552</v>
      </c>
      <c r="B55" s="75">
        <v>520028556</v>
      </c>
    </row>
    <row r="56" spans="1:2">
      <c r="A56" t="s">
        <v>567</v>
      </c>
      <c r="B56" s="75">
        <v>520032269</v>
      </c>
    </row>
    <row r="57" spans="1:2">
      <c r="A57" t="s">
        <v>559</v>
      </c>
      <c r="B57" s="75">
        <v>520027954</v>
      </c>
    </row>
    <row r="58" spans="1:2">
      <c r="A58" t="s">
        <v>607</v>
      </c>
      <c r="B58" s="47">
        <v>520029620</v>
      </c>
    </row>
    <row r="59" spans="1:2">
      <c r="A59" t="s">
        <v>558</v>
      </c>
      <c r="B59" s="75">
        <v>520028861</v>
      </c>
    </row>
    <row r="60" spans="1:2">
      <c r="A60" t="s">
        <v>520</v>
      </c>
      <c r="B60" s="75">
        <v>520030743</v>
      </c>
    </row>
    <row r="61" spans="1:2">
      <c r="A61" t="s">
        <v>586</v>
      </c>
      <c r="B61">
        <v>520042177</v>
      </c>
    </row>
    <row r="62" spans="1:2">
      <c r="A62" t="s">
        <v>572</v>
      </c>
      <c r="B62" s="75">
        <v>515447035</v>
      </c>
    </row>
    <row r="63" spans="1:2">
      <c r="A63" t="s">
        <v>553</v>
      </c>
      <c r="B63" s="75">
        <v>520042607</v>
      </c>
    </row>
    <row r="64" spans="1:2">
      <c r="A64" t="s">
        <v>531</v>
      </c>
      <c r="B64" s="75">
        <v>513026484</v>
      </c>
    </row>
    <row r="65" spans="1:2">
      <c r="A65" t="s">
        <v>583</v>
      </c>
      <c r="B65">
        <v>520023185</v>
      </c>
    </row>
    <row r="66" spans="1:2">
      <c r="A66" t="s">
        <v>589</v>
      </c>
      <c r="B66">
        <v>520004078</v>
      </c>
    </row>
    <row r="67" spans="1:2">
      <c r="A67" t="s">
        <v>554</v>
      </c>
      <c r="B67" s="75">
        <v>512267592</v>
      </c>
    </row>
    <row r="68" spans="1:2">
      <c r="A68" t="s">
        <v>593</v>
      </c>
      <c r="B68">
        <v>515764868</v>
      </c>
    </row>
    <row r="69" spans="1:2">
      <c r="A69" t="s">
        <v>545</v>
      </c>
      <c r="B69" s="75">
        <v>513452003</v>
      </c>
    </row>
    <row r="70" spans="1:2">
      <c r="A70" t="s">
        <v>579</v>
      </c>
      <c r="B70" s="75">
        <v>510142789</v>
      </c>
    </row>
    <row r="71" spans="1:2">
      <c r="A71" t="s">
        <v>548</v>
      </c>
      <c r="B71" s="75">
        <v>510960586</v>
      </c>
    </row>
    <row r="72" spans="1:2">
      <c r="A72" t="s">
        <v>563</v>
      </c>
      <c r="B72" s="75">
        <v>510930670</v>
      </c>
    </row>
    <row r="73" spans="1:2">
      <c r="A73" t="s">
        <v>523</v>
      </c>
      <c r="B73" s="75">
        <v>510927536</v>
      </c>
    </row>
    <row r="74" spans="1:2">
      <c r="A74" t="s">
        <v>546</v>
      </c>
      <c r="B74" s="75">
        <v>510930654</v>
      </c>
    </row>
    <row r="75" spans="1:2">
      <c r="A75" t="s">
        <v>570</v>
      </c>
      <c r="B75" s="75">
        <v>520032566</v>
      </c>
    </row>
    <row r="76" spans="1:2">
      <c r="A76" t="s">
        <v>533</v>
      </c>
      <c r="B76" s="75">
        <v>513611509</v>
      </c>
    </row>
    <row r="77" spans="1:2">
      <c r="A77" t="s">
        <v>594</v>
      </c>
      <c r="B77">
        <v>510888985</v>
      </c>
    </row>
    <row r="78" spans="1:2">
      <c r="A78" t="s">
        <v>584</v>
      </c>
      <c r="B78">
        <v>520024647</v>
      </c>
    </row>
    <row r="79" spans="1:2">
      <c r="A79" t="s">
        <v>529</v>
      </c>
      <c r="B79" s="75">
        <v>512244146</v>
      </c>
    </row>
    <row r="80" spans="1:2">
      <c r="A80" t="s">
        <v>560</v>
      </c>
      <c r="B80" s="75">
        <v>510694821</v>
      </c>
    </row>
    <row r="81" spans="1:2">
      <c r="A81" t="s">
        <v>595</v>
      </c>
      <c r="B81">
        <v>515761625</v>
      </c>
    </row>
    <row r="82" spans="1:2">
      <c r="A82" t="s">
        <v>571</v>
      </c>
      <c r="B82" s="75">
        <v>511423048</v>
      </c>
    </row>
    <row r="83" spans="1:2">
      <c r="A83" t="s">
        <v>526</v>
      </c>
      <c r="B83" s="75">
        <v>520019688</v>
      </c>
    </row>
    <row r="84" spans="1:2">
      <c r="A84" t="s">
        <v>587</v>
      </c>
      <c r="B84">
        <v>520004896</v>
      </c>
    </row>
    <row r="85" spans="1:2">
      <c r="A85" t="s">
        <v>536</v>
      </c>
      <c r="B85" s="75">
        <v>512237744</v>
      </c>
    </row>
    <row r="86" spans="1:2">
      <c r="A86" t="s">
        <v>820</v>
      </c>
      <c r="B86" s="75">
        <v>514956465</v>
      </c>
    </row>
    <row r="87" spans="1:2">
      <c r="A87" t="s">
        <v>538</v>
      </c>
      <c r="B87" s="75">
        <v>512362914</v>
      </c>
    </row>
    <row r="88" spans="1:2">
      <c r="A88" t="s">
        <v>537</v>
      </c>
      <c r="B88" s="75">
        <v>520042615</v>
      </c>
    </row>
    <row r="89" spans="1:2">
      <c r="A89" t="s">
        <v>535</v>
      </c>
      <c r="B89" s="75">
        <v>512065202</v>
      </c>
    </row>
    <row r="90" spans="1:2">
      <c r="A90" t="s">
        <v>582</v>
      </c>
      <c r="B90">
        <v>520042540</v>
      </c>
    </row>
    <row r="91" spans="1:2">
      <c r="A91" t="s">
        <v>541</v>
      </c>
      <c r="B91" s="75">
        <v>520027715</v>
      </c>
    </row>
    <row r="92" spans="1:2">
      <c r="A92" t="s">
        <v>540</v>
      </c>
      <c r="B92" s="75">
        <v>512245812</v>
      </c>
    </row>
    <row r="93" spans="1:2">
      <c r="A93" t="s">
        <v>574</v>
      </c>
      <c r="B93" s="75">
        <v>520022351</v>
      </c>
    </row>
    <row r="94" spans="1:2">
      <c r="A94" t="s">
        <v>543</v>
      </c>
      <c r="B94" s="75">
        <v>514767490</v>
      </c>
    </row>
    <row r="95" spans="1:2">
      <c r="A95" t="s">
        <v>532</v>
      </c>
      <c r="B95" s="75">
        <v>520024985</v>
      </c>
    </row>
    <row r="96" spans="1:2">
      <c r="A96" t="s">
        <v>566</v>
      </c>
      <c r="B96" s="75">
        <v>520042573</v>
      </c>
    </row>
    <row r="97" spans="1:2">
      <c r="A97" t="s">
        <v>561</v>
      </c>
      <c r="B97" s="75">
        <v>570009449</v>
      </c>
    </row>
    <row r="98" spans="1:2">
      <c r="A98" t="s">
        <v>521</v>
      </c>
      <c r="B98" s="75">
        <v>520031659</v>
      </c>
    </row>
    <row r="99" spans="1:2">
      <c r="A99" t="s">
        <v>565</v>
      </c>
      <c r="B99" s="75">
        <v>520042581</v>
      </c>
    </row>
    <row r="100" spans="1:2">
      <c r="A100" t="s">
        <v>596</v>
      </c>
      <c r="B100">
        <v>520031030</v>
      </c>
    </row>
    <row r="101" spans="1:2">
      <c r="A101" t="s">
        <v>547</v>
      </c>
      <c r="B101" s="75">
        <v>520030941</v>
      </c>
    </row>
    <row r="102" spans="1:2">
      <c r="A102" t="s">
        <v>564</v>
      </c>
      <c r="B102" s="75">
        <v>512008335</v>
      </c>
    </row>
    <row r="103" spans="1:2">
      <c r="A103" t="s">
        <v>575</v>
      </c>
      <c r="B103" s="75">
        <v>520022963</v>
      </c>
    </row>
    <row r="104" spans="1:2">
      <c r="A104" t="s">
        <v>530</v>
      </c>
      <c r="B104" s="75">
        <v>570011767</v>
      </c>
    </row>
    <row r="105" spans="1:2">
      <c r="A105" t="s">
        <v>569</v>
      </c>
      <c r="B105" s="75">
        <v>570014928</v>
      </c>
    </row>
    <row r="106" spans="1:2">
      <c r="A106" t="s">
        <v>549</v>
      </c>
      <c r="B106" s="75">
        <v>570005959</v>
      </c>
    </row>
    <row r="107" spans="1:2">
      <c r="A107" t="s">
        <v>518</v>
      </c>
      <c r="B107" s="75">
        <v>510800402</v>
      </c>
    </row>
    <row r="108" spans="1:2">
      <c r="A108" t="s">
        <v>525</v>
      </c>
      <c r="B108" s="75">
        <v>570007476</v>
      </c>
    </row>
    <row r="109" spans="1:2">
      <c r="A109" t="s">
        <v>524</v>
      </c>
      <c r="B109" s="75">
        <v>570005850</v>
      </c>
    </row>
    <row r="110" spans="1:2">
      <c r="A110" t="s">
        <v>576</v>
      </c>
      <c r="B110" s="75">
        <v>520020504</v>
      </c>
    </row>
    <row r="111" spans="1:2">
      <c r="A111" t="s">
        <v>577</v>
      </c>
      <c r="B111" s="75">
        <v>520020447</v>
      </c>
    </row>
    <row r="112" spans="1:2">
      <c r="A112" t="s">
        <v>555</v>
      </c>
      <c r="B112" s="75">
        <v>511033060</v>
      </c>
    </row>
    <row r="113" spans="1:2">
      <c r="A113" t="s">
        <v>604</v>
      </c>
      <c r="B113">
        <v>520027848</v>
      </c>
    </row>
    <row r="114" spans="1:2">
      <c r="A114" t="s">
        <v>527</v>
      </c>
      <c r="B114" s="75">
        <v>570009852</v>
      </c>
    </row>
    <row r="115" spans="1:2">
      <c r="A115" t="s">
        <v>550</v>
      </c>
      <c r="B115" s="75">
        <v>520027251</v>
      </c>
    </row>
    <row r="116" spans="1:2">
      <c r="A116" t="s">
        <v>551</v>
      </c>
      <c r="B116" s="75">
        <v>520028390</v>
      </c>
    </row>
    <row r="117" spans="1:2">
      <c r="A117" t="s">
        <v>528</v>
      </c>
      <c r="B117" s="75">
        <v>510806870</v>
      </c>
    </row>
    <row r="118" spans="1:2">
      <c r="A118" t="s">
        <v>605</v>
      </c>
      <c r="B118">
        <v>513879189</v>
      </c>
    </row>
    <row r="119" spans="1:2">
      <c r="A119" t="s">
        <v>597</v>
      </c>
      <c r="B119">
        <v>510015951</v>
      </c>
    </row>
    <row r="120" spans="1:2">
      <c r="A120" t="s">
        <v>539</v>
      </c>
      <c r="B120" s="75">
        <v>520030693</v>
      </c>
    </row>
    <row r="121" spans="1:2">
      <c r="A121" t="s">
        <v>544</v>
      </c>
      <c r="B121" s="75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Zeevik Levinger</cp:lastModifiedBy>
  <cp:lastPrinted>2022-08-08T09:16:18Z</cp:lastPrinted>
  <dcterms:created xsi:type="dcterms:W3CDTF">2021-05-03T04:41:48Z</dcterms:created>
  <dcterms:modified xsi:type="dcterms:W3CDTF">2024-06-06T17:50:09Z</dcterms:modified>
</cp:coreProperties>
</file>