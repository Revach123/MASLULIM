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Osnat\שידור\רשימות נכסים 17.09.25\עובדי מדינה\"/>
    </mc:Choice>
  </mc:AlternateContent>
  <xr:revisionPtr revIDLastSave="0" documentId="8_{A31FFE99-1C9F-42CB-9EC9-07521C4D3D15}" xr6:coauthVersionLast="47" xr6:coauthVersionMax="47" xr10:uidLastSave="{00000000-0000-0000-0000-000000000000}"/>
  <bookViews>
    <workbookView xWindow="190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D7" i="2"/>
  <c r="B7" i="2"/>
  <c r="D6" i="2"/>
  <c r="B6" i="2"/>
  <c r="B5" i="2"/>
  <c r="D5" i="2" s="1"/>
  <c r="B4" i="2"/>
  <c r="D4" i="2" s="1"/>
  <c r="D3" i="2"/>
  <c r="B3" i="2"/>
  <c r="D13" i="38"/>
  <c r="D15" i="38" s="1"/>
  <c r="B30" i="2" l="1"/>
  <c r="D30" i="2"/>
</calcChain>
</file>

<file path=xl/sharedStrings.xml><?xml version="1.0" encoding="utf-8"?>
<sst xmlns="http://schemas.openxmlformats.org/spreadsheetml/2006/main" count="15662" uniqueCount="2656">
  <si>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</si>
  <si>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</si>
  <si>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</si>
  <si>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</si>
  <si>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</si>
  <si>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</si>
  <si>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</si>
  <si>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</si>
  <si>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</si>
  <si>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</si>
  <si>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</si>
  <si>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</si>
  <si>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</si>
  <si>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</si>
  <si>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</si>
  <si>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</si>
  <si>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</si>
  <si>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</si>
  <si>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</si>
  <si>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</si>
  <si>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</si>
  <si>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</si>
  <si>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</si>
  <si>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</si>
  <si>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</si>
  <si>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</si>
  <si>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</si>
  <si>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915</t>
  </si>
  <si>
    <t>IL0082509121</t>
  </si>
  <si>
    <t>מק"מ קצר משנים עשר חודשים</t>
  </si>
  <si>
    <t>ישראל</t>
  </si>
  <si>
    <t>TASE </t>
  </si>
  <si>
    <t>RF</t>
  </si>
  <si>
    <t>פנימי</t>
  </si>
  <si>
    <t>ILS</t>
  </si>
  <si>
    <t>03/09/2025</t>
  </si>
  <si>
    <t>שווי הוגן</t>
  </si>
  <si>
    <t>מלווה קצר מועד 1015</t>
  </si>
  <si>
    <t>IL0082510194</t>
  </si>
  <si>
    <t>01/10/2025</t>
  </si>
  <si>
    <t>מלווה קצר מועד 515</t>
  </si>
  <si>
    <t>IL0082505160</t>
  </si>
  <si>
    <t>07/05/2025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</si>
  <si>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</si>
  <si>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</si>
  <si>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</si>
  <si>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</si>
  <si>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</si>
  <si>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</si>
  <si>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</si>
  <si>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</si>
  <si>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</si>
  <si>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</si>
  <si>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</si>
  <si>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</si>
  <si>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</si>
  <si>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</si>
  <si>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</si>
  <si>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</si>
  <si>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</si>
  <si>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</si>
  <si>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</si>
  <si>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</si>
  <si>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</si>
  <si>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</si>
  <si>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</si>
  <si>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</si>
  <si>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</si>
  <si>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</si>
  <si>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</si>
  <si>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</si>
  <si>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</si>
  <si>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</si>
  <si>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</si>
  <si>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</si>
  <si>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</si>
  <si>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</si>
  <si>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</si>
  <si>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</si>
  <si>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</si>
  <si>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</si>
  <si>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</si>
  <si>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</si>
  <si>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</si>
  <si>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316</t>
  </si>
  <si>
    <t>IL0082603171</t>
  </si>
  <si>
    <t>04/03/2026</t>
  </si>
  <si>
    <t>מקמ 815</t>
  </si>
  <si>
    <t>IL0082508131</t>
  </si>
  <si>
    <t>06/08/2025</t>
  </si>
  <si>
    <t>מדינת ישראל</t>
  </si>
  <si>
    <t>ISRAEL 5 1/2 03/12/34</t>
  </si>
  <si>
    <t>US46514BRL35</t>
  </si>
  <si>
    <t>צמוד מט"ח בריבית קבועה</t>
  </si>
  <si>
    <t>חו"ל</t>
  </si>
  <si>
    <t>אחר</t>
  </si>
  <si>
    <t>Baa1</t>
  </si>
  <si>
    <t>Moodys</t>
  </si>
  <si>
    <t>USD</t>
  </si>
  <si>
    <t>12/03/2034</t>
  </si>
  <si>
    <t>US TREASURY Bills</t>
  </si>
  <si>
    <t>T 3 7/8 08/15/34</t>
  </si>
  <si>
    <t>US91282CLF67</t>
  </si>
  <si>
    <t>ארה"ב</t>
  </si>
  <si>
    <t>AA+</t>
  </si>
  <si>
    <t>Fitch</t>
  </si>
  <si>
    <t>15/08/2034</t>
  </si>
  <si>
    <t>T 3 3/4 05/31/30</t>
  </si>
  <si>
    <t>US91282CHF14</t>
  </si>
  <si>
    <t>31/05/2030</t>
  </si>
  <si>
    <t>מלווה קצר מועד 615</t>
  </si>
  <si>
    <t>IL0082506150</t>
  </si>
  <si>
    <t>04/06/2025</t>
  </si>
  <si>
    <t>מלווה קצר מועד 1115</t>
  </si>
  <si>
    <t>IL0082511184</t>
  </si>
  <si>
    <t>05/11/2025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</si>
  <si>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</si>
  <si>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</si>
  <si>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</si>
  <si>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</si>
  <si>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</si>
  <si>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</si>
  <si>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ממשלתי שקלי  1026</t>
  </si>
  <si>
    <t>IL0010994569</t>
  </si>
  <si>
    <t>30/10/2026</t>
  </si>
  <si>
    <t>מקמ       216</t>
  </si>
  <si>
    <t>IL0082602181</t>
  </si>
  <si>
    <t>04/02/2026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</si>
  <si>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</si>
  <si>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</si>
  <si>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</si>
  <si>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</si>
  <si>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</si>
  <si>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</si>
  <si>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</si>
  <si>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</si>
  <si>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</si>
  <si>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</si>
  <si>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</si>
  <si>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</si>
  <si>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</si>
  <si>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</si>
  <si>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</si>
  <si>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</si>
  <si>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</si>
  <si>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</si>
  <si>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</si>
  <si>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</si>
  <si>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31/03/2025</t>
  </si>
  <si>
    <t>חייבים</t>
  </si>
  <si>
    <t>27960000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</si>
  <si>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</si>
  <si>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</si>
  <si>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</si>
  <si>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</si>
  <si>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</si>
  <si>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</si>
  <si>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</si>
  <si>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</si>
  <si>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</si>
  <si>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</si>
  <si>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</si>
  <si>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</si>
  <si>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</si>
  <si>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</si>
  <si>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</si>
  <si>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</si>
  <si>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</si>
  <si>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</si>
  <si>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</si>
  <si>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</si>
  <si>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</si>
  <si>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</si>
  <si>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</si>
  <si>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</si>
  <si>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</si>
  <si>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</si>
  <si>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</si>
  <si>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</si>
  <si>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</si>
  <si>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</si>
  <si>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</si>
  <si>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</si>
  <si>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</si>
  <si>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</si>
  <si>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ALESCO PFD VI</t>
  </si>
  <si>
    <t>KYG015912085</t>
  </si>
  <si>
    <t>ISIN</t>
  </si>
  <si>
    <t>06/08/2019</t>
  </si>
  <si>
    <t>NR</t>
  </si>
  <si>
    <t>אי-תלות</t>
  </si>
  <si>
    <t>08/08/2019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</si>
  <si>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</si>
  <si>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</si>
  <si>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</si>
  <si>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</si>
  <si>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</si>
  <si>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</si>
  <si>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</si>
  <si>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</si>
  <si>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</si>
  <si>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</si>
  <si>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</si>
  <si>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</si>
  <si>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</si>
  <si>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</si>
  <si>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</si>
  <si>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</si>
  <si>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</si>
  <si>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</si>
  <si>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</si>
  <si>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</si>
  <si>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</si>
  <si>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</si>
  <si>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</si>
  <si>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</si>
  <si>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</si>
  <si>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</si>
  <si>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</si>
  <si>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</si>
  <si>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</si>
  <si>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</si>
  <si>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</si>
  <si>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</si>
  <si>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</si>
  <si>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</si>
  <si>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</si>
  <si>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</si>
  <si>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</si>
  <si>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</si>
  <si>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</si>
  <si>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</si>
  <si>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</si>
  <si>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</si>
  <si>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</si>
  <si>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</si>
  <si>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</si>
  <si>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</si>
  <si>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</si>
  <si>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</si>
  <si>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</si>
  <si>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</si>
  <si>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</si>
  <si>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</si>
  <si>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</si>
  <si>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</si>
  <si>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</si>
  <si>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</si>
  <si>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</si>
  <si>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</si>
  <si>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</si>
  <si>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</si>
  <si>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</si>
  <si>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</si>
  <si>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</si>
  <si>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</si>
  <si>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</si>
  <si>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</si>
  <si>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</si>
  <si>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</si>
  <si>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</si>
  <si>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</si>
  <si>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</si>
  <si>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</si>
  <si>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</si>
  <si>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</si>
  <si>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</si>
  <si>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</si>
  <si>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</si>
  <si>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</si>
  <si>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</si>
  <si>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</si>
  <si>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</si>
  <si>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</si>
  <si>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</si>
  <si>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</si>
  <si>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</si>
  <si>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</si>
  <si>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</si>
  <si>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</si>
  <si>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</si>
  <si>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</si>
  <si>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</si>
  <si>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</si>
  <si>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</si>
  <si>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</si>
  <si>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</si>
  <si>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</si>
  <si>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</si>
  <si>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</si>
  <si>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</si>
  <si>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</si>
  <si>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</si>
  <si>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</si>
  <si>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</si>
  <si>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</si>
  <si>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</si>
  <si>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</si>
  <si>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</si>
  <si>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</si>
  <si>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</si>
  <si>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</si>
  <si>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</si>
  <si>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</si>
  <si>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</si>
  <si>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</si>
  <si>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</si>
  <si>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</si>
  <si>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</si>
  <si>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</si>
  <si>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</si>
  <si>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</si>
  <si>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</si>
  <si>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</si>
  <si>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</si>
  <si>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</si>
  <si>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</si>
  <si>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</si>
  <si>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</si>
  <si>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</si>
  <si>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</si>
  <si>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</si>
  <si>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</si>
  <si>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</si>
  <si>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</si>
  <si>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</si>
  <si>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</si>
  <si>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</si>
  <si>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</si>
  <si>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</si>
  <si>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</si>
  <si>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</si>
  <si>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</si>
  <si>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</si>
  <si>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</si>
  <si>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</si>
  <si>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</si>
  <si>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</si>
  <si>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</si>
  <si>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</si>
  <si>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</si>
  <si>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</si>
  <si>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</si>
  <si>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</si>
  <si>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</si>
  <si>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</si>
  <si>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</si>
  <si>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</si>
  <si>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</si>
  <si>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</si>
  <si>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</si>
  <si>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</si>
  <si>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</si>
  <si>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</si>
  <si>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</si>
  <si>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</si>
  <si>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</si>
  <si>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</si>
  <si>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</si>
  <si>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</si>
  <si>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</si>
  <si>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</si>
  <si>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</si>
  <si>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</si>
  <si>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</si>
  <si>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</si>
  <si>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</si>
  <si>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</si>
  <si>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</si>
  <si>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</si>
  <si>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</si>
  <si>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</si>
  <si>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</si>
  <si>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</si>
  <si>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</si>
  <si>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</si>
  <si>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</si>
  <si>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</si>
  <si>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</si>
  <si>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</si>
  <si>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</si>
  <si>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</si>
  <si>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</si>
  <si>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</si>
  <si>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</si>
  <si>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</si>
  <si>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</si>
  <si>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</si>
  <si>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</si>
  <si>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</si>
  <si>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</si>
  <si>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</si>
  <si>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</si>
  <si>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</si>
  <si>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</si>
  <si>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</si>
  <si>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</si>
  <si>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</si>
  <si>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</si>
  <si>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</si>
  <si>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</si>
  <si>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</si>
  <si>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</si>
  <si>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</si>
  <si>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</si>
  <si>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</si>
  <si>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</si>
  <si>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</si>
  <si>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</si>
  <si>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</si>
  <si>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</si>
  <si>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</si>
  <si>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</si>
  <si>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</si>
  <si>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</si>
  <si>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</si>
  <si>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</si>
  <si>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</si>
  <si>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</si>
  <si>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</si>
  <si>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</si>
  <si>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</si>
  <si>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</si>
  <si>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</si>
  <si>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</si>
  <si>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</si>
  <si>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</si>
  <si>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</si>
  <si>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</si>
  <si>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</si>
  <si>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</si>
  <si>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</si>
  <si>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</si>
  <si>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</si>
  <si>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</si>
  <si>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</si>
  <si>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</si>
  <si>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</si>
  <si>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</si>
  <si>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</si>
  <si>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</si>
  <si>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</si>
  <si>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</si>
  <si>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</si>
  <si>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</si>
  <si>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</si>
  <si>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</si>
  <si>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</si>
  <si>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</si>
  <si>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</si>
  <si>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</si>
  <si>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</si>
  <si>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</si>
  <si>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</si>
  <si>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</si>
  <si>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</si>
  <si>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</si>
  <si>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</si>
  <si>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</si>
  <si>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</si>
  <si>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</si>
  <si>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</si>
  <si>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</si>
  <si>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</si>
  <si>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</si>
  <si>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</si>
  <si>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</si>
  <si>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</si>
  <si>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</si>
  <si>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</si>
  <si>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</si>
  <si>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</si>
  <si>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</si>
  <si>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</si>
  <si>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</si>
  <si>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</si>
  <si>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</si>
  <si>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</si>
  <si>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</si>
  <si>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</si>
  <si>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</si>
  <si>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</si>
  <si>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</si>
  <si>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</si>
  <si>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</si>
  <si>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</si>
  <si>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</si>
  <si>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</si>
  <si>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</si>
  <si>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</si>
  <si>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</si>
  <si>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</si>
  <si>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</si>
  <si>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</si>
  <si>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</si>
  <si>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</si>
  <si>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</si>
  <si>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</si>
  <si>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</si>
  <si>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</si>
  <si>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</si>
  <si>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</si>
  <si>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</si>
  <si>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</si>
  <si>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</si>
  <si>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</si>
  <si>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</si>
  <si>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</si>
  <si>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</si>
  <si>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</si>
  <si>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</si>
  <si>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</si>
  <si>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</si>
  <si>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</si>
  <si>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</si>
  <si>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</si>
  <si>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</si>
  <si>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</si>
  <si>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</si>
  <si>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</si>
  <si>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</si>
  <si>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</si>
  <si>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</si>
  <si>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</si>
  <si>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</si>
  <si>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</si>
  <si>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</si>
  <si>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</si>
  <si>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</si>
  <si>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</si>
  <si>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</si>
  <si>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</si>
  <si>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</si>
  <si>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</si>
  <si>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</si>
  <si>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</si>
  <si>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</si>
  <si>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</si>
  <si>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</si>
  <si>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</si>
  <si>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</si>
  <si>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</si>
  <si>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</si>
  <si>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</si>
  <si>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</si>
  <si>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</si>
  <si>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</si>
  <si>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</si>
  <si>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</si>
  <si>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</si>
  <si>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</si>
  <si>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</si>
  <si>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</si>
  <si>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</si>
  <si>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</si>
  <si>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</si>
  <si>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</si>
  <si>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</si>
  <si>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</si>
  <si>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</si>
  <si>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</si>
  <si>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</si>
  <si>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</si>
  <si>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</si>
  <si>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</si>
  <si>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</si>
  <si>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</si>
  <si>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</si>
  <si>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</si>
  <si>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</si>
  <si>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</si>
  <si>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</si>
  <si>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</si>
  <si>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</si>
  <si>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</si>
  <si>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</si>
  <si>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</si>
  <si>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</si>
  <si>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</si>
  <si>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</si>
  <si>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</si>
  <si>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</si>
  <si>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</si>
  <si>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</si>
  <si>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</si>
  <si>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</si>
  <si>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</si>
  <si>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</si>
  <si>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</si>
  <si>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</si>
  <si>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</si>
  <si>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</si>
  <si>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</si>
  <si>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</si>
  <si>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</si>
  <si>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</si>
  <si>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</si>
  <si>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</si>
  <si>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</si>
  <si>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</si>
  <si>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</si>
  <si>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</si>
  <si>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</si>
  <si>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</si>
  <si>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</si>
  <si>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</si>
  <si>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</si>
  <si>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</si>
  <si>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</si>
  <si>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</si>
  <si>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</si>
  <si>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</si>
  <si>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</si>
  <si>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</si>
  <si>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</si>
  <si>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</si>
  <si>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</si>
  <si>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</si>
  <si>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</si>
  <si>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</si>
  <si>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</si>
  <si>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</si>
  <si>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</si>
  <si>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</si>
  <si>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</si>
  <si>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</si>
  <si>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</si>
  <si>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</si>
  <si>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</si>
  <si>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</si>
  <si>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</si>
  <si>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</si>
  <si>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</si>
  <si>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</si>
  <si>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</si>
  <si>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</si>
  <si>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</si>
  <si>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</si>
  <si>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</si>
  <si>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</si>
  <si>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</si>
  <si>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</si>
  <si>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</si>
  <si>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</si>
  <si>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</si>
  <si>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</si>
  <si>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</si>
  <si>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</si>
  <si>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</si>
  <si>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</si>
  <si>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</si>
  <si>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</si>
  <si>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</si>
  <si>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</si>
  <si>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</si>
  <si>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</si>
  <si>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</si>
  <si>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</si>
  <si>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</si>
  <si>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</si>
  <si>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</si>
  <si>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</si>
  <si>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</si>
  <si>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</si>
  <si>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</si>
  <si>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</si>
  <si>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</si>
  <si>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</si>
  <si>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</si>
  <si>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</si>
  <si>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</si>
  <si>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</si>
  <si>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</si>
  <si>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</si>
  <si>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</si>
  <si>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</si>
  <si>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</si>
  <si>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</si>
  <si>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</si>
  <si>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</si>
  <si>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</si>
  <si>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</si>
  <si>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</si>
  <si>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</si>
  <si>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</si>
  <si>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</si>
  <si>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</si>
  <si>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</si>
  <si>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</si>
  <si>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</si>
  <si>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</si>
  <si>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</si>
  <si>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</si>
  <si>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</si>
  <si>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</si>
  <si>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</si>
  <si>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</si>
  <si>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</si>
  <si>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</si>
  <si>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</si>
  <si>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</si>
  <si>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</si>
  <si>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</si>
  <si>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</si>
  <si>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</si>
  <si>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</si>
  <si>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</si>
  <si>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</si>
  <si>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</si>
  <si>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</si>
  <si>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</si>
  <si>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</si>
  <si>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</si>
  <si>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</si>
  <si>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</si>
  <si>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</si>
  <si>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</si>
  <si>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</si>
  <si>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</si>
  <si>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</si>
  <si>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</si>
  <si>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</si>
  <si>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</si>
  <si>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</si>
  <si>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</si>
  <si>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</si>
  <si>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</si>
  <si>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</si>
  <si>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</si>
  <si>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</si>
  <si>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</si>
  <si>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</si>
  <si>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</si>
  <si>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</si>
  <si>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</si>
  <si>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</si>
  <si>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</si>
  <si>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</si>
  <si>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</si>
  <si>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</si>
  <si>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</si>
  <si>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</si>
  <si>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</si>
  <si>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</si>
  <si>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</si>
  <si>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</si>
  <si>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</si>
  <si>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</si>
  <si>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</si>
  <si>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</si>
  <si>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</si>
  <si>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</si>
  <si>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</si>
  <si>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</si>
  <si>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</si>
  <si>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</si>
  <si>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</si>
  <si>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</si>
  <si>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</si>
  <si>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</si>
  <si>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</si>
  <si>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</si>
  <si>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</si>
  <si>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</si>
  <si>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</si>
  <si>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</si>
  <si>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</si>
  <si>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</si>
  <si>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</si>
  <si>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</si>
  <si>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</si>
  <si>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</si>
  <si>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</si>
  <si>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</si>
  <si>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</si>
  <si>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</si>
  <si>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</si>
  <si>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</si>
  <si>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</si>
  <si>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</si>
  <si>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</si>
  <si>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</si>
  <si>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</si>
  <si>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</si>
  <si>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</si>
  <si>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</si>
  <si>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</si>
  <si>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</si>
  <si>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</si>
  <si>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</si>
  <si>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</si>
  <si>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</si>
  <si>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</si>
  <si>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</si>
  <si>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</si>
  <si>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</si>
  <si>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</si>
  <si>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</si>
  <si>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</si>
  <si>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</si>
  <si>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</si>
  <si>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</si>
  <si>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</si>
  <si>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</si>
  <si>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</si>
  <si>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</si>
  <si>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</si>
  <si>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</si>
  <si>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</si>
  <si>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</si>
  <si>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</si>
  <si>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</si>
  <si>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</si>
  <si>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</si>
  <si>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</si>
  <si>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</si>
  <si>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</si>
  <si>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</si>
  <si>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</si>
  <si>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</si>
  <si>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</si>
  <si>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</si>
  <si>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</si>
  <si>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</si>
  <si>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</si>
  <si>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</si>
  <si>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</si>
  <si>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</si>
  <si>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</si>
  <si>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</si>
  <si>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</si>
  <si>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</si>
  <si>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</si>
  <si>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</si>
  <si>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</si>
  <si>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</si>
  <si>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</si>
  <si>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</si>
  <si>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</si>
  <si>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</si>
  <si>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</si>
  <si>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</si>
  <si>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</si>
  <si>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</si>
  <si>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</si>
  <si>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</si>
  <si>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</si>
  <si>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</si>
  <si>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</si>
  <si>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</si>
  <si>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</si>
  <si>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</si>
  <si>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</si>
  <si>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</si>
  <si>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</si>
  <si>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</si>
  <si>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</si>
  <si>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</si>
  <si>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</si>
  <si>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</si>
  <si>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</si>
  <si>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</si>
  <si>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</si>
  <si>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</si>
  <si>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</si>
  <si>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</si>
  <si>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</si>
  <si>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</si>
  <si>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</si>
  <si>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</si>
  <si>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</si>
  <si>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</si>
  <si>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</si>
  <si>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</si>
  <si>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</si>
  <si>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</si>
  <si>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</si>
  <si>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</si>
  <si>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</si>
  <si>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</si>
  <si>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</si>
  <si>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</si>
  <si>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</si>
  <si>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</si>
  <si>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</si>
  <si>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</si>
  <si>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</si>
  <si>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</si>
  <si>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</si>
  <si>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</si>
  <si>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</si>
  <si>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</si>
  <si>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</si>
  <si>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</si>
  <si>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</si>
  <si>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</si>
  <si>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</si>
  <si>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</si>
  <si>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</si>
  <si>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</si>
  <si>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</si>
  <si>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</si>
  <si>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</si>
  <si>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</si>
  <si>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</si>
  <si>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</si>
  <si>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</si>
  <si>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</si>
  <si>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</si>
  <si>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</si>
  <si>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</si>
  <si>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</si>
  <si>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</si>
  <si>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</si>
  <si>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</si>
  <si>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</si>
  <si>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</si>
  <si>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</si>
  <si>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</si>
  <si>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</si>
  <si>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</si>
  <si>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</si>
  <si>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</si>
  <si>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</si>
  <si>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</si>
  <si>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</si>
  <si>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</si>
  <si>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</si>
  <si>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</si>
  <si>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</si>
  <si>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</si>
  <si>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</si>
  <si>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</si>
  <si>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</si>
  <si>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</si>
  <si>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</si>
  <si>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</si>
  <si>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</si>
  <si>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</si>
  <si>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</si>
  <si>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</si>
  <si>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</si>
  <si>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</si>
  <si>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</si>
  <si>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</si>
  <si>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</si>
  <si>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</si>
  <si>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</si>
  <si>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</si>
  <si>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</si>
  <si>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</si>
  <si>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</si>
  <si>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</si>
  <si>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</si>
  <si>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</si>
  <si>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</si>
  <si>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</si>
  <si>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</si>
  <si>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</si>
  <si>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</si>
  <si>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</si>
  <si>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</si>
  <si>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</si>
  <si>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</si>
  <si>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</si>
  <si>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</si>
  <si>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</si>
  <si>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</si>
  <si>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</si>
  <si>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</si>
  <si>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</si>
  <si>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</si>
  <si>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</si>
  <si>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</si>
  <si>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</si>
  <si>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</si>
  <si>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</si>
  <si>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</si>
  <si>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</si>
  <si>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</si>
  <si>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</si>
  <si>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</si>
  <si>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</si>
  <si>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</si>
  <si>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</si>
  <si>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</si>
  <si>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</si>
  <si>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</si>
  <si>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</si>
  <si>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</si>
  <si>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</si>
  <si>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</si>
  <si>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</si>
  <si>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</si>
  <si>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</si>
  <si>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</si>
  <si>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</si>
  <si>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</si>
  <si>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</si>
  <si>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</si>
  <si>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</si>
  <si>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</si>
  <si>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</si>
  <si>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</si>
  <si>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</si>
  <si>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</si>
  <si>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</si>
  <si>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</si>
  <si>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</si>
  <si>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</si>
  <si>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</si>
  <si>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</si>
  <si>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</si>
  <si>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</si>
  <si>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</si>
  <si>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</si>
  <si>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</si>
  <si>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</si>
  <si>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</si>
  <si>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</si>
  <si>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</si>
  <si>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</si>
  <si>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</si>
  <si>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</si>
  <si>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</si>
  <si>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</si>
  <si>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</si>
  <si>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</si>
  <si>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</si>
  <si>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</si>
  <si>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</si>
  <si>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</si>
  <si>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</si>
  <si>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</si>
  <si>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</si>
  <si>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</si>
  <si>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</si>
  <si>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</si>
  <si>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</si>
  <si>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</si>
  <si>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</si>
  <si>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</si>
  <si>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</si>
  <si>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</si>
  <si>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</si>
  <si>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</si>
  <si>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</si>
  <si>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</si>
  <si>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</si>
  <si>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</si>
  <si>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</si>
  <si>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</si>
  <si>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</si>
  <si>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</si>
  <si>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</si>
  <si>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</si>
  <si>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</si>
  <si>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</si>
  <si>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</si>
  <si>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</si>
  <si>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</si>
  <si>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</si>
  <si>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</si>
  <si>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</si>
  <si>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</si>
  <si>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</si>
  <si>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</si>
  <si>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</si>
  <si>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</si>
  <si>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</si>
  <si>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</si>
  <si>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</si>
  <si>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</si>
  <si>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</si>
  <si>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</si>
  <si>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</si>
  <si>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</si>
  <si>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</si>
  <si>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</si>
  <si>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</si>
  <si>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</si>
  <si>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</si>
  <si>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</si>
  <si>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</si>
  <si>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</si>
  <si>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</si>
  <si>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</si>
  <si>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</si>
  <si>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</si>
  <si>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</si>
  <si>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</si>
  <si>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</si>
  <si>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</si>
  <si>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</si>
  <si>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</si>
  <si>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</si>
  <si>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</si>
  <si>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</si>
  <si>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</si>
  <si>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</si>
  <si>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</si>
  <si>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</si>
  <si>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</si>
  <si>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</si>
  <si>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</si>
  <si>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</si>
  <si>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</si>
  <si>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</si>
  <si>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</si>
  <si>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</si>
  <si>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</si>
  <si>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</si>
  <si>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</si>
  <si>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</si>
  <si>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</si>
  <si>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</si>
  <si>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</si>
  <si>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</si>
  <si>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</si>
  <si>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</si>
  <si>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</si>
  <si>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</si>
  <si>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</si>
  <si>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</si>
  <si>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</si>
  <si>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</si>
  <si>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</si>
  <si>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</si>
  <si>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</si>
  <si>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</si>
  <si>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</si>
  <si>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</si>
  <si>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</si>
  <si>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</si>
  <si>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</si>
  <si>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</si>
  <si>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</si>
  <si>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</si>
  <si>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</si>
  <si>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</si>
  <si>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</si>
  <si>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</si>
  <si>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</si>
  <si>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</si>
  <si>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</si>
  <si>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</si>
  <si>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</si>
  <si>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</si>
  <si>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</si>
  <si>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</si>
  <si>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</si>
  <si>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</si>
  <si>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</si>
  <si>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</si>
  <si>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</si>
  <si>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</si>
  <si>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</si>
  <si>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</si>
  <si>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</si>
  <si>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</si>
  <si>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</si>
  <si>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</si>
  <si>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</si>
  <si>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</si>
  <si>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</si>
  <si>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</si>
  <si>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</si>
  <si>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</si>
  <si>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</si>
  <si>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</si>
  <si>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</si>
  <si>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</si>
  <si>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</si>
  <si>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</si>
  <si>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</si>
  <si>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</si>
  <si>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</si>
  <si>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</si>
  <si>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</si>
  <si>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</si>
  <si>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בנק לאומי לישראל בע"מ</t>
  </si>
  <si>
    <t>10-800</t>
  </si>
  <si>
    <t>AAA</t>
  </si>
  <si>
    <t>EUR</t>
  </si>
  <si>
    <t>JPY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</si>
  <si>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</si>
  <si>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</si>
  <si>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</si>
  <si>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</si>
  <si>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</si>
  <si>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</si>
  <si>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</si>
  <si>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</si>
  <si>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</si>
  <si>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</si>
  <si>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</si>
  <si>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</si>
  <si>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</si>
  <si>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</si>
  <si>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</si>
  <si>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</si>
  <si>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</si>
  <si>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</si>
  <si>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</si>
  <si>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</si>
  <si>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</si>
  <si>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</si>
  <si>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</si>
  <si>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</si>
  <si>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</si>
  <si>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</si>
  <si>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</si>
  <si>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</si>
  <si>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</si>
  <si>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</si>
  <si>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</si>
  <si>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</si>
  <si>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</si>
  <si>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</si>
  <si>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</si>
  <si>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</si>
  <si>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</si>
  <si>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</si>
  <si>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</si>
  <si>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</si>
  <si>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</si>
  <si>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</si>
  <si>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</si>
  <si>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</si>
  <si>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</si>
  <si>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</si>
  <si>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</si>
  <si>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</si>
  <si>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</si>
  <si>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</si>
  <si>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</si>
  <si>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</si>
  <si>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</si>
  <si>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</si>
  <si>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</si>
  <si>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</si>
  <si>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</si>
  <si>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</si>
  <si>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</si>
  <si>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</si>
  <si>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</si>
  <si>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</si>
  <si>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</si>
  <si>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</si>
  <si>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</si>
  <si>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</si>
  <si>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</si>
  <si>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</si>
  <si>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</si>
  <si>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</si>
  <si>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</si>
  <si>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</si>
  <si>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</si>
  <si>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</si>
  <si>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</si>
  <si>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</si>
  <si>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</si>
  <si>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</si>
  <si>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</si>
  <si>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</si>
  <si>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</si>
  <si>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</si>
  <si>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</si>
  <si>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</si>
  <si>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</si>
  <si>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</si>
  <si>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</si>
  <si>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</si>
  <si>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</si>
  <si>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</si>
  <si>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</si>
  <si>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</si>
  <si>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</si>
  <si>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</si>
  <si>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</si>
  <si>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</si>
  <si>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</si>
  <si>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</si>
  <si>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</si>
  <si>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</si>
  <si>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</si>
  <si>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</si>
  <si>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</si>
  <si>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</si>
  <si>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</si>
  <si>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</si>
  <si>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</si>
  <si>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</si>
  <si>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</si>
  <si>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</si>
  <si>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</si>
  <si>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</si>
  <si>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</si>
  <si>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</si>
  <si>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382</t>
  </si>
  <si>
    <t>90024359</t>
  </si>
  <si>
    <t>USD ILS</t>
  </si>
  <si>
    <t>15/01/2025</t>
  </si>
  <si>
    <t>09/04/2025</t>
  </si>
  <si>
    <t>0</t>
  </si>
  <si>
    <t>NA</t>
  </si>
  <si>
    <t>LUMILIT</t>
  </si>
  <si>
    <t>90023456</t>
  </si>
  <si>
    <t>17/09/2024</t>
  </si>
  <si>
    <t>17/09/2025</t>
  </si>
  <si>
    <t>90024704</t>
  </si>
  <si>
    <t>18/02/2025</t>
  </si>
  <si>
    <t>90024786</t>
  </si>
  <si>
    <t>27/02/2025</t>
  </si>
  <si>
    <t>90024804</t>
  </si>
  <si>
    <t>03/03/2025</t>
  </si>
  <si>
    <t>90024342</t>
  </si>
  <si>
    <t>14/01/2025</t>
  </si>
  <si>
    <t>90024340</t>
  </si>
  <si>
    <t>EUR ILS</t>
  </si>
  <si>
    <t>90024681</t>
  </si>
  <si>
    <t>13/02/2025</t>
  </si>
  <si>
    <t>7635</t>
  </si>
  <si>
    <t>9479</t>
  </si>
  <si>
    <t>510960586</t>
  </si>
  <si>
    <t>ח.פ</t>
  </si>
  <si>
    <t>הלוואות לחברים עובדי מדינה (ריבית צמוד פריים)</t>
  </si>
  <si>
    <t>29994014</t>
  </si>
  <si>
    <t>21/02/2017</t>
  </si>
  <si>
    <t>30/12/2100</t>
  </si>
  <si>
    <t>פריים</t>
  </si>
  <si>
    <t>אי תלות</t>
  </si>
  <si>
    <t>אחים דוניץ בע"מ</t>
  </si>
  <si>
    <t>520038605</t>
  </si>
  <si>
    <t>דוניץ אופציה לא סחירה</t>
  </si>
  <si>
    <t>4000101</t>
  </si>
  <si>
    <t>IL0004000100</t>
  </si>
  <si>
    <t>24/02/2025</t>
  </si>
  <si>
    <t>מסלקת הבורסה</t>
  </si>
  <si>
    <t>520027152</t>
  </si>
  <si>
    <t>תC002440M504-35</t>
  </si>
  <si>
    <t>IL0854664724</t>
  </si>
  <si>
    <t>נגזרים</t>
  </si>
  <si>
    <t>25/04/2025</t>
  </si>
  <si>
    <t>תP002440M504-35</t>
  </si>
  <si>
    <t>IL0854674624</t>
  </si>
  <si>
    <t>שווי הוגן (בש"ח)</t>
  </si>
  <si>
    <t>Nomura asset management</t>
  </si>
  <si>
    <t>549300LNIUIPKJOPIK90</t>
  </si>
  <si>
    <t>NOMURA-US HIGH YLD BD-I USD</t>
  </si>
  <si>
    <t>IE00B3RW8498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</si>
  <si>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</si>
  <si>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</si>
  <si>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</si>
  <si>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</si>
  <si>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</si>
  <si>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APS Fund SICAV - APS China A S</t>
  </si>
  <si>
    <t>549300045D2ZRM2NYN79</t>
  </si>
  <si>
    <t>$APS-CHINA A S-F</t>
  </si>
  <si>
    <t>LU1987754873</t>
  </si>
  <si>
    <t>CIFC Senior Secured Corporate</t>
  </si>
  <si>
    <t>3912000TN89ESDWHS93</t>
  </si>
  <si>
    <t>CIFC SEN.SEC.COR</t>
  </si>
  <si>
    <t>KYG2139S1194</t>
  </si>
  <si>
    <t>Fidelity Fund Management</t>
  </si>
  <si>
    <t>549300JFYFTF85QAQR28</t>
  </si>
  <si>
    <t>FIDELITY US HIGH</t>
  </si>
  <si>
    <t>LU0891474172</t>
  </si>
  <si>
    <t>Invesco investment management limited</t>
  </si>
  <si>
    <t>ECPGFXU8A2SHKVVGJI15</t>
  </si>
  <si>
    <t>INV-US SEN-G</t>
  </si>
  <si>
    <t>LU0564079282</t>
  </si>
  <si>
    <t>מגדל קרנות נאמנות בע"מ</t>
  </si>
  <si>
    <t>511303661</t>
  </si>
  <si>
    <t>MTF סל Nasdaq 100 (4D)</t>
  </si>
  <si>
    <t>IL0011813875</t>
  </si>
  <si>
    <t>מניות בחו"ל חשופות מט"ח</t>
  </si>
  <si>
    <t>MTF סל תא 125</t>
  </si>
  <si>
    <t>IL0011502833</t>
  </si>
  <si>
    <t>MTF סל תא 90</t>
  </si>
  <si>
    <t>IL0011502593</t>
  </si>
  <si>
    <t>הראל קרנות נאמנות בע"מ</t>
  </si>
  <si>
    <t>511776783</t>
  </si>
  <si>
    <t>הראל סל תא 90</t>
  </si>
  <si>
    <t>IL0011489312</t>
  </si>
  <si>
    <t>הראל סל תל בונד שקלי</t>
  </si>
  <si>
    <t>IL0011505232</t>
  </si>
  <si>
    <t xml:space="preserve">אג"ח בישראל - חברות והמרה  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</si>
  <si>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</si>
  <si>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</si>
  <si>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</si>
  <si>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</si>
  <si>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</si>
  <si>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</si>
  <si>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קסם קרנות נאמנות בע"מ</t>
  </si>
  <si>
    <t>510938608</t>
  </si>
  <si>
    <t>קסם 50 EURO PR STOXX</t>
  </si>
  <si>
    <t>IL0011464067</t>
  </si>
  <si>
    <t>קסם S&amp;P 500 (4D) ETF</t>
  </si>
  <si>
    <t>IL0011464711</t>
  </si>
  <si>
    <t>קסם קרן סל תא 125</t>
  </si>
  <si>
    <t>IL0011463564</t>
  </si>
  <si>
    <t>קסם תא 90</t>
  </si>
  <si>
    <t>IL0011463317</t>
  </si>
  <si>
    <t>קסם תא נדלן</t>
  </si>
  <si>
    <t>IL0011465478</t>
  </si>
  <si>
    <t>מיטב קרנות נאמנות בע"מ</t>
  </si>
  <si>
    <t>513534974</t>
  </si>
  <si>
    <t>תכלית סל תא 90</t>
  </si>
  <si>
    <t>IL0011437832</t>
  </si>
  <si>
    <t>AMUNDI</t>
  </si>
  <si>
    <t>2138007M6OEXDENVTF82</t>
  </si>
  <si>
    <t>AMUNDI DAX III-ETF</t>
  </si>
  <si>
    <t>LU0252633754</t>
  </si>
  <si>
    <t>FWB </t>
  </si>
  <si>
    <t>Amundi Asset Management</t>
  </si>
  <si>
    <t>213800VZW861M5FHMD50</t>
  </si>
  <si>
    <t>AMUNDI S&amp;P 500</t>
  </si>
  <si>
    <t>LU1681049018</t>
  </si>
  <si>
    <t xml:space="preserve">BlackRock  Asset Managment </t>
  </si>
  <si>
    <t>254900UWHMJRRODS3Z64</t>
  </si>
  <si>
    <t>CEF ishares russell</t>
  </si>
  <si>
    <t>US4642876555</t>
  </si>
  <si>
    <t>State Street Corp</t>
  </si>
  <si>
    <t>07F5H7W3ET8ZLWNMFP29</t>
  </si>
  <si>
    <t>Financial sel sector spdr</t>
  </si>
  <si>
    <t>US81369Y6059</t>
  </si>
  <si>
    <t>HSBC Holdings PLC</t>
  </si>
  <si>
    <t>MLU0ZO3ML4LN2LL2TL39</t>
  </si>
  <si>
    <t>HANG SENG</t>
  </si>
  <si>
    <t>HK2828013055</t>
  </si>
  <si>
    <t>HKD</t>
  </si>
  <si>
    <t>INVESCO S&amp;P 500 EQUITY</t>
  </si>
  <si>
    <t>IE00B3YCGJ38</t>
  </si>
  <si>
    <t>ISH $ CORP BD $A</t>
  </si>
  <si>
    <t>IE00BYXYYJ35</t>
  </si>
  <si>
    <t>ISH CORE ERSTX50</t>
  </si>
  <si>
    <t>DE0005933956</t>
  </si>
  <si>
    <t>ISH S&amp;P US BANKS</t>
  </si>
  <si>
    <t>IE00BD3V0B10</t>
  </si>
  <si>
    <t>NYSE </t>
  </si>
  <si>
    <t>ISH S&amp;P500</t>
  </si>
  <si>
    <t>IE00B4LN9N13</t>
  </si>
  <si>
    <t>LSE </t>
  </si>
  <si>
    <t>Ishares $ Short Duration Corp Bond</t>
  </si>
  <si>
    <t>IE00BYXYYP94</t>
  </si>
  <si>
    <t>Ishares dax</t>
  </si>
  <si>
    <t>DE0005933931</t>
  </si>
  <si>
    <t>Ishares DJ construction</t>
  </si>
  <si>
    <t>US4642887529</t>
  </si>
  <si>
    <t>ISHARES NASDAQ100 ETF USD</t>
  </si>
  <si>
    <t>IE00B53SZB19</t>
  </si>
  <si>
    <t>LYXOR ETF</t>
  </si>
  <si>
    <t>LYXETF S&amp;P500</t>
  </si>
  <si>
    <t>LU1135865084</t>
  </si>
  <si>
    <t>NOMURA ETF</t>
  </si>
  <si>
    <t>JP3027630007</t>
  </si>
  <si>
    <t>SPDR BLOOMBERG SASB</t>
  </si>
  <si>
    <t>IE0004TYCC17</t>
  </si>
  <si>
    <t>EUREX </t>
  </si>
  <si>
    <t>SPDR PORT SP 500</t>
  </si>
  <si>
    <t>US78464A8541</t>
  </si>
  <si>
    <t>SPDR S&amp;P 500 UCITS</t>
  </si>
  <si>
    <t>IE000XZSV718</t>
  </si>
  <si>
    <t>SPDR SASB US CORP</t>
  </si>
  <si>
    <t>IE00BLF7VX27</t>
  </si>
  <si>
    <t>SPDR US ENERGY</t>
  </si>
  <si>
    <t>IE00BWBXM492</t>
  </si>
  <si>
    <t>SPDR US FINCLS</t>
  </si>
  <si>
    <t>IE00BWBXM500</t>
  </si>
  <si>
    <t>SPDR US TECH</t>
  </si>
  <si>
    <t>IE00BWBXM948</t>
  </si>
  <si>
    <t>Vanguard Group</t>
  </si>
  <si>
    <t>549300Y88GQ3VLJIBX57</t>
  </si>
  <si>
    <t>VANG $CORPBD $A</t>
  </si>
  <si>
    <t>IE00BGYWFK87</t>
  </si>
  <si>
    <t>VANG FTSE EM $A</t>
  </si>
  <si>
    <t>IE00BK5BR733</t>
  </si>
  <si>
    <t>שווקים מתעוררים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</si>
  <si>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</si>
  <si>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</si>
  <si>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</si>
  <si>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</si>
  <si>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</si>
  <si>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</si>
  <si>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WSDMTR JP USD H</t>
  </si>
  <si>
    <t>IE00BYQCZD50</t>
  </si>
  <si>
    <t>הראל סל 4DMSCI AC World</t>
  </si>
  <si>
    <t>IL0011493355</t>
  </si>
  <si>
    <t>קסם 500 P&amp;S PR מנוטרלת מטבע</t>
  </si>
  <si>
    <t>IL0011466047</t>
  </si>
  <si>
    <t xml:space="preserve">מניות בחו"ל משולבת </t>
  </si>
  <si>
    <t>קסם.תלבונד ש 50</t>
  </si>
  <si>
    <t>IL0011507626</t>
  </si>
  <si>
    <t>תכלית סל תל בונד שקלי 50</t>
  </si>
  <si>
    <t>IL0011693335</t>
  </si>
  <si>
    <t>תכלית קרן סל תא 125</t>
  </si>
  <si>
    <t>IL0011437188</t>
  </si>
  <si>
    <t>תכלית תל בונד 60</t>
  </si>
  <si>
    <t>IL0011451015</t>
  </si>
  <si>
    <t>Invesco QQQ  trust NAS1</t>
  </si>
  <si>
    <t>US46090E1038</t>
  </si>
  <si>
    <t>INVESCO S&amp;P 500 UCITS ETF</t>
  </si>
  <si>
    <t>Ishares core s&amp;p 500 etf</t>
  </si>
  <si>
    <t>US4642872000</t>
  </si>
  <si>
    <t>הראל סל 4A S&amp;P 500 מנוטרלת</t>
  </si>
  <si>
    <t>IL0011491375</t>
  </si>
  <si>
    <t>מור סל )4A(י NASDAQ 100 מנוטרל</t>
  </si>
  <si>
    <t>IL0011658445</t>
  </si>
  <si>
    <t>Global X Management Co LLc</t>
  </si>
  <si>
    <t>213800R3E823B1UBIA81</t>
  </si>
  <si>
    <t>Global X Cybersecurity</t>
  </si>
  <si>
    <t>US37954Y3844</t>
  </si>
  <si>
    <t>Ishares Msci  Asia ex Japn</t>
  </si>
  <si>
    <t>US4642881829</t>
  </si>
  <si>
    <t>KRANESHARES</t>
  </si>
  <si>
    <t>549300VLDRC0RUX0E553</t>
  </si>
  <si>
    <t>KraneShares Csi China Internet Etf</t>
  </si>
  <si>
    <t>US5007673065</t>
  </si>
  <si>
    <t>LYX CORE EURSTX</t>
  </si>
  <si>
    <t>LU0908500753</t>
  </si>
  <si>
    <t>EURONEXT </t>
  </si>
  <si>
    <t>SPDR S&amp;P CHINA ETF</t>
  </si>
  <si>
    <t>US78463X4007</t>
  </si>
  <si>
    <t>הראל סל NDX 100</t>
  </si>
  <si>
    <t>IL0011490385</t>
  </si>
  <si>
    <t>הראל סל SP500</t>
  </si>
  <si>
    <t>IL0011490203</t>
  </si>
  <si>
    <t>הראל סל גרמניה DAX 30</t>
  </si>
  <si>
    <t>IL0011490534</t>
  </si>
  <si>
    <t>MTF סל (S&amp;P 500 (4D</t>
  </si>
  <si>
    <t>IL0011503336</t>
  </si>
  <si>
    <t>איישרס חוץ S&amp;P500 INDEX</t>
  </si>
  <si>
    <t>IE00B5BMR087</t>
  </si>
  <si>
    <t>ילין לפידות ניהול קרנות נאמנות</t>
  </si>
  <si>
    <t>513846808</t>
  </si>
  <si>
    <t>י.ל סל S&amp;P</t>
  </si>
  <si>
    <t>IL0012016569</t>
  </si>
  <si>
    <t>מור סל )4D(י S&amp;P 500</t>
  </si>
  <si>
    <t>IL0011658106</t>
  </si>
  <si>
    <t>תכלית 500 PR P&amp;S</t>
  </si>
  <si>
    <t>IL0011443855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</si>
  <si>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</si>
  <si>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</si>
  <si>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</si>
  <si>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</si>
  <si>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</si>
  <si>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</si>
  <si>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</si>
  <si>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</si>
  <si>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</si>
  <si>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</si>
  <si>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</si>
  <si>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</si>
  <si>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</si>
  <si>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</si>
  <si>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</si>
  <si>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</si>
  <si>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</si>
  <si>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</si>
  <si>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</si>
  <si>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</si>
  <si>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</si>
  <si>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</si>
  <si>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</si>
  <si>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</si>
  <si>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בית וגג יזמות ונדל"ן בע"מ</t>
  </si>
  <si>
    <t>516501640</t>
  </si>
  <si>
    <t>בית וגג</t>
  </si>
  <si>
    <t>IL0011853624</t>
  </si>
  <si>
    <t>דוניץ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</si>
  <si>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</si>
  <si>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</si>
  <si>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</si>
  <si>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</si>
  <si>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</si>
  <si>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</si>
  <si>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</si>
  <si>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</si>
  <si>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</si>
  <si>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</si>
  <si>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</si>
  <si>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</si>
  <si>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</si>
  <si>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</si>
  <si>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</si>
  <si>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</si>
  <si>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</si>
  <si>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</si>
  <si>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</si>
  <si>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</si>
  <si>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</si>
  <si>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</si>
  <si>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</si>
  <si>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</si>
  <si>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</si>
  <si>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</si>
  <si>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</si>
  <si>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</si>
  <si>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</si>
  <si>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</si>
  <si>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</si>
  <si>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</si>
  <si>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</si>
  <si>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</si>
  <si>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</si>
  <si>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</si>
  <si>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</si>
  <si>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</si>
  <si>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</si>
  <si>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</si>
  <si>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</si>
  <si>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</si>
  <si>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</si>
  <si>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</si>
  <si>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</si>
  <si>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</si>
  <si>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</si>
  <si>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</si>
  <si>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</si>
  <si>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</si>
  <si>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</si>
  <si>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</si>
  <si>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</si>
  <si>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</si>
  <si>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</si>
  <si>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</si>
  <si>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</si>
  <si>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</si>
  <si>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</si>
  <si>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</si>
  <si>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</si>
  <si>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</si>
  <si>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</si>
  <si>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</si>
  <si>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</si>
  <si>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</si>
  <si>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</si>
  <si>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</si>
  <si>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</si>
  <si>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</si>
  <si>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</si>
  <si>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</si>
  <si>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</si>
  <si>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</si>
  <si>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</si>
  <si>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</si>
  <si>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</si>
  <si>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</si>
  <si>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קבוצת אקרשטיין בע"מ</t>
  </si>
  <si>
    <t>512714494</t>
  </si>
  <si>
    <t>קבוצת אקרשטיין</t>
  </si>
  <si>
    <t>IL0011762056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</si>
  <si>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</si>
  <si>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</si>
  <si>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</si>
  <si>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</si>
  <si>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</si>
  <si>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</si>
  <si>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</si>
  <si>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</si>
  <si>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</si>
  <si>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</si>
  <si>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INC-A</t>
  </si>
  <si>
    <t>US02079K3059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</si>
  <si>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</si>
  <si>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</si>
  <si>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</si>
  <si>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</si>
  <si>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</si>
  <si>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</si>
  <si>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</si>
  <si>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</si>
  <si>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</si>
  <si>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</si>
  <si>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</si>
  <si>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</si>
  <si>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</si>
  <si>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</si>
  <si>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</si>
  <si>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</si>
  <si>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</si>
  <si>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</si>
  <si>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</si>
  <si>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</si>
  <si>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</si>
  <si>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פייבר אינטרנשיונל בע"מ</t>
  </si>
  <si>
    <t>514440874</t>
  </si>
  <si>
    <t>FIVERR INTERNATI</t>
  </si>
  <si>
    <t>IL0011582033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</si>
  <si>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</si>
  <si>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</si>
  <si>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</si>
  <si>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</si>
  <si>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</si>
  <si>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</si>
  <si>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</si>
  <si>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</si>
  <si>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</si>
  <si>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</si>
  <si>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</si>
  <si>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</si>
  <si>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</si>
  <si>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נובה מכשירי מדידה בע"מ</t>
  </si>
  <si>
    <t>511812463</t>
  </si>
  <si>
    <t>Nova measuring inst</t>
  </si>
  <si>
    <t>IL0010845571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</si>
  <si>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</si>
  <si>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</si>
  <si>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</si>
  <si>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</si>
  <si>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</si>
  <si>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</si>
  <si>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</si>
  <si>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</si>
  <si>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Samsung Electronics co ltd</t>
  </si>
  <si>
    <t>9884007ER46L6N7EI764</t>
  </si>
  <si>
    <t>Samsung electronics</t>
  </si>
  <si>
    <t>US7960508882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</si>
  <si>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</si>
  <si>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</si>
  <si>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</si>
  <si>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</si>
  <si>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</si>
  <si>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</si>
  <si>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</si>
  <si>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</si>
  <si>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</si>
  <si>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</si>
  <si>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</si>
  <si>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</si>
  <si>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 xml:space="preserve">קבוצת חג'ג' ייזום נדל"ן בע"מ </t>
  </si>
  <si>
    <t>520033309</t>
  </si>
  <si>
    <t>חג'ג' נדלן</t>
  </si>
  <si>
    <t>IL0008230133</t>
  </si>
  <si>
    <t>נובה</t>
  </si>
  <si>
    <t>Bank of America</t>
  </si>
  <si>
    <t>254900ARY41P4V1JL861</t>
  </si>
  <si>
    <t>BANK OF AMERICA</t>
  </si>
  <si>
    <t>US0605051046</t>
  </si>
  <si>
    <t>JP MORGAN ASSET MANAGEMENT</t>
  </si>
  <si>
    <t>8I5DZWZKVSZI1NUHU748</t>
  </si>
  <si>
    <t>JPmorgan Chase</t>
  </si>
  <si>
    <t>US46625H1005</t>
  </si>
  <si>
    <t>lockheed martin corp</t>
  </si>
  <si>
    <t>DPRBOZP0K5RM2YE8UU08</t>
  </si>
  <si>
    <t>Lockhid martin corp</t>
  </si>
  <si>
    <t>US5398301094</t>
  </si>
  <si>
    <t>Wal-Mart Stores</t>
  </si>
  <si>
    <t>Y87794H0US1R65VBXU25</t>
  </si>
  <si>
    <t>Wal  mart stores</t>
  </si>
  <si>
    <t>US9311421039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</si>
  <si>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</si>
  <si>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</si>
  <si>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</si>
  <si>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</si>
  <si>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</si>
  <si>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</si>
  <si>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</si>
  <si>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</si>
  <si>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</si>
  <si>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</si>
  <si>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</si>
  <si>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</si>
  <si>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</si>
  <si>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</si>
  <si>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</si>
  <si>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   אגח ד</t>
  </si>
  <si>
    <t>IL0073901493</t>
  </si>
  <si>
    <t>A+</t>
  </si>
  <si>
    <t>30/06/2026</t>
  </si>
  <si>
    <t>אלקטרה אגח ה</t>
  </si>
  <si>
    <t>IL0073902228</t>
  </si>
  <si>
    <t>10/01/2031</t>
  </si>
  <si>
    <t>אמות אגח ד</t>
  </si>
  <si>
    <t>IL0011331498</t>
  </si>
  <si>
    <t>02/07/2028</t>
  </si>
  <si>
    <t>אנלייט אנר אגח ו</t>
  </si>
  <si>
    <t>IL0072001733</t>
  </si>
  <si>
    <t>A2</t>
  </si>
  <si>
    <t>01/09/2026</t>
  </si>
  <si>
    <t>בתי זקוק לנפט בע"מ</t>
  </si>
  <si>
    <t>520036658</t>
  </si>
  <si>
    <t>בזן  אגח ט</t>
  </si>
  <si>
    <t>IL0025904611</t>
  </si>
  <si>
    <t>30/09/2025</t>
  </si>
  <si>
    <t>ביג מרכזי קניות (2004) בע"מ</t>
  </si>
  <si>
    <t>513623314</t>
  </si>
  <si>
    <t>ביג אגח ז</t>
  </si>
  <si>
    <t>IL0011360844</t>
  </si>
  <si>
    <t>11/05/2025</t>
  </si>
  <si>
    <t>ביג אגח כ</t>
  </si>
  <si>
    <t>IL0011861882</t>
  </si>
  <si>
    <t>01/05/2033</t>
  </si>
  <si>
    <t>הבינלאומי הראשון הנפקות בע"מ</t>
  </si>
  <si>
    <t>513141879</t>
  </si>
  <si>
    <t>בינל הנפק אגח י</t>
  </si>
  <si>
    <t>IL0011602906</t>
  </si>
  <si>
    <t>10/09/2025</t>
  </si>
  <si>
    <t>פז בית זיקוק לנפט-אשדוד בע"מ</t>
  </si>
  <si>
    <t>513775163</t>
  </si>
  <si>
    <t>בית זיקוק אשדוד אגח 2</t>
  </si>
  <si>
    <t>IL0011994881</t>
  </si>
  <si>
    <t>A3</t>
  </si>
  <si>
    <t>30/04/2029</t>
  </si>
  <si>
    <t>חברת גב-ים לקרקעות בע"מ</t>
  </si>
  <si>
    <t>520001736</t>
  </si>
  <si>
    <t>גב ים אגח י</t>
  </si>
  <si>
    <t>IL0075902846</t>
  </si>
  <si>
    <t>01/07/2035</t>
  </si>
  <si>
    <t>ג'י סיטי בע"מ</t>
  </si>
  <si>
    <t>520033234</t>
  </si>
  <si>
    <t>ג'י סיטי אגח יב</t>
  </si>
  <si>
    <t>IL0012606039</t>
  </si>
  <si>
    <t>A-</t>
  </si>
  <si>
    <t>30/06/2027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</si>
  <si>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</si>
  <si>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</si>
  <si>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</si>
  <si>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</si>
  <si>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</si>
  <si>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</si>
  <si>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</si>
  <si>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</si>
  <si>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</si>
  <si>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</si>
  <si>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</si>
  <si>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</si>
  <si>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</si>
  <si>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</si>
  <si>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הראל ביטוח מימון והנפקות בע"מ</t>
  </si>
  <si>
    <t>513834200</t>
  </si>
  <si>
    <t>הראל הנפ אגח טז</t>
  </si>
  <si>
    <t>IL0011576019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</si>
  <si>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</si>
  <si>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</si>
  <si>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</si>
  <si>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</si>
  <si>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</si>
  <si>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</si>
  <si>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וילאר אינטרנשיונל בע"מ</t>
  </si>
  <si>
    <t>520038910</t>
  </si>
  <si>
    <t>וילאר אינטרנ' ח'</t>
  </si>
  <si>
    <t>IL0041601563</t>
  </si>
  <si>
    <t>27/06/2025</t>
  </si>
  <si>
    <t>חברת החשמל לישראל בע"מ</t>
  </si>
  <si>
    <t>520000472</t>
  </si>
  <si>
    <t>חשמל אגח 27</t>
  </si>
  <si>
    <t>IL0060002107</t>
  </si>
  <si>
    <t>12/04/2029</t>
  </si>
  <si>
    <t>חשמל אגח 33</t>
  </si>
  <si>
    <t>IL0060003923</t>
  </si>
  <si>
    <t>30/05/2036</t>
  </si>
  <si>
    <t>חשמל אגח 34</t>
  </si>
  <si>
    <t>IL0011967812</t>
  </si>
  <si>
    <t>12/06/2033</t>
  </si>
  <si>
    <t>יוניברסל מוטורס  ישראל בע"מ</t>
  </si>
  <si>
    <t>511809071</t>
  </si>
  <si>
    <t>יוניברסל אגח ד</t>
  </si>
  <si>
    <t>IL0011722530</t>
  </si>
  <si>
    <t>11/02/2029</t>
  </si>
  <si>
    <t>לאומי   אגח 179</t>
  </si>
  <si>
    <t>IL0060403727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</si>
  <si>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</si>
  <si>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</si>
  <si>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</si>
  <si>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</si>
  <si>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</si>
  <si>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</si>
  <si>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</si>
  <si>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</si>
  <si>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</si>
  <si>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</si>
  <si>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</si>
  <si>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</si>
  <si>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</si>
  <si>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</si>
  <si>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</si>
  <si>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</si>
  <si>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</si>
  <si>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</si>
  <si>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</si>
  <si>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</si>
  <si>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מגדל ביטוח גיוס הון בע"מ</t>
  </si>
  <si>
    <t>513230029</t>
  </si>
  <si>
    <t>מגדל ביטוח הון אגח יד</t>
  </si>
  <si>
    <t>IL0012075219</t>
  </si>
  <si>
    <t>A1</t>
  </si>
  <si>
    <t>01/01/2034</t>
  </si>
  <si>
    <t>מגדל הון אגח יג 31/12/2032</t>
  </si>
  <si>
    <t>IL0012075136</t>
  </si>
  <si>
    <t>31/12/2032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</si>
  <si>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</si>
  <si>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</si>
  <si>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</si>
  <si>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</si>
  <si>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</si>
  <si>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</si>
  <si>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</si>
  <si>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</si>
  <si>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</si>
  <si>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</si>
  <si>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</si>
  <si>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</si>
  <si>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</si>
  <si>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</si>
  <si>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</si>
  <si>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</si>
  <si>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</si>
  <si>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</si>
  <si>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</si>
  <si>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</si>
  <si>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</si>
  <si>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</si>
  <si>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</si>
  <si>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ו</t>
  </si>
  <si>
    <t>IL0011916595</t>
  </si>
  <si>
    <t>31/03/2027</t>
  </si>
  <si>
    <t>מימון ישיר אגח ו - חסום עד 13/09/25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</si>
  <si>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</si>
  <si>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</si>
  <si>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</si>
  <si>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</si>
  <si>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</si>
  <si>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</si>
  <si>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</si>
  <si>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</si>
  <si>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</si>
  <si>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</si>
  <si>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</si>
  <si>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</si>
  <si>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</si>
  <si>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</si>
  <si>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חברה לנכסים ולבנין בע"מ</t>
  </si>
  <si>
    <t>520025438</t>
  </si>
  <si>
    <t>נכסים ובנין ד</t>
  </si>
  <si>
    <t>IL0069901549</t>
  </si>
  <si>
    <t>A</t>
  </si>
  <si>
    <t>31/12/2025</t>
  </si>
  <si>
    <t>עזריאלי אגח ד</t>
  </si>
  <si>
    <t>IL0011386500</t>
  </si>
  <si>
    <t>05/07/2030</t>
  </si>
  <si>
    <t>פועלים  י קוקו צמוד</t>
  </si>
  <si>
    <t>IL0011998924</t>
  </si>
  <si>
    <t>17/05/2026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</si>
  <si>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</si>
  <si>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</si>
  <si>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</si>
  <si>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</si>
  <si>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</si>
  <si>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</si>
  <si>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</si>
  <si>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</si>
  <si>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</si>
  <si>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</si>
  <si>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</si>
  <si>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</si>
  <si>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פועלים התחייבות נדחים ה'</t>
  </si>
  <si>
    <t>IL0066204624</t>
  </si>
  <si>
    <t>17/08/2026</t>
  </si>
  <si>
    <t>פועלים ט' קוקו צמוד</t>
  </si>
  <si>
    <t>IL0011998841</t>
  </si>
  <si>
    <t>03/04/2025</t>
  </si>
  <si>
    <t>פז חברת הנפט בע"מ</t>
  </si>
  <si>
    <t>510216054</t>
  </si>
  <si>
    <t>פז נפט  ו</t>
  </si>
  <si>
    <t>IL0011395428</t>
  </si>
  <si>
    <t>הפניקס גיוסי הון (2009) בע"מ</t>
  </si>
  <si>
    <t>514290345</t>
  </si>
  <si>
    <t>פניקס הון אגח טו</t>
  </si>
  <si>
    <t>IL0012019530</t>
  </si>
  <si>
    <t>30/06/2030</t>
  </si>
  <si>
    <t>שופרסל אגח ו</t>
  </si>
  <si>
    <t>IL0077702178</t>
  </si>
  <si>
    <t>08/10/2028</t>
  </si>
  <si>
    <t>שיכון ובינוי בע"מ</t>
  </si>
  <si>
    <t>520036104</t>
  </si>
  <si>
    <t>שיכון ובינוי אגח 6</t>
  </si>
  <si>
    <t>IL0011297335</t>
  </si>
  <si>
    <t>01/04/2025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</si>
  <si>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</si>
  <si>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</si>
  <si>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</si>
  <si>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</si>
  <si>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</si>
  <si>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תומר תמלוגי אנרגיה (2012)  בע"מ</t>
  </si>
  <si>
    <t>514837111</t>
  </si>
  <si>
    <t>תומר אנרגיה אגח א</t>
  </si>
  <si>
    <t>IL0011474793</t>
  </si>
  <si>
    <t>Aa3</t>
  </si>
  <si>
    <t>30/08/2028</t>
  </si>
  <si>
    <t>תמר פטרוליום בעמ</t>
  </si>
  <si>
    <t>515334662</t>
  </si>
  <si>
    <t>תמר פטרוליום אגח א</t>
  </si>
  <si>
    <t>IL0011413320</t>
  </si>
  <si>
    <t>HAPOAL 3.255 01/21/32</t>
  </si>
  <si>
    <t>IL0066204707</t>
  </si>
  <si>
    <t>BBB-</t>
  </si>
  <si>
    <t>21/01/2032</t>
  </si>
  <si>
    <t>LUMIIT 3.275 01/29/3</t>
  </si>
  <si>
    <t>IL0060404899</t>
  </si>
  <si>
    <t>29/01/2031</t>
  </si>
  <si>
    <t>איירפורט אגח י</t>
  </si>
  <si>
    <t>IL0011959819</t>
  </si>
  <si>
    <t>אלביט מערכות ב' 1.08%</t>
  </si>
  <si>
    <t>IL0011782351</t>
  </si>
  <si>
    <t>01/07/2029</t>
  </si>
  <si>
    <t>אלוני חץ  אגח ט</t>
  </si>
  <si>
    <t>IL0039003541</t>
  </si>
  <si>
    <t>28/02/2027</t>
  </si>
  <si>
    <t>גב ים אגח ח</t>
  </si>
  <si>
    <t>IL0075901517</t>
  </si>
  <si>
    <t>הראל הנפקות אגח יט</t>
  </si>
  <si>
    <t>IL0011927725</t>
  </si>
  <si>
    <t>31/12/2029</t>
  </si>
  <si>
    <t>חשמל     אגח 29</t>
  </si>
  <si>
    <t>IL0060002362</t>
  </si>
  <si>
    <t>01/03/2026</t>
  </si>
  <si>
    <t>לאומי אגח 182</t>
  </si>
  <si>
    <t>IL0060405391</t>
  </si>
  <si>
    <t>25/11/2027</t>
  </si>
  <si>
    <t>מנורה מבטחים גיוס הון בע"מ</t>
  </si>
  <si>
    <t>513937714</t>
  </si>
  <si>
    <t>מנורה הון התח 5</t>
  </si>
  <si>
    <t>IL0011434110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</si>
  <si>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</si>
  <si>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</si>
  <si>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</si>
  <si>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</si>
  <si>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</si>
  <si>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עזריאלי אגח ז</t>
  </si>
  <si>
    <t>IL0011786725</t>
  </si>
  <si>
    <t>02/07/2036</t>
  </si>
  <si>
    <t>עזריאלי קבוצה אגח ב סחיר</t>
  </si>
  <si>
    <t>IL0011344368</t>
  </si>
  <si>
    <t>קרסו מוטורס בע"מ</t>
  </si>
  <si>
    <t>514065283</t>
  </si>
  <si>
    <t>קרסו מוטורס   אגח ג</t>
  </si>
  <si>
    <t>IL0011418295</t>
  </si>
  <si>
    <t>01/09/2027</t>
  </si>
  <si>
    <t>רבוע כחול נדל"ן בע"מ</t>
  </si>
  <si>
    <t>513765859</t>
  </si>
  <si>
    <t>רבוע נדלן אגח ו</t>
  </si>
  <si>
    <t>IL0011406076</t>
  </si>
  <si>
    <t>30/11/2026</t>
  </si>
  <si>
    <t>ש.שלמה החזקות בע"מ</t>
  </si>
  <si>
    <t>520034372</t>
  </si>
  <si>
    <t>שלמה החז אגח כ</t>
  </si>
  <si>
    <t>IL0011927493</t>
  </si>
  <si>
    <t>21/12/2031</t>
  </si>
  <si>
    <t>אלבר שירותי מימונית בע"מ</t>
  </si>
  <si>
    <t>512025891</t>
  </si>
  <si>
    <t>אלבר אג"ח יח</t>
  </si>
  <si>
    <t>IL0011587404</t>
  </si>
  <si>
    <t>13/01/2027</t>
  </si>
  <si>
    <t>אלוני חץ אגח יג</t>
  </si>
  <si>
    <t>IL0011894065</t>
  </si>
  <si>
    <t>אמות אגח ה</t>
  </si>
  <si>
    <t>IL0011381147</t>
  </si>
  <si>
    <t>04/01/2026</t>
  </si>
  <si>
    <t>אמות אגח ז</t>
  </si>
  <si>
    <t>IL0011628661</t>
  </si>
  <si>
    <t>05/01/2032</t>
  </si>
  <si>
    <t>ג'י סיטי  אגח יג</t>
  </si>
  <si>
    <t>IL0012606526</t>
  </si>
  <si>
    <t>החברה לישראל בע"מ</t>
  </si>
  <si>
    <t>520028010</t>
  </si>
  <si>
    <t>חברה לישראל אגח 12</t>
  </si>
  <si>
    <t>IL0057602513</t>
  </si>
  <si>
    <t>ישראמקו נגב 2 שותפות מוגבלת</t>
  </si>
  <si>
    <t>550010003</t>
  </si>
  <si>
    <t>ישראמקו נגב 2 א</t>
  </si>
  <si>
    <t>IL0023201747</t>
  </si>
  <si>
    <t>10/10/2025</t>
  </si>
  <si>
    <t>ישרס חברה להשקעות בע"מ</t>
  </si>
  <si>
    <t>520017807</t>
  </si>
  <si>
    <t>ישרס אגח יד</t>
  </si>
  <si>
    <t>IL0061301995</t>
  </si>
  <si>
    <t>01/03/2027</t>
  </si>
  <si>
    <t>כללביט מימון בע"מ</t>
  </si>
  <si>
    <t>513754069</t>
  </si>
  <si>
    <t>כללביט אגח ט</t>
  </si>
  <si>
    <t>IL0011360505</t>
  </si>
  <si>
    <t>31/07/2025</t>
  </si>
  <si>
    <t>לאומי אגח  185</t>
  </si>
  <si>
    <t>IL0012018219</t>
  </si>
  <si>
    <t>31/08/2029</t>
  </si>
  <si>
    <t>מבני תעשיה אגח טז</t>
  </si>
  <si>
    <t>IL0022604388</t>
  </si>
  <si>
    <t>מז  הנפק    46 1.22% 9/2027</t>
  </si>
  <si>
    <t>IL0023102259</t>
  </si>
  <si>
    <t>28/09/2027</t>
  </si>
  <si>
    <t>מז טפ הנ אגח 63</t>
  </si>
  <si>
    <t>IL0023105484</t>
  </si>
  <si>
    <t>מזרחי הנפקות 40</t>
  </si>
  <si>
    <t>IL0023101673</t>
  </si>
  <si>
    <t>08/06/2025</t>
  </si>
  <si>
    <t>סלקום ישראל בע"מ</t>
  </si>
  <si>
    <t>511930125</t>
  </si>
  <si>
    <t>סלקום אגח ט</t>
  </si>
  <si>
    <t>IL0011328361</t>
  </si>
  <si>
    <t>06/07/2025</t>
  </si>
  <si>
    <t>עזריאלי אגח ה</t>
  </si>
  <si>
    <t>IL0011566036</t>
  </si>
  <si>
    <t>Aa1</t>
  </si>
  <si>
    <t>פועלים אגח 100</t>
  </si>
  <si>
    <t>IL0066204889</t>
  </si>
  <si>
    <t>פניקס הון אגח יד</t>
  </si>
  <si>
    <t>IL0012019464</t>
  </si>
  <si>
    <t>28/02/2030</t>
  </si>
  <si>
    <t>חברת פרטנר תקשורת בע"מ</t>
  </si>
  <si>
    <t>520044314</t>
  </si>
  <si>
    <t>פרטנר אגח ז</t>
  </si>
  <si>
    <t>IL0011563975</t>
  </si>
  <si>
    <t>25/06/2027</t>
  </si>
  <si>
    <t>ריט 1 בע"מ</t>
  </si>
  <si>
    <t>513821488</t>
  </si>
  <si>
    <t>ריט 1 סד ה</t>
  </si>
  <si>
    <t>IL0011367534</t>
  </si>
  <si>
    <t>20/09/2028</t>
  </si>
  <si>
    <t>שופרסל אגח ה</t>
  </si>
  <si>
    <t>IL0077702095</t>
  </si>
  <si>
    <t>08/10/2029</t>
  </si>
  <si>
    <t>שטראוס גרופ בע"מ</t>
  </si>
  <si>
    <t>520003781</t>
  </si>
  <si>
    <t>שטראוס אגח ה</t>
  </si>
  <si>
    <t>IL0074603890</t>
  </si>
  <si>
    <t>שיכון ובינוי אגח 7</t>
  </si>
  <si>
    <t>IL0011297418</t>
  </si>
  <si>
    <t>שיכון ובינוי אגח 8</t>
  </si>
  <si>
    <t>IL0011358889</t>
  </si>
  <si>
    <t>01/05/2029</t>
  </si>
  <si>
    <t>שלמה החז אגח יז</t>
  </si>
  <si>
    <t>IL0014102995</t>
  </si>
  <si>
    <t>21/06/2026</t>
  </si>
  <si>
    <t>שלמה החז אגח יח</t>
  </si>
  <si>
    <t>IL0014103076</t>
  </si>
  <si>
    <t>אנרג'יקס אגח א</t>
  </si>
  <si>
    <t>IL0011617516</t>
  </si>
  <si>
    <t>01/08/2030</t>
  </si>
  <si>
    <t>קבוצת אשטרום</t>
  </si>
  <si>
    <t>510381601</t>
  </si>
  <si>
    <t>אשטרום קב אגח ב</t>
  </si>
  <si>
    <t>IL0011323313</t>
  </si>
  <si>
    <t>דור אלון אנרגיה בישראל (1988) בע"מ</t>
  </si>
  <si>
    <t>520043878</t>
  </si>
  <si>
    <t>דור אלון  אגח ו</t>
  </si>
  <si>
    <t>IL0011406563</t>
  </si>
  <si>
    <t>01/06/2025</t>
  </si>
  <si>
    <t>הראל הנפקות אגח ט</t>
  </si>
  <si>
    <t>IL0011340309</t>
  </si>
  <si>
    <t>הראל הנפקות אגח י</t>
  </si>
  <si>
    <t>IL0011340481</t>
  </si>
  <si>
    <t>31/12/2026</t>
  </si>
  <si>
    <t>עמידר</t>
  </si>
  <si>
    <t>520017393</t>
  </si>
  <si>
    <t>עמידר     אגח א</t>
  </si>
  <si>
    <t>IL0011435851</t>
  </si>
  <si>
    <t>31/03/2028</t>
  </si>
  <si>
    <t>חוזים עתידיים בחול</t>
  </si>
  <si>
    <t>10527</t>
  </si>
  <si>
    <t>ESM5 S&amp;P500 EMINI FUT  JUN 25</t>
  </si>
  <si>
    <t>ESM5</t>
  </si>
  <si>
    <t>CME </t>
  </si>
  <si>
    <t>ביג אפ 7</t>
  </si>
  <si>
    <t>IL0012143454</t>
  </si>
  <si>
    <t>IL0010972607</t>
  </si>
  <si>
    <t>01/06/2026</t>
  </si>
  <si>
    <t>NAV
(במטבע הדיווח של קרן ההשקעה)</t>
  </si>
  <si>
    <t>Ami Opportunities</t>
  </si>
  <si>
    <t>512712548</t>
  </si>
  <si>
    <t>AMI OPPORTUNITY</t>
  </si>
  <si>
    <t>ג'רנסי</t>
  </si>
  <si>
    <t>Address: 1 Glategny Esplanade , St Peter Port , Guernsey , GY12HJ</t>
  </si>
  <si>
    <t>25/02/2020</t>
  </si>
  <si>
    <t>19/03/2025</t>
  </si>
  <si>
    <t>הראל</t>
  </si>
  <si>
    <t>213800P4S1KTTPIB9T76</t>
  </si>
  <si>
    <t>Harel Alternative Credit Co-In</t>
  </si>
  <si>
    <t>כתובת: החילזון 12 , רמת גן</t>
  </si>
  <si>
    <t>24/04/2023</t>
  </si>
  <si>
    <t>תש"י</t>
  </si>
  <si>
    <t>540278751</t>
  </si>
  <si>
    <t>IIF IV</t>
  </si>
  <si>
    <t>כתובת:  השלושה 2 ת, תל אביב</t>
  </si>
  <si>
    <t>13/10/2020</t>
  </si>
  <si>
    <t>Kedma Capital</t>
  </si>
  <si>
    <t>540286333</t>
  </si>
  <si>
    <t>KEDMA CAPITAL IV</t>
  </si>
  <si>
    <t>19/02/2025</t>
  </si>
  <si>
    <t>קדמה</t>
  </si>
  <si>
    <t>KEDMA CAPITAL PARTNERS III LTD</t>
  </si>
  <si>
    <t>כתובת: מנחם בגין 132, מגדלי עזריאלי, תל אביב</t>
  </si>
  <si>
    <t>29/04/2021</t>
  </si>
  <si>
    <t>31/12/2024</t>
  </si>
  <si>
    <t>Klirmark</t>
  </si>
  <si>
    <t>CO-101523</t>
  </si>
  <si>
    <t>KLIRMARK FUND III</t>
  </si>
  <si>
    <t>כתובת: ז'בוטינסקי 2 , רמת גן , ישראל</t>
  </si>
  <si>
    <t>13/11/2019</t>
  </si>
  <si>
    <t>Klirmark Fund IV</t>
  </si>
  <si>
    <t>17/04/2023</t>
  </si>
  <si>
    <t>30/12/2024</t>
  </si>
  <si>
    <t>Pitango Growth</t>
  </si>
  <si>
    <t>MC-103097</t>
  </si>
  <si>
    <t>Pitango Growth II</t>
  </si>
  <si>
    <t>Address:  11 HaMenofim st.  Herzliya</t>
  </si>
  <si>
    <t>07/06/2021</t>
  </si>
  <si>
    <t>30/03/2025</t>
  </si>
  <si>
    <t>Somv</t>
  </si>
  <si>
    <t>27843</t>
  </si>
  <si>
    <t>SOMV 2</t>
  </si>
  <si>
    <t>כתובת: מדינת היהודים 85 , הרצליה, ישראל</t>
  </si>
  <si>
    <t>20/03/2018</t>
  </si>
  <si>
    <t>אלפא</t>
  </si>
  <si>
    <t>550225288</t>
  </si>
  <si>
    <t>אלפא- השתלמות עובדי מדינה</t>
  </si>
  <si>
    <t>כתובת: אבא אבן 10 , הרצליה</t>
  </si>
  <si>
    <t>26/08/2021</t>
  </si>
  <si>
    <t>20/03/2025</t>
  </si>
  <si>
    <t>יסודות נדלן</t>
  </si>
  <si>
    <t>550257125</t>
  </si>
  <si>
    <t>יסודות נדלן ג</t>
  </si>
  <si>
    <t>כתובת: בר כוכבא 23, בני ברק, ישראל</t>
  </si>
  <si>
    <t>02/12/2019</t>
  </si>
  <si>
    <t>נוי 1</t>
  </si>
  <si>
    <t>540294725</t>
  </si>
  <si>
    <t>נוי 1 קרן תשתיות פרטית</t>
  </si>
  <si>
    <t>כתובת: דרך מנחם בגין 132,  תל אביב</t>
  </si>
  <si>
    <t>31/12/2013</t>
  </si>
  <si>
    <t>10/12/2024</t>
  </si>
  <si>
    <t>ספרה</t>
  </si>
  <si>
    <t>540305869</t>
  </si>
  <si>
    <t>ספירה יתר קרן השקעה</t>
  </si>
  <si>
    <t>כתובת: יצחק שדה 4 , תל אביב</t>
  </si>
  <si>
    <t>ספרה פארקינג</t>
  </si>
  <si>
    <t>כתובת: הארבעה 21 תל אביב</t>
  </si>
  <si>
    <t>06/12/2021</t>
  </si>
  <si>
    <t>29/01/2025</t>
  </si>
  <si>
    <t>Alpha Global L.P</t>
  </si>
  <si>
    <t>27512</t>
  </si>
  <si>
    <t>קרן אלפא</t>
  </si>
  <si>
    <t>25/03/2024</t>
  </si>
  <si>
    <t>513834986</t>
  </si>
  <si>
    <t>קרן אלפא אופציה</t>
  </si>
  <si>
    <t>04/07/2017</t>
  </si>
  <si>
    <t>ארבל</t>
  </si>
  <si>
    <t>540307832</t>
  </si>
  <si>
    <t>קרן ארבל פאנד בע"מ</t>
  </si>
  <si>
    <t>כתובת: אריאל שרון 4 , גבעתיים, ישראל</t>
  </si>
  <si>
    <t>20/12/2017</t>
  </si>
  <si>
    <t>פורטיסימו</t>
  </si>
  <si>
    <t>530278514</t>
  </si>
  <si>
    <t>קרן בלקסטון</t>
  </si>
  <si>
    <t>כתובת: הארבעה 30 , תל אביב, ישראל</t>
  </si>
  <si>
    <t>16/04/2020</t>
  </si>
  <si>
    <t>23/10/2023</t>
  </si>
  <si>
    <t>ברוש</t>
  </si>
  <si>
    <t>774636625</t>
  </si>
  <si>
    <t>קרן ברוש</t>
  </si>
  <si>
    <t>כתובת: אריאל שרון 4 , גבעתיים</t>
  </si>
  <si>
    <t>17/06/2020</t>
  </si>
  <si>
    <t>קרן ברוש - השתלמות עובדי מדינה</t>
  </si>
  <si>
    <t>24/01/2021</t>
  </si>
  <si>
    <t>נוקד</t>
  </si>
  <si>
    <t>515419356</t>
  </si>
  <si>
    <t>קרן גידור נוקד</t>
  </si>
  <si>
    <t>כתובת:  הארבעה 30 תל אביב</t>
  </si>
  <si>
    <t>03/11/2015</t>
  </si>
  <si>
    <t>נוי</t>
  </si>
  <si>
    <t>550241467</t>
  </si>
  <si>
    <t>קרן נוי 2 השקעה</t>
  </si>
  <si>
    <t>19/11/2015</t>
  </si>
  <si>
    <t>קרן ספרה .אי.</t>
  </si>
  <si>
    <t>31/07/2017</t>
  </si>
  <si>
    <t>Alto</t>
  </si>
  <si>
    <t>27092</t>
  </si>
  <si>
    <t>ALTO 3</t>
  </si>
  <si>
    <t>Address: 8 Raul Valenberg , Tel Aviv , Israel</t>
  </si>
  <si>
    <t>06/10/2019</t>
  </si>
  <si>
    <t>Alto II</t>
  </si>
  <si>
    <t>26/12/2019</t>
  </si>
  <si>
    <t>04/02/2025</t>
  </si>
  <si>
    <t>BAIN</t>
  </si>
  <si>
    <t>27725</t>
  </si>
  <si>
    <t>Bain Capital DSS</t>
  </si>
  <si>
    <t>Address:  200 Clarendon st. , Boston, MA 02116</t>
  </si>
  <si>
    <t>בראק קפיטל</t>
  </si>
  <si>
    <t>724500GB8DLC6CHUX916</t>
  </si>
  <si>
    <t>BRACK CAPITAL</t>
  </si>
  <si>
    <t>Address: Lophitis Business Centre, 28th October Street, CY-3035 Limassol, Cyprus</t>
  </si>
  <si>
    <t>15/10/2018</t>
  </si>
  <si>
    <t>20/06/2024</t>
  </si>
  <si>
    <t>Coller International</t>
  </si>
  <si>
    <t>10087</t>
  </si>
  <si>
    <t>Coller IX-B</t>
  </si>
  <si>
    <t>Direct Lending</t>
  </si>
  <si>
    <t xml:space="preserve"> B216569</t>
  </si>
  <si>
    <t>Direct Lending IV</t>
  </si>
  <si>
    <t>לוקסמבורג</t>
  </si>
  <si>
    <t>Address:  11-13 Boulevard de la Foire, L-1528, Luxembourg</t>
  </si>
  <si>
    <t>15/12/2022</t>
  </si>
  <si>
    <t>24/03/2025</t>
  </si>
  <si>
    <t>Electra</t>
  </si>
  <si>
    <t>Electra Capital PM Feeder 4</t>
  </si>
  <si>
    <t>Address: 4890 West Kennedy blvd. Tampa, FL 33609 USA</t>
  </si>
  <si>
    <t>25/06/2020</t>
  </si>
  <si>
    <t>Electra Capital PM II Feeder</t>
  </si>
  <si>
    <t>08/05/2023</t>
  </si>
  <si>
    <t>אלקטרה נדל"ן 1</t>
  </si>
  <si>
    <t>9975491116</t>
  </si>
  <si>
    <t>Electra UK Fund I</t>
  </si>
  <si>
    <t>20/03/2024</t>
  </si>
  <si>
    <t>EQT</t>
  </si>
  <si>
    <t>2020 2423 842</t>
  </si>
  <si>
    <t>EQT Infrastructure V</t>
  </si>
  <si>
    <t>Address: 51A Boulevard Royal, L-2449 , Luxembourg</t>
  </si>
  <si>
    <t>12/08/2021</t>
  </si>
  <si>
    <t>EQT Infrastructure VI</t>
  </si>
  <si>
    <t>23/01/2024</t>
  </si>
  <si>
    <t>11/03/2025</t>
  </si>
  <si>
    <t>EQT X Buyout</t>
  </si>
  <si>
    <t>04/09/2023</t>
  </si>
  <si>
    <t>Faro Point</t>
  </si>
  <si>
    <t>86-2034928</t>
  </si>
  <si>
    <t>Faro Point FIVF III (F-5)</t>
  </si>
  <si>
    <t>Address: 5 Marine View Plz. , Hoboken, NJ 07030, USA</t>
  </si>
  <si>
    <t>23/05/2023</t>
  </si>
  <si>
    <t>פורמה</t>
  </si>
  <si>
    <t>530278654</t>
  </si>
  <si>
    <t>FORMA FUND</t>
  </si>
  <si>
    <t>Address: 20 Raul Valenberg , Tel Aviv, Israel</t>
  </si>
  <si>
    <t>03/12/2019</t>
  </si>
  <si>
    <t>10/03/2025</t>
  </si>
  <si>
    <t>FORMA FUND 2</t>
  </si>
  <si>
    <t>08/07/2021</t>
  </si>
  <si>
    <t>Hamilton</t>
  </si>
  <si>
    <t xml:space="preserve">98-1588386 </t>
  </si>
  <si>
    <t>Hamilton Strategic Opp 2020</t>
  </si>
  <si>
    <t>Address: 610 Fifth Avenue , New York , NY 10020</t>
  </si>
  <si>
    <t>24/03/2021</t>
  </si>
  <si>
    <t>Hamilton Strategic Opp VII</t>
  </si>
  <si>
    <t>14/06/2022</t>
  </si>
  <si>
    <t>23/01/2025</t>
  </si>
  <si>
    <t>HAMILTON2016</t>
  </si>
  <si>
    <t>16/06/2016</t>
  </si>
  <si>
    <t>24/12/2024</t>
  </si>
  <si>
    <t>HarbourVest</t>
  </si>
  <si>
    <t>27330</t>
  </si>
  <si>
    <t>HARBOURVEST CO INVEST</t>
  </si>
  <si>
    <t>Address: One Financial Center, Boston, Massachusetts 02111</t>
  </si>
  <si>
    <t>16/09/2019</t>
  </si>
  <si>
    <t>HARBOURVEST DOVER X</t>
  </si>
  <si>
    <t>31/12/2019</t>
  </si>
  <si>
    <t>25/03/2025</t>
  </si>
  <si>
    <t>IBI</t>
  </si>
  <si>
    <t>27841</t>
  </si>
  <si>
    <t>IBI CCF</t>
  </si>
  <si>
    <t>כתובת:  אחד העם 9 תל אביב</t>
  </si>
  <si>
    <t>26/05/2021</t>
  </si>
  <si>
    <t>13/03/2025</t>
  </si>
  <si>
    <t>BI קונסיומר קרדיט</t>
  </si>
  <si>
    <t>IBI NEW CCF</t>
  </si>
  <si>
    <t>05/05/2024</t>
  </si>
  <si>
    <t>26/02/2025</t>
  </si>
  <si>
    <t>550270045</t>
  </si>
  <si>
    <t>IBI Pillar Gatingen</t>
  </si>
  <si>
    <t>13/09/2021</t>
  </si>
  <si>
    <t>19/01/2025</t>
  </si>
  <si>
    <t>Insight Partners</t>
  </si>
  <si>
    <t>851058800</t>
  </si>
  <si>
    <t>INSIGHT PARTNERS XII</t>
  </si>
  <si>
    <t>Address: 1114 Avenue of the Americas , New York , NY</t>
  </si>
  <si>
    <t>12/07/2021</t>
  </si>
  <si>
    <t>Invesco Credit Partners</t>
  </si>
  <si>
    <t>Invesco Credit Partners II</t>
  </si>
  <si>
    <t>Address: 225 Liberty st. , New York, NY , 10281</t>
  </si>
  <si>
    <t>13/07/2022</t>
  </si>
  <si>
    <t>invesco</t>
  </si>
  <si>
    <t>549300FEA3DT84FOZ304</t>
  </si>
  <si>
    <t>Invesco Direct Lending II</t>
  </si>
  <si>
    <t>10/04/2024</t>
  </si>
  <si>
    <t>02/03/2025</t>
  </si>
  <si>
    <t>MIP</t>
  </si>
  <si>
    <t>ACMHD8HWFMFUIQQ8Y590</t>
  </si>
  <si>
    <t>MACQUARIE</t>
  </si>
  <si>
    <t>Address: 125 west 55th street, New York, NY 10019</t>
  </si>
  <si>
    <t>15/10/2019</t>
  </si>
  <si>
    <t>MIDEAL FUND</t>
  </si>
  <si>
    <t>12/02/2017</t>
  </si>
  <si>
    <t>מונטה</t>
  </si>
  <si>
    <t>540296522</t>
  </si>
  <si>
    <t>MONETA CAPITAL</t>
  </si>
  <si>
    <t>כתובת: וייצמן 2 , תל אביב , ישראל</t>
  </si>
  <si>
    <t>MORE L1 Alternative Credit Fund LP</t>
  </si>
  <si>
    <t>13364</t>
  </si>
  <si>
    <t>More Alternative Credit CLO</t>
  </si>
  <si>
    <t>29/07/2024</t>
  </si>
  <si>
    <t>MV Credit</t>
  </si>
  <si>
    <t>13175</t>
  </si>
  <si>
    <t>MV Credit Senior II</t>
  </si>
  <si>
    <t>Address: 8 rue lou Hemmer, L-1748 senningerberg, Luxembourg</t>
  </si>
  <si>
    <t>26/07/2021</t>
  </si>
  <si>
    <t>04/03/2025</t>
  </si>
  <si>
    <t>פאגאיה</t>
  </si>
  <si>
    <t>pagaya auto loans</t>
  </si>
  <si>
    <t>Address: P.O. Box 309, Ugland House, Grand Cayman, KY1-1104, Cayman Islands</t>
  </si>
  <si>
    <t>30/12/2021</t>
  </si>
  <si>
    <t>28593</t>
  </si>
  <si>
    <t>Pagaya Opportunity</t>
  </si>
  <si>
    <t>01/11/2021</t>
  </si>
  <si>
    <t>פנתאון</t>
  </si>
  <si>
    <t>28055</t>
  </si>
  <si>
    <t>PGSF VI</t>
  </si>
  <si>
    <t>Address: 10 Finsbury Square, London</t>
  </si>
  <si>
    <t>PHOENIX CO INVEST</t>
  </si>
  <si>
    <t>13139</t>
  </si>
  <si>
    <t>THE PHOENIX ANCHOR</t>
  </si>
  <si>
    <t>19/08/2024</t>
  </si>
  <si>
    <t>ויולה</t>
  </si>
  <si>
    <t>12169</t>
  </si>
  <si>
    <t>Viola Credit ALF II</t>
  </si>
  <si>
    <t>Address: 12 Aba Even, Herzelia Pituach, Israel</t>
  </si>
  <si>
    <t>20/01/2022</t>
  </si>
  <si>
    <t>16/02/2025</t>
  </si>
  <si>
    <t>פאגאיה auto loans</t>
  </si>
  <si>
    <t>24/01/2022</t>
  </si>
  <si>
    <t>פאגאיה אופורטוניטי</t>
  </si>
  <si>
    <t>01/08/2022</t>
  </si>
  <si>
    <t>232962336</t>
  </si>
  <si>
    <t>פנתאון PGCO IV</t>
  </si>
  <si>
    <t>18/11/2019</t>
  </si>
  <si>
    <t>אפאר</t>
  </si>
  <si>
    <t>516072931</t>
  </si>
  <si>
    <t>IL0002940174</t>
  </si>
  <si>
    <t>10/11/2024</t>
  </si>
  <si>
    <t xml:space="preserve">31/03/2024 </t>
  </si>
  <si>
    <t>ג'נריישן ניהול בע"מ</t>
  </si>
  <si>
    <t>515785012</t>
  </si>
  <si>
    <t>ויולה ג'נריישן ניהול</t>
  </si>
  <si>
    <t>560931</t>
  </si>
  <si>
    <t>11/02/2020</t>
  </si>
  <si>
    <t>21/02/2025</t>
  </si>
  <si>
    <t>26/12/2024</t>
  </si>
  <si>
    <t>מניבים ניהול הר</t>
  </si>
  <si>
    <t>364751</t>
  </si>
  <si>
    <t>צים שירותי ספנות משולבים בע"מ</t>
  </si>
  <si>
    <t>21380089EIJRELKAIL21</t>
  </si>
  <si>
    <t>צים מניה הסדר חוב</t>
  </si>
  <si>
    <t>IL0065100286</t>
  </si>
  <si>
    <t>03/06/2021</t>
  </si>
  <si>
    <t>רייכרט תעשיות בע"מ</t>
  </si>
  <si>
    <t>520039652</t>
  </si>
  <si>
    <t>רייכרט</t>
  </si>
  <si>
    <t>4760101</t>
  </si>
  <si>
    <t>30/09/2015</t>
  </si>
  <si>
    <t>ALESC 0 06/23/36</t>
  </si>
  <si>
    <t>KYG0158U1067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</si>
  <si>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</si>
  <si>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</si>
  <si>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</si>
  <si>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</si>
  <si>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</si>
  <si>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</si>
  <si>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</si>
  <si>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08/09/2020</t>
  </si>
  <si>
    <t>NEON CAPITAL LTD</t>
  </si>
  <si>
    <t>549300K1NZTY5QS1NO76</t>
  </si>
  <si>
    <t>NEONCA 0 01/04/41</t>
  </si>
  <si>
    <t>XS0207404343</t>
  </si>
  <si>
    <t>04/01/2041</t>
  </si>
  <si>
    <t>אידיבי חברה לאחזקות בע"מ</t>
  </si>
  <si>
    <t>520028283</t>
  </si>
  <si>
    <t>אידיבי אגח ב (מחוק)</t>
  </si>
  <si>
    <t>IL0073600350</t>
  </si>
  <si>
    <t>04/08/2014</t>
  </si>
  <si>
    <t>D</t>
  </si>
  <si>
    <t>06/09/2013</t>
  </si>
  <si>
    <t>31/03/2020</t>
  </si>
  <si>
    <t>אלון חברת הדלק לישראל בע"מ</t>
  </si>
  <si>
    <t>520041690</t>
  </si>
  <si>
    <t>אלון דלק אגח א מופחת</t>
  </si>
  <si>
    <t>IL0011015679</t>
  </si>
  <si>
    <t>21/07/2016</t>
  </si>
  <si>
    <t>R/S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</si>
  <si>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</si>
  <si>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</si>
  <si>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</si>
  <si>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</si>
  <si>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</si>
  <si>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</si>
  <si>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</si>
  <si>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</si>
  <si>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</si>
  <si>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</si>
  <si>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</si>
  <si>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</si>
  <si>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מימון ישיר נדל"ן ומשכנתאות בעמ</t>
  </si>
  <si>
    <t>516100153</t>
  </si>
  <si>
    <t>מימוןמשכ אגא-רמ</t>
  </si>
  <si>
    <t>IL0012088188</t>
  </si>
  <si>
    <t>15/07/2024</t>
  </si>
  <si>
    <t>מפעלי פלדה אג1</t>
  </si>
  <si>
    <t>IL0039800185</t>
  </si>
  <si>
    <t>מקס איט פיננסים בע"מ לשעבר לאומי קארד</t>
  </si>
  <si>
    <t>512905423</t>
  </si>
  <si>
    <t>מקס איט התח אגח ד-רמ</t>
  </si>
  <si>
    <t>IL0011979536</t>
  </si>
  <si>
    <t>17/07/2023</t>
  </si>
  <si>
    <t>16/10/2028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</si>
  <si>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</si>
  <si>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</si>
  <si>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</si>
  <si>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</si>
  <si>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</si>
  <si>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</si>
  <si>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</si>
  <si>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</si>
  <si>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</si>
  <si>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</si>
  <si>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</si>
  <si>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סד' ד 2020/2034</t>
  </si>
  <si>
    <t>IL0011402844</t>
  </si>
  <si>
    <t>04/05/2021</t>
  </si>
  <si>
    <t>גידור</t>
  </si>
  <si>
    <t>530278803</t>
  </si>
  <si>
    <t>0.00%</t>
  </si>
  <si>
    <t>ניתן לצאת מהקרן בכל עת</t>
  </si>
  <si>
    <t>נדל"ן</t>
  </si>
  <si>
    <t>Alto III</t>
  </si>
  <si>
    <t>Private Equity</t>
  </si>
  <si>
    <t>550254411</t>
  </si>
  <si>
    <t>שותפות</t>
  </si>
  <si>
    <t>24.22%</t>
  </si>
  <si>
    <t>34250659</t>
  </si>
  <si>
    <t>Brack Capital</t>
  </si>
  <si>
    <t>1.14%</t>
  </si>
  <si>
    <t>Coller International General Partner</t>
  </si>
  <si>
    <t>4310</t>
  </si>
  <si>
    <t>74.29%</t>
  </si>
  <si>
    <t>862034928</t>
  </si>
  <si>
    <t>EQT  X   Buyout (יורו)</t>
  </si>
  <si>
    <t>65.77%</t>
  </si>
  <si>
    <t>EQT Infrastructure V (יורו)</t>
  </si>
  <si>
    <t>19.62%</t>
  </si>
  <si>
    <t>EQT Infrastructure VI (יורו)</t>
  </si>
  <si>
    <t>70.27%</t>
  </si>
  <si>
    <t>796442</t>
  </si>
  <si>
    <t>80.00%</t>
  </si>
  <si>
    <t>36.00%</t>
  </si>
  <si>
    <t>27949</t>
  </si>
  <si>
    <t>HarbourVest Co Invest  V</t>
  </si>
  <si>
    <t>22.50%</t>
  </si>
  <si>
    <t>HarbourVest Dover  X</t>
  </si>
  <si>
    <t>19.00%</t>
  </si>
  <si>
    <t>Venture Capital</t>
  </si>
  <si>
    <t>Insight Partners XII</t>
  </si>
  <si>
    <t>7.90%</t>
  </si>
  <si>
    <t>30292</t>
  </si>
  <si>
    <t>Macquarie</t>
  </si>
  <si>
    <t>3.76%</t>
  </si>
  <si>
    <t>12902</t>
  </si>
  <si>
    <t>PGCO IV  פנתאון</t>
  </si>
  <si>
    <t>8.68%</t>
  </si>
  <si>
    <t>PGSF VI  פנתאון</t>
  </si>
  <si>
    <t>27.23%</t>
  </si>
  <si>
    <t>515563039</t>
  </si>
  <si>
    <t>Pitango Growth  II</t>
  </si>
  <si>
    <t>4.50%</t>
  </si>
  <si>
    <t>Venture capital</t>
  </si>
  <si>
    <t>SOMV II</t>
  </si>
  <si>
    <t>515716967</t>
  </si>
  <si>
    <t>12.40%</t>
  </si>
  <si>
    <t>חוב</t>
  </si>
  <si>
    <t xml:space="preserve"> Phoenix</t>
  </si>
  <si>
    <t>774764930</t>
  </si>
  <si>
    <t>The Phoenix Anchor Fund</t>
  </si>
  <si>
    <t>3.75%</t>
  </si>
  <si>
    <t>מידאל</t>
  </si>
  <si>
    <t>4.94%</t>
  </si>
  <si>
    <t>4.05%</t>
  </si>
  <si>
    <t>550257596</t>
  </si>
  <si>
    <t>נוי 2</t>
  </si>
  <si>
    <t>9.86%</t>
  </si>
  <si>
    <t>פורטיסימו V</t>
  </si>
  <si>
    <t>3.00%</t>
  </si>
  <si>
    <t>פורטיסימו VI</t>
  </si>
  <si>
    <t>56.50%</t>
  </si>
  <si>
    <t>0.62%</t>
  </si>
  <si>
    <t>פורמה II</t>
  </si>
  <si>
    <t>18.41%</t>
  </si>
  <si>
    <t>540328218</t>
  </si>
  <si>
    <t>קדמה  3</t>
  </si>
  <si>
    <t>30.74%</t>
  </si>
  <si>
    <t>קדמה 4</t>
  </si>
  <si>
    <t>80.77%</t>
  </si>
  <si>
    <t>550243026</t>
  </si>
  <si>
    <t>תשי IIF  IV</t>
  </si>
  <si>
    <t>14.00%</t>
  </si>
  <si>
    <t>Bain Capital DSS 2019</t>
  </si>
  <si>
    <t>34.36%</t>
  </si>
  <si>
    <t>20182429558</t>
  </si>
  <si>
    <t>43.48%</t>
  </si>
  <si>
    <t>98-1506678</t>
  </si>
  <si>
    <t>Electra Capital PM I  Feeder 4</t>
  </si>
  <si>
    <t>87-4615747</t>
  </si>
  <si>
    <t>Electra Capital PM II  Feeder 3</t>
  </si>
  <si>
    <t>10.00%</t>
  </si>
  <si>
    <t>Hamilton Strategic Opp 2016 II</t>
  </si>
  <si>
    <t>36.34%</t>
  </si>
  <si>
    <t>Hamilton Strategic Opp 2020 VI</t>
  </si>
  <si>
    <t>8.94%</t>
  </si>
  <si>
    <t>17.23%</t>
  </si>
  <si>
    <t>הראל אלטרנטיב</t>
  </si>
  <si>
    <t>788117505</t>
  </si>
  <si>
    <t>Harel Alternative Credit Co-Invest</t>
  </si>
  <si>
    <t>48.47%</t>
  </si>
  <si>
    <t>550257414</t>
  </si>
  <si>
    <t>IBI CCF NEW</t>
  </si>
  <si>
    <t>949417</t>
  </si>
  <si>
    <t>12.20%</t>
  </si>
  <si>
    <t>Invesco Direct Lending</t>
  </si>
  <si>
    <t>67.23%</t>
  </si>
  <si>
    <t>500462056</t>
  </si>
  <si>
    <t>Klirmark Fund III</t>
  </si>
  <si>
    <t>30.00%</t>
  </si>
  <si>
    <t>500473707</t>
  </si>
  <si>
    <t>70.00%</t>
  </si>
  <si>
    <t>2016 2429 508</t>
  </si>
  <si>
    <t>8.89%</t>
  </si>
  <si>
    <t>מור</t>
  </si>
  <si>
    <t>516194685</t>
  </si>
  <si>
    <t>More Alternative Credit  CLO</t>
  </si>
  <si>
    <t>14.83%</t>
  </si>
  <si>
    <t>540290103</t>
  </si>
  <si>
    <t>29.66%</t>
  </si>
  <si>
    <t>פאגאיה Auto loans</t>
  </si>
  <si>
    <t>515469229</t>
  </si>
  <si>
    <t>RPS</t>
  </si>
  <si>
    <t>550258016</t>
  </si>
  <si>
    <t>אלפא הזדמנויות</t>
  </si>
  <si>
    <t>נוקד אופורטוניטי</t>
  </si>
  <si>
    <t>ספרה יתר</t>
  </si>
  <si>
    <t>מנחם בגין 132, מגדלי עזריאלי, תל אביב</t>
  </si>
  <si>
    <t>אבא אבן 10 , הרצליה</t>
  </si>
  <si>
    <t>Trafalgar Court, Les Banques, st Peter Port, Guernsey</t>
  </si>
  <si>
    <t>1331 South Killian Drive, Suite A, Lake Park, FL 33403 Grand Cayman, KY1-1001</t>
  </si>
  <si>
    <t>51A Boulevard Royal, L-2449 , Luxembourg</t>
  </si>
  <si>
    <t>אחד העם 9 תל אביב</t>
  </si>
  <si>
    <t>225 Liberty st. , New York, NY , 10281</t>
  </si>
  <si>
    <t>ראול ולנברג 20 , תל אביב , ישראל</t>
  </si>
  <si>
    <t>דרך דוד בן גוריון 2 , רמת גן</t>
  </si>
  <si>
    <t>דרך השלום 53 , גבעתיים</t>
  </si>
  <si>
    <t>שירן נזרי</t>
  </si>
  <si>
    <t>shiran@ovdeimedina.co.il</t>
  </si>
  <si>
    <r>
      <t>מטח/ ₪</t>
    </r>
    <r>
      <rPr>
        <sz val="11"/>
        <color theme="1"/>
        <rFont val="Arial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</si>
</sst>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0.000"/>
    <numFmt numFmtId="165" formatCode="0.000000"/>
    <numFmt numFmtId="166" formatCode="0.000%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86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2" applyNumberFormat="1" applyFont="1" applyFill="1" applyBorder="1" applyAlignment="1">
      <alignment horizontal="right" vertical="center" wrapText="1"/>
    </xf>
    <xf numFmtId="0" fontId="12" fillId="5" borderId="11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2" applyNumberFormat="1" applyFont="1" applyFill="1" applyBorder="1" applyAlignment="1" applyProtection="1">
      <alignment vertical="center" wrapText="1"/>
      <protection locked="0"/>
    </xf>
    <xf numFmtId="0" fontId="7" fillId="3" borderId="12" xfId="0" applyNumberFormat="1" applyFont="1" applyFill="1" applyBorder="1" applyAlignment="1">
      <alignment horizontal="right" vertical="center"/>
    </xf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3" fillId="6" borderId="3" xfId="0" applyNumberFormat="1" applyFont="1" applyFill="1" applyBorder="1" applyAlignment="1">
      <alignment horizontal="right"/>
    </xf>
    <xf numFmtId="0" fontId="24" fillId="0" borderId="0" xfId="0" applyNumberFormat="1" applyFont="1" applyFill="1" applyBorder="1" applyProtection="1">
      <protection locked="0"/>
    </xf>
    <xf numFmtId="0" fontId="24" fillId="0" borderId="0" xfId="0" applyNumberFormat="1" applyFont="1" applyFill="1" applyBorder="1"/>
    <xf numFmtId="43" fontId="7" fillId="3" borderId="10" xfId="1" applyNumberFormat="1" applyFont="1" applyFill="1" applyBorder="1" applyAlignment="1">
      <alignment horizontal="center" vertical="center" wrapText="1"/>
    </xf>
    <xf numFmtId="43" fontId="8" fillId="0" borderId="10" xfId="1" applyNumberFormat="1" applyFont="1" applyFill="1" applyBorder="1" applyAlignment="1">
      <alignment horizontal="center" vertical="center" wrapText="1"/>
    </xf>
    <xf numFmtId="43" fontId="15" fillId="0" borderId="10" xfId="1" applyNumberFormat="1" applyFont="1" applyFill="1" applyBorder="1" applyAlignment="1">
      <alignment horizontal="center" vertical="center" wrapText="1"/>
    </xf>
    <xf numFmtId="43" fontId="7" fillId="3" borderId="13" xfId="1" applyNumberFormat="1" applyFont="1" applyFill="1" applyBorder="1" applyAlignment="1">
      <alignment horizontal="center" vertical="center"/>
    </xf>
    <xf numFmtId="10" fontId="7" fillId="3" borderId="2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4" applyNumberFormat="1" applyFont="1" applyFill="1" applyBorder="1" applyAlignment="1">
      <alignment horizontal="center" vertical="center" wrapText="1"/>
    </xf>
    <xf numFmtId="166" fontId="25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4" fontId="7" fillId="3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6" fontId="0" fillId="0" borderId="0" xfId="4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0" fontId="0" fillId="0" borderId="20" xfId="0" applyBorder="1"/>
    <xf numFmtId="0" fontId="0" fillId="0" borderId="20" xfId="0" applyBorder="1" applyAlignment="1">
      <alignment horizontal="right"/>
    </xf>
    <xf numFmtId="0" fontId="0" fillId="0" borderId="20" xfId="0" applyBorder="1" applyAlignment="1">
      <alignment horizontal="left"/>
    </xf>
    <xf numFmtId="14" fontId="0" fillId="0" borderId="20" xfId="0" applyNumberFormat="1" applyBorder="1" applyAlignment="1">
      <alignment horizontal="left"/>
    </xf>
    <xf numFmtId="4" fontId="0" fillId="0" borderId="20" xfId="0" applyNumberFormat="1" applyBorder="1" applyAlignment="1">
      <alignment horizontal="left"/>
    </xf>
    <xf numFmtId="0" fontId="2" fillId="0" borderId="20" xfId="0" applyFont="1" applyBorder="1"/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Protection="1">
      <protection locked="0"/>
    </xf>
    <xf numFmtId="0" fontId="2" fillId="0" borderId="0" xfId="0" applyFont="1"/>
    <xf numFmtId="0" fontId="3" fillId="0" borderId="0" xfId="0" applyFont="1" applyProtection="1">
      <protection locked="0"/>
    </xf>
    <xf numFmtId="14" fontId="0" fillId="0" borderId="0" xfId="0" applyNumberFormat="1"/>
    <xf numFmtId="14" fontId="2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4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4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/>
    <xf numFmtId="166" fontId="2" fillId="0" borderId="0" xfId="0" applyNumberFormat="1" applyFont="1"/>
    <xf numFmtId="0" fontId="27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workbookViewId="0">
      <selection activeCell="D5" sqref="D5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>
      <c r="A1" s="20" t="s">
        <v>192</v>
      </c>
      <c r="B1" s="21"/>
      <c r="C1" s="21"/>
      <c r="D1" s="21"/>
    </row>
    <row r="3" spans="1:4">
      <c r="A3" t="s">
        <v>193</v>
      </c>
      <c r="D3" s="86" t="s">
        <v>194</v>
      </c>
    </row>
    <row r="5" spans="1:4">
      <c r="A5" t="s">
        <v>195</v>
      </c>
      <c r="D5" s="86" t="s">
        <v>1200</v>
      </c>
    </row>
    <row r="7" spans="1:4">
      <c r="A7" t="s">
        <v>196</v>
      </c>
      <c r="D7" s="86" t="s">
        <v>1203</v>
      </c>
    </row>
    <row r="8" spans="1:4">
      <c r="D8" s="19"/>
    </row>
    <row r="9" spans="1:4">
      <c r="A9" t="s">
        <v>197</v>
      </c>
      <c r="D9" s="86">
        <v>2025</v>
      </c>
    </row>
    <row r="11" spans="1:4">
      <c r="A11" t="s">
        <v>198</v>
      </c>
      <c r="D11" s="86" t="s">
        <v>1230</v>
      </c>
    </row>
    <row r="13" spans="1:4">
      <c r="A13" t="s">
        <v>199</v>
      </c>
      <c r="D13" s="87">
        <f>IFERROR(VLOOKUP(D11,'File Name Info'!A35:B121,2,0),"תא מחושב")</f>
        <v>520032269</v>
      </c>
    </row>
    <row r="15" spans="1:4" ht="15">
      <c r="A15" s="10" t="s">
        <v>200</v>
      </c>
      <c r="D15" s="8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520032269_gm_p_0125.xlsx</v>
      </c>
    </row>
    <row r="16" spans="1:4" ht="15">
      <c r="A16" s="10"/>
      <c r="D16" s="19"/>
    </row>
    <row r="17" spans="1:4" ht="15">
      <c r="A17" s="10" t="s">
        <v>201</v>
      </c>
      <c r="B17" s="8" t="s">
        <v>202</v>
      </c>
      <c r="C17" s="8"/>
      <c r="D17" s="88" t="s">
        <v>2653</v>
      </c>
    </row>
    <row r="18" spans="1:4">
      <c r="A18" s="6"/>
      <c r="D18" s="9"/>
    </row>
    <row r="19" spans="1:4">
      <c r="A19" s="6"/>
      <c r="B19" s="8" t="s">
        <v>203</v>
      </c>
      <c r="C19" s="8"/>
      <c r="D19" s="88">
        <v>546481151</v>
      </c>
    </row>
    <row r="20" spans="1:4">
      <c r="A20" s="6"/>
      <c r="D20" s="9"/>
    </row>
    <row r="21" spans="1:4">
      <c r="A21" s="6"/>
      <c r="B21" s="8" t="s">
        <v>204</v>
      </c>
      <c r="C21" s="8"/>
      <c r="D21" s="89" t="s">
        <v>2654</v>
      </c>
    </row>
    <row r="22" spans="1:4">
      <c r="A22" s="6"/>
      <c r="B22" s="7"/>
      <c r="C22" s="7"/>
    </row>
    <row r="23" spans="1:4" ht="15">
      <c r="A23" s="10" t="s">
        <v>205</v>
      </c>
      <c r="D23" t="s">
        <v>206</v>
      </c>
    </row>
    <row r="28" spans="1:4" ht="14.1" customHeight="1"/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2" sqref="A2"/>
    </sheetView>
  </sheetViews>
  <sheetFormatPr defaultColWidth="0" defaultRowHeight="14.25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>
      <c r="A1" s="31"/>
      <c r="B1" s="116"/>
      <c r="C1" s="90" t="s">
        <v>1177</v>
      </c>
      <c r="D1" s="119"/>
    </row>
    <row r="2" spans="1:4" ht="39.75" customHeight="1">
      <c r="A2" s="31"/>
      <c r="B2" s="116" t="s">
        <v>36</v>
      </c>
      <c r="C2" s="32" t="s">
        <v>910</v>
      </c>
      <c r="D2" s="116" t="s">
        <v>22</v>
      </c>
    </row>
    <row r="3" spans="1:4">
      <c r="A3" s="34" t="s">
        <v>963</v>
      </c>
      <c r="B3" s="117">
        <f>SUM('מזומנים ושווי מזומנים'!O:O)</f>
        <v>45832.806000000011</v>
      </c>
      <c r="C3" s="35"/>
      <c r="D3" s="117">
        <f>B3+C3</f>
        <v>45832.806000000011</v>
      </c>
    </row>
    <row r="4" spans="1:4">
      <c r="A4" s="34" t="s">
        <v>973</v>
      </c>
      <c r="B4" s="117">
        <f>SUM('איגרות חוב ממשלתיות'!U:U)</f>
        <v>676525.50199999928</v>
      </c>
      <c r="C4" s="35"/>
      <c r="D4" s="117">
        <f t="shared" ref="D4:D29" si="0">B4+C4</f>
        <v>676525.50199999928</v>
      </c>
    </row>
    <row r="5" spans="1:4">
      <c r="A5" s="34" t="s">
        <v>978</v>
      </c>
      <c r="B5" s="117">
        <f>SUM('ניירות ערך מסחריים'!AD:AD)</f>
        <v>0</v>
      </c>
      <c r="C5" s="35"/>
      <c r="D5" s="117">
        <f t="shared" si="0"/>
        <v>0</v>
      </c>
    </row>
    <row r="6" spans="1:4">
      <c r="A6" s="34" t="s">
        <v>979</v>
      </c>
      <c r="B6" s="117">
        <f>SUM('איגרות חוב'!AD:AD)</f>
        <v>303113.11899999977</v>
      </c>
      <c r="C6" s="35"/>
      <c r="D6" s="117">
        <f t="shared" si="0"/>
        <v>303113.11899999977</v>
      </c>
    </row>
    <row r="7" spans="1:4">
      <c r="A7" s="34" t="s">
        <v>986</v>
      </c>
      <c r="B7" s="117">
        <f>SUM('מניות מבכ ויהש'!U:U)</f>
        <v>420287.73900000012</v>
      </c>
      <c r="C7" s="35"/>
      <c r="D7" s="117">
        <f t="shared" si="0"/>
        <v>420287.73900000012</v>
      </c>
    </row>
    <row r="8" spans="1:4">
      <c r="A8" s="34" t="s">
        <v>484</v>
      </c>
      <c r="B8" s="117">
        <f>SUM('קרנות סל'!T:T)</f>
        <v>913154.62900000054</v>
      </c>
      <c r="C8" s="35"/>
      <c r="D8" s="117">
        <f t="shared" si="0"/>
        <v>913154.62900000054</v>
      </c>
    </row>
    <row r="9" spans="1:4">
      <c r="A9" s="34" t="s">
        <v>999</v>
      </c>
      <c r="B9" s="117">
        <f>SUM('קרנות נאמנות'!T:T)</f>
        <v>106995.00600000001</v>
      </c>
      <c r="C9" s="35"/>
      <c r="D9" s="117">
        <f t="shared" si="0"/>
        <v>106995.00600000001</v>
      </c>
    </row>
    <row r="10" spans="1:4">
      <c r="A10" s="34" t="s">
        <v>1122</v>
      </c>
      <c r="B10" s="117">
        <f>SUM('כתבי אופציה'!W:W)</f>
        <v>237.85400000000001</v>
      </c>
      <c r="C10" s="35"/>
      <c r="D10" s="117">
        <f t="shared" si="0"/>
        <v>237.85400000000001</v>
      </c>
    </row>
    <row r="11" spans="1:4">
      <c r="A11" s="34" t="s">
        <v>1002</v>
      </c>
      <c r="B11" s="117">
        <f>SUM(אופציות!V:V)</f>
        <v>-17.920000000000002</v>
      </c>
      <c r="C11" s="35"/>
      <c r="D11" s="117">
        <f t="shared" si="0"/>
        <v>-17.920000000000002</v>
      </c>
    </row>
    <row r="12" spans="1:4">
      <c r="A12" s="34" t="s">
        <v>1127</v>
      </c>
      <c r="B12" s="117">
        <f>SUM('חוזים עתידיים'!R:R)</f>
        <v>-1077.421</v>
      </c>
      <c r="C12" s="35"/>
      <c r="D12" s="117">
        <f t="shared" si="0"/>
        <v>-1077.421</v>
      </c>
    </row>
    <row r="13" spans="1:4">
      <c r="A13" s="34" t="s">
        <v>1007</v>
      </c>
      <c r="B13" s="117">
        <f>SUM('מוצרים מובנים'!Z:Z)</f>
        <v>0</v>
      </c>
      <c r="C13" s="35"/>
      <c r="D13" s="117">
        <f t="shared" si="0"/>
        <v>0</v>
      </c>
    </row>
    <row r="14" spans="1:4">
      <c r="A14" s="34" t="s">
        <v>1014</v>
      </c>
      <c r="B14" s="117">
        <f>SUM('לא סחיר איגרות חוב ממשלתיות'!U:U)</f>
        <v>0</v>
      </c>
      <c r="C14" s="35"/>
      <c r="D14" s="117">
        <f t="shared" si="0"/>
        <v>0</v>
      </c>
    </row>
    <row r="15" spans="1:4">
      <c r="A15" s="34" t="s">
        <v>1015</v>
      </c>
      <c r="B15" s="117">
        <f>SUM('לא סחיר איגרות חוב מיועדות'!N:N)</f>
        <v>0</v>
      </c>
      <c r="C15" s="35"/>
      <c r="D15" s="117">
        <f t="shared" si="0"/>
        <v>0</v>
      </c>
    </row>
    <row r="16" spans="1:4">
      <c r="A16" s="34" t="s">
        <v>1021</v>
      </c>
      <c r="B16" s="117">
        <f>SUM('אפיק השקעה מובטח תשואה'!F:F)</f>
        <v>0</v>
      </c>
      <c r="C16" s="35"/>
      <c r="D16" s="117">
        <f t="shared" si="0"/>
        <v>0</v>
      </c>
    </row>
    <row r="17" spans="1:4">
      <c r="A17" s="34" t="s">
        <v>1025</v>
      </c>
      <c r="B17" s="117">
        <f>SUM('לא סחיר ניירות ערך מסחריים'!AI:AI)</f>
        <v>0</v>
      </c>
      <c r="C17" s="35"/>
      <c r="D17" s="117">
        <f t="shared" si="0"/>
        <v>0</v>
      </c>
    </row>
    <row r="18" spans="1:4">
      <c r="A18" s="34" t="s">
        <v>1027</v>
      </c>
      <c r="B18" s="117">
        <f>SUM('לא סחיר איגרות חוב'!AG:AG)</f>
        <v>18589.276000000002</v>
      </c>
      <c r="C18" s="35"/>
      <c r="D18" s="117">
        <f t="shared" si="0"/>
        <v>18589.276000000002</v>
      </c>
    </row>
    <row r="19" spans="1:4">
      <c r="A19" s="34" t="s">
        <v>1030</v>
      </c>
      <c r="B19" s="117">
        <f>SUM('לא סחיר מניות מבכ ויהש'!X:X)</f>
        <v>2852.5659999999998</v>
      </c>
      <c r="C19" s="35"/>
      <c r="D19" s="117">
        <f t="shared" si="0"/>
        <v>2852.5659999999998</v>
      </c>
    </row>
    <row r="20" spans="1:4">
      <c r="A20" s="34" t="s">
        <v>788</v>
      </c>
      <c r="B20" s="117">
        <f>SUM('קרנות השקעה'!W:W)</f>
        <v>465760.11800000007</v>
      </c>
      <c r="C20" s="35"/>
      <c r="D20" s="117">
        <f t="shared" si="0"/>
        <v>465760.11800000007</v>
      </c>
    </row>
    <row r="21" spans="1:4">
      <c r="A21" s="34" t="s">
        <v>1138</v>
      </c>
      <c r="B21" s="117">
        <f>SUM('לא סחיר כתבי אופציה'!Z:Z)</f>
        <v>0.40800000000000003</v>
      </c>
      <c r="C21" s="35"/>
      <c r="D21" s="117">
        <f t="shared" si="0"/>
        <v>0.40800000000000003</v>
      </c>
    </row>
    <row r="22" spans="1:4">
      <c r="A22" s="34" t="s">
        <v>1045</v>
      </c>
      <c r="B22" s="117">
        <f>SUM('לא סחיר אופציות'!Z:Z)</f>
        <v>0</v>
      </c>
      <c r="C22" s="35"/>
      <c r="D22" s="117">
        <f t="shared" si="0"/>
        <v>0</v>
      </c>
    </row>
    <row r="23" spans="1:4">
      <c r="A23" s="34" t="s">
        <v>1054</v>
      </c>
      <c r="B23" s="117">
        <f>SUM('לא סחיר נגזרים אחרים'!R:R)</f>
        <v>-9048.5811999999969</v>
      </c>
      <c r="C23" s="35"/>
      <c r="D23" s="117">
        <f t="shared" si="0"/>
        <v>-9048.5811999999969</v>
      </c>
    </row>
    <row r="24" spans="1:4">
      <c r="A24" s="34" t="s">
        <v>1047</v>
      </c>
      <c r="B24" s="117">
        <f>SUM(הלוואות!AT:AT)</f>
        <v>88847.241999999998</v>
      </c>
      <c r="C24" s="35"/>
      <c r="D24" s="117">
        <f t="shared" si="0"/>
        <v>88847.241999999998</v>
      </c>
    </row>
    <row r="25" spans="1:4">
      <c r="A25" s="34" t="s">
        <v>1065</v>
      </c>
      <c r="B25" s="117">
        <f>SUM('לא סחיר מוצרים מובנים'!AB:AB)</f>
        <v>0</v>
      </c>
      <c r="C25" s="35"/>
      <c r="D25" s="117">
        <f t="shared" si="0"/>
        <v>0</v>
      </c>
    </row>
    <row r="26" spans="1:4">
      <c r="A26" s="34" t="s">
        <v>1070</v>
      </c>
      <c r="B26" s="117">
        <f>SUM('פיקדונות מעל 3 חודשים'!T:T)</f>
        <v>0</v>
      </c>
      <c r="C26" s="35"/>
      <c r="D26" s="117">
        <f t="shared" si="0"/>
        <v>0</v>
      </c>
    </row>
    <row r="27" spans="1:4">
      <c r="A27" s="34" t="s">
        <v>1073</v>
      </c>
      <c r="B27" s="117">
        <f>SUM('זכויות מקרקעין'!S:S)</f>
        <v>0</v>
      </c>
      <c r="C27" s="35"/>
      <c r="D27" s="117">
        <f t="shared" si="0"/>
        <v>0</v>
      </c>
    </row>
    <row r="28" spans="1:4">
      <c r="A28" s="34" t="s">
        <v>1108</v>
      </c>
      <c r="B28" s="117">
        <f>SUM('השקעה בחברות מוחזקות'!U:U)</f>
        <v>0</v>
      </c>
      <c r="C28" s="35"/>
      <c r="D28" s="117">
        <f t="shared" si="0"/>
        <v>0</v>
      </c>
    </row>
    <row r="29" spans="1:4">
      <c r="A29" s="34" t="s">
        <v>1076</v>
      </c>
      <c r="B29" s="117">
        <f>SUM('נכסים אחרים'!N:N)</f>
        <v>-1028.181</v>
      </c>
      <c r="C29" s="35"/>
      <c r="D29" s="117">
        <f t="shared" si="0"/>
        <v>-1028.181</v>
      </c>
    </row>
    <row r="30" spans="1:4">
      <c r="A30" s="33" t="s">
        <v>1178</v>
      </c>
      <c r="B30" s="118">
        <f>IF(SUM(B3:B29)=0,0.0001,SUM(B3:B29))</f>
        <v>3031024.1617999999</v>
      </c>
      <c r="C30" s="36">
        <f t="shared" ref="C30:D30" si="1">SUM(C3:C29)</f>
        <v>0</v>
      </c>
      <c r="D30" s="118">
        <f t="shared" si="1"/>
        <v>3031024.1617999999</v>
      </c>
    </row>
    <row r="31" spans="1:4">
      <c r="A31" s="34" t="s">
        <v>1176</v>
      </c>
      <c r="B31" s="117"/>
      <c r="C31" s="35"/>
      <c r="D31" s="117"/>
    </row>
    <row r="32" spans="1:4">
      <c r="A32" s="34" t="s">
        <v>1179</v>
      </c>
      <c r="B32" s="117">
        <f>SUM('יתרות התחייבות להשקעה'!O:O)</f>
        <v>122295.42010369003</v>
      </c>
      <c r="C32" s="35"/>
      <c r="D32" s="117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9"/>
  <sheetViews>
    <sheetView rightToLeft="1" zoomScale="70" zoomScaleNormal="70" workbookViewId="0"/>
  </sheetViews>
  <sheetFormatPr defaultColWidth="0" defaultRowHeight="14.25" zeroHeight="1"/>
  <cols>
    <col min="1" max="17" width="11.625" customWidth="1"/>
    <col min="18" max="18" width="11.625" hidden="1" customWidth="1"/>
  </cols>
  <sheetData>
    <row r="1" spans="1:17" ht="66.75" customHeight="1">
      <c r="A1" s="12" t="s">
        <v>0</v>
      </c>
      <c r="B1" s="12" t="s">
        <v>1</v>
      </c>
      <c r="C1" s="12" t="s">
        <v>174</v>
      </c>
      <c r="D1" s="12" t="s">
        <v>175</v>
      </c>
      <c r="E1" s="12" t="s">
        <v>176</v>
      </c>
      <c r="F1" s="12" t="s">
        <v>5</v>
      </c>
      <c r="G1" s="12" t="s">
        <v>6</v>
      </c>
      <c r="H1" s="12" t="s">
        <v>133</v>
      </c>
      <c r="I1" s="12" t="s">
        <v>178</v>
      </c>
      <c r="J1" s="12" t="s">
        <v>10</v>
      </c>
      <c r="K1" s="12" t="s">
        <v>11</v>
      </c>
      <c r="L1" s="12" t="s">
        <v>143</v>
      </c>
      <c r="M1" s="133" t="s">
        <v>18</v>
      </c>
      <c r="N1" s="135" t="s">
        <v>14</v>
      </c>
      <c r="O1" s="12" t="s">
        <v>20</v>
      </c>
      <c r="P1" s="139" t="s">
        <v>24</v>
      </c>
      <c r="Q1" s="139" t="s">
        <v>25</v>
      </c>
    </row>
    <row r="2" spans="1:17">
      <c r="A2" s="2">
        <v>382</v>
      </c>
      <c r="B2" s="2">
        <v>382</v>
      </c>
      <c r="C2" s="2" t="s">
        <v>1180</v>
      </c>
      <c r="D2" s="2" t="s">
        <v>1181</v>
      </c>
      <c r="E2" s="3" t="s">
        <v>329</v>
      </c>
      <c r="F2" s="2" t="s">
        <v>966</v>
      </c>
      <c r="G2" s="2" t="s">
        <v>30</v>
      </c>
      <c r="H2" s="2" t="s">
        <v>147</v>
      </c>
      <c r="I2" s="2" t="s">
        <v>1182</v>
      </c>
      <c r="J2" s="2" t="s">
        <v>426</v>
      </c>
      <c r="K2" s="2" t="s">
        <v>98</v>
      </c>
      <c r="L2" s="123">
        <v>2E-3</v>
      </c>
      <c r="M2" s="134">
        <v>3.718</v>
      </c>
      <c r="N2" s="136">
        <v>0</v>
      </c>
      <c r="O2" s="124">
        <v>8.0000000000000002E-3</v>
      </c>
      <c r="P2" s="140">
        <v>2.0234624036042599E-7</v>
      </c>
      <c r="Q2" s="140">
        <v>2.8420165440749601E-9</v>
      </c>
    </row>
    <row r="3" spans="1:17">
      <c r="A3" s="2">
        <v>382</v>
      </c>
      <c r="B3" s="2">
        <v>382</v>
      </c>
      <c r="C3" s="2" t="s">
        <v>1180</v>
      </c>
      <c r="D3" s="2" t="s">
        <v>1181</v>
      </c>
      <c r="E3" s="11" t="s">
        <v>329</v>
      </c>
      <c r="F3" s="2" t="s">
        <v>964</v>
      </c>
      <c r="G3" s="2" t="s">
        <v>30</v>
      </c>
      <c r="H3" s="2" t="s">
        <v>147</v>
      </c>
      <c r="I3" s="2" t="s">
        <v>1182</v>
      </c>
      <c r="J3" s="2" t="s">
        <v>426</v>
      </c>
      <c r="K3" s="2" t="s">
        <v>34</v>
      </c>
      <c r="L3" s="124">
        <v>2E-3</v>
      </c>
      <c r="M3" s="134">
        <v>1</v>
      </c>
      <c r="N3" s="137">
        <v>0</v>
      </c>
      <c r="O3" s="124">
        <v>2E-3</v>
      </c>
      <c r="P3" s="140">
        <v>4.2356681500531E-8</v>
      </c>
      <c r="Q3" s="140">
        <v>5.9491290454520398E-10</v>
      </c>
    </row>
    <row r="4" spans="1:17">
      <c r="A4" s="2">
        <v>382</v>
      </c>
      <c r="B4" s="2">
        <v>382</v>
      </c>
      <c r="C4" s="2" t="s">
        <v>1180</v>
      </c>
      <c r="D4" s="2" t="s">
        <v>1181</v>
      </c>
      <c r="E4" s="11" t="s">
        <v>329</v>
      </c>
      <c r="F4" s="2" t="s">
        <v>964</v>
      </c>
      <c r="G4" s="2" t="s">
        <v>30</v>
      </c>
      <c r="H4" s="2" t="s">
        <v>147</v>
      </c>
      <c r="I4" s="2" t="s">
        <v>1182</v>
      </c>
      <c r="J4" s="2" t="s">
        <v>426</v>
      </c>
      <c r="K4" s="2" t="s">
        <v>34</v>
      </c>
      <c r="L4" s="124">
        <v>0</v>
      </c>
      <c r="M4" s="134">
        <v>1</v>
      </c>
      <c r="N4" s="137">
        <v>3.7999999999999999E-2</v>
      </c>
      <c r="O4" s="124">
        <v>0</v>
      </c>
      <c r="P4" s="140">
        <v>-5.9102346279810808E-9</v>
      </c>
      <c r="Q4" s="140">
        <v>-8.3011102959795794E-11</v>
      </c>
    </row>
    <row r="5" spans="1:17">
      <c r="A5" s="2">
        <v>382</v>
      </c>
      <c r="B5" s="2">
        <v>382</v>
      </c>
      <c r="C5" s="2" t="s">
        <v>1180</v>
      </c>
      <c r="D5" s="2" t="s">
        <v>1181</v>
      </c>
      <c r="E5" s="11" t="s">
        <v>329</v>
      </c>
      <c r="F5" s="2" t="s">
        <v>966</v>
      </c>
      <c r="G5" s="2" t="s">
        <v>30</v>
      </c>
      <c r="H5" s="2" t="s">
        <v>147</v>
      </c>
      <c r="I5" s="2" t="s">
        <v>1182</v>
      </c>
      <c r="J5" s="2" t="s">
        <v>426</v>
      </c>
      <c r="K5" s="2" t="s">
        <v>98</v>
      </c>
      <c r="L5" s="124">
        <v>911.86199999999997</v>
      </c>
      <c r="M5" s="134">
        <v>3.718</v>
      </c>
      <c r="N5" s="137">
        <v>0</v>
      </c>
      <c r="O5" s="124">
        <v>3390.3040000000001</v>
      </c>
      <c r="P5" s="140">
        <v>8.3489545697120804E-2</v>
      </c>
      <c r="Q5" s="140">
        <v>1.1726369104060001E-3</v>
      </c>
    </row>
    <row r="6" spans="1:17">
      <c r="A6" s="2">
        <v>382</v>
      </c>
      <c r="B6" s="2">
        <v>382</v>
      </c>
      <c r="C6" s="2" t="s">
        <v>1180</v>
      </c>
      <c r="D6" s="2" t="s">
        <v>1181</v>
      </c>
      <c r="E6" s="11" t="s">
        <v>329</v>
      </c>
      <c r="F6" s="2" t="s">
        <v>966</v>
      </c>
      <c r="G6" s="2" t="s">
        <v>30</v>
      </c>
      <c r="H6" s="2" t="s">
        <v>147</v>
      </c>
      <c r="I6" s="2" t="s">
        <v>1182</v>
      </c>
      <c r="J6" s="2" t="s">
        <v>426</v>
      </c>
      <c r="K6" s="2" t="s">
        <v>1183</v>
      </c>
      <c r="L6" s="124">
        <v>6.1920000000000002</v>
      </c>
      <c r="M6" s="134">
        <v>4.0218999999999996</v>
      </c>
      <c r="N6" s="137">
        <v>0</v>
      </c>
      <c r="O6" s="124">
        <v>24.905000000000001</v>
      </c>
      <c r="P6" s="140">
        <v>6.1329938474979895E-4</v>
      </c>
      <c r="Q6" s="140">
        <v>8.6139826212002703E-6</v>
      </c>
    </row>
    <row r="7" spans="1:17">
      <c r="A7" s="2">
        <v>382</v>
      </c>
      <c r="B7" s="2">
        <v>382</v>
      </c>
      <c r="C7" s="2" t="s">
        <v>1180</v>
      </c>
      <c r="D7" s="2" t="s">
        <v>1181</v>
      </c>
      <c r="E7" s="11" t="s">
        <v>329</v>
      </c>
      <c r="F7" s="2" t="s">
        <v>966</v>
      </c>
      <c r="G7" s="2" t="s">
        <v>30</v>
      </c>
      <c r="H7" s="2" t="s">
        <v>147</v>
      </c>
      <c r="I7" s="2" t="s">
        <v>1182</v>
      </c>
      <c r="J7" s="2" t="s">
        <v>426</v>
      </c>
      <c r="K7" s="2" t="s">
        <v>1184</v>
      </c>
      <c r="L7" s="124">
        <v>-1.4730000000000001</v>
      </c>
      <c r="M7" s="134">
        <v>2.4892999999999998E-2</v>
      </c>
      <c r="N7" s="137">
        <v>0</v>
      </c>
      <c r="O7" s="124">
        <v>-3.6999999999999998E-2</v>
      </c>
      <c r="P7" s="140">
        <v>-9.0322163670165003E-7</v>
      </c>
      <c r="Q7" s="140">
        <v>-1.2686031773558899E-8</v>
      </c>
    </row>
    <row r="8" spans="1:17">
      <c r="A8" s="2">
        <v>382</v>
      </c>
      <c r="B8" s="2">
        <v>382</v>
      </c>
      <c r="C8" s="2" t="s">
        <v>1180</v>
      </c>
      <c r="D8" s="2" t="s">
        <v>1181</v>
      </c>
      <c r="E8" s="11" t="s">
        <v>329</v>
      </c>
      <c r="F8" s="2" t="s">
        <v>966</v>
      </c>
      <c r="G8" s="2" t="s">
        <v>30</v>
      </c>
      <c r="H8" s="2" t="s">
        <v>147</v>
      </c>
      <c r="I8" s="2" t="s">
        <v>1182</v>
      </c>
      <c r="J8" s="2" t="s">
        <v>426</v>
      </c>
      <c r="K8" s="2" t="s">
        <v>1185</v>
      </c>
      <c r="L8" s="124">
        <v>0.96599999999999997</v>
      </c>
      <c r="M8" s="134">
        <v>4.8108000000000004</v>
      </c>
      <c r="N8" s="137">
        <v>0</v>
      </c>
      <c r="O8" s="124">
        <v>4.649</v>
      </c>
      <c r="P8" s="140">
        <v>1.1448648505352601E-4</v>
      </c>
      <c r="Q8" s="140">
        <v>1.6079986661256799E-6</v>
      </c>
    </row>
    <row r="9" spans="1:17">
      <c r="A9" s="2">
        <v>382</v>
      </c>
      <c r="B9" s="2">
        <v>382</v>
      </c>
      <c r="C9" s="2" t="s">
        <v>1180</v>
      </c>
      <c r="D9" s="2" t="s">
        <v>1181</v>
      </c>
      <c r="E9" s="11" t="s">
        <v>329</v>
      </c>
      <c r="F9" s="2" t="s">
        <v>964</v>
      </c>
      <c r="G9" s="2" t="s">
        <v>30</v>
      </c>
      <c r="H9" s="2" t="s">
        <v>147</v>
      </c>
      <c r="I9" s="2" t="s">
        <v>1182</v>
      </c>
      <c r="J9" s="2" t="s">
        <v>426</v>
      </c>
      <c r="K9" s="2" t="s">
        <v>34</v>
      </c>
      <c r="L9" s="124">
        <v>37187.695</v>
      </c>
      <c r="M9" s="134">
        <v>1</v>
      </c>
      <c r="N9" s="137">
        <v>3.7999999999999999E-2</v>
      </c>
      <c r="O9" s="124">
        <v>37187.695</v>
      </c>
      <c r="P9" s="140">
        <v>0.91578333261576605</v>
      </c>
      <c r="Q9" s="140">
        <v>1.28624647408627E-2</v>
      </c>
    </row>
    <row r="10" spans="1:17">
      <c r="A10" s="2">
        <v>382</v>
      </c>
      <c r="B10" s="2">
        <v>382</v>
      </c>
      <c r="C10" s="2" t="s">
        <v>1180</v>
      </c>
      <c r="D10" s="2" t="s">
        <v>1181</v>
      </c>
      <c r="E10" s="11" t="s">
        <v>329</v>
      </c>
      <c r="F10" s="2" t="s">
        <v>964</v>
      </c>
      <c r="G10" s="2" t="s">
        <v>30</v>
      </c>
      <c r="H10" s="2" t="s">
        <v>147</v>
      </c>
      <c r="I10" s="2" t="s">
        <v>1182</v>
      </c>
      <c r="J10" s="2" t="s">
        <v>426</v>
      </c>
      <c r="K10" s="2" t="s">
        <v>34</v>
      </c>
      <c r="L10" s="124">
        <v>0</v>
      </c>
      <c r="M10" s="134">
        <v>1</v>
      </c>
      <c r="N10" s="137">
        <v>0</v>
      </c>
      <c r="O10" s="124">
        <v>0</v>
      </c>
      <c r="P10" s="140">
        <v>2.46259776165878E-10</v>
      </c>
      <c r="Q10" s="140">
        <v>3.45879595665816E-12</v>
      </c>
    </row>
    <row r="11" spans="1:17">
      <c r="A11" s="2">
        <v>382</v>
      </c>
      <c r="B11" s="2">
        <v>1404</v>
      </c>
      <c r="C11" s="2" t="s">
        <v>1180</v>
      </c>
      <c r="D11" s="2" t="s">
        <v>1181</v>
      </c>
      <c r="E11" s="11" t="s">
        <v>329</v>
      </c>
      <c r="F11" s="2" t="s">
        <v>964</v>
      </c>
      <c r="G11" s="2" t="s">
        <v>30</v>
      </c>
      <c r="H11" s="2" t="s">
        <v>147</v>
      </c>
      <c r="I11" s="2" t="s">
        <v>1182</v>
      </c>
      <c r="J11" s="2" t="s">
        <v>426</v>
      </c>
      <c r="K11" s="2" t="s">
        <v>34</v>
      </c>
      <c r="L11" s="124">
        <v>0</v>
      </c>
      <c r="M11" s="134">
        <v>1</v>
      </c>
      <c r="N11" s="137">
        <v>3.7999999999999999E-2</v>
      </c>
      <c r="O11" s="124">
        <v>0</v>
      </c>
      <c r="P11" s="140">
        <v>-1.9013103758556399E-7</v>
      </c>
      <c r="Q11" s="140">
        <v>-3.7403184416194706E-9</v>
      </c>
    </row>
    <row r="12" spans="1:17">
      <c r="A12" s="2">
        <v>382</v>
      </c>
      <c r="B12" s="2">
        <v>1404</v>
      </c>
      <c r="C12" s="2" t="s">
        <v>1180</v>
      </c>
      <c r="D12" s="2" t="s">
        <v>1181</v>
      </c>
      <c r="E12" s="11" t="s">
        <v>329</v>
      </c>
      <c r="F12" s="2" t="s">
        <v>966</v>
      </c>
      <c r="G12" s="2" t="s">
        <v>30</v>
      </c>
      <c r="H12" s="2" t="s">
        <v>147</v>
      </c>
      <c r="I12" s="2" t="s">
        <v>1182</v>
      </c>
      <c r="J12" s="2" t="s">
        <v>426</v>
      </c>
      <c r="K12" s="2" t="s">
        <v>98</v>
      </c>
      <c r="L12" s="124">
        <v>8.39</v>
      </c>
      <c r="M12" s="134">
        <v>3.718</v>
      </c>
      <c r="N12" s="137">
        <v>0</v>
      </c>
      <c r="O12" s="124">
        <v>31.196000000000002</v>
      </c>
      <c r="P12" s="140">
        <v>5.9312907045197497E-2</v>
      </c>
      <c r="Q12" s="140">
        <v>1.1668224339615001E-3</v>
      </c>
    </row>
    <row r="13" spans="1:17">
      <c r="A13" s="2">
        <v>382</v>
      </c>
      <c r="B13" s="2">
        <v>1404</v>
      </c>
      <c r="C13" s="2" t="s">
        <v>1180</v>
      </c>
      <c r="D13" s="2" t="s">
        <v>1181</v>
      </c>
      <c r="E13" s="11" t="s">
        <v>329</v>
      </c>
      <c r="F13" s="2" t="s">
        <v>964</v>
      </c>
      <c r="G13" s="2" t="s">
        <v>30</v>
      </c>
      <c r="H13" s="2" t="s">
        <v>147</v>
      </c>
      <c r="I13" s="2" t="s">
        <v>1182</v>
      </c>
      <c r="J13" s="2" t="s">
        <v>426</v>
      </c>
      <c r="K13" s="2" t="s">
        <v>34</v>
      </c>
      <c r="L13" s="124">
        <v>494.75700000000001</v>
      </c>
      <c r="M13" s="134">
        <v>1</v>
      </c>
      <c r="N13" s="137">
        <v>3.7999999999999999E-2</v>
      </c>
      <c r="O13" s="124">
        <v>494.75700000000001</v>
      </c>
      <c r="P13" s="140">
        <v>0.94068728308584004</v>
      </c>
      <c r="Q13" s="140">
        <v>1.85055004033178E-2</v>
      </c>
    </row>
    <row r="14" spans="1:17">
      <c r="A14" s="2">
        <v>382</v>
      </c>
      <c r="B14" s="2">
        <v>7635</v>
      </c>
      <c r="C14" s="2" t="s">
        <v>1180</v>
      </c>
      <c r="D14" s="2" t="s">
        <v>1181</v>
      </c>
      <c r="E14" s="11" t="s">
        <v>329</v>
      </c>
      <c r="F14" s="2" t="s">
        <v>966</v>
      </c>
      <c r="G14" s="2" t="s">
        <v>30</v>
      </c>
      <c r="H14" s="2" t="s">
        <v>147</v>
      </c>
      <c r="I14" s="2" t="s">
        <v>1182</v>
      </c>
      <c r="J14" s="2" t="s">
        <v>426</v>
      </c>
      <c r="K14" s="2" t="s">
        <v>1183</v>
      </c>
      <c r="L14" s="124">
        <v>5.0000000000000001E-3</v>
      </c>
      <c r="M14" s="134">
        <v>4.0218999999999996</v>
      </c>
      <c r="N14" s="137">
        <v>0</v>
      </c>
      <c r="O14" s="124">
        <v>2.1000000000000001E-2</v>
      </c>
      <c r="P14" s="140">
        <v>4.0990469558643303E-5</v>
      </c>
      <c r="Q14" s="140">
        <v>1.15642571174457E-6</v>
      </c>
    </row>
    <row r="15" spans="1:17">
      <c r="A15" s="2">
        <v>382</v>
      </c>
      <c r="B15" s="2">
        <v>7635</v>
      </c>
      <c r="C15" s="2" t="s">
        <v>1180</v>
      </c>
      <c r="D15" s="2" t="s">
        <v>1181</v>
      </c>
      <c r="E15" s="11" t="s">
        <v>329</v>
      </c>
      <c r="F15" s="2" t="s">
        <v>964</v>
      </c>
      <c r="G15" s="2" t="s">
        <v>30</v>
      </c>
      <c r="H15" s="2" t="s">
        <v>147</v>
      </c>
      <c r="I15" s="2" t="s">
        <v>1182</v>
      </c>
      <c r="J15" s="2" t="s">
        <v>426</v>
      </c>
      <c r="K15" s="2" t="s">
        <v>34</v>
      </c>
      <c r="L15" s="124">
        <v>0</v>
      </c>
      <c r="M15" s="134">
        <v>1</v>
      </c>
      <c r="N15" s="137">
        <v>3.7999999999999999E-2</v>
      </c>
      <c r="O15" s="124">
        <v>0</v>
      </c>
      <c r="P15" s="140">
        <v>-7.4434619930929196E-7</v>
      </c>
      <c r="Q15" s="140">
        <v>-2.0999541907884901E-8</v>
      </c>
    </row>
    <row r="16" spans="1:17">
      <c r="A16" s="2">
        <v>382</v>
      </c>
      <c r="B16" s="2">
        <v>7635</v>
      </c>
      <c r="C16" s="2" t="s">
        <v>1180</v>
      </c>
      <c r="D16" s="2" t="s">
        <v>1181</v>
      </c>
      <c r="E16" s="11" t="s">
        <v>329</v>
      </c>
      <c r="F16" s="2" t="s">
        <v>966</v>
      </c>
      <c r="G16" s="2" t="s">
        <v>30</v>
      </c>
      <c r="H16" s="2" t="s">
        <v>147</v>
      </c>
      <c r="I16" s="2" t="s">
        <v>1182</v>
      </c>
      <c r="J16" s="2" t="s">
        <v>426</v>
      </c>
      <c r="K16" s="2" t="s">
        <v>98</v>
      </c>
      <c r="L16" s="124">
        <v>7.4580000000000002</v>
      </c>
      <c r="M16" s="134">
        <v>3.718</v>
      </c>
      <c r="N16" s="137">
        <v>0</v>
      </c>
      <c r="O16" s="124">
        <v>27.728999999999999</v>
      </c>
      <c r="P16" s="140">
        <v>5.29239233694846E-2</v>
      </c>
      <c r="Q16" s="140">
        <v>1.4930930630914401E-3</v>
      </c>
    </row>
    <row r="17" spans="1:17">
      <c r="A17" s="2">
        <v>382</v>
      </c>
      <c r="B17" s="2">
        <v>7635</v>
      </c>
      <c r="C17" s="2" t="s">
        <v>1180</v>
      </c>
      <c r="D17" s="2" t="s">
        <v>1181</v>
      </c>
      <c r="E17" s="11" t="s">
        <v>329</v>
      </c>
      <c r="F17" s="2" t="s">
        <v>966</v>
      </c>
      <c r="G17" s="2" t="s">
        <v>30</v>
      </c>
      <c r="H17" s="2" t="s">
        <v>147</v>
      </c>
      <c r="I17" s="2" t="s">
        <v>1182</v>
      </c>
      <c r="J17" s="2" t="s">
        <v>426</v>
      </c>
      <c r="K17" s="2" t="s">
        <v>1183</v>
      </c>
      <c r="L17" s="124">
        <v>5.41</v>
      </c>
      <c r="M17" s="134">
        <v>4.0218999999999996</v>
      </c>
      <c r="N17" s="137">
        <v>0</v>
      </c>
      <c r="O17" s="124">
        <v>21.76</v>
      </c>
      <c r="P17" s="140">
        <v>4.1531328825516398E-2</v>
      </c>
      <c r="Q17" s="140">
        <v>1.1716844674841799E-3</v>
      </c>
    </row>
    <row r="18" spans="1:17">
      <c r="A18" s="2">
        <v>382</v>
      </c>
      <c r="B18" s="2">
        <v>7635</v>
      </c>
      <c r="C18" s="2" t="s">
        <v>1180</v>
      </c>
      <c r="D18" s="2" t="s">
        <v>1181</v>
      </c>
      <c r="E18" s="11" t="s">
        <v>329</v>
      </c>
      <c r="F18" s="2" t="s">
        <v>966</v>
      </c>
      <c r="G18" s="2" t="s">
        <v>30</v>
      </c>
      <c r="H18" s="2" t="s">
        <v>147</v>
      </c>
      <c r="I18" s="2" t="s">
        <v>1182</v>
      </c>
      <c r="J18" s="2" t="s">
        <v>426</v>
      </c>
      <c r="K18" s="2" t="s">
        <v>1184</v>
      </c>
      <c r="L18" s="124">
        <v>30.221</v>
      </c>
      <c r="M18" s="134">
        <v>2.4892999999999998E-2</v>
      </c>
      <c r="N18" s="137">
        <v>0</v>
      </c>
      <c r="O18" s="124">
        <v>0.752</v>
      </c>
      <c r="P18" s="140">
        <v>1.4357887499608199E-3</v>
      </c>
      <c r="Q18" s="140">
        <v>4.0506562744123803E-5</v>
      </c>
    </row>
    <row r="19" spans="1:17">
      <c r="A19" s="2">
        <v>382</v>
      </c>
      <c r="B19" s="2">
        <v>7635</v>
      </c>
      <c r="C19" s="2" t="s">
        <v>1180</v>
      </c>
      <c r="D19" s="2" t="s">
        <v>1181</v>
      </c>
      <c r="E19" s="11" t="s">
        <v>329</v>
      </c>
      <c r="F19" s="2" t="s">
        <v>964</v>
      </c>
      <c r="G19" s="2" t="s">
        <v>30</v>
      </c>
      <c r="H19" s="2" t="s">
        <v>147</v>
      </c>
      <c r="I19" s="2" t="s">
        <v>1182</v>
      </c>
      <c r="J19" s="2" t="s">
        <v>426</v>
      </c>
      <c r="K19" s="2" t="s">
        <v>34</v>
      </c>
      <c r="L19" s="124">
        <v>473.68700000000001</v>
      </c>
      <c r="M19" s="134">
        <v>1</v>
      </c>
      <c r="N19" s="137">
        <v>3.7999999999999999E-2</v>
      </c>
      <c r="O19" s="124">
        <v>473.68700000000001</v>
      </c>
      <c r="P19" s="140">
        <v>0.90406871293167901</v>
      </c>
      <c r="Q19" s="140">
        <v>2.5505643533121201E-2</v>
      </c>
    </row>
    <row r="20" spans="1:17">
      <c r="A20" s="2">
        <v>382</v>
      </c>
      <c r="B20" s="2">
        <v>9479</v>
      </c>
      <c r="C20" s="2" t="s">
        <v>1180</v>
      </c>
      <c r="D20" s="2" t="s">
        <v>1181</v>
      </c>
      <c r="E20" s="11" t="s">
        <v>329</v>
      </c>
      <c r="F20" s="2" t="s">
        <v>964</v>
      </c>
      <c r="G20" s="2" t="s">
        <v>30</v>
      </c>
      <c r="H20" s="2" t="s">
        <v>147</v>
      </c>
      <c r="I20" s="2" t="s">
        <v>1182</v>
      </c>
      <c r="J20" s="2" t="s">
        <v>426</v>
      </c>
      <c r="K20" s="2" t="s">
        <v>34</v>
      </c>
      <c r="L20" s="124">
        <v>-1E-3</v>
      </c>
      <c r="M20" s="134">
        <v>1</v>
      </c>
      <c r="N20" s="137">
        <v>0</v>
      </c>
      <c r="O20" s="124">
        <v>-1E-3</v>
      </c>
      <c r="P20" s="140">
        <v>-2.5328169795425299E-7</v>
      </c>
      <c r="Q20" s="140">
        <v>-1.03486887367145E-8</v>
      </c>
    </row>
    <row r="21" spans="1:17">
      <c r="A21" s="2">
        <v>382</v>
      </c>
      <c r="B21" s="2">
        <v>9479</v>
      </c>
      <c r="C21" s="2" t="s">
        <v>1180</v>
      </c>
      <c r="D21" s="2" t="s">
        <v>1181</v>
      </c>
      <c r="E21" s="3" t="s">
        <v>329</v>
      </c>
      <c r="F21" s="2" t="s">
        <v>966</v>
      </c>
      <c r="G21" s="2" t="s">
        <v>30</v>
      </c>
      <c r="H21" s="2" t="s">
        <v>147</v>
      </c>
      <c r="I21" s="2" t="s">
        <v>1182</v>
      </c>
      <c r="J21" s="2" t="s">
        <v>426</v>
      </c>
      <c r="K21" s="2" t="s">
        <v>98</v>
      </c>
      <c r="L21" s="124">
        <v>12.492000000000001</v>
      </c>
      <c r="M21" s="134">
        <v>3.718</v>
      </c>
      <c r="N21" s="138">
        <v>0</v>
      </c>
      <c r="O21" s="124">
        <v>46.445999999999998</v>
      </c>
      <c r="P21" s="140">
        <v>1.5897038699605699E-2</v>
      </c>
      <c r="Q21" s="140">
        <v>6.49527805074326E-4</v>
      </c>
    </row>
    <row r="22" spans="1:17">
      <c r="A22" s="2">
        <v>382</v>
      </c>
      <c r="B22" s="2">
        <v>9479</v>
      </c>
      <c r="C22" s="2" t="s">
        <v>1180</v>
      </c>
      <c r="D22" s="2" t="s">
        <v>1181</v>
      </c>
      <c r="E22" s="3" t="s">
        <v>329</v>
      </c>
      <c r="F22" s="2" t="s">
        <v>966</v>
      </c>
      <c r="G22" s="2" t="s">
        <v>30</v>
      </c>
      <c r="H22" s="2" t="s">
        <v>147</v>
      </c>
      <c r="I22" s="2" t="s">
        <v>1182</v>
      </c>
      <c r="J22" s="2" t="s">
        <v>426</v>
      </c>
      <c r="K22" s="2" t="s">
        <v>1183</v>
      </c>
      <c r="L22" s="124">
        <v>21.568999999999999</v>
      </c>
      <c r="M22" s="134">
        <v>4.0218999999999996</v>
      </c>
      <c r="N22" s="138">
        <v>0</v>
      </c>
      <c r="O22" s="124">
        <v>86.748999999999995</v>
      </c>
      <c r="P22" s="140">
        <v>2.9691680407179701E-2</v>
      </c>
      <c r="Q22" s="140">
        <v>1.2131550012721599E-3</v>
      </c>
    </row>
    <row r="23" spans="1:17">
      <c r="A23" s="2">
        <v>382</v>
      </c>
      <c r="B23" s="2">
        <v>9479</v>
      </c>
      <c r="C23" s="2" t="s">
        <v>1180</v>
      </c>
      <c r="D23" s="2" t="s">
        <v>1181</v>
      </c>
      <c r="E23" s="3" t="s">
        <v>329</v>
      </c>
      <c r="F23" s="2" t="s">
        <v>966</v>
      </c>
      <c r="G23" s="2" t="s">
        <v>30</v>
      </c>
      <c r="H23" s="2" t="s">
        <v>147</v>
      </c>
      <c r="I23" s="2" t="s">
        <v>1182</v>
      </c>
      <c r="J23" s="2" t="s">
        <v>426</v>
      </c>
      <c r="K23" s="2" t="s">
        <v>1184</v>
      </c>
      <c r="L23" s="124">
        <v>240.768</v>
      </c>
      <c r="M23" s="134">
        <v>2.4892999999999998E-2</v>
      </c>
      <c r="N23" s="138">
        <v>0</v>
      </c>
      <c r="O23" s="124">
        <v>5.9930000000000003</v>
      </c>
      <c r="P23" s="140">
        <v>2.0513856723259499E-3</v>
      </c>
      <c r="Q23" s="140">
        <v>8.3816367204279596E-5</v>
      </c>
    </row>
    <row r="24" spans="1:17">
      <c r="A24" s="2">
        <v>382</v>
      </c>
      <c r="B24" s="2">
        <v>9479</v>
      </c>
      <c r="C24" s="2" t="s">
        <v>1180</v>
      </c>
      <c r="D24" s="2" t="s">
        <v>1181</v>
      </c>
      <c r="E24" s="3" t="s">
        <v>329</v>
      </c>
      <c r="F24" s="2" t="s">
        <v>964</v>
      </c>
      <c r="G24" s="2" t="s">
        <v>30</v>
      </c>
      <c r="H24" s="2" t="s">
        <v>147</v>
      </c>
      <c r="I24" s="2" t="s">
        <v>1182</v>
      </c>
      <c r="J24" s="2" t="s">
        <v>426</v>
      </c>
      <c r="K24" s="2" t="s">
        <v>34</v>
      </c>
      <c r="L24" s="124">
        <v>2782.4609999999998</v>
      </c>
      <c r="M24" s="134">
        <v>1</v>
      </c>
      <c r="N24" s="138">
        <v>3.7999999999999999E-2</v>
      </c>
      <c r="O24" s="124">
        <v>2782.4609999999998</v>
      </c>
      <c r="P24" s="140">
        <v>0.95236014850258699</v>
      </c>
      <c r="Q24" s="140">
        <v>3.8911926213810302E-2</v>
      </c>
    </row>
    <row r="25" spans="1:17">
      <c r="A25" s="2">
        <v>382</v>
      </c>
      <c r="B25" s="2">
        <v>11414</v>
      </c>
      <c r="C25" s="2" t="s">
        <v>1180</v>
      </c>
      <c r="D25" s="2" t="s">
        <v>1181</v>
      </c>
      <c r="E25" s="3" t="s">
        <v>329</v>
      </c>
      <c r="F25" s="2" t="s">
        <v>964</v>
      </c>
      <c r="G25" s="2" t="s">
        <v>30</v>
      </c>
      <c r="H25" s="2" t="s">
        <v>147</v>
      </c>
      <c r="I25" s="2" t="s">
        <v>1182</v>
      </c>
      <c r="J25" s="2" t="s">
        <v>426</v>
      </c>
      <c r="K25" s="2" t="s">
        <v>34</v>
      </c>
      <c r="L25" s="124">
        <v>0</v>
      </c>
      <c r="M25" s="134">
        <v>1</v>
      </c>
      <c r="N25" s="138">
        <v>0</v>
      </c>
      <c r="O25" s="124">
        <v>0</v>
      </c>
      <c r="P25" s="140">
        <v>1.9300521037575E-7</v>
      </c>
      <c r="Q25" s="140">
        <v>1.23301404773536E-8</v>
      </c>
    </row>
    <row r="26" spans="1:17">
      <c r="A26" s="2">
        <v>382</v>
      </c>
      <c r="B26" s="2">
        <v>11414</v>
      </c>
      <c r="C26" s="2" t="s">
        <v>1180</v>
      </c>
      <c r="D26" s="2" t="s">
        <v>1181</v>
      </c>
      <c r="E26" s="3" t="s">
        <v>329</v>
      </c>
      <c r="F26" s="2" t="s">
        <v>966</v>
      </c>
      <c r="G26" s="2" t="s">
        <v>30</v>
      </c>
      <c r="H26" s="2" t="s">
        <v>147</v>
      </c>
      <c r="I26" s="2" t="s">
        <v>1182</v>
      </c>
      <c r="J26" s="2" t="s">
        <v>426</v>
      </c>
      <c r="K26" s="2" t="s">
        <v>98</v>
      </c>
      <c r="L26" s="124">
        <v>95.111999999999995</v>
      </c>
      <c r="M26" s="134">
        <v>3.718</v>
      </c>
      <c r="N26" s="138">
        <v>0</v>
      </c>
      <c r="O26" s="124">
        <v>353.625</v>
      </c>
      <c r="P26" s="140">
        <v>0.35921866875943098</v>
      </c>
      <c r="Q26" s="140">
        <v>2.2948689516043501E-2</v>
      </c>
    </row>
    <row r="27" spans="1:17">
      <c r="A27" s="2">
        <v>382</v>
      </c>
      <c r="B27" s="2">
        <v>11414</v>
      </c>
      <c r="C27" s="2" t="s">
        <v>1180</v>
      </c>
      <c r="D27" s="2" t="s">
        <v>1181</v>
      </c>
      <c r="E27" s="3" t="s">
        <v>329</v>
      </c>
      <c r="F27" s="2" t="s">
        <v>964</v>
      </c>
      <c r="G27" s="2" t="s">
        <v>30</v>
      </c>
      <c r="H27" s="2" t="s">
        <v>147</v>
      </c>
      <c r="I27" s="2" t="s">
        <v>1182</v>
      </c>
      <c r="J27" s="2" t="s">
        <v>426</v>
      </c>
      <c r="K27" s="2" t="s">
        <v>34</v>
      </c>
      <c r="L27" s="124">
        <v>630.80399999999997</v>
      </c>
      <c r="M27" s="134">
        <v>1</v>
      </c>
      <c r="N27" s="138">
        <v>3.7999999999999999E-2</v>
      </c>
      <c r="O27" s="124">
        <v>630.80399999999997</v>
      </c>
      <c r="P27" s="140">
        <v>0.64078113823535898</v>
      </c>
      <c r="Q27" s="140">
        <v>4.0936311689713997E-2</v>
      </c>
    </row>
    <row r="28" spans="1:17">
      <c r="A28" s="2">
        <v>382</v>
      </c>
      <c r="B28" s="2">
        <v>15404</v>
      </c>
      <c r="C28" s="2" t="s">
        <v>1180</v>
      </c>
      <c r="D28" s="2" t="s">
        <v>1181</v>
      </c>
      <c r="E28" s="3" t="s">
        <v>329</v>
      </c>
      <c r="F28" s="2" t="s">
        <v>964</v>
      </c>
      <c r="G28" s="2" t="s">
        <v>30</v>
      </c>
      <c r="H28" s="2" t="s">
        <v>147</v>
      </c>
      <c r="I28" s="2" t="s">
        <v>1182</v>
      </c>
      <c r="J28" s="2" t="s">
        <v>426</v>
      </c>
      <c r="K28" s="2" t="s">
        <v>34</v>
      </c>
      <c r="L28" s="124">
        <v>269.30099999999999</v>
      </c>
      <c r="M28" s="134">
        <v>1</v>
      </c>
      <c r="N28" s="138">
        <v>0</v>
      </c>
      <c r="O28" s="124">
        <v>269.30099999999999</v>
      </c>
      <c r="P28" s="140">
        <v>0.999999814334112</v>
      </c>
      <c r="Q28" s="140">
        <v>1.61551399746237E-2</v>
      </c>
    </row>
    <row r="29" spans="1:17">
      <c r="A29" s="2">
        <v>382</v>
      </c>
      <c r="B29" s="2">
        <v>15404</v>
      </c>
      <c r="C29" s="2" t="s">
        <v>1180</v>
      </c>
      <c r="D29" s="2" t="s">
        <v>1181</v>
      </c>
      <c r="E29" s="3" t="s">
        <v>329</v>
      </c>
      <c r="F29" s="2" t="s">
        <v>964</v>
      </c>
      <c r="G29" s="2" t="s">
        <v>30</v>
      </c>
      <c r="H29" s="2" t="s">
        <v>147</v>
      </c>
      <c r="I29" s="2" t="s">
        <v>1182</v>
      </c>
      <c r="J29" s="2" t="s">
        <v>426</v>
      </c>
      <c r="K29" s="2" t="s">
        <v>34</v>
      </c>
      <c r="L29" s="124">
        <v>0</v>
      </c>
      <c r="M29" s="134">
        <v>1</v>
      </c>
      <c r="N29" s="138">
        <v>0</v>
      </c>
      <c r="O29" s="124">
        <v>0</v>
      </c>
      <c r="P29" s="140">
        <v>1.8566588792204399E-7</v>
      </c>
      <c r="Q29" s="140">
        <v>2.9994589647906304E-9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75"/>
  <sheetViews>
    <sheetView rightToLeft="1" topLeftCell="C1" zoomScale="70" zoomScaleNormal="70" workbookViewId="0">
      <selection activeCell="C2" sqref="C2"/>
    </sheetView>
  </sheetViews>
  <sheetFormatPr defaultColWidth="0" defaultRowHeight="14.25" zeroHeight="1"/>
  <cols>
    <col min="1" max="26" width="11.625" customWidth="1"/>
    <col min="27" max="30" width="11.625" hidden="1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5" t="s">
        <v>14</v>
      </c>
      <c r="P1" s="139" t="s">
        <v>15</v>
      </c>
      <c r="Q1" s="12" t="s">
        <v>16</v>
      </c>
      <c r="R1" s="12" t="s">
        <v>17</v>
      </c>
      <c r="S1" s="133" t="s">
        <v>18</v>
      </c>
      <c r="T1" s="144" t="s">
        <v>19</v>
      </c>
      <c r="U1" s="12" t="s">
        <v>20</v>
      </c>
      <c r="V1" s="12" t="s">
        <v>21</v>
      </c>
      <c r="W1" s="12" t="s">
        <v>22</v>
      </c>
      <c r="X1" s="139" t="s">
        <v>23</v>
      </c>
      <c r="Y1" s="139" t="s">
        <v>24</v>
      </c>
      <c r="Z1" s="139" t="s">
        <v>25</v>
      </c>
    </row>
    <row r="2" spans="1:26">
      <c r="A2" s="11">
        <v>382</v>
      </c>
      <c r="B2" s="11">
        <v>382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30</v>
      </c>
      <c r="I2" s="11" t="s">
        <v>31</v>
      </c>
      <c r="J2" s="11" t="s">
        <v>32</v>
      </c>
      <c r="K2" s="11" t="s">
        <v>33</v>
      </c>
      <c r="L2" s="3" t="s">
        <v>34</v>
      </c>
      <c r="M2" s="125">
        <v>0.42499999999999999</v>
      </c>
      <c r="N2" s="3" t="s">
        <v>35</v>
      </c>
      <c r="O2" s="137">
        <v>0</v>
      </c>
      <c r="P2" s="142">
        <v>4.2700000000000002E-2</v>
      </c>
      <c r="Q2" s="3"/>
      <c r="R2" s="125">
        <v>31000000</v>
      </c>
      <c r="S2" s="143">
        <v>1</v>
      </c>
      <c r="T2" s="145">
        <v>98.24</v>
      </c>
      <c r="U2" s="125">
        <v>30454.400000000001</v>
      </c>
      <c r="V2" s="3"/>
      <c r="W2" s="11" t="s">
        <v>36</v>
      </c>
      <c r="X2" s="146">
        <v>2.5829999999999998E-3</v>
      </c>
      <c r="Y2" s="142">
        <v>4.8577417488709099E-2</v>
      </c>
      <c r="Z2" s="142">
        <v>1.0533555558245001E-2</v>
      </c>
    </row>
    <row r="3" spans="1:26">
      <c r="A3" s="11">
        <v>382</v>
      </c>
      <c r="B3" s="11">
        <v>382</v>
      </c>
      <c r="C3" s="11" t="s">
        <v>26</v>
      </c>
      <c r="D3" s="11" t="s">
        <v>37</v>
      </c>
      <c r="E3" s="11" t="s">
        <v>38</v>
      </c>
      <c r="F3" s="11" t="s">
        <v>29</v>
      </c>
      <c r="G3" s="11" t="s">
        <v>30</v>
      </c>
      <c r="H3" s="11" t="s">
        <v>30</v>
      </c>
      <c r="I3" s="11" t="s">
        <v>31</v>
      </c>
      <c r="J3" s="11" t="s">
        <v>32</v>
      </c>
      <c r="K3" s="11" t="s">
        <v>33</v>
      </c>
      <c r="L3" s="3" t="s">
        <v>34</v>
      </c>
      <c r="M3" s="125">
        <v>0.50700000000000001</v>
      </c>
      <c r="N3" s="3" t="s">
        <v>39</v>
      </c>
      <c r="O3" s="137">
        <v>0</v>
      </c>
      <c r="P3" s="142">
        <v>4.2759999999999999E-2</v>
      </c>
      <c r="Q3" s="3"/>
      <c r="R3" s="125">
        <v>6800000</v>
      </c>
      <c r="S3" s="143">
        <v>1</v>
      </c>
      <c r="T3" s="145">
        <v>97.9</v>
      </c>
      <c r="U3" s="125">
        <v>6657.2</v>
      </c>
      <c r="V3" s="3"/>
      <c r="W3" s="11" t="s">
        <v>36</v>
      </c>
      <c r="X3" s="146">
        <v>4.86E-4</v>
      </c>
      <c r="Y3" s="142">
        <v>1.0618813166761901E-2</v>
      </c>
      <c r="Z3" s="142">
        <v>2.3025896442664699E-3</v>
      </c>
    </row>
    <row r="4" spans="1:26">
      <c r="A4" s="11">
        <v>382</v>
      </c>
      <c r="B4" s="11">
        <v>382</v>
      </c>
      <c r="C4" s="11" t="s">
        <v>26</v>
      </c>
      <c r="D4" s="11" t="s">
        <v>40</v>
      </c>
      <c r="E4" s="11" t="s">
        <v>41</v>
      </c>
      <c r="F4" s="11" t="s">
        <v>29</v>
      </c>
      <c r="G4" s="11" t="s">
        <v>30</v>
      </c>
      <c r="H4" s="11" t="s">
        <v>30</v>
      </c>
      <c r="I4" s="11" t="s">
        <v>31</v>
      </c>
      <c r="J4" s="11" t="s">
        <v>32</v>
      </c>
      <c r="K4" s="11" t="s">
        <v>33</v>
      </c>
      <c r="L4" s="3" t="s">
        <v>34</v>
      </c>
      <c r="M4" s="125">
        <v>9.9000000000000005E-2</v>
      </c>
      <c r="N4" s="3" t="s">
        <v>42</v>
      </c>
      <c r="O4" s="137">
        <v>0</v>
      </c>
      <c r="P4" s="142">
        <v>4.2540000000000001E-2</v>
      </c>
      <c r="Q4" s="3"/>
      <c r="R4" s="125">
        <v>84500000</v>
      </c>
      <c r="S4" s="143">
        <v>1</v>
      </c>
      <c r="T4" s="145">
        <v>99.59</v>
      </c>
      <c r="U4" s="125">
        <v>84153.55</v>
      </c>
      <c r="V4" s="3"/>
      <c r="W4" s="11" t="s">
        <v>36</v>
      </c>
      <c r="X4" s="146">
        <v>2.284E-3</v>
      </c>
      <c r="Y4" s="142">
        <v>0.13423223348701499</v>
      </c>
      <c r="Z4" s="142">
        <v>2.9106995847843001E-2</v>
      </c>
    </row>
    <row r="5" spans="1:26">
      <c r="A5" s="11">
        <v>382</v>
      </c>
      <c r="B5" s="11">
        <v>382</v>
      </c>
      <c r="C5" s="11" t="s">
        <v>43</v>
      </c>
      <c r="D5" s="11" t="s">
        <v>44</v>
      </c>
      <c r="E5" s="11" t="s">
        <v>45</v>
      </c>
      <c r="F5" s="11" t="s">
        <v>46</v>
      </c>
      <c r="G5" s="11" t="s">
        <v>30</v>
      </c>
      <c r="H5" s="11" t="s">
        <v>30</v>
      </c>
      <c r="I5" s="11" t="s">
        <v>47</v>
      </c>
      <c r="J5" s="11" t="s">
        <v>32</v>
      </c>
      <c r="K5" s="11" t="s">
        <v>33</v>
      </c>
      <c r="L5" s="3" t="s">
        <v>34</v>
      </c>
      <c r="M5" s="125">
        <v>2.1419999999999999</v>
      </c>
      <c r="N5" s="3" t="s">
        <v>48</v>
      </c>
      <c r="O5" s="137">
        <v>7.4999999999999997E-3</v>
      </c>
      <c r="P5" s="142">
        <v>1.9449999999999999E-2</v>
      </c>
      <c r="Q5" s="3"/>
      <c r="R5" s="125">
        <v>46800000</v>
      </c>
      <c r="S5" s="143">
        <v>1</v>
      </c>
      <c r="T5" s="145">
        <v>114.63</v>
      </c>
      <c r="U5" s="125">
        <v>53646.84</v>
      </c>
      <c r="V5" s="3"/>
      <c r="W5" s="11" t="s">
        <v>36</v>
      </c>
      <c r="X5" s="146">
        <v>1.921E-3</v>
      </c>
      <c r="Y5" s="142">
        <v>8.5571376997411894E-2</v>
      </c>
      <c r="Z5" s="142">
        <v>1.8555347327948699E-2</v>
      </c>
    </row>
    <row r="6" spans="1:26">
      <c r="A6" s="11">
        <v>382</v>
      </c>
      <c r="B6" s="11">
        <v>382</v>
      </c>
      <c r="C6" s="11" t="s">
        <v>43</v>
      </c>
      <c r="D6" s="11" t="s">
        <v>49</v>
      </c>
      <c r="E6" s="11" t="s">
        <v>50</v>
      </c>
      <c r="F6" s="11" t="s">
        <v>46</v>
      </c>
      <c r="G6" s="11" t="s">
        <v>30</v>
      </c>
      <c r="H6" s="11" t="s">
        <v>30</v>
      </c>
      <c r="I6" s="11" t="s">
        <v>47</v>
      </c>
      <c r="J6" s="11" t="s">
        <v>32</v>
      </c>
      <c r="K6" s="11" t="s">
        <v>33</v>
      </c>
      <c r="L6" s="3" t="s">
        <v>34</v>
      </c>
      <c r="M6" s="125">
        <v>6.6459999999999999</v>
      </c>
      <c r="N6" s="3" t="s">
        <v>51</v>
      </c>
      <c r="O6" s="137">
        <v>1E-3</v>
      </c>
      <c r="P6" s="142">
        <v>2.0310000000000002E-2</v>
      </c>
      <c r="Q6" s="3"/>
      <c r="R6" s="125">
        <v>35675000</v>
      </c>
      <c r="S6" s="143">
        <v>1</v>
      </c>
      <c r="T6" s="145">
        <v>101.91</v>
      </c>
      <c r="U6" s="125">
        <v>36356.392999999996</v>
      </c>
      <c r="V6" s="3"/>
      <c r="W6" s="11" t="s">
        <v>36</v>
      </c>
      <c r="X6" s="146">
        <v>1.1620000000000001E-3</v>
      </c>
      <c r="Y6" s="142">
        <v>5.7991608991011898E-2</v>
      </c>
      <c r="Z6" s="142">
        <v>1.25749343377677E-2</v>
      </c>
    </row>
    <row r="7" spans="1:26">
      <c r="A7" s="11">
        <v>382</v>
      </c>
      <c r="B7" s="11">
        <v>382</v>
      </c>
      <c r="C7" s="11" t="s">
        <v>52</v>
      </c>
      <c r="D7" s="11" t="s">
        <v>53</v>
      </c>
      <c r="E7" s="11" t="s">
        <v>54</v>
      </c>
      <c r="F7" s="11" t="s">
        <v>55</v>
      </c>
      <c r="G7" s="11" t="s">
        <v>30</v>
      </c>
      <c r="H7" s="11" t="s">
        <v>30</v>
      </c>
      <c r="I7" s="11" t="s">
        <v>47</v>
      </c>
      <c r="J7" s="11" t="s">
        <v>32</v>
      </c>
      <c r="K7" s="11" t="s">
        <v>33</v>
      </c>
      <c r="L7" s="3" t="s">
        <v>34</v>
      </c>
      <c r="M7" s="125">
        <v>3.36</v>
      </c>
      <c r="N7" s="3" t="s">
        <v>56</v>
      </c>
      <c r="O7" s="137">
        <v>2.2499999999999999E-2</v>
      </c>
      <c r="P7" s="142">
        <v>4.2610000000000002E-2</v>
      </c>
      <c r="Q7" s="3"/>
      <c r="R7" s="125">
        <v>7510000</v>
      </c>
      <c r="S7" s="143">
        <v>1</v>
      </c>
      <c r="T7" s="145">
        <v>94.71</v>
      </c>
      <c r="U7" s="125">
        <v>7112.7209999999995</v>
      </c>
      <c r="V7" s="3"/>
      <c r="W7" s="11" t="s">
        <v>36</v>
      </c>
      <c r="X7" s="146">
        <v>2.1599999999999999E-4</v>
      </c>
      <c r="Y7" s="142">
        <v>1.1345408791429401E-2</v>
      </c>
      <c r="Z7" s="142">
        <v>2.4601450635637601E-3</v>
      </c>
    </row>
    <row r="8" spans="1:26">
      <c r="A8" s="11">
        <v>382</v>
      </c>
      <c r="B8" s="11">
        <v>382</v>
      </c>
      <c r="C8" s="11" t="s">
        <v>52</v>
      </c>
      <c r="D8" s="11" t="s">
        <v>57</v>
      </c>
      <c r="E8" s="11" t="s">
        <v>58</v>
      </c>
      <c r="F8" s="11" t="s">
        <v>55</v>
      </c>
      <c r="G8" s="11" t="s">
        <v>30</v>
      </c>
      <c r="H8" s="11" t="s">
        <v>30</v>
      </c>
      <c r="I8" s="11" t="s">
        <v>47</v>
      </c>
      <c r="J8" s="11" t="s">
        <v>32</v>
      </c>
      <c r="K8" s="11" t="s">
        <v>33</v>
      </c>
      <c r="L8" s="3" t="s">
        <v>34</v>
      </c>
      <c r="M8" s="125">
        <v>0.91</v>
      </c>
      <c r="N8" s="3" t="s">
        <v>59</v>
      </c>
      <c r="O8" s="137">
        <v>5.0000000000000001E-3</v>
      </c>
      <c r="P8" s="142">
        <v>4.1610000000000001E-2</v>
      </c>
      <c r="Q8" s="3"/>
      <c r="R8" s="125">
        <v>15550000</v>
      </c>
      <c r="S8" s="143">
        <v>1</v>
      </c>
      <c r="T8" s="145">
        <v>96.84</v>
      </c>
      <c r="U8" s="125">
        <v>15058.62</v>
      </c>
      <c r="V8" s="3"/>
      <c r="W8" s="11" t="s">
        <v>36</v>
      </c>
      <c r="X8" s="146">
        <v>5.5999999999999995E-4</v>
      </c>
      <c r="Y8" s="142">
        <v>2.4019808978138601E-2</v>
      </c>
      <c r="Z8" s="142">
        <v>5.20846939688517E-3</v>
      </c>
    </row>
    <row r="9" spans="1:26">
      <c r="A9" s="11">
        <v>382</v>
      </c>
      <c r="B9" s="11">
        <v>382</v>
      </c>
      <c r="C9" s="11" t="s">
        <v>52</v>
      </c>
      <c r="D9" s="11" t="s">
        <v>60</v>
      </c>
      <c r="E9" s="11" t="s">
        <v>61</v>
      </c>
      <c r="F9" s="11" t="s">
        <v>55</v>
      </c>
      <c r="G9" s="11" t="s">
        <v>30</v>
      </c>
      <c r="H9" s="11" t="s">
        <v>30</v>
      </c>
      <c r="I9" s="11" t="s">
        <v>47</v>
      </c>
      <c r="J9" s="11" t="s">
        <v>32</v>
      </c>
      <c r="K9" s="11" t="s">
        <v>33</v>
      </c>
      <c r="L9" s="3" t="s">
        <v>34</v>
      </c>
      <c r="M9" s="125">
        <v>8.3979999999999997</v>
      </c>
      <c r="N9" s="3" t="s">
        <v>62</v>
      </c>
      <c r="O9" s="137">
        <v>0.04</v>
      </c>
      <c r="P9" s="142">
        <v>4.4850000000000001E-2</v>
      </c>
      <c r="Q9" s="3"/>
      <c r="R9" s="125">
        <v>34622000</v>
      </c>
      <c r="S9" s="143">
        <v>1</v>
      </c>
      <c r="T9" s="145">
        <v>96.17</v>
      </c>
      <c r="U9" s="125">
        <v>33295.976999999999</v>
      </c>
      <c r="V9" s="3"/>
      <c r="W9" s="11" t="s">
        <v>36</v>
      </c>
      <c r="X9" s="146">
        <v>1.17E-3</v>
      </c>
      <c r="Y9" s="142">
        <v>5.3109980654828998E-2</v>
      </c>
      <c r="Z9" s="142">
        <v>1.1516399200410201E-2</v>
      </c>
    </row>
    <row r="10" spans="1:26">
      <c r="A10" s="11">
        <v>382</v>
      </c>
      <c r="B10" s="11">
        <v>382</v>
      </c>
      <c r="C10" s="11" t="s">
        <v>52</v>
      </c>
      <c r="D10" s="11" t="s">
        <v>63</v>
      </c>
      <c r="E10" s="11" t="s">
        <v>64</v>
      </c>
      <c r="F10" s="11" t="s">
        <v>55</v>
      </c>
      <c r="G10" s="11" t="s">
        <v>30</v>
      </c>
      <c r="H10" s="11" t="s">
        <v>30</v>
      </c>
      <c r="I10" s="11" t="s">
        <v>47</v>
      </c>
      <c r="J10" s="11" t="s">
        <v>32</v>
      </c>
      <c r="K10" s="11" t="s">
        <v>33</v>
      </c>
      <c r="L10" s="3" t="s">
        <v>34</v>
      </c>
      <c r="M10" s="125">
        <v>14.74</v>
      </c>
      <c r="N10" s="3" t="s">
        <v>65</v>
      </c>
      <c r="O10" s="137">
        <v>3.7499999999999999E-2</v>
      </c>
      <c r="P10" s="142">
        <v>4.8599999999999997E-2</v>
      </c>
      <c r="Q10" s="3"/>
      <c r="R10" s="125">
        <v>19320000</v>
      </c>
      <c r="S10" s="143">
        <v>1</v>
      </c>
      <c r="T10" s="145">
        <v>85.21</v>
      </c>
      <c r="U10" s="125">
        <v>16462.572</v>
      </c>
      <c r="V10" s="3"/>
      <c r="W10" s="11" t="s">
        <v>36</v>
      </c>
      <c r="X10" s="146">
        <v>7.36E-4</v>
      </c>
      <c r="Y10" s="142">
        <v>2.6259234559930001E-2</v>
      </c>
      <c r="Z10" s="142">
        <v>5.69406774697938E-3</v>
      </c>
    </row>
    <row r="11" spans="1:26">
      <c r="A11" s="11">
        <v>382</v>
      </c>
      <c r="B11" s="11">
        <v>382</v>
      </c>
      <c r="C11" s="11" t="s">
        <v>52</v>
      </c>
      <c r="D11" s="11" t="s">
        <v>66</v>
      </c>
      <c r="E11" s="11" t="s">
        <v>67</v>
      </c>
      <c r="F11" s="11" t="s">
        <v>55</v>
      </c>
      <c r="G11" s="11" t="s">
        <v>30</v>
      </c>
      <c r="H11" s="11" t="s">
        <v>30</v>
      </c>
      <c r="I11" s="11" t="s">
        <v>47</v>
      </c>
      <c r="J11" s="11" t="s">
        <v>32</v>
      </c>
      <c r="K11" s="11" t="s">
        <v>33</v>
      </c>
      <c r="L11" s="3" t="s">
        <v>34</v>
      </c>
      <c r="M11" s="125">
        <v>11.552</v>
      </c>
      <c r="N11" s="3" t="s">
        <v>68</v>
      </c>
      <c r="O11" s="137">
        <v>5.5E-2</v>
      </c>
      <c r="P11" s="142">
        <v>4.7300000000000002E-2</v>
      </c>
      <c r="Q11" s="3"/>
      <c r="R11" s="125">
        <v>18600000</v>
      </c>
      <c r="S11" s="143">
        <v>1</v>
      </c>
      <c r="T11" s="145">
        <v>109.69</v>
      </c>
      <c r="U11" s="125">
        <v>20402.34</v>
      </c>
      <c r="V11" s="3"/>
      <c r="W11" s="11" t="s">
        <v>36</v>
      </c>
      <c r="X11" s="146">
        <v>6.8499999999999995E-4</v>
      </c>
      <c r="Y11" s="142">
        <v>3.2543507274042198E-2</v>
      </c>
      <c r="Z11" s="142">
        <v>7.0567531098365104E-3</v>
      </c>
    </row>
    <row r="12" spans="1:26">
      <c r="A12" s="11">
        <v>382</v>
      </c>
      <c r="B12" s="11">
        <v>382</v>
      </c>
      <c r="C12" s="11" t="s">
        <v>43</v>
      </c>
      <c r="D12" s="11" t="s">
        <v>69</v>
      </c>
      <c r="E12" s="11" t="s">
        <v>70</v>
      </c>
      <c r="F12" s="11" t="s">
        <v>46</v>
      </c>
      <c r="G12" s="11" t="s">
        <v>30</v>
      </c>
      <c r="H12" s="11" t="s">
        <v>30</v>
      </c>
      <c r="I12" s="11" t="s">
        <v>47</v>
      </c>
      <c r="J12" s="11" t="s">
        <v>32</v>
      </c>
      <c r="K12" s="11" t="s">
        <v>33</v>
      </c>
      <c r="L12" s="3" t="s">
        <v>34</v>
      </c>
      <c r="M12" s="125">
        <v>4.1150000000000002</v>
      </c>
      <c r="N12" s="3" t="s">
        <v>71</v>
      </c>
      <c r="O12" s="137">
        <v>5.0000000000000001E-3</v>
      </c>
      <c r="P12" s="142">
        <v>1.9689999999999999E-2</v>
      </c>
      <c r="Q12" s="3"/>
      <c r="R12" s="125">
        <v>54149000</v>
      </c>
      <c r="S12" s="143">
        <v>1</v>
      </c>
      <c r="T12" s="145">
        <v>109.42</v>
      </c>
      <c r="U12" s="125">
        <v>59249.836000000003</v>
      </c>
      <c r="V12" s="3"/>
      <c r="W12" s="11" t="s">
        <v>36</v>
      </c>
      <c r="X12" s="146">
        <v>1.97E-3</v>
      </c>
      <c r="Y12" s="142">
        <v>9.4508642750934693E-2</v>
      </c>
      <c r="Z12" s="142">
        <v>2.0493309249770001E-2</v>
      </c>
    </row>
    <row r="13" spans="1:26">
      <c r="A13" s="11">
        <v>382</v>
      </c>
      <c r="B13" s="11">
        <v>382</v>
      </c>
      <c r="C13" s="11" t="s">
        <v>43</v>
      </c>
      <c r="D13" s="11" t="s">
        <v>72</v>
      </c>
      <c r="E13" s="11" t="s">
        <v>73</v>
      </c>
      <c r="F13" s="11" t="s">
        <v>46</v>
      </c>
      <c r="G13" s="11" t="s">
        <v>30</v>
      </c>
      <c r="H13" s="11" t="s">
        <v>30</v>
      </c>
      <c r="I13" s="11" t="s">
        <v>47</v>
      </c>
      <c r="J13" s="11" t="s">
        <v>32</v>
      </c>
      <c r="K13" s="11" t="s">
        <v>33</v>
      </c>
      <c r="L13" s="3" t="s">
        <v>34</v>
      </c>
      <c r="M13" s="125">
        <v>1.331</v>
      </c>
      <c r="N13" s="3" t="s">
        <v>74</v>
      </c>
      <c r="O13" s="137">
        <v>1E-3</v>
      </c>
      <c r="P13" s="142">
        <v>1.9599999999999999E-2</v>
      </c>
      <c r="Q13" s="3"/>
      <c r="R13" s="125">
        <v>24007000</v>
      </c>
      <c r="S13" s="143">
        <v>1</v>
      </c>
      <c r="T13" s="145">
        <v>112.95</v>
      </c>
      <c r="U13" s="125">
        <v>27115.906999999999</v>
      </c>
      <c r="V13" s="3"/>
      <c r="W13" s="11" t="s">
        <v>36</v>
      </c>
      <c r="X13" s="146">
        <v>1.188E-3</v>
      </c>
      <c r="Y13" s="142">
        <v>4.3252229912108003E-2</v>
      </c>
      <c r="Z13" s="142">
        <v>9.3788387763320703E-3</v>
      </c>
    </row>
    <row r="14" spans="1:26">
      <c r="A14" s="11">
        <v>382</v>
      </c>
      <c r="B14" s="11">
        <v>382</v>
      </c>
      <c r="C14" s="11" t="s">
        <v>43</v>
      </c>
      <c r="D14" s="11" t="s">
        <v>75</v>
      </c>
      <c r="E14" s="11" t="s">
        <v>76</v>
      </c>
      <c r="F14" s="11" t="s">
        <v>46</v>
      </c>
      <c r="G14" s="11" t="s">
        <v>30</v>
      </c>
      <c r="H14" s="11" t="s">
        <v>30</v>
      </c>
      <c r="I14" s="11" t="s">
        <v>47</v>
      </c>
      <c r="J14" s="11" t="s">
        <v>32</v>
      </c>
      <c r="K14" s="11" t="s">
        <v>33</v>
      </c>
      <c r="L14" s="3" t="s">
        <v>34</v>
      </c>
      <c r="M14" s="125">
        <v>3.52</v>
      </c>
      <c r="N14" s="3" t="s">
        <v>77</v>
      </c>
      <c r="O14" s="137">
        <v>1.0999999999999999E-2</v>
      </c>
      <c r="P14" s="142">
        <v>1.9820000000000001E-2</v>
      </c>
      <c r="Q14" s="3"/>
      <c r="R14" s="125">
        <v>26990000</v>
      </c>
      <c r="S14" s="143">
        <v>1</v>
      </c>
      <c r="T14" s="145">
        <v>101.93</v>
      </c>
      <c r="U14" s="125">
        <v>27510.906999999999</v>
      </c>
      <c r="V14" s="3"/>
      <c r="W14" s="11" t="s">
        <v>36</v>
      </c>
      <c r="X14" s="146">
        <v>9.1100000000000003E-4</v>
      </c>
      <c r="Y14" s="142">
        <v>4.3882290074079601E-2</v>
      </c>
      <c r="Z14" s="142">
        <v>9.5154613895598698E-3</v>
      </c>
    </row>
    <row r="15" spans="1:26">
      <c r="A15" s="11">
        <v>382</v>
      </c>
      <c r="B15" s="11">
        <v>382</v>
      </c>
      <c r="C15" s="11" t="s">
        <v>52</v>
      </c>
      <c r="D15" s="11" t="s">
        <v>78</v>
      </c>
      <c r="E15" s="11" t="s">
        <v>79</v>
      </c>
      <c r="F15" s="11" t="s">
        <v>55</v>
      </c>
      <c r="G15" s="11" t="s">
        <v>30</v>
      </c>
      <c r="H15" s="11" t="s">
        <v>30</v>
      </c>
      <c r="I15" s="11" t="s">
        <v>47</v>
      </c>
      <c r="J15" s="11" t="s">
        <v>32</v>
      </c>
      <c r="K15" s="11" t="s">
        <v>33</v>
      </c>
      <c r="L15" s="3" t="s">
        <v>34</v>
      </c>
      <c r="M15" s="125">
        <v>4.8920000000000003</v>
      </c>
      <c r="N15" s="3" t="s">
        <v>80</v>
      </c>
      <c r="O15" s="137">
        <v>0.01</v>
      </c>
      <c r="P15" s="142">
        <v>4.2889999999999998E-2</v>
      </c>
      <c r="Q15" s="3"/>
      <c r="R15" s="125">
        <v>43000000</v>
      </c>
      <c r="S15" s="143">
        <v>1</v>
      </c>
      <c r="T15" s="145">
        <v>85.48</v>
      </c>
      <c r="U15" s="125">
        <v>36756.400000000001</v>
      </c>
      <c r="V15" s="3"/>
      <c r="W15" s="11" t="s">
        <v>36</v>
      </c>
      <c r="X15" s="146">
        <v>1.139E-3</v>
      </c>
      <c r="Y15" s="142">
        <v>5.8629655753585301E-2</v>
      </c>
      <c r="Z15" s="142">
        <v>1.2713288770131E-2</v>
      </c>
    </row>
    <row r="16" spans="1:26">
      <c r="A16" s="11">
        <v>382</v>
      </c>
      <c r="B16" s="11">
        <v>382</v>
      </c>
      <c r="C16" s="11" t="s">
        <v>52</v>
      </c>
      <c r="D16" s="11" t="s">
        <v>81</v>
      </c>
      <c r="E16" s="11" t="s">
        <v>82</v>
      </c>
      <c r="F16" s="11" t="s">
        <v>55</v>
      </c>
      <c r="G16" s="11" t="s">
        <v>30</v>
      </c>
      <c r="H16" s="11" t="s">
        <v>30</v>
      </c>
      <c r="I16" s="11" t="s">
        <v>47</v>
      </c>
      <c r="J16" s="11" t="s">
        <v>32</v>
      </c>
      <c r="K16" s="11" t="s">
        <v>33</v>
      </c>
      <c r="L16" s="3" t="s">
        <v>34</v>
      </c>
      <c r="M16" s="125">
        <v>6.681</v>
      </c>
      <c r="N16" s="3" t="s">
        <v>83</v>
      </c>
      <c r="O16" s="137">
        <v>1.2999999999999999E-2</v>
      </c>
      <c r="P16" s="142">
        <v>4.3790000000000003E-2</v>
      </c>
      <c r="Q16" s="3"/>
      <c r="R16" s="125">
        <v>74500000</v>
      </c>
      <c r="S16" s="143">
        <v>1</v>
      </c>
      <c r="T16" s="145">
        <v>82.78</v>
      </c>
      <c r="U16" s="125">
        <v>61671.1</v>
      </c>
      <c r="V16" s="3"/>
      <c r="W16" s="11" t="s">
        <v>36</v>
      </c>
      <c r="X16" s="146">
        <v>2.153E-3</v>
      </c>
      <c r="Y16" s="142">
        <v>9.8370769796414598E-2</v>
      </c>
      <c r="Z16" s="142">
        <v>2.1330775132266101E-2</v>
      </c>
    </row>
    <row r="17" spans="1:26">
      <c r="A17" s="11">
        <v>382</v>
      </c>
      <c r="B17" s="11">
        <v>382</v>
      </c>
      <c r="C17" s="11" t="s">
        <v>26</v>
      </c>
      <c r="D17" s="11" t="s">
        <v>84</v>
      </c>
      <c r="E17" s="11" t="s">
        <v>85</v>
      </c>
      <c r="F17" s="11" t="s">
        <v>29</v>
      </c>
      <c r="G17" s="11" t="s">
        <v>30</v>
      </c>
      <c r="H17" s="11" t="s">
        <v>30</v>
      </c>
      <c r="I17" s="11" t="s">
        <v>31</v>
      </c>
      <c r="J17" s="11" t="s">
        <v>32</v>
      </c>
      <c r="K17" s="11" t="s">
        <v>33</v>
      </c>
      <c r="L17" s="3" t="s">
        <v>34</v>
      </c>
      <c r="M17" s="125">
        <v>0.92300000000000004</v>
      </c>
      <c r="N17" s="3" t="s">
        <v>86</v>
      </c>
      <c r="O17" s="137">
        <v>0</v>
      </c>
      <c r="P17" s="142">
        <v>4.2619999999999998E-2</v>
      </c>
      <c r="Q17" s="3"/>
      <c r="R17" s="125">
        <v>33000000</v>
      </c>
      <c r="S17" s="143">
        <v>1</v>
      </c>
      <c r="T17" s="145">
        <v>96.22</v>
      </c>
      <c r="U17" s="125">
        <v>31752.6</v>
      </c>
      <c r="V17" s="3"/>
      <c r="W17" s="11" t="s">
        <v>36</v>
      </c>
      <c r="X17" s="146">
        <v>1.833E-3</v>
      </c>
      <c r="Y17" s="142">
        <v>5.06481594302296E-2</v>
      </c>
      <c r="Z17" s="142">
        <v>1.0982576449338401E-2</v>
      </c>
    </row>
    <row r="18" spans="1:26">
      <c r="A18" s="11">
        <v>382</v>
      </c>
      <c r="B18" s="11">
        <v>382</v>
      </c>
      <c r="C18" s="11" t="s">
        <v>26</v>
      </c>
      <c r="D18" s="11" t="s">
        <v>87</v>
      </c>
      <c r="E18" s="11" t="s">
        <v>88</v>
      </c>
      <c r="F18" s="11" t="s">
        <v>29</v>
      </c>
      <c r="G18" s="11" t="s">
        <v>30</v>
      </c>
      <c r="H18" s="11" t="s">
        <v>30</v>
      </c>
      <c r="I18" s="11" t="s">
        <v>31</v>
      </c>
      <c r="J18" s="11" t="s">
        <v>32</v>
      </c>
      <c r="K18" s="11" t="s">
        <v>33</v>
      </c>
      <c r="L18" s="3" t="s">
        <v>34</v>
      </c>
      <c r="M18" s="125">
        <v>0.34799999999999998</v>
      </c>
      <c r="N18" s="3" t="s">
        <v>89</v>
      </c>
      <c r="O18" s="137">
        <v>0</v>
      </c>
      <c r="P18" s="142">
        <v>4.2869999999999998E-2</v>
      </c>
      <c r="Q18" s="3"/>
      <c r="R18" s="125">
        <v>31000000</v>
      </c>
      <c r="S18" s="143">
        <v>1</v>
      </c>
      <c r="T18" s="145">
        <v>98.55</v>
      </c>
      <c r="U18" s="125">
        <v>30550.5</v>
      </c>
      <c r="V18" s="3"/>
      <c r="W18" s="11" t="s">
        <v>36</v>
      </c>
      <c r="X18" s="146">
        <v>2.5829999999999998E-3</v>
      </c>
      <c r="Y18" s="142">
        <v>4.8730705349270001E-2</v>
      </c>
      <c r="Z18" s="142">
        <v>1.05667945873885E-2</v>
      </c>
    </row>
    <row r="19" spans="1:26">
      <c r="A19" s="11">
        <v>382</v>
      </c>
      <c r="B19" s="11">
        <v>382</v>
      </c>
      <c r="C19" s="11" t="s">
        <v>90</v>
      </c>
      <c r="D19" s="11" t="s">
        <v>91</v>
      </c>
      <c r="E19" s="11" t="s">
        <v>92</v>
      </c>
      <c r="F19" s="11" t="s">
        <v>93</v>
      </c>
      <c r="G19" s="11" t="s">
        <v>94</v>
      </c>
      <c r="H19" s="11" t="s">
        <v>30</v>
      </c>
      <c r="I19" s="11" t="s">
        <v>95</v>
      </c>
      <c r="J19" s="11" t="s">
        <v>96</v>
      </c>
      <c r="K19" s="11" t="s">
        <v>97</v>
      </c>
      <c r="L19" s="3" t="s">
        <v>98</v>
      </c>
      <c r="M19" s="125">
        <v>7.1520000000000001</v>
      </c>
      <c r="N19" s="3" t="s">
        <v>99</v>
      </c>
      <c r="O19" s="137">
        <v>5.5E-2</v>
      </c>
      <c r="P19" s="142">
        <v>5.6390000000000003E-2</v>
      </c>
      <c r="Q19" s="3"/>
      <c r="R19" s="125">
        <v>2730000</v>
      </c>
      <c r="S19" s="143">
        <v>3.718</v>
      </c>
      <c r="T19" s="145">
        <v>99.534000000000006</v>
      </c>
      <c r="U19" s="125">
        <v>10102.82</v>
      </c>
      <c r="V19" s="3"/>
      <c r="W19" s="11" t="s">
        <v>36</v>
      </c>
      <c r="X19" s="146">
        <v>9.1E-4</v>
      </c>
      <c r="Y19" s="142">
        <v>1.6114876906192999E-2</v>
      </c>
      <c r="Z19" s="142">
        <v>3.4943593130515398E-3</v>
      </c>
    </row>
    <row r="20" spans="1:26">
      <c r="A20" s="3">
        <v>382</v>
      </c>
      <c r="B20" s="3">
        <v>382</v>
      </c>
      <c r="C20" s="3" t="s">
        <v>100</v>
      </c>
      <c r="D20" s="3" t="s">
        <v>101</v>
      </c>
      <c r="E20" s="3" t="s">
        <v>102</v>
      </c>
      <c r="F20" s="11" t="s">
        <v>93</v>
      </c>
      <c r="G20" s="11" t="s">
        <v>94</v>
      </c>
      <c r="H20" s="11" t="s">
        <v>103</v>
      </c>
      <c r="I20" s="11" t="s">
        <v>95</v>
      </c>
      <c r="J20" s="3" t="s">
        <v>104</v>
      </c>
      <c r="K20" s="11" t="s">
        <v>105</v>
      </c>
      <c r="L20" s="3" t="s">
        <v>98</v>
      </c>
      <c r="M20" s="125">
        <v>7.8890000000000002</v>
      </c>
      <c r="N20" s="3" t="s">
        <v>106</v>
      </c>
      <c r="O20" s="137">
        <v>3.875E-2</v>
      </c>
      <c r="P20" s="142">
        <v>4.1610000000000001E-2</v>
      </c>
      <c r="Q20" s="3"/>
      <c r="R20" s="125">
        <v>10602000</v>
      </c>
      <c r="S20" s="143">
        <v>3.718</v>
      </c>
      <c r="T20" s="145">
        <v>97.960999999999999</v>
      </c>
      <c r="U20" s="125">
        <v>38614.370000000003</v>
      </c>
      <c r="V20" s="3"/>
      <c r="W20" s="11" t="s">
        <v>36</v>
      </c>
      <c r="X20" s="146">
        <v>8.2000000000000001E-5</v>
      </c>
      <c r="Y20" s="142">
        <v>6.1593279637905798E-2</v>
      </c>
      <c r="Z20" s="142">
        <v>1.3355922702790899E-2</v>
      </c>
    </row>
    <row r="21" spans="1:26">
      <c r="A21" s="3">
        <v>382</v>
      </c>
      <c r="B21" s="3">
        <v>1404</v>
      </c>
      <c r="C21" s="3" t="s">
        <v>26</v>
      </c>
      <c r="D21" s="3" t="s">
        <v>40</v>
      </c>
      <c r="E21" s="3" t="s">
        <v>41</v>
      </c>
      <c r="F21" s="3" t="s">
        <v>29</v>
      </c>
      <c r="G21" s="3" t="s">
        <v>30</v>
      </c>
      <c r="H21" s="3" t="s">
        <v>30</v>
      </c>
      <c r="I21" s="3" t="s">
        <v>31</v>
      </c>
      <c r="J21" s="3" t="s">
        <v>32</v>
      </c>
      <c r="K21" s="3" t="s">
        <v>33</v>
      </c>
      <c r="L21" s="11" t="s">
        <v>34</v>
      </c>
      <c r="M21" s="125">
        <v>9.9000000000000005E-2</v>
      </c>
      <c r="N21" s="3" t="s">
        <v>42</v>
      </c>
      <c r="O21" s="141">
        <v>0</v>
      </c>
      <c r="P21" s="142">
        <v>4.2540000000000001E-2</v>
      </c>
      <c r="Q21" s="3"/>
      <c r="R21" s="125">
        <v>690000</v>
      </c>
      <c r="S21" s="143">
        <v>1</v>
      </c>
      <c r="T21" s="145">
        <v>99.59</v>
      </c>
      <c r="U21" s="125">
        <v>687.17100000000005</v>
      </c>
      <c r="V21" s="3"/>
      <c r="W21" s="3" t="s">
        <v>36</v>
      </c>
      <c r="X21" s="142">
        <v>1.9000000000000001E-5</v>
      </c>
      <c r="Y21" s="142">
        <v>3.2483917251443797E-2</v>
      </c>
      <c r="Z21" s="142">
        <v>2.5702383638460901E-2</v>
      </c>
    </row>
    <row r="22" spans="1:26">
      <c r="A22" s="3">
        <v>382</v>
      </c>
      <c r="B22" s="3">
        <v>1404</v>
      </c>
      <c r="C22" s="3" t="s">
        <v>43</v>
      </c>
      <c r="D22" s="3" t="s">
        <v>44</v>
      </c>
      <c r="E22" s="3" t="s">
        <v>45</v>
      </c>
      <c r="F22" s="3" t="s">
        <v>46</v>
      </c>
      <c r="G22" s="3" t="s">
        <v>30</v>
      </c>
      <c r="H22" s="3" t="s">
        <v>30</v>
      </c>
      <c r="I22" s="3" t="s">
        <v>47</v>
      </c>
      <c r="J22" s="3" t="s">
        <v>32</v>
      </c>
      <c r="K22" s="3" t="s">
        <v>33</v>
      </c>
      <c r="L22" s="11" t="s">
        <v>34</v>
      </c>
      <c r="M22" s="125">
        <v>2.1419999999999999</v>
      </c>
      <c r="N22" s="3" t="s">
        <v>48</v>
      </c>
      <c r="O22" s="141">
        <v>7.4999999999999997E-3</v>
      </c>
      <c r="P22" s="142">
        <v>1.9449999999999999E-2</v>
      </c>
      <c r="Q22" s="3"/>
      <c r="R22" s="125">
        <v>2130000</v>
      </c>
      <c r="S22" s="143">
        <v>1</v>
      </c>
      <c r="T22" s="145">
        <v>114.63</v>
      </c>
      <c r="U22" s="125">
        <v>2441.6190000000001</v>
      </c>
      <c r="V22" s="3"/>
      <c r="W22" s="3" t="s">
        <v>36</v>
      </c>
      <c r="X22" s="142">
        <v>8.7000000000000001E-5</v>
      </c>
      <c r="Y22" s="142">
        <v>0.115420105847821</v>
      </c>
      <c r="Z22" s="142">
        <v>9.1324325731084899E-2</v>
      </c>
    </row>
    <row r="23" spans="1:26">
      <c r="A23" s="3">
        <v>382</v>
      </c>
      <c r="B23" s="3">
        <v>1404</v>
      </c>
      <c r="C23" s="3" t="s">
        <v>43</v>
      </c>
      <c r="D23" s="3" t="s">
        <v>49</v>
      </c>
      <c r="E23" s="3" t="s">
        <v>50</v>
      </c>
      <c r="F23" s="3" t="s">
        <v>46</v>
      </c>
      <c r="G23" s="3" t="s">
        <v>30</v>
      </c>
      <c r="H23" s="3" t="s">
        <v>30</v>
      </c>
      <c r="I23" s="3" t="s">
        <v>47</v>
      </c>
      <c r="J23" s="3" t="s">
        <v>32</v>
      </c>
      <c r="K23" s="3" t="s">
        <v>33</v>
      </c>
      <c r="L23" s="11" t="s">
        <v>34</v>
      </c>
      <c r="M23" s="125">
        <v>6.6459999999999999</v>
      </c>
      <c r="N23" s="3" t="s">
        <v>51</v>
      </c>
      <c r="O23" s="141">
        <v>1E-3</v>
      </c>
      <c r="P23" s="142">
        <v>2.0310000000000002E-2</v>
      </c>
      <c r="Q23" s="3"/>
      <c r="R23" s="125">
        <v>1478000</v>
      </c>
      <c r="S23" s="143">
        <v>1</v>
      </c>
      <c r="T23" s="145">
        <v>101.91</v>
      </c>
      <c r="U23" s="125">
        <v>1506.23</v>
      </c>
      <c r="V23" s="3"/>
      <c r="W23" s="3" t="s">
        <v>36</v>
      </c>
      <c r="X23" s="142">
        <v>4.8000000000000001E-5</v>
      </c>
      <c r="Y23" s="142">
        <v>7.1202428776620003E-2</v>
      </c>
      <c r="Z23" s="142">
        <v>5.6337790982568102E-2</v>
      </c>
    </row>
    <row r="24" spans="1:26">
      <c r="A24" s="3">
        <v>382</v>
      </c>
      <c r="B24" s="3">
        <v>1404</v>
      </c>
      <c r="C24" s="3" t="s">
        <v>52</v>
      </c>
      <c r="D24" s="3" t="s">
        <v>53</v>
      </c>
      <c r="E24" s="3" t="s">
        <v>54</v>
      </c>
      <c r="F24" s="3" t="s">
        <v>55</v>
      </c>
      <c r="G24" s="3" t="s">
        <v>30</v>
      </c>
      <c r="H24" s="3" t="s">
        <v>30</v>
      </c>
      <c r="I24" s="3" t="s">
        <v>47</v>
      </c>
      <c r="J24" s="3" t="s">
        <v>32</v>
      </c>
      <c r="K24" s="3" t="s">
        <v>33</v>
      </c>
      <c r="L24" s="11" t="s">
        <v>34</v>
      </c>
      <c r="M24" s="125">
        <v>3.36</v>
      </c>
      <c r="N24" s="3" t="s">
        <v>56</v>
      </c>
      <c r="O24" s="141">
        <v>2.2499999999999999E-2</v>
      </c>
      <c r="P24" s="142">
        <v>4.2610000000000002E-2</v>
      </c>
      <c r="Q24" s="3"/>
      <c r="R24" s="125">
        <v>1727000</v>
      </c>
      <c r="S24" s="143">
        <v>1</v>
      </c>
      <c r="T24" s="145">
        <v>94.71</v>
      </c>
      <c r="U24" s="125">
        <v>1635.6420000000001</v>
      </c>
      <c r="V24" s="3"/>
      <c r="W24" s="3" t="s">
        <v>36</v>
      </c>
      <c r="X24" s="142">
        <v>5.0000000000000002E-5</v>
      </c>
      <c r="Y24" s="142">
        <v>7.7319982414582197E-2</v>
      </c>
      <c r="Z24" s="142">
        <v>6.1178208143918202E-2</v>
      </c>
    </row>
    <row r="25" spans="1:26">
      <c r="A25" s="3">
        <v>382</v>
      </c>
      <c r="B25" s="3">
        <v>1404</v>
      </c>
      <c r="C25" s="3" t="s">
        <v>52</v>
      </c>
      <c r="D25" s="3" t="s">
        <v>57</v>
      </c>
      <c r="E25" s="3" t="s">
        <v>58</v>
      </c>
      <c r="F25" s="3" t="s">
        <v>55</v>
      </c>
      <c r="G25" s="3" t="s">
        <v>30</v>
      </c>
      <c r="H25" s="3" t="s">
        <v>30</v>
      </c>
      <c r="I25" s="3" t="s">
        <v>47</v>
      </c>
      <c r="J25" s="3" t="s">
        <v>32</v>
      </c>
      <c r="K25" s="3" t="s">
        <v>33</v>
      </c>
      <c r="L25" s="11" t="s">
        <v>34</v>
      </c>
      <c r="M25" s="125">
        <v>0.91</v>
      </c>
      <c r="N25" s="3" t="s">
        <v>59</v>
      </c>
      <c r="O25" s="141">
        <v>5.0000000000000001E-3</v>
      </c>
      <c r="P25" s="142">
        <v>4.1610000000000001E-2</v>
      </c>
      <c r="Q25" s="3"/>
      <c r="R25" s="125">
        <v>3214000</v>
      </c>
      <c r="S25" s="143">
        <v>1</v>
      </c>
      <c r="T25" s="145">
        <v>96.84</v>
      </c>
      <c r="U25" s="125">
        <v>3112.4380000000001</v>
      </c>
      <c r="V25" s="3"/>
      <c r="W25" s="3" t="s">
        <v>36</v>
      </c>
      <c r="X25" s="142">
        <v>1.16E-4</v>
      </c>
      <c r="Y25" s="142">
        <v>0.14713101316656599</v>
      </c>
      <c r="Z25" s="142">
        <v>0.116415077536698</v>
      </c>
    </row>
    <row r="26" spans="1:26">
      <c r="A26" s="3">
        <v>382</v>
      </c>
      <c r="B26" s="3">
        <v>1404</v>
      </c>
      <c r="C26" s="3" t="s">
        <v>52</v>
      </c>
      <c r="D26" s="3" t="s">
        <v>60</v>
      </c>
      <c r="E26" s="3" t="s">
        <v>61</v>
      </c>
      <c r="F26" s="3" t="s">
        <v>55</v>
      </c>
      <c r="G26" s="3" t="s">
        <v>30</v>
      </c>
      <c r="H26" s="3" t="s">
        <v>30</v>
      </c>
      <c r="I26" s="3" t="s">
        <v>47</v>
      </c>
      <c r="J26" s="3" t="s">
        <v>32</v>
      </c>
      <c r="K26" s="3" t="s">
        <v>33</v>
      </c>
      <c r="L26" s="11" t="s">
        <v>34</v>
      </c>
      <c r="M26" s="125">
        <v>8.3979999999999997</v>
      </c>
      <c r="N26" s="3" t="s">
        <v>62</v>
      </c>
      <c r="O26" s="141">
        <v>0.04</v>
      </c>
      <c r="P26" s="142">
        <v>4.4850000000000001E-2</v>
      </c>
      <c r="Q26" s="3"/>
      <c r="R26" s="125">
        <v>1416000</v>
      </c>
      <c r="S26" s="143">
        <v>1</v>
      </c>
      <c r="T26" s="145">
        <v>96.17</v>
      </c>
      <c r="U26" s="125">
        <v>1361.7670000000001</v>
      </c>
      <c r="V26" s="3"/>
      <c r="W26" s="3" t="s">
        <v>36</v>
      </c>
      <c r="X26" s="142">
        <v>4.8000000000000001E-5</v>
      </c>
      <c r="Y26" s="142">
        <v>6.43733991110369E-2</v>
      </c>
      <c r="Z26" s="142">
        <v>5.0934429713525103E-2</v>
      </c>
    </row>
    <row r="27" spans="1:26">
      <c r="A27" s="3">
        <v>382</v>
      </c>
      <c r="B27" s="3">
        <v>1404</v>
      </c>
      <c r="C27" s="3" t="s">
        <v>52</v>
      </c>
      <c r="D27" s="3" t="s">
        <v>66</v>
      </c>
      <c r="E27" s="3" t="s">
        <v>67</v>
      </c>
      <c r="F27" s="3" t="s">
        <v>55</v>
      </c>
      <c r="G27" s="3" t="s">
        <v>30</v>
      </c>
      <c r="H27" s="3" t="s">
        <v>30</v>
      </c>
      <c r="I27" s="3" t="s">
        <v>47</v>
      </c>
      <c r="J27" s="3" t="s">
        <v>32</v>
      </c>
      <c r="K27" s="3" t="s">
        <v>33</v>
      </c>
      <c r="L27" s="3" t="s">
        <v>34</v>
      </c>
      <c r="M27" s="125">
        <v>11.552</v>
      </c>
      <c r="N27" s="3" t="s">
        <v>68</v>
      </c>
      <c r="O27" s="141">
        <v>5.5E-2</v>
      </c>
      <c r="P27" s="142">
        <v>4.7300000000000002E-2</v>
      </c>
      <c r="Q27" s="3"/>
      <c r="R27" s="125">
        <v>300000</v>
      </c>
      <c r="S27" s="143">
        <v>1</v>
      </c>
      <c r="T27" s="145">
        <v>109.69</v>
      </c>
      <c r="U27" s="125">
        <v>329.07</v>
      </c>
      <c r="V27" s="3"/>
      <c r="W27" s="3" t="s">
        <v>36</v>
      </c>
      <c r="X27" s="142">
        <v>1.1E-5</v>
      </c>
      <c r="Y27" s="142">
        <v>1.55557825489327E-2</v>
      </c>
      <c r="Z27" s="142">
        <v>1.23082658958372E-2</v>
      </c>
    </row>
    <row r="28" spans="1:26">
      <c r="A28" s="3">
        <v>382</v>
      </c>
      <c r="B28" s="3">
        <v>1404</v>
      </c>
      <c r="C28" s="3" t="s">
        <v>43</v>
      </c>
      <c r="D28" s="3" t="s">
        <v>69</v>
      </c>
      <c r="E28" s="3" t="s">
        <v>70</v>
      </c>
      <c r="F28" s="3" t="s">
        <v>46</v>
      </c>
      <c r="G28" s="3" t="s">
        <v>30</v>
      </c>
      <c r="H28" s="3" t="s">
        <v>30</v>
      </c>
      <c r="I28" s="3" t="s">
        <v>47</v>
      </c>
      <c r="J28" s="3" t="s">
        <v>32</v>
      </c>
      <c r="K28" s="3" t="s">
        <v>33</v>
      </c>
      <c r="L28" s="3" t="s">
        <v>34</v>
      </c>
      <c r="M28" s="125">
        <v>4.1150000000000002</v>
      </c>
      <c r="N28" s="3" t="s">
        <v>71</v>
      </c>
      <c r="O28" s="141">
        <v>5.0000000000000001E-3</v>
      </c>
      <c r="P28" s="142">
        <v>1.9689999999999999E-2</v>
      </c>
      <c r="Q28" s="3"/>
      <c r="R28" s="125">
        <v>1237000</v>
      </c>
      <c r="S28" s="143">
        <v>1</v>
      </c>
      <c r="T28" s="145">
        <v>109.42</v>
      </c>
      <c r="U28" s="125">
        <v>1353.5250000000001</v>
      </c>
      <c r="V28" s="3"/>
      <c r="W28" s="3" t="s">
        <v>36</v>
      </c>
      <c r="X28" s="142">
        <v>4.5000000000000003E-5</v>
      </c>
      <c r="Y28" s="142">
        <v>6.3983793104376296E-2</v>
      </c>
      <c r="Z28" s="142">
        <v>5.0626160148203703E-2</v>
      </c>
    </row>
    <row r="29" spans="1:26">
      <c r="A29" s="3">
        <v>382</v>
      </c>
      <c r="B29" s="3">
        <v>1404</v>
      </c>
      <c r="C29" s="3" t="s">
        <v>43</v>
      </c>
      <c r="D29" s="3" t="s">
        <v>72</v>
      </c>
      <c r="E29" s="3" t="s">
        <v>73</v>
      </c>
      <c r="F29" s="3" t="s">
        <v>46</v>
      </c>
      <c r="G29" s="3" t="s">
        <v>30</v>
      </c>
      <c r="H29" s="3" t="s">
        <v>30</v>
      </c>
      <c r="I29" s="3" t="s">
        <v>47</v>
      </c>
      <c r="J29" s="3" t="s">
        <v>32</v>
      </c>
      <c r="K29" s="3" t="s">
        <v>33</v>
      </c>
      <c r="L29" s="3" t="s">
        <v>34</v>
      </c>
      <c r="M29" s="125">
        <v>1.331</v>
      </c>
      <c r="N29" s="3" t="s">
        <v>74</v>
      </c>
      <c r="O29" s="141">
        <v>1E-3</v>
      </c>
      <c r="P29" s="142">
        <v>1.9599999999999999E-2</v>
      </c>
      <c r="Q29" s="3"/>
      <c r="R29" s="125">
        <v>1015000</v>
      </c>
      <c r="S29" s="143">
        <v>1</v>
      </c>
      <c r="T29" s="145">
        <v>112.95</v>
      </c>
      <c r="U29" s="125">
        <v>1146.443</v>
      </c>
      <c r="V29" s="3"/>
      <c r="W29" s="3" t="s">
        <v>36</v>
      </c>
      <c r="X29" s="142">
        <v>5.0000000000000002E-5</v>
      </c>
      <c r="Y29" s="142">
        <v>5.4194579374767501E-2</v>
      </c>
      <c r="Z29" s="142">
        <v>4.2880600250063301E-2</v>
      </c>
    </row>
    <row r="30" spans="1:26">
      <c r="A30" s="3">
        <v>382</v>
      </c>
      <c r="B30" s="3">
        <v>1404</v>
      </c>
      <c r="C30" s="3" t="s">
        <v>43</v>
      </c>
      <c r="D30" s="3" t="s">
        <v>75</v>
      </c>
      <c r="E30" s="3" t="s">
        <v>76</v>
      </c>
      <c r="F30" s="3" t="s">
        <v>46</v>
      </c>
      <c r="G30" s="3" t="s">
        <v>30</v>
      </c>
      <c r="H30" s="3" t="s">
        <v>30</v>
      </c>
      <c r="I30" s="3" t="s">
        <v>47</v>
      </c>
      <c r="J30" s="3" t="s">
        <v>32</v>
      </c>
      <c r="K30" s="3" t="s">
        <v>33</v>
      </c>
      <c r="L30" s="3" t="s">
        <v>34</v>
      </c>
      <c r="M30" s="125">
        <v>3.52</v>
      </c>
      <c r="N30" s="3" t="s">
        <v>77</v>
      </c>
      <c r="O30" s="141">
        <v>1.0999999999999999E-2</v>
      </c>
      <c r="P30" s="142">
        <v>1.9820000000000001E-2</v>
      </c>
      <c r="Q30" s="3"/>
      <c r="R30" s="125">
        <v>2430000</v>
      </c>
      <c r="S30" s="143">
        <v>1</v>
      </c>
      <c r="T30" s="145">
        <v>101.93</v>
      </c>
      <c r="U30" s="125">
        <v>2476.8989999999999</v>
      </c>
      <c r="V30" s="3"/>
      <c r="W30" s="3" t="s">
        <v>36</v>
      </c>
      <c r="X30" s="142">
        <v>8.2000000000000001E-5</v>
      </c>
      <c r="Y30" s="142">
        <v>0.117087860454216</v>
      </c>
      <c r="Z30" s="142">
        <v>9.26439100772882E-2</v>
      </c>
    </row>
    <row r="31" spans="1:26">
      <c r="A31" s="3">
        <v>382</v>
      </c>
      <c r="B31" s="3">
        <v>1404</v>
      </c>
      <c r="C31" s="3" t="s">
        <v>52</v>
      </c>
      <c r="D31" s="3" t="s">
        <v>78</v>
      </c>
      <c r="E31" s="3" t="s">
        <v>79</v>
      </c>
      <c r="F31" s="3" t="s">
        <v>55</v>
      </c>
      <c r="G31" s="3" t="s">
        <v>30</v>
      </c>
      <c r="H31" s="3" t="s">
        <v>30</v>
      </c>
      <c r="I31" s="3" t="s">
        <v>47</v>
      </c>
      <c r="J31" s="3" t="s">
        <v>32</v>
      </c>
      <c r="K31" s="3" t="s">
        <v>33</v>
      </c>
      <c r="L31" s="3" t="s">
        <v>34</v>
      </c>
      <c r="M31" s="125">
        <v>4.8920000000000003</v>
      </c>
      <c r="N31" s="3" t="s">
        <v>80</v>
      </c>
      <c r="O31" s="141">
        <v>0.01</v>
      </c>
      <c r="P31" s="142">
        <v>4.2889999999999998E-2</v>
      </c>
      <c r="Q31" s="3"/>
      <c r="R31" s="125">
        <v>1670000</v>
      </c>
      <c r="S31" s="143">
        <v>1</v>
      </c>
      <c r="T31" s="145">
        <v>85.48</v>
      </c>
      <c r="U31" s="125">
        <v>1427.5160000000001</v>
      </c>
      <c r="V31" s="3"/>
      <c r="W31" s="3" t="s">
        <v>36</v>
      </c>
      <c r="X31" s="142">
        <v>4.3999999999999999E-5</v>
      </c>
      <c r="Y31" s="142">
        <v>6.7481473489294605E-2</v>
      </c>
      <c r="Z31" s="142">
        <v>5.3393644205068598E-2</v>
      </c>
    </row>
    <row r="32" spans="1:26">
      <c r="A32" s="3">
        <v>382</v>
      </c>
      <c r="B32" s="3">
        <v>1404</v>
      </c>
      <c r="C32" s="3" t="s">
        <v>52</v>
      </c>
      <c r="D32" s="3" t="s">
        <v>81</v>
      </c>
      <c r="E32" s="3" t="s">
        <v>82</v>
      </c>
      <c r="F32" s="3" t="s">
        <v>55</v>
      </c>
      <c r="G32" s="3" t="s">
        <v>30</v>
      </c>
      <c r="H32" s="3" t="s">
        <v>30</v>
      </c>
      <c r="I32" s="3" t="s">
        <v>47</v>
      </c>
      <c r="J32" s="3" t="s">
        <v>32</v>
      </c>
      <c r="K32" s="3" t="s">
        <v>33</v>
      </c>
      <c r="L32" s="3" t="s">
        <v>34</v>
      </c>
      <c r="M32" s="125">
        <v>6.681</v>
      </c>
      <c r="N32" s="3" t="s">
        <v>83</v>
      </c>
      <c r="O32" s="141">
        <v>1.2999999999999999E-2</v>
      </c>
      <c r="P32" s="142">
        <v>4.3790000000000003E-2</v>
      </c>
      <c r="Q32" s="3"/>
      <c r="R32" s="125">
        <v>3625000</v>
      </c>
      <c r="S32" s="143">
        <v>1</v>
      </c>
      <c r="T32" s="145">
        <v>82.78</v>
      </c>
      <c r="U32" s="125">
        <v>3000.7750000000001</v>
      </c>
      <c r="V32" s="3"/>
      <c r="W32" s="3" t="s">
        <v>36</v>
      </c>
      <c r="X32" s="142">
        <v>1.05E-4</v>
      </c>
      <c r="Y32" s="142">
        <v>0.141852503656588</v>
      </c>
      <c r="Z32" s="142">
        <v>0.112238540716507</v>
      </c>
    </row>
    <row r="33" spans="1:26">
      <c r="A33" s="3">
        <v>382</v>
      </c>
      <c r="B33" s="3">
        <v>1404</v>
      </c>
      <c r="C33" s="3" t="s">
        <v>100</v>
      </c>
      <c r="D33" s="3" t="s">
        <v>107</v>
      </c>
      <c r="E33" s="3" t="s">
        <v>108</v>
      </c>
      <c r="F33" s="3" t="s">
        <v>93</v>
      </c>
      <c r="G33" s="3" t="s">
        <v>94</v>
      </c>
      <c r="H33" s="3" t="s">
        <v>103</v>
      </c>
      <c r="I33" s="3" t="s">
        <v>95</v>
      </c>
      <c r="J33" s="3" t="s">
        <v>104</v>
      </c>
      <c r="K33" s="3" t="s">
        <v>105</v>
      </c>
      <c r="L33" s="3" t="s">
        <v>98</v>
      </c>
      <c r="M33" s="125">
        <v>4.6779999999999999</v>
      </c>
      <c r="N33" s="3" t="s">
        <v>109</v>
      </c>
      <c r="O33" s="141">
        <v>3.7499999999999999E-2</v>
      </c>
      <c r="P33" s="142">
        <v>3.9419999999999997E-2</v>
      </c>
      <c r="Q33" s="3"/>
      <c r="R33" s="125">
        <v>80000</v>
      </c>
      <c r="S33" s="143">
        <v>3.718</v>
      </c>
      <c r="T33" s="145">
        <v>100.233</v>
      </c>
      <c r="U33" s="125">
        <v>298.13200000000001</v>
      </c>
      <c r="V33" s="3"/>
      <c r="W33" s="3" t="s">
        <v>36</v>
      </c>
      <c r="X33" s="142">
        <v>1.9999999999999999E-6</v>
      </c>
      <c r="Y33" s="142">
        <v>1.4093268438692901E-2</v>
      </c>
      <c r="Z33" s="142">
        <v>1.11510748327312E-2</v>
      </c>
    </row>
    <row r="34" spans="1:26">
      <c r="A34" s="3">
        <v>382</v>
      </c>
      <c r="B34" s="3">
        <v>1404</v>
      </c>
      <c r="C34" s="3" t="s">
        <v>100</v>
      </c>
      <c r="D34" s="3" t="s">
        <v>101</v>
      </c>
      <c r="E34" s="3" t="s">
        <v>102</v>
      </c>
      <c r="F34" s="3" t="s">
        <v>93</v>
      </c>
      <c r="G34" s="3" t="s">
        <v>94</v>
      </c>
      <c r="H34" s="3" t="s">
        <v>103</v>
      </c>
      <c r="I34" s="3" t="s">
        <v>95</v>
      </c>
      <c r="J34" s="3" t="s">
        <v>104</v>
      </c>
      <c r="K34" s="3" t="s">
        <v>105</v>
      </c>
      <c r="L34" s="3" t="s">
        <v>98</v>
      </c>
      <c r="M34" s="125">
        <v>7.8890000000000002</v>
      </c>
      <c r="N34" s="3" t="s">
        <v>106</v>
      </c>
      <c r="O34" s="141">
        <v>3.875E-2</v>
      </c>
      <c r="P34" s="142">
        <v>4.1610000000000001E-2</v>
      </c>
      <c r="Q34" s="3"/>
      <c r="R34" s="125">
        <v>103500</v>
      </c>
      <c r="S34" s="143">
        <v>3.718</v>
      </c>
      <c r="T34" s="145">
        <v>97.960999999999999</v>
      </c>
      <c r="U34" s="125">
        <v>376.96499999999997</v>
      </c>
      <c r="V34" s="3"/>
      <c r="W34" s="3" t="s">
        <v>36</v>
      </c>
      <c r="X34" s="142">
        <v>9.9999999999999995E-7</v>
      </c>
      <c r="Y34" s="142">
        <v>1.7819892365062401E-2</v>
      </c>
      <c r="Z34" s="142">
        <v>1.4099706830849001E-2</v>
      </c>
    </row>
    <row r="35" spans="1:26">
      <c r="A35" s="3">
        <v>382</v>
      </c>
      <c r="B35" s="3">
        <v>7635</v>
      </c>
      <c r="C35" s="3" t="s">
        <v>26</v>
      </c>
      <c r="D35" s="3" t="s">
        <v>27</v>
      </c>
      <c r="E35" s="3" t="s">
        <v>28</v>
      </c>
      <c r="F35" s="3" t="s">
        <v>29</v>
      </c>
      <c r="G35" s="3" t="s">
        <v>30</v>
      </c>
      <c r="H35" s="3" t="s">
        <v>30</v>
      </c>
      <c r="I35" s="3" t="s">
        <v>31</v>
      </c>
      <c r="J35" s="3" t="s">
        <v>32</v>
      </c>
      <c r="K35" s="3" t="s">
        <v>33</v>
      </c>
      <c r="L35" s="3" t="s">
        <v>34</v>
      </c>
      <c r="M35" s="125">
        <v>0.42499999999999999</v>
      </c>
      <c r="N35" s="3" t="s">
        <v>35</v>
      </c>
      <c r="O35" s="141">
        <v>0</v>
      </c>
      <c r="P35" s="142">
        <v>4.2700000000000002E-2</v>
      </c>
      <c r="Q35" s="3"/>
      <c r="R35" s="125">
        <v>200000</v>
      </c>
      <c r="S35" s="143">
        <v>1</v>
      </c>
      <c r="T35" s="145">
        <v>98.24</v>
      </c>
      <c r="U35" s="125">
        <v>196.48</v>
      </c>
      <c r="V35" s="3"/>
      <c r="W35" s="3" t="s">
        <v>36</v>
      </c>
      <c r="X35" s="142">
        <v>1.7E-5</v>
      </c>
      <c r="Y35" s="142">
        <v>2.87872647368024E-2</v>
      </c>
      <c r="Z35" s="142">
        <v>1.0579461523233901E-2</v>
      </c>
    </row>
    <row r="36" spans="1:26">
      <c r="A36" s="3">
        <v>382</v>
      </c>
      <c r="B36" s="3">
        <v>7635</v>
      </c>
      <c r="C36" s="3" t="s">
        <v>26</v>
      </c>
      <c r="D36" s="3" t="s">
        <v>40</v>
      </c>
      <c r="E36" s="3" t="s">
        <v>41</v>
      </c>
      <c r="F36" s="3" t="s">
        <v>29</v>
      </c>
      <c r="G36" s="3" t="s">
        <v>30</v>
      </c>
      <c r="H36" s="3" t="s">
        <v>30</v>
      </c>
      <c r="I36" s="3" t="s">
        <v>31</v>
      </c>
      <c r="J36" s="3" t="s">
        <v>32</v>
      </c>
      <c r="K36" s="3" t="s">
        <v>33</v>
      </c>
      <c r="L36" s="3" t="s">
        <v>34</v>
      </c>
      <c r="M36" s="125">
        <v>9.9000000000000005E-2</v>
      </c>
      <c r="N36" s="3" t="s">
        <v>42</v>
      </c>
      <c r="O36" s="141">
        <v>0</v>
      </c>
      <c r="P36" s="142">
        <v>4.2540000000000001E-2</v>
      </c>
      <c r="Q36" s="3"/>
      <c r="R36" s="125">
        <v>280000</v>
      </c>
      <c r="S36" s="143">
        <v>1</v>
      </c>
      <c r="T36" s="145">
        <v>99.59</v>
      </c>
      <c r="U36" s="125">
        <v>278.85199999999998</v>
      </c>
      <c r="V36" s="3"/>
      <c r="W36" s="3" t="s">
        <v>36</v>
      </c>
      <c r="X36" s="142">
        <v>7.9999999999999996E-6</v>
      </c>
      <c r="Y36" s="142">
        <v>4.0855997284134901E-2</v>
      </c>
      <c r="Z36" s="142">
        <v>1.5014780154096199E-2</v>
      </c>
    </row>
    <row r="37" spans="1:26">
      <c r="A37" s="3">
        <v>382</v>
      </c>
      <c r="B37" s="3">
        <v>7635</v>
      </c>
      <c r="C37" s="3" t="s">
        <v>26</v>
      </c>
      <c r="D37" s="3" t="s">
        <v>110</v>
      </c>
      <c r="E37" s="3" t="s">
        <v>111</v>
      </c>
      <c r="F37" s="3" t="s">
        <v>29</v>
      </c>
      <c r="G37" s="3" t="s">
        <v>30</v>
      </c>
      <c r="H37" s="3" t="s">
        <v>30</v>
      </c>
      <c r="I37" s="3" t="s">
        <v>31</v>
      </c>
      <c r="J37" s="3" t="s">
        <v>32</v>
      </c>
      <c r="K37" s="3" t="s">
        <v>33</v>
      </c>
      <c r="L37" s="3" t="s">
        <v>34</v>
      </c>
      <c r="M37" s="125">
        <v>0.17499999999999999</v>
      </c>
      <c r="N37" s="3" t="s">
        <v>112</v>
      </c>
      <c r="O37" s="141">
        <v>0</v>
      </c>
      <c r="P37" s="142">
        <v>4.3270000000000003E-2</v>
      </c>
      <c r="Q37" s="3"/>
      <c r="R37" s="125">
        <v>520000</v>
      </c>
      <c r="S37" s="143">
        <v>1</v>
      </c>
      <c r="T37" s="145">
        <v>99.26</v>
      </c>
      <c r="U37" s="125">
        <v>516.15200000000004</v>
      </c>
      <c r="V37" s="3"/>
      <c r="W37" s="3" t="s">
        <v>36</v>
      </c>
      <c r="X37" s="142">
        <v>1.7E-5</v>
      </c>
      <c r="Y37" s="142">
        <v>7.5624003809192E-2</v>
      </c>
      <c r="Z37" s="142">
        <v>2.7792193730355401E-2</v>
      </c>
    </row>
    <row r="38" spans="1:26">
      <c r="A38" s="3">
        <v>382</v>
      </c>
      <c r="B38" s="3">
        <v>7635</v>
      </c>
      <c r="C38" s="3" t="s">
        <v>43</v>
      </c>
      <c r="D38" s="3" t="s">
        <v>44</v>
      </c>
      <c r="E38" s="3" t="s">
        <v>45</v>
      </c>
      <c r="F38" s="3" t="s">
        <v>46</v>
      </c>
      <c r="G38" s="3" t="s">
        <v>30</v>
      </c>
      <c r="H38" s="3" t="s">
        <v>30</v>
      </c>
      <c r="I38" s="3" t="s">
        <v>47</v>
      </c>
      <c r="J38" s="3" t="s">
        <v>32</v>
      </c>
      <c r="K38" s="3" t="s">
        <v>33</v>
      </c>
      <c r="L38" s="3" t="s">
        <v>34</v>
      </c>
      <c r="M38" s="125">
        <v>2.1419999999999999</v>
      </c>
      <c r="N38" s="3" t="s">
        <v>48</v>
      </c>
      <c r="O38" s="141">
        <v>7.4999999999999997E-3</v>
      </c>
      <c r="P38" s="142">
        <v>1.9449999999999999E-2</v>
      </c>
      <c r="Q38" s="3"/>
      <c r="R38" s="125">
        <v>680000</v>
      </c>
      <c r="S38" s="143">
        <v>1</v>
      </c>
      <c r="T38" s="145">
        <v>114.63</v>
      </c>
      <c r="U38" s="125">
        <v>779.48400000000004</v>
      </c>
      <c r="V38" s="3"/>
      <c r="W38" s="3" t="s">
        <v>36</v>
      </c>
      <c r="X38" s="142">
        <v>2.8E-5</v>
      </c>
      <c r="Y38" s="142">
        <v>0.114206088487896</v>
      </c>
      <c r="Z38" s="142">
        <v>4.1971299806476299E-2</v>
      </c>
    </row>
    <row r="39" spans="1:26">
      <c r="A39" s="3">
        <v>382</v>
      </c>
      <c r="B39" s="3">
        <v>7635</v>
      </c>
      <c r="C39" s="3" t="s">
        <v>43</v>
      </c>
      <c r="D39" s="3" t="s">
        <v>49</v>
      </c>
      <c r="E39" s="3" t="s">
        <v>50</v>
      </c>
      <c r="F39" s="3" t="s">
        <v>46</v>
      </c>
      <c r="G39" s="3" t="s">
        <v>30</v>
      </c>
      <c r="H39" s="3" t="s">
        <v>30</v>
      </c>
      <c r="I39" s="3" t="s">
        <v>47</v>
      </c>
      <c r="J39" s="3" t="s">
        <v>32</v>
      </c>
      <c r="K39" s="3" t="s">
        <v>33</v>
      </c>
      <c r="L39" s="3" t="s">
        <v>34</v>
      </c>
      <c r="M39" s="125">
        <v>6.6459999999999999</v>
      </c>
      <c r="N39" s="3" t="s">
        <v>51</v>
      </c>
      <c r="O39" s="141">
        <v>1E-3</v>
      </c>
      <c r="P39" s="142">
        <v>2.0310000000000002E-2</v>
      </c>
      <c r="Q39" s="3"/>
      <c r="R39" s="125">
        <v>379000</v>
      </c>
      <c r="S39" s="143">
        <v>1</v>
      </c>
      <c r="T39" s="145">
        <v>101.91</v>
      </c>
      <c r="U39" s="125">
        <v>386.23899999999998</v>
      </c>
      <c r="V39" s="3"/>
      <c r="W39" s="3" t="s">
        <v>36</v>
      </c>
      <c r="X39" s="142">
        <v>1.2E-5</v>
      </c>
      <c r="Y39" s="142">
        <v>5.65897875913648E-2</v>
      </c>
      <c r="Z39" s="142">
        <v>2.0797025556424001E-2</v>
      </c>
    </row>
    <row r="40" spans="1:26">
      <c r="A40" s="3">
        <v>382</v>
      </c>
      <c r="B40" s="3">
        <v>7635</v>
      </c>
      <c r="C40" s="3" t="s">
        <v>52</v>
      </c>
      <c r="D40" s="3" t="s">
        <v>53</v>
      </c>
      <c r="E40" s="3" t="s">
        <v>54</v>
      </c>
      <c r="F40" s="3" t="s">
        <v>55</v>
      </c>
      <c r="G40" s="3" t="s">
        <v>30</v>
      </c>
      <c r="H40" s="3" t="s">
        <v>30</v>
      </c>
      <c r="I40" s="3" t="s">
        <v>47</v>
      </c>
      <c r="J40" s="3" t="s">
        <v>32</v>
      </c>
      <c r="K40" s="3" t="s">
        <v>33</v>
      </c>
      <c r="L40" s="3" t="s">
        <v>34</v>
      </c>
      <c r="M40" s="125">
        <v>3.36</v>
      </c>
      <c r="N40" s="3" t="s">
        <v>56</v>
      </c>
      <c r="O40" s="141">
        <v>2.2499999999999999E-2</v>
      </c>
      <c r="P40" s="142">
        <v>4.2610000000000002E-2</v>
      </c>
      <c r="Q40" s="3"/>
      <c r="R40" s="125">
        <v>661000</v>
      </c>
      <c r="S40" s="143">
        <v>1</v>
      </c>
      <c r="T40" s="145">
        <v>94.71</v>
      </c>
      <c r="U40" s="125">
        <v>626.03300000000002</v>
      </c>
      <c r="V40" s="3"/>
      <c r="W40" s="3" t="s">
        <v>36</v>
      </c>
      <c r="X40" s="142">
        <v>1.9000000000000001E-5</v>
      </c>
      <c r="Y40" s="142">
        <v>9.1723231798153101E-2</v>
      </c>
      <c r="Z40" s="142">
        <v>3.3708739279931003E-2</v>
      </c>
    </row>
    <row r="41" spans="1:26">
      <c r="A41" s="3">
        <v>382</v>
      </c>
      <c r="B41" s="3">
        <v>7635</v>
      </c>
      <c r="C41" s="3" t="s">
        <v>52</v>
      </c>
      <c r="D41" s="3" t="s">
        <v>57</v>
      </c>
      <c r="E41" s="3" t="s">
        <v>58</v>
      </c>
      <c r="F41" s="3" t="s">
        <v>55</v>
      </c>
      <c r="G41" s="3" t="s">
        <v>30</v>
      </c>
      <c r="H41" s="3" t="s">
        <v>30</v>
      </c>
      <c r="I41" s="3" t="s">
        <v>47</v>
      </c>
      <c r="J41" s="3" t="s">
        <v>32</v>
      </c>
      <c r="K41" s="3" t="s">
        <v>33</v>
      </c>
      <c r="L41" s="3" t="s">
        <v>34</v>
      </c>
      <c r="M41" s="125">
        <v>0.91</v>
      </c>
      <c r="N41" s="3" t="s">
        <v>59</v>
      </c>
      <c r="O41" s="141">
        <v>5.0000000000000001E-3</v>
      </c>
      <c r="P41" s="142">
        <v>4.1610000000000001E-2</v>
      </c>
      <c r="Q41" s="3"/>
      <c r="R41" s="125">
        <v>527000</v>
      </c>
      <c r="S41" s="143">
        <v>1</v>
      </c>
      <c r="T41" s="145">
        <v>96.84</v>
      </c>
      <c r="U41" s="125">
        <v>510.34699999999998</v>
      </c>
      <c r="V41" s="3"/>
      <c r="W41" s="3" t="s">
        <v>36</v>
      </c>
      <c r="X41" s="142">
        <v>1.9000000000000001E-5</v>
      </c>
      <c r="Y41" s="142">
        <v>7.4773455003969702E-2</v>
      </c>
      <c r="Z41" s="142">
        <v>2.7479612856807601E-2</v>
      </c>
    </row>
    <row r="42" spans="1:26">
      <c r="A42" s="3">
        <v>382</v>
      </c>
      <c r="B42" s="3">
        <v>7635</v>
      </c>
      <c r="C42" s="3" t="s">
        <v>52</v>
      </c>
      <c r="D42" s="3" t="s">
        <v>60</v>
      </c>
      <c r="E42" s="3" t="s">
        <v>61</v>
      </c>
      <c r="F42" s="3" t="s">
        <v>55</v>
      </c>
      <c r="G42" s="3" t="s">
        <v>30</v>
      </c>
      <c r="H42" s="3" t="s">
        <v>30</v>
      </c>
      <c r="I42" s="3" t="s">
        <v>47</v>
      </c>
      <c r="J42" s="3" t="s">
        <v>32</v>
      </c>
      <c r="K42" s="3" t="s">
        <v>33</v>
      </c>
      <c r="L42" s="3" t="s">
        <v>34</v>
      </c>
      <c r="M42" s="125">
        <v>8.3979999999999997</v>
      </c>
      <c r="N42" s="3" t="s">
        <v>62</v>
      </c>
      <c r="O42" s="141">
        <v>0.04</v>
      </c>
      <c r="P42" s="142">
        <v>4.4850000000000001E-2</v>
      </c>
      <c r="Q42" s="3"/>
      <c r="R42" s="125">
        <v>411000</v>
      </c>
      <c r="S42" s="143">
        <v>1</v>
      </c>
      <c r="T42" s="145">
        <v>96.17</v>
      </c>
      <c r="U42" s="125">
        <v>395.25900000000001</v>
      </c>
      <c r="V42" s="3"/>
      <c r="W42" s="3" t="s">
        <v>36</v>
      </c>
      <c r="X42" s="142">
        <v>1.4E-5</v>
      </c>
      <c r="Y42" s="142">
        <v>5.7911323475286901E-2</v>
      </c>
      <c r="Z42" s="142">
        <v>2.1282696500272098E-2</v>
      </c>
    </row>
    <row r="43" spans="1:26">
      <c r="A43" s="3">
        <v>382</v>
      </c>
      <c r="B43" s="3">
        <v>7635</v>
      </c>
      <c r="C43" s="3" t="s">
        <v>52</v>
      </c>
      <c r="D43" s="3" t="s">
        <v>63</v>
      </c>
      <c r="E43" s="3" t="s">
        <v>64</v>
      </c>
      <c r="F43" s="3" t="s">
        <v>55</v>
      </c>
      <c r="G43" s="3" t="s">
        <v>30</v>
      </c>
      <c r="H43" s="3" t="s">
        <v>30</v>
      </c>
      <c r="I43" s="3" t="s">
        <v>47</v>
      </c>
      <c r="J43" s="3" t="s">
        <v>32</v>
      </c>
      <c r="K43" s="3" t="s">
        <v>33</v>
      </c>
      <c r="L43" s="3" t="s">
        <v>34</v>
      </c>
      <c r="M43" s="125">
        <v>14.74</v>
      </c>
      <c r="N43" s="3" t="s">
        <v>65</v>
      </c>
      <c r="O43" s="141">
        <v>3.7499999999999999E-2</v>
      </c>
      <c r="P43" s="142">
        <v>4.8599999999999997E-2</v>
      </c>
      <c r="Q43" s="3"/>
      <c r="R43" s="125">
        <v>113300</v>
      </c>
      <c r="S43" s="143">
        <v>1</v>
      </c>
      <c r="T43" s="145">
        <v>85.21</v>
      </c>
      <c r="U43" s="125">
        <v>96.543000000000006</v>
      </c>
      <c r="V43" s="3"/>
      <c r="W43" s="3" t="s">
        <v>36</v>
      </c>
      <c r="X43" s="142">
        <v>3.9999999999999998E-6</v>
      </c>
      <c r="Y43" s="142">
        <v>1.4144986178626799E-2</v>
      </c>
      <c r="Z43" s="142">
        <v>5.1983520626794899E-3</v>
      </c>
    </row>
    <row r="44" spans="1:26">
      <c r="A44" s="3">
        <v>382</v>
      </c>
      <c r="B44" s="3">
        <v>7635</v>
      </c>
      <c r="C44" s="3" t="s">
        <v>52</v>
      </c>
      <c r="D44" s="3" t="s">
        <v>66</v>
      </c>
      <c r="E44" s="3" t="s">
        <v>67</v>
      </c>
      <c r="F44" s="3" t="s">
        <v>55</v>
      </c>
      <c r="G44" s="3" t="s">
        <v>30</v>
      </c>
      <c r="H44" s="3" t="s">
        <v>30</v>
      </c>
      <c r="I44" s="3" t="s">
        <v>47</v>
      </c>
      <c r="J44" s="3" t="s">
        <v>32</v>
      </c>
      <c r="K44" s="3" t="s">
        <v>33</v>
      </c>
      <c r="L44" s="3" t="s">
        <v>34</v>
      </c>
      <c r="M44" s="125">
        <v>11.552</v>
      </c>
      <c r="N44" s="3" t="s">
        <v>68</v>
      </c>
      <c r="O44" s="141">
        <v>5.5E-2</v>
      </c>
      <c r="P44" s="142">
        <v>4.7300000000000002E-2</v>
      </c>
      <c r="Q44" s="3"/>
      <c r="R44" s="125">
        <v>143000</v>
      </c>
      <c r="S44" s="143">
        <v>1</v>
      </c>
      <c r="T44" s="145">
        <v>109.69</v>
      </c>
      <c r="U44" s="125">
        <v>156.857</v>
      </c>
      <c r="V44" s="3"/>
      <c r="W44" s="3" t="s">
        <v>36</v>
      </c>
      <c r="X44" s="142">
        <v>5.0000000000000004E-6</v>
      </c>
      <c r="Y44" s="142">
        <v>2.29818574340452E-2</v>
      </c>
      <c r="Z44" s="142">
        <v>8.4459457568782804E-3</v>
      </c>
    </row>
    <row r="45" spans="1:26">
      <c r="A45" s="3">
        <v>382</v>
      </c>
      <c r="B45" s="3">
        <v>7635</v>
      </c>
      <c r="C45" s="3" t="s">
        <v>43</v>
      </c>
      <c r="D45" s="3" t="s">
        <v>69</v>
      </c>
      <c r="E45" s="3" t="s">
        <v>70</v>
      </c>
      <c r="F45" s="3" t="s">
        <v>46</v>
      </c>
      <c r="G45" s="3" t="s">
        <v>30</v>
      </c>
      <c r="H45" s="3" t="s">
        <v>30</v>
      </c>
      <c r="I45" s="3" t="s">
        <v>47</v>
      </c>
      <c r="J45" s="3" t="s">
        <v>32</v>
      </c>
      <c r="K45" s="3" t="s">
        <v>33</v>
      </c>
      <c r="L45" s="3" t="s">
        <v>34</v>
      </c>
      <c r="M45" s="125">
        <v>4.1150000000000002</v>
      </c>
      <c r="N45" s="3" t="s">
        <v>71</v>
      </c>
      <c r="O45" s="141">
        <v>5.0000000000000001E-3</v>
      </c>
      <c r="P45" s="142">
        <v>1.9689999999999999E-2</v>
      </c>
      <c r="Q45" s="3"/>
      <c r="R45" s="125">
        <v>856000</v>
      </c>
      <c r="S45" s="143">
        <v>1</v>
      </c>
      <c r="T45" s="145">
        <v>109.42</v>
      </c>
      <c r="U45" s="125">
        <v>936.63499999999999</v>
      </c>
      <c r="V45" s="3"/>
      <c r="W45" s="3" t="s">
        <v>36</v>
      </c>
      <c r="X45" s="142">
        <v>3.1000000000000001E-5</v>
      </c>
      <c r="Y45" s="142">
        <v>0.137231094585749</v>
      </c>
      <c r="Z45" s="142">
        <v>5.0433102909744003E-2</v>
      </c>
    </row>
    <row r="46" spans="1:26">
      <c r="A46" s="3">
        <v>382</v>
      </c>
      <c r="B46" s="3">
        <v>7635</v>
      </c>
      <c r="C46" s="3" t="s">
        <v>43</v>
      </c>
      <c r="D46" s="3" t="s">
        <v>72</v>
      </c>
      <c r="E46" s="3" t="s">
        <v>73</v>
      </c>
      <c r="F46" s="3" t="s">
        <v>46</v>
      </c>
      <c r="G46" s="3" t="s">
        <v>30</v>
      </c>
      <c r="H46" s="3" t="s">
        <v>30</v>
      </c>
      <c r="I46" s="3" t="s">
        <v>47</v>
      </c>
      <c r="J46" s="3" t="s">
        <v>32</v>
      </c>
      <c r="K46" s="3" t="s">
        <v>33</v>
      </c>
      <c r="L46" s="3" t="s">
        <v>34</v>
      </c>
      <c r="M46" s="125">
        <v>1.331</v>
      </c>
      <c r="N46" s="3" t="s">
        <v>74</v>
      </c>
      <c r="O46" s="141">
        <v>1E-3</v>
      </c>
      <c r="P46" s="142">
        <v>1.9599999999999999E-2</v>
      </c>
      <c r="Q46" s="3"/>
      <c r="R46" s="125">
        <v>353000</v>
      </c>
      <c r="S46" s="143">
        <v>1</v>
      </c>
      <c r="T46" s="145">
        <v>112.95</v>
      </c>
      <c r="U46" s="125">
        <v>398.714</v>
      </c>
      <c r="V46" s="3"/>
      <c r="W46" s="3" t="s">
        <v>36</v>
      </c>
      <c r="X46" s="142">
        <v>1.7E-5</v>
      </c>
      <c r="Y46" s="142">
        <v>5.8417503453975402E-2</v>
      </c>
      <c r="Z46" s="142">
        <v>2.14687201345884E-2</v>
      </c>
    </row>
    <row r="47" spans="1:26">
      <c r="A47" s="3">
        <v>382</v>
      </c>
      <c r="B47" s="3">
        <v>7635</v>
      </c>
      <c r="C47" s="3" t="s">
        <v>43</v>
      </c>
      <c r="D47" s="3" t="s">
        <v>75</v>
      </c>
      <c r="E47" s="3" t="s">
        <v>76</v>
      </c>
      <c r="F47" s="3" t="s">
        <v>46</v>
      </c>
      <c r="G47" s="3" t="s">
        <v>30</v>
      </c>
      <c r="H47" s="3" t="s">
        <v>30</v>
      </c>
      <c r="I47" s="3" t="s">
        <v>47</v>
      </c>
      <c r="J47" s="3" t="s">
        <v>32</v>
      </c>
      <c r="K47" s="3" t="s">
        <v>33</v>
      </c>
      <c r="L47" s="3" t="s">
        <v>34</v>
      </c>
      <c r="M47" s="125">
        <v>3.52</v>
      </c>
      <c r="N47" s="3" t="s">
        <v>77</v>
      </c>
      <c r="O47" s="141">
        <v>1.0999999999999999E-2</v>
      </c>
      <c r="P47" s="142">
        <v>1.9820000000000001E-2</v>
      </c>
      <c r="Q47" s="3"/>
      <c r="R47" s="125">
        <v>534000</v>
      </c>
      <c r="S47" s="143">
        <v>1</v>
      </c>
      <c r="T47" s="145">
        <v>101.93</v>
      </c>
      <c r="U47" s="125">
        <v>544.30600000000004</v>
      </c>
      <c r="V47" s="3"/>
      <c r="W47" s="3" t="s">
        <v>36</v>
      </c>
      <c r="X47" s="142">
        <v>1.8E-5</v>
      </c>
      <c r="Y47" s="142">
        <v>7.9749016069233195E-2</v>
      </c>
      <c r="Z47" s="142">
        <v>2.9308156045183598E-2</v>
      </c>
    </row>
    <row r="48" spans="1:26">
      <c r="A48" s="3">
        <v>382</v>
      </c>
      <c r="B48" s="3">
        <v>7635</v>
      </c>
      <c r="C48" s="3" t="s">
        <v>52</v>
      </c>
      <c r="D48" s="3" t="s">
        <v>78</v>
      </c>
      <c r="E48" s="3" t="s">
        <v>79</v>
      </c>
      <c r="F48" s="3" t="s">
        <v>55</v>
      </c>
      <c r="G48" s="3" t="s">
        <v>30</v>
      </c>
      <c r="H48" s="3" t="s">
        <v>30</v>
      </c>
      <c r="I48" s="3" t="s">
        <v>47</v>
      </c>
      <c r="J48" s="3" t="s">
        <v>32</v>
      </c>
      <c r="K48" s="3" t="s">
        <v>33</v>
      </c>
      <c r="L48" s="3" t="s">
        <v>34</v>
      </c>
      <c r="M48" s="125">
        <v>4.8920000000000003</v>
      </c>
      <c r="N48" s="3" t="s">
        <v>80</v>
      </c>
      <c r="O48" s="141">
        <v>0.01</v>
      </c>
      <c r="P48" s="142">
        <v>4.2889999999999998E-2</v>
      </c>
      <c r="Q48" s="3"/>
      <c r="R48" s="125">
        <v>290000</v>
      </c>
      <c r="S48" s="143">
        <v>1</v>
      </c>
      <c r="T48" s="145">
        <v>85.48</v>
      </c>
      <c r="U48" s="125">
        <v>247.892</v>
      </c>
      <c r="V48" s="3"/>
      <c r="W48" s="3" t="s">
        <v>36</v>
      </c>
      <c r="X48" s="142">
        <v>7.9999999999999996E-6</v>
      </c>
      <c r="Y48" s="142">
        <v>3.6319893272269102E-2</v>
      </c>
      <c r="Z48" s="142">
        <v>1.33477395964857E-2</v>
      </c>
    </row>
    <row r="49" spans="1:26">
      <c r="A49" s="3">
        <v>382</v>
      </c>
      <c r="B49" s="3">
        <v>7635</v>
      </c>
      <c r="C49" s="3" t="s">
        <v>52</v>
      </c>
      <c r="D49" s="3" t="s">
        <v>81</v>
      </c>
      <c r="E49" s="3" t="s">
        <v>82</v>
      </c>
      <c r="F49" s="3" t="s">
        <v>55</v>
      </c>
      <c r="G49" s="3" t="s">
        <v>30</v>
      </c>
      <c r="H49" s="3" t="s">
        <v>30</v>
      </c>
      <c r="I49" s="3" t="s">
        <v>47</v>
      </c>
      <c r="J49" s="3" t="s">
        <v>32</v>
      </c>
      <c r="K49" s="3" t="s">
        <v>33</v>
      </c>
      <c r="L49" s="3" t="s">
        <v>34</v>
      </c>
      <c r="M49" s="125">
        <v>6.681</v>
      </c>
      <c r="N49" s="3" t="s">
        <v>83</v>
      </c>
      <c r="O49" s="141">
        <v>1.2999999999999999E-2</v>
      </c>
      <c r="P49" s="142">
        <v>4.3790000000000003E-2</v>
      </c>
      <c r="Q49" s="3"/>
      <c r="R49" s="125">
        <v>851000</v>
      </c>
      <c r="S49" s="143">
        <v>1</v>
      </c>
      <c r="T49" s="145">
        <v>82.78</v>
      </c>
      <c r="U49" s="125">
        <v>704.45799999999997</v>
      </c>
      <c r="V49" s="3"/>
      <c r="W49" s="3" t="s">
        <v>36</v>
      </c>
      <c r="X49" s="142">
        <v>2.5000000000000001E-5</v>
      </c>
      <c r="Y49" s="142">
        <v>0.10321362573547101</v>
      </c>
      <c r="Z49" s="142">
        <v>3.7931515624195902E-2</v>
      </c>
    </row>
    <row r="50" spans="1:26">
      <c r="A50" s="3">
        <v>382</v>
      </c>
      <c r="B50" s="3">
        <v>7635</v>
      </c>
      <c r="C50" s="3" t="s">
        <v>100</v>
      </c>
      <c r="D50" s="3" t="s">
        <v>101</v>
      </c>
      <c r="E50" s="3" t="s">
        <v>102</v>
      </c>
      <c r="F50" s="3" t="s">
        <v>93</v>
      </c>
      <c r="G50" s="3" t="s">
        <v>94</v>
      </c>
      <c r="H50" s="3" t="s">
        <v>103</v>
      </c>
      <c r="I50" s="3" t="s">
        <v>95</v>
      </c>
      <c r="J50" s="3" t="s">
        <v>104</v>
      </c>
      <c r="K50" s="3" t="s">
        <v>105</v>
      </c>
      <c r="L50" s="3" t="s">
        <v>98</v>
      </c>
      <c r="M50" s="125">
        <v>7.8890000000000002</v>
      </c>
      <c r="N50" s="3" t="s">
        <v>106</v>
      </c>
      <c r="O50" s="141">
        <v>3.875E-2</v>
      </c>
      <c r="P50" s="142">
        <v>4.1610000000000001E-2</v>
      </c>
      <c r="Q50" s="3"/>
      <c r="R50" s="125">
        <v>14000</v>
      </c>
      <c r="S50" s="143">
        <v>3.718</v>
      </c>
      <c r="T50" s="145">
        <v>97.960999999999999</v>
      </c>
      <c r="U50" s="125">
        <v>50.99</v>
      </c>
      <c r="V50" s="3"/>
      <c r="W50" s="3" t="s">
        <v>36</v>
      </c>
      <c r="X50" s="142">
        <v>0</v>
      </c>
      <c r="Y50" s="142">
        <v>7.4708710838307197E-3</v>
      </c>
      <c r="Z50" s="142">
        <v>2.7455819057162398E-3</v>
      </c>
    </row>
    <row r="51" spans="1:26">
      <c r="A51" s="3">
        <v>382</v>
      </c>
      <c r="B51" s="3">
        <v>9479</v>
      </c>
      <c r="C51" s="3" t="s">
        <v>26</v>
      </c>
      <c r="D51" s="3" t="s">
        <v>40</v>
      </c>
      <c r="E51" s="3" t="s">
        <v>41</v>
      </c>
      <c r="F51" s="3" t="s">
        <v>29</v>
      </c>
      <c r="G51" s="3" t="s">
        <v>30</v>
      </c>
      <c r="H51" s="3" t="s">
        <v>30</v>
      </c>
      <c r="I51" s="3" t="s">
        <v>31</v>
      </c>
      <c r="J51" s="3" t="s">
        <v>32</v>
      </c>
      <c r="K51" s="3" t="s">
        <v>33</v>
      </c>
      <c r="L51" s="3" t="s">
        <v>34</v>
      </c>
      <c r="M51" s="125">
        <v>9.9000000000000005E-2</v>
      </c>
      <c r="N51" s="3" t="s">
        <v>42</v>
      </c>
      <c r="O51" s="141">
        <v>0</v>
      </c>
      <c r="P51" s="142">
        <v>4.2540000000000001E-2</v>
      </c>
      <c r="Q51" s="3"/>
      <c r="R51" s="125">
        <v>4000000</v>
      </c>
      <c r="S51" s="143">
        <v>1</v>
      </c>
      <c r="T51" s="145">
        <v>99.59</v>
      </c>
      <c r="U51" s="125">
        <v>3983.6</v>
      </c>
      <c r="V51" s="3"/>
      <c r="W51" s="3" t="s">
        <v>36</v>
      </c>
      <c r="X51" s="142">
        <v>1.08E-4</v>
      </c>
      <c r="Y51" s="142">
        <v>0.35557348676417999</v>
      </c>
      <c r="Z51" s="142">
        <v>5.5709508718345999E-2</v>
      </c>
    </row>
    <row r="52" spans="1:26">
      <c r="A52" s="3">
        <v>382</v>
      </c>
      <c r="B52" s="3">
        <v>9479</v>
      </c>
      <c r="C52" s="3" t="s">
        <v>26</v>
      </c>
      <c r="D52" s="3" t="s">
        <v>110</v>
      </c>
      <c r="E52" s="3" t="s">
        <v>111</v>
      </c>
      <c r="F52" s="3" t="s">
        <v>29</v>
      </c>
      <c r="G52" s="3" t="s">
        <v>30</v>
      </c>
      <c r="H52" s="3" t="s">
        <v>30</v>
      </c>
      <c r="I52" s="3" t="s">
        <v>31</v>
      </c>
      <c r="J52" s="3" t="s">
        <v>32</v>
      </c>
      <c r="K52" s="3" t="s">
        <v>33</v>
      </c>
      <c r="L52" s="3" t="s">
        <v>34</v>
      </c>
      <c r="M52" s="125">
        <v>0.17499999999999999</v>
      </c>
      <c r="N52" s="3" t="s">
        <v>112</v>
      </c>
      <c r="O52" s="141">
        <v>0</v>
      </c>
      <c r="P52" s="142">
        <v>4.3270000000000003E-2</v>
      </c>
      <c r="Q52" s="3"/>
      <c r="R52" s="125">
        <v>3600000</v>
      </c>
      <c r="S52" s="143">
        <v>1</v>
      </c>
      <c r="T52" s="145">
        <v>99.26</v>
      </c>
      <c r="U52" s="125">
        <v>3573.36</v>
      </c>
      <c r="V52" s="3"/>
      <c r="W52" s="3" t="s">
        <v>36</v>
      </c>
      <c r="X52" s="142">
        <v>1.2E-4</v>
      </c>
      <c r="Y52" s="142">
        <v>0.31895573718838499</v>
      </c>
      <c r="Z52" s="142">
        <v>4.9972419438143602E-2</v>
      </c>
    </row>
    <row r="53" spans="1:26">
      <c r="A53" s="3">
        <v>382</v>
      </c>
      <c r="B53" s="3">
        <v>9479</v>
      </c>
      <c r="C53" s="3" t="s">
        <v>26</v>
      </c>
      <c r="D53" s="3" t="s">
        <v>87</v>
      </c>
      <c r="E53" s="3" t="s">
        <v>88</v>
      </c>
      <c r="F53" s="3" t="s">
        <v>29</v>
      </c>
      <c r="G53" s="3" t="s">
        <v>30</v>
      </c>
      <c r="H53" s="3" t="s">
        <v>30</v>
      </c>
      <c r="I53" s="3" t="s">
        <v>31</v>
      </c>
      <c r="J53" s="3" t="s">
        <v>32</v>
      </c>
      <c r="K53" s="3" t="s">
        <v>33</v>
      </c>
      <c r="L53" s="3" t="s">
        <v>34</v>
      </c>
      <c r="M53" s="125">
        <v>0.34799999999999998</v>
      </c>
      <c r="N53" s="3" t="s">
        <v>89</v>
      </c>
      <c r="O53" s="141">
        <v>0</v>
      </c>
      <c r="P53" s="142">
        <v>4.2869999999999998E-2</v>
      </c>
      <c r="Q53" s="3"/>
      <c r="R53" s="125">
        <v>3700000</v>
      </c>
      <c r="S53" s="143">
        <v>1</v>
      </c>
      <c r="T53" s="145">
        <v>98.55</v>
      </c>
      <c r="U53" s="125">
        <v>3646.35</v>
      </c>
      <c r="V53" s="3"/>
      <c r="W53" s="3" t="s">
        <v>36</v>
      </c>
      <c r="X53" s="142">
        <v>3.0800000000000001E-4</v>
      </c>
      <c r="Y53" s="142">
        <v>0.32547077604743602</v>
      </c>
      <c r="Z53" s="142">
        <v>5.0993163750160803E-2</v>
      </c>
    </row>
    <row r="54" spans="1:26">
      <c r="A54" s="3">
        <v>382</v>
      </c>
      <c r="B54" s="3">
        <v>11414</v>
      </c>
      <c r="C54" s="3" t="s">
        <v>26</v>
      </c>
      <c r="D54" s="3" t="s">
        <v>27</v>
      </c>
      <c r="E54" s="3" t="s">
        <v>28</v>
      </c>
      <c r="F54" s="3" t="s">
        <v>29</v>
      </c>
      <c r="G54" s="3" t="s">
        <v>30</v>
      </c>
      <c r="H54" s="3" t="s">
        <v>30</v>
      </c>
      <c r="I54" s="3" t="s">
        <v>31</v>
      </c>
      <c r="J54" s="3" t="s">
        <v>32</v>
      </c>
      <c r="K54" s="3" t="s">
        <v>33</v>
      </c>
      <c r="L54" s="3" t="s">
        <v>34</v>
      </c>
      <c r="M54" s="125">
        <v>0.42499999999999999</v>
      </c>
      <c r="N54" s="3" t="s">
        <v>35</v>
      </c>
      <c r="O54" s="141">
        <v>0</v>
      </c>
      <c r="P54" s="142">
        <v>4.2700000000000002E-2</v>
      </c>
      <c r="Q54" s="3"/>
      <c r="R54" s="125">
        <v>480000</v>
      </c>
      <c r="S54" s="143">
        <v>1</v>
      </c>
      <c r="T54" s="145">
        <v>98.24</v>
      </c>
      <c r="U54" s="125">
        <v>471.55200000000002</v>
      </c>
      <c r="V54" s="3"/>
      <c r="W54" s="3" t="s">
        <v>36</v>
      </c>
      <c r="X54" s="142">
        <v>4.0000000000000003E-5</v>
      </c>
      <c r="Y54" s="142">
        <v>4.5264484642284802E-2</v>
      </c>
      <c r="Z54" s="142">
        <v>3.0601591591458199E-2</v>
      </c>
    </row>
    <row r="55" spans="1:26">
      <c r="A55" s="3">
        <v>382</v>
      </c>
      <c r="B55" s="3">
        <v>11414</v>
      </c>
      <c r="C55" s="3" t="s">
        <v>26</v>
      </c>
      <c r="D55" s="3" t="s">
        <v>37</v>
      </c>
      <c r="E55" s="3" t="s">
        <v>38</v>
      </c>
      <c r="F55" s="3" t="s">
        <v>29</v>
      </c>
      <c r="G55" s="3" t="s">
        <v>30</v>
      </c>
      <c r="H55" s="3" t="s">
        <v>30</v>
      </c>
      <c r="I55" s="3" t="s">
        <v>31</v>
      </c>
      <c r="J55" s="3" t="s">
        <v>32</v>
      </c>
      <c r="K55" s="3" t="s">
        <v>33</v>
      </c>
      <c r="L55" s="3" t="s">
        <v>34</v>
      </c>
      <c r="M55" s="125">
        <v>0.50700000000000001</v>
      </c>
      <c r="N55" s="3" t="s">
        <v>39</v>
      </c>
      <c r="O55" s="141">
        <v>0</v>
      </c>
      <c r="P55" s="142">
        <v>4.2759999999999999E-2</v>
      </c>
      <c r="Q55" s="3"/>
      <c r="R55" s="125">
        <v>35000</v>
      </c>
      <c r="S55" s="143">
        <v>1</v>
      </c>
      <c r="T55" s="145">
        <v>97.9</v>
      </c>
      <c r="U55" s="125">
        <v>34.265000000000001</v>
      </c>
      <c r="V55" s="3"/>
      <c r="W55" s="3" t="s">
        <v>36</v>
      </c>
      <c r="X55" s="142">
        <v>3.0000000000000001E-6</v>
      </c>
      <c r="Y55" s="142">
        <v>3.2891124759684802E-3</v>
      </c>
      <c r="Z55" s="142">
        <v>2.2236434918764302E-3</v>
      </c>
    </row>
    <row r="56" spans="1:26">
      <c r="A56" s="3">
        <v>382</v>
      </c>
      <c r="B56" s="3">
        <v>11414</v>
      </c>
      <c r="C56" s="3" t="s">
        <v>26</v>
      </c>
      <c r="D56" s="3" t="s">
        <v>113</v>
      </c>
      <c r="E56" s="3" t="s">
        <v>114</v>
      </c>
      <c r="F56" s="3" t="s">
        <v>29</v>
      </c>
      <c r="G56" s="3" t="s">
        <v>30</v>
      </c>
      <c r="H56" s="3" t="s">
        <v>30</v>
      </c>
      <c r="I56" s="3" t="s">
        <v>31</v>
      </c>
      <c r="J56" s="3" t="s">
        <v>32</v>
      </c>
      <c r="K56" s="3" t="s">
        <v>33</v>
      </c>
      <c r="L56" s="3" t="s">
        <v>34</v>
      </c>
      <c r="M56" s="125">
        <v>0.59699999999999998</v>
      </c>
      <c r="N56" s="3" t="s">
        <v>115</v>
      </c>
      <c r="O56" s="141">
        <v>0</v>
      </c>
      <c r="P56" s="142">
        <v>4.258E-2</v>
      </c>
      <c r="Q56" s="3"/>
      <c r="R56" s="125">
        <v>330000</v>
      </c>
      <c r="S56" s="143">
        <v>1</v>
      </c>
      <c r="T56" s="145">
        <v>97.54</v>
      </c>
      <c r="U56" s="125">
        <v>321.88200000000001</v>
      </c>
      <c r="V56" s="3"/>
      <c r="W56" s="3" t="s">
        <v>36</v>
      </c>
      <c r="X56" s="142">
        <v>2.4000000000000001E-5</v>
      </c>
      <c r="Y56" s="142">
        <v>3.08975952718426E-2</v>
      </c>
      <c r="Z56" s="142">
        <v>2.0888685669113401E-2</v>
      </c>
    </row>
    <row r="57" spans="1:26">
      <c r="A57" s="3">
        <v>382</v>
      </c>
      <c r="B57" s="3">
        <v>11414</v>
      </c>
      <c r="C57" s="3" t="s">
        <v>26</v>
      </c>
      <c r="D57" s="3" t="s">
        <v>40</v>
      </c>
      <c r="E57" s="3" t="s">
        <v>41</v>
      </c>
      <c r="F57" s="3" t="s">
        <v>29</v>
      </c>
      <c r="G57" s="3" t="s">
        <v>30</v>
      </c>
      <c r="H57" s="3" t="s">
        <v>30</v>
      </c>
      <c r="I57" s="3" t="s">
        <v>31</v>
      </c>
      <c r="J57" s="3" t="s">
        <v>32</v>
      </c>
      <c r="K57" s="3" t="s">
        <v>33</v>
      </c>
      <c r="L57" s="3" t="s">
        <v>34</v>
      </c>
      <c r="M57" s="125">
        <v>9.9000000000000005E-2</v>
      </c>
      <c r="N57" s="3" t="s">
        <v>42</v>
      </c>
      <c r="O57" s="141">
        <v>0</v>
      </c>
      <c r="P57" s="142">
        <v>4.2540000000000001E-2</v>
      </c>
      <c r="Q57" s="3"/>
      <c r="R57" s="125">
        <v>840000</v>
      </c>
      <c r="S57" s="143">
        <v>1</v>
      </c>
      <c r="T57" s="145">
        <v>99.59</v>
      </c>
      <c r="U57" s="125">
        <v>836.55600000000004</v>
      </c>
      <c r="V57" s="3"/>
      <c r="W57" s="3" t="s">
        <v>36</v>
      </c>
      <c r="X57" s="142">
        <v>2.3E-5</v>
      </c>
      <c r="Y57" s="142">
        <v>8.0301379729936895E-2</v>
      </c>
      <c r="Z57" s="142">
        <v>5.4288699985121203E-2</v>
      </c>
    </row>
    <row r="58" spans="1:26">
      <c r="A58" s="3">
        <v>382</v>
      </c>
      <c r="B58" s="3">
        <v>11414</v>
      </c>
      <c r="C58" s="3" t="s">
        <v>26</v>
      </c>
      <c r="D58" s="3" t="s">
        <v>110</v>
      </c>
      <c r="E58" s="3" t="s">
        <v>111</v>
      </c>
      <c r="F58" s="3" t="s">
        <v>29</v>
      </c>
      <c r="G58" s="3" t="s">
        <v>30</v>
      </c>
      <c r="H58" s="3" t="s">
        <v>30</v>
      </c>
      <c r="I58" s="3" t="s">
        <v>31</v>
      </c>
      <c r="J58" s="3" t="s">
        <v>32</v>
      </c>
      <c r="K58" s="3" t="s">
        <v>33</v>
      </c>
      <c r="L58" s="3" t="s">
        <v>34</v>
      </c>
      <c r="M58" s="125">
        <v>0.17499999999999999</v>
      </c>
      <c r="N58" s="3" t="s">
        <v>112</v>
      </c>
      <c r="O58" s="141">
        <v>0</v>
      </c>
      <c r="P58" s="142">
        <v>4.3270000000000003E-2</v>
      </c>
      <c r="Q58" s="3"/>
      <c r="R58" s="125">
        <v>380000</v>
      </c>
      <c r="S58" s="143">
        <v>1</v>
      </c>
      <c r="T58" s="145">
        <v>99.26</v>
      </c>
      <c r="U58" s="125">
        <v>377.18799999999999</v>
      </c>
      <c r="V58" s="3"/>
      <c r="W58" s="3" t="s">
        <v>36</v>
      </c>
      <c r="X58" s="142">
        <v>1.2999999999999999E-5</v>
      </c>
      <c r="Y58" s="142">
        <v>3.6206442626166603E-2</v>
      </c>
      <c r="Z58" s="142">
        <v>2.44777948756424E-2</v>
      </c>
    </row>
    <row r="59" spans="1:26">
      <c r="A59" s="3">
        <v>382</v>
      </c>
      <c r="B59" s="3">
        <v>11414</v>
      </c>
      <c r="C59" s="3" t="s">
        <v>43</v>
      </c>
      <c r="D59" s="3" t="s">
        <v>44</v>
      </c>
      <c r="E59" s="3" t="s">
        <v>45</v>
      </c>
      <c r="F59" s="3" t="s">
        <v>46</v>
      </c>
      <c r="G59" s="3" t="s">
        <v>30</v>
      </c>
      <c r="H59" s="3" t="s">
        <v>30</v>
      </c>
      <c r="I59" s="3" t="s">
        <v>47</v>
      </c>
      <c r="J59" s="3" t="s">
        <v>32</v>
      </c>
      <c r="K59" s="3" t="s">
        <v>33</v>
      </c>
      <c r="L59" s="3" t="s">
        <v>34</v>
      </c>
      <c r="M59" s="125">
        <v>2.1419999999999999</v>
      </c>
      <c r="N59" s="3" t="s">
        <v>48</v>
      </c>
      <c r="O59" s="141">
        <v>7.4999999999999997E-3</v>
      </c>
      <c r="P59" s="142">
        <v>1.9449999999999999E-2</v>
      </c>
      <c r="Q59" s="3"/>
      <c r="R59" s="125">
        <v>794000</v>
      </c>
      <c r="S59" s="143">
        <v>1</v>
      </c>
      <c r="T59" s="145">
        <v>114.63</v>
      </c>
      <c r="U59" s="125">
        <v>910.16200000000003</v>
      </c>
      <c r="V59" s="3"/>
      <c r="W59" s="3" t="s">
        <v>36</v>
      </c>
      <c r="X59" s="142">
        <v>3.3000000000000003E-5</v>
      </c>
      <c r="Y59" s="142">
        <v>8.7366871360715595E-2</v>
      </c>
      <c r="Z59" s="142">
        <v>5.9065409385143298E-2</v>
      </c>
    </row>
    <row r="60" spans="1:26">
      <c r="A60" s="3">
        <v>382</v>
      </c>
      <c r="B60" s="3">
        <v>11414</v>
      </c>
      <c r="C60" s="3" t="s">
        <v>43</v>
      </c>
      <c r="D60" s="3" t="s">
        <v>116</v>
      </c>
      <c r="E60" s="3" t="s">
        <v>117</v>
      </c>
      <c r="F60" s="3" t="s">
        <v>46</v>
      </c>
      <c r="G60" s="3" t="s">
        <v>30</v>
      </c>
      <c r="H60" s="3" t="s">
        <v>30</v>
      </c>
      <c r="I60" s="3" t="s">
        <v>47</v>
      </c>
      <c r="J60" s="3" t="s">
        <v>32</v>
      </c>
      <c r="K60" s="3" t="s">
        <v>33</v>
      </c>
      <c r="L60" s="3" t="s">
        <v>34</v>
      </c>
      <c r="M60" s="125">
        <v>17.922999999999998</v>
      </c>
      <c r="N60" s="3" t="s">
        <v>118</v>
      </c>
      <c r="O60" s="141">
        <v>0.01</v>
      </c>
      <c r="P60" s="142">
        <v>2.206E-2</v>
      </c>
      <c r="Q60" s="3"/>
      <c r="R60" s="125">
        <v>25000</v>
      </c>
      <c r="S60" s="143">
        <v>1</v>
      </c>
      <c r="T60" s="145">
        <v>94.86</v>
      </c>
      <c r="U60" s="125">
        <v>23.715</v>
      </c>
      <c r="V60" s="3"/>
      <c r="W60" s="3" t="s">
        <v>36</v>
      </c>
      <c r="X60" s="142">
        <v>9.9999999999999995E-7</v>
      </c>
      <c r="Y60" s="142">
        <v>2.2764133187681999E-3</v>
      </c>
      <c r="Z60" s="142">
        <v>1.5389962180023199E-3</v>
      </c>
    </row>
    <row r="61" spans="1:26">
      <c r="A61" s="3">
        <v>382</v>
      </c>
      <c r="B61" s="3">
        <v>11414</v>
      </c>
      <c r="C61" s="3" t="s">
        <v>43</v>
      </c>
      <c r="D61" s="3" t="s">
        <v>119</v>
      </c>
      <c r="E61" s="3" t="s">
        <v>120</v>
      </c>
      <c r="F61" s="3" t="s">
        <v>46</v>
      </c>
      <c r="G61" s="3" t="s">
        <v>30</v>
      </c>
      <c r="H61" s="3" t="s">
        <v>30</v>
      </c>
      <c r="I61" s="3" t="s">
        <v>47</v>
      </c>
      <c r="J61" s="3" t="s">
        <v>32</v>
      </c>
      <c r="K61" s="3" t="s">
        <v>33</v>
      </c>
      <c r="L61" s="3" t="s">
        <v>34</v>
      </c>
      <c r="M61" s="125">
        <v>0.58399999999999996</v>
      </c>
      <c r="N61" s="3" t="s">
        <v>121</v>
      </c>
      <c r="O61" s="141">
        <v>7.4999999999999997E-3</v>
      </c>
      <c r="P61" s="142">
        <v>1.2359999999999999E-2</v>
      </c>
      <c r="Q61" s="3"/>
      <c r="R61" s="125">
        <v>378000</v>
      </c>
      <c r="S61" s="143">
        <v>1</v>
      </c>
      <c r="T61" s="145">
        <v>116.16</v>
      </c>
      <c r="U61" s="125">
        <v>439.08499999999998</v>
      </c>
      <c r="V61" s="3"/>
      <c r="W61" s="3" t="s">
        <v>36</v>
      </c>
      <c r="X61" s="142">
        <v>1.7E-5</v>
      </c>
      <c r="Y61" s="142">
        <v>4.2147943781938597E-2</v>
      </c>
      <c r="Z61" s="142">
        <v>2.8494617186688002E-2</v>
      </c>
    </row>
    <row r="62" spans="1:26">
      <c r="A62" s="3">
        <v>382</v>
      </c>
      <c r="B62" s="3">
        <v>11414</v>
      </c>
      <c r="C62" s="3" t="s">
        <v>43</v>
      </c>
      <c r="D62" s="3" t="s">
        <v>49</v>
      </c>
      <c r="E62" s="3" t="s">
        <v>50</v>
      </c>
      <c r="F62" s="3" t="s">
        <v>46</v>
      </c>
      <c r="G62" s="3" t="s">
        <v>30</v>
      </c>
      <c r="H62" s="3" t="s">
        <v>30</v>
      </c>
      <c r="I62" s="3" t="s">
        <v>47</v>
      </c>
      <c r="J62" s="3" t="s">
        <v>32</v>
      </c>
      <c r="K62" s="3" t="s">
        <v>33</v>
      </c>
      <c r="L62" s="3" t="s">
        <v>34</v>
      </c>
      <c r="M62" s="125">
        <v>6.6459999999999999</v>
      </c>
      <c r="N62" s="3" t="s">
        <v>51</v>
      </c>
      <c r="O62" s="141">
        <v>1E-3</v>
      </c>
      <c r="P62" s="142">
        <v>2.0310000000000002E-2</v>
      </c>
      <c r="Q62" s="3"/>
      <c r="R62" s="125">
        <v>29000</v>
      </c>
      <c r="S62" s="143">
        <v>1</v>
      </c>
      <c r="T62" s="145">
        <v>101.91</v>
      </c>
      <c r="U62" s="125">
        <v>29.553999999999998</v>
      </c>
      <c r="V62" s="3"/>
      <c r="W62" s="3" t="s">
        <v>36</v>
      </c>
      <c r="X62" s="142">
        <v>9.9999999999999995E-7</v>
      </c>
      <c r="Y62" s="142">
        <v>2.8368919072968E-3</v>
      </c>
      <c r="Z62" s="142">
        <v>1.91791441396664E-3</v>
      </c>
    </row>
    <row r="63" spans="1:26">
      <c r="A63" s="3">
        <v>382</v>
      </c>
      <c r="B63" s="3">
        <v>11414</v>
      </c>
      <c r="C63" s="3" t="s">
        <v>52</v>
      </c>
      <c r="D63" s="3" t="s">
        <v>53</v>
      </c>
      <c r="E63" s="3" t="s">
        <v>54</v>
      </c>
      <c r="F63" s="3" t="s">
        <v>55</v>
      </c>
      <c r="G63" s="3" t="s">
        <v>30</v>
      </c>
      <c r="H63" s="3" t="s">
        <v>30</v>
      </c>
      <c r="I63" s="3" t="s">
        <v>47</v>
      </c>
      <c r="J63" s="3" t="s">
        <v>32</v>
      </c>
      <c r="K63" s="3" t="s">
        <v>33</v>
      </c>
      <c r="L63" s="3" t="s">
        <v>34</v>
      </c>
      <c r="M63" s="125">
        <v>3.36</v>
      </c>
      <c r="N63" s="3" t="s">
        <v>56</v>
      </c>
      <c r="O63" s="141">
        <v>2.2499999999999999E-2</v>
      </c>
      <c r="P63" s="142">
        <v>4.2610000000000002E-2</v>
      </c>
      <c r="Q63" s="3"/>
      <c r="R63" s="125">
        <v>456000</v>
      </c>
      <c r="S63" s="143">
        <v>1</v>
      </c>
      <c r="T63" s="145">
        <v>94.71</v>
      </c>
      <c r="U63" s="125">
        <v>431.87799999999999</v>
      </c>
      <c r="V63" s="3"/>
      <c r="W63" s="3" t="s">
        <v>36</v>
      </c>
      <c r="X63" s="142">
        <v>1.2999999999999999E-5</v>
      </c>
      <c r="Y63" s="142">
        <v>4.1456121472386601E-2</v>
      </c>
      <c r="Z63" s="142">
        <v>2.8026902510643902E-2</v>
      </c>
    </row>
    <row r="64" spans="1:26">
      <c r="A64" s="3">
        <v>382</v>
      </c>
      <c r="B64" s="3">
        <v>11414</v>
      </c>
      <c r="C64" s="3" t="s">
        <v>52</v>
      </c>
      <c r="D64" s="3" t="s">
        <v>57</v>
      </c>
      <c r="E64" s="3" t="s">
        <v>58</v>
      </c>
      <c r="F64" s="3" t="s">
        <v>55</v>
      </c>
      <c r="G64" s="3" t="s">
        <v>30</v>
      </c>
      <c r="H64" s="3" t="s">
        <v>30</v>
      </c>
      <c r="I64" s="3" t="s">
        <v>47</v>
      </c>
      <c r="J64" s="3" t="s">
        <v>32</v>
      </c>
      <c r="K64" s="3" t="s">
        <v>33</v>
      </c>
      <c r="L64" s="3" t="s">
        <v>34</v>
      </c>
      <c r="M64" s="125">
        <v>0.91</v>
      </c>
      <c r="N64" s="3" t="s">
        <v>59</v>
      </c>
      <c r="O64" s="141">
        <v>5.0000000000000001E-3</v>
      </c>
      <c r="P64" s="142">
        <v>4.1610000000000001E-2</v>
      </c>
      <c r="Q64" s="3"/>
      <c r="R64" s="125">
        <v>1369000</v>
      </c>
      <c r="S64" s="143">
        <v>1</v>
      </c>
      <c r="T64" s="145">
        <v>96.84</v>
      </c>
      <c r="U64" s="125">
        <v>1325.74</v>
      </c>
      <c r="V64" s="3"/>
      <c r="W64" s="3" t="s">
        <v>36</v>
      </c>
      <c r="X64" s="142">
        <v>4.8999999999999998E-5</v>
      </c>
      <c r="Y64" s="142">
        <v>0.127258329439529</v>
      </c>
      <c r="Z64" s="142">
        <v>8.60345026546874E-2</v>
      </c>
    </row>
    <row r="65" spans="1:26">
      <c r="A65" s="3">
        <v>382</v>
      </c>
      <c r="B65" s="3">
        <v>11414</v>
      </c>
      <c r="C65" s="3" t="s">
        <v>52</v>
      </c>
      <c r="D65" s="3" t="s">
        <v>60</v>
      </c>
      <c r="E65" s="3" t="s">
        <v>61</v>
      </c>
      <c r="F65" s="3" t="s">
        <v>55</v>
      </c>
      <c r="G65" s="3" t="s">
        <v>30</v>
      </c>
      <c r="H65" s="3" t="s">
        <v>30</v>
      </c>
      <c r="I65" s="3" t="s">
        <v>47</v>
      </c>
      <c r="J65" s="3" t="s">
        <v>32</v>
      </c>
      <c r="K65" s="3" t="s">
        <v>33</v>
      </c>
      <c r="L65" s="3" t="s">
        <v>34</v>
      </c>
      <c r="M65" s="125">
        <v>8.3979999999999997</v>
      </c>
      <c r="N65" s="3" t="s">
        <v>62</v>
      </c>
      <c r="O65" s="141">
        <v>0.04</v>
      </c>
      <c r="P65" s="142">
        <v>4.4850000000000001E-2</v>
      </c>
      <c r="Q65" s="3"/>
      <c r="R65" s="125">
        <v>134000</v>
      </c>
      <c r="S65" s="143">
        <v>1</v>
      </c>
      <c r="T65" s="145">
        <v>96.17</v>
      </c>
      <c r="U65" s="125">
        <v>128.86799999999999</v>
      </c>
      <c r="V65" s="3"/>
      <c r="W65" s="3" t="s">
        <v>36</v>
      </c>
      <c r="X65" s="142">
        <v>5.0000000000000004E-6</v>
      </c>
      <c r="Y65" s="142">
        <v>1.2370077009502701E-2</v>
      </c>
      <c r="Z65" s="142">
        <v>8.3629372474079595E-3</v>
      </c>
    </row>
    <row r="66" spans="1:26">
      <c r="A66" s="3">
        <v>382</v>
      </c>
      <c r="B66" s="3">
        <v>11414</v>
      </c>
      <c r="C66" s="3" t="s">
        <v>52</v>
      </c>
      <c r="D66" s="3" t="s">
        <v>63</v>
      </c>
      <c r="E66" s="3" t="s">
        <v>64</v>
      </c>
      <c r="F66" s="3" t="s">
        <v>55</v>
      </c>
      <c r="G66" s="3" t="s">
        <v>30</v>
      </c>
      <c r="H66" s="3" t="s">
        <v>30</v>
      </c>
      <c r="I66" s="3" t="s">
        <v>47</v>
      </c>
      <c r="J66" s="3" t="s">
        <v>32</v>
      </c>
      <c r="K66" s="3" t="s">
        <v>33</v>
      </c>
      <c r="L66" s="3" t="s">
        <v>34</v>
      </c>
      <c r="M66" s="125">
        <v>14.74</v>
      </c>
      <c r="N66" s="3" t="s">
        <v>65</v>
      </c>
      <c r="O66" s="141">
        <v>3.7499999999999999E-2</v>
      </c>
      <c r="P66" s="142">
        <v>4.8599999999999997E-2</v>
      </c>
      <c r="Q66" s="3"/>
      <c r="R66" s="125">
        <v>60400</v>
      </c>
      <c r="S66" s="143">
        <v>1</v>
      </c>
      <c r="T66" s="145">
        <v>85.21</v>
      </c>
      <c r="U66" s="125">
        <v>51.466999999999999</v>
      </c>
      <c r="V66" s="3"/>
      <c r="W66" s="3" t="s">
        <v>36</v>
      </c>
      <c r="X66" s="142">
        <v>1.9999999999999999E-6</v>
      </c>
      <c r="Y66" s="142">
        <v>4.9403246911622302E-3</v>
      </c>
      <c r="Z66" s="142">
        <v>3.3399650901341201E-3</v>
      </c>
    </row>
    <row r="67" spans="1:26">
      <c r="A67" s="3">
        <v>382</v>
      </c>
      <c r="B67" s="3">
        <v>11414</v>
      </c>
      <c r="C67" s="3" t="s">
        <v>52</v>
      </c>
      <c r="D67" s="3" t="s">
        <v>122</v>
      </c>
      <c r="E67" s="3" t="s">
        <v>123</v>
      </c>
      <c r="F67" s="3" t="s">
        <v>55</v>
      </c>
      <c r="G67" s="3" t="s">
        <v>30</v>
      </c>
      <c r="H67" s="3" t="s">
        <v>30</v>
      </c>
      <c r="I67" s="3" t="s">
        <v>47</v>
      </c>
      <c r="J67" s="3" t="s">
        <v>32</v>
      </c>
      <c r="K67" s="3" t="s">
        <v>33</v>
      </c>
      <c r="L67" s="3" t="s">
        <v>34</v>
      </c>
      <c r="M67" s="125">
        <v>1.5229999999999999</v>
      </c>
      <c r="N67" s="3" t="s">
        <v>124</v>
      </c>
      <c r="O67" s="141">
        <v>6.25E-2</v>
      </c>
      <c r="P67" s="142">
        <v>4.1709999999999997E-2</v>
      </c>
      <c r="Q67" s="3"/>
      <c r="R67" s="125">
        <v>256000</v>
      </c>
      <c r="S67" s="143">
        <v>1</v>
      </c>
      <c r="T67" s="145">
        <v>105.69</v>
      </c>
      <c r="U67" s="125">
        <v>270.56599999999997</v>
      </c>
      <c r="V67" s="3"/>
      <c r="W67" s="3" t="s">
        <v>36</v>
      </c>
      <c r="X67" s="142">
        <v>1.7E-5</v>
      </c>
      <c r="Y67" s="142">
        <v>2.5971788175043899E-2</v>
      </c>
      <c r="Z67" s="142">
        <v>1.75585353707992E-2</v>
      </c>
    </row>
    <row r="68" spans="1:26">
      <c r="A68" s="3">
        <v>382</v>
      </c>
      <c r="B68" s="3">
        <v>11414</v>
      </c>
      <c r="C68" s="3" t="s">
        <v>52</v>
      </c>
      <c r="D68" s="3" t="s">
        <v>66</v>
      </c>
      <c r="E68" s="3" t="s">
        <v>67</v>
      </c>
      <c r="F68" s="3" t="s">
        <v>55</v>
      </c>
      <c r="G68" s="3" t="s">
        <v>30</v>
      </c>
      <c r="H68" s="3" t="s">
        <v>30</v>
      </c>
      <c r="I68" s="3" t="s">
        <v>47</v>
      </c>
      <c r="J68" s="3" t="s">
        <v>32</v>
      </c>
      <c r="K68" s="3" t="s">
        <v>33</v>
      </c>
      <c r="L68" s="3" t="s">
        <v>34</v>
      </c>
      <c r="M68" s="125">
        <v>11.552</v>
      </c>
      <c r="N68" s="3" t="s">
        <v>68</v>
      </c>
      <c r="O68" s="141">
        <v>5.5E-2</v>
      </c>
      <c r="P68" s="142">
        <v>4.7300000000000002E-2</v>
      </c>
      <c r="Q68" s="3"/>
      <c r="R68" s="125">
        <v>50000</v>
      </c>
      <c r="S68" s="143">
        <v>1</v>
      </c>
      <c r="T68" s="145">
        <v>109.69</v>
      </c>
      <c r="U68" s="125">
        <v>54.844999999999999</v>
      </c>
      <c r="V68" s="3"/>
      <c r="W68" s="3" t="s">
        <v>36</v>
      </c>
      <c r="X68" s="142">
        <v>1.9999999999999999E-6</v>
      </c>
      <c r="Y68" s="142">
        <v>5.2645957608198303E-3</v>
      </c>
      <c r="Z68" s="142">
        <v>3.5591923920024202E-3</v>
      </c>
    </row>
    <row r="69" spans="1:26">
      <c r="A69" s="3">
        <v>382</v>
      </c>
      <c r="B69" s="3">
        <v>11414</v>
      </c>
      <c r="C69" s="3" t="s">
        <v>43</v>
      </c>
      <c r="D69" s="3" t="s">
        <v>69</v>
      </c>
      <c r="E69" s="3" t="s">
        <v>70</v>
      </c>
      <c r="F69" s="3" t="s">
        <v>46</v>
      </c>
      <c r="G69" s="3" t="s">
        <v>30</v>
      </c>
      <c r="H69" s="3" t="s">
        <v>30</v>
      </c>
      <c r="I69" s="3" t="s">
        <v>47</v>
      </c>
      <c r="J69" s="3" t="s">
        <v>32</v>
      </c>
      <c r="K69" s="3" t="s">
        <v>33</v>
      </c>
      <c r="L69" s="3" t="s">
        <v>34</v>
      </c>
      <c r="M69" s="125">
        <v>4.1150000000000002</v>
      </c>
      <c r="N69" s="3" t="s">
        <v>71</v>
      </c>
      <c r="O69" s="141">
        <v>5.0000000000000001E-3</v>
      </c>
      <c r="P69" s="142">
        <v>1.9689999999999999E-2</v>
      </c>
      <c r="Q69" s="3"/>
      <c r="R69" s="125">
        <v>605000</v>
      </c>
      <c r="S69" s="143">
        <v>1</v>
      </c>
      <c r="T69" s="145">
        <v>109.42</v>
      </c>
      <c r="U69" s="125">
        <v>661.99099999999999</v>
      </c>
      <c r="V69" s="3"/>
      <c r="W69" s="3" t="s">
        <v>36</v>
      </c>
      <c r="X69" s="142">
        <v>2.1999999999999999E-5</v>
      </c>
      <c r="Y69" s="142">
        <v>6.3544808319826396E-2</v>
      </c>
      <c r="Z69" s="142">
        <v>4.29602211828621E-2</v>
      </c>
    </row>
    <row r="70" spans="1:26">
      <c r="A70" s="3">
        <v>382</v>
      </c>
      <c r="B70" s="3">
        <v>11414</v>
      </c>
      <c r="C70" s="3" t="s">
        <v>43</v>
      </c>
      <c r="D70" s="3" t="s">
        <v>72</v>
      </c>
      <c r="E70" s="3" t="s">
        <v>73</v>
      </c>
      <c r="F70" s="3" t="s">
        <v>46</v>
      </c>
      <c r="G70" s="3" t="s">
        <v>30</v>
      </c>
      <c r="H70" s="3" t="s">
        <v>30</v>
      </c>
      <c r="I70" s="3" t="s">
        <v>47</v>
      </c>
      <c r="J70" s="3" t="s">
        <v>32</v>
      </c>
      <c r="K70" s="3" t="s">
        <v>33</v>
      </c>
      <c r="L70" s="3" t="s">
        <v>34</v>
      </c>
      <c r="M70" s="125">
        <v>1.331</v>
      </c>
      <c r="N70" s="3" t="s">
        <v>74</v>
      </c>
      <c r="O70" s="141">
        <v>1E-3</v>
      </c>
      <c r="P70" s="142">
        <v>1.9599999999999999E-2</v>
      </c>
      <c r="Q70" s="3"/>
      <c r="R70" s="125">
        <v>983000</v>
      </c>
      <c r="S70" s="143">
        <v>1</v>
      </c>
      <c r="T70" s="145">
        <v>112.95</v>
      </c>
      <c r="U70" s="125">
        <v>1110.299</v>
      </c>
      <c r="V70" s="3"/>
      <c r="W70" s="3" t="s">
        <v>36</v>
      </c>
      <c r="X70" s="142">
        <v>4.8999999999999998E-5</v>
      </c>
      <c r="Y70" s="142">
        <v>0.106578043146041</v>
      </c>
      <c r="Z70" s="142">
        <v>7.2053349877868503E-2</v>
      </c>
    </row>
    <row r="71" spans="1:26">
      <c r="A71" s="3">
        <v>382</v>
      </c>
      <c r="B71" s="3">
        <v>11414</v>
      </c>
      <c r="C71" s="3" t="s">
        <v>43</v>
      </c>
      <c r="D71" s="3" t="s">
        <v>75</v>
      </c>
      <c r="E71" s="3" t="s">
        <v>76</v>
      </c>
      <c r="F71" s="3" t="s">
        <v>46</v>
      </c>
      <c r="G71" s="3" t="s">
        <v>30</v>
      </c>
      <c r="H71" s="3" t="s">
        <v>30</v>
      </c>
      <c r="I71" s="3" t="s">
        <v>47</v>
      </c>
      <c r="J71" s="3" t="s">
        <v>32</v>
      </c>
      <c r="K71" s="3" t="s">
        <v>33</v>
      </c>
      <c r="L71" s="3" t="s">
        <v>34</v>
      </c>
      <c r="M71" s="125">
        <v>3.52</v>
      </c>
      <c r="N71" s="3" t="s">
        <v>77</v>
      </c>
      <c r="O71" s="141">
        <v>1.0999999999999999E-2</v>
      </c>
      <c r="P71" s="142">
        <v>1.9820000000000001E-2</v>
      </c>
      <c r="Q71" s="3"/>
      <c r="R71" s="125">
        <v>595000</v>
      </c>
      <c r="S71" s="143">
        <v>1</v>
      </c>
      <c r="T71" s="145">
        <v>101.93</v>
      </c>
      <c r="U71" s="125">
        <v>606.48400000000004</v>
      </c>
      <c r="V71" s="3"/>
      <c r="W71" s="3" t="s">
        <v>36</v>
      </c>
      <c r="X71" s="142">
        <v>2.0000000000000002E-5</v>
      </c>
      <c r="Y71" s="142">
        <v>5.8216618891551997E-2</v>
      </c>
      <c r="Z71" s="142">
        <v>3.93580355378794E-2</v>
      </c>
    </row>
    <row r="72" spans="1:26">
      <c r="A72" s="3">
        <v>382</v>
      </c>
      <c r="B72" s="3">
        <v>11414</v>
      </c>
      <c r="C72" s="3" t="s">
        <v>52</v>
      </c>
      <c r="D72" s="3" t="s">
        <v>78</v>
      </c>
      <c r="E72" s="3" t="s">
        <v>79</v>
      </c>
      <c r="F72" s="3" t="s">
        <v>55</v>
      </c>
      <c r="G72" s="3" t="s">
        <v>30</v>
      </c>
      <c r="H72" s="3" t="s">
        <v>30</v>
      </c>
      <c r="I72" s="3" t="s">
        <v>47</v>
      </c>
      <c r="J72" s="3" t="s">
        <v>32</v>
      </c>
      <c r="K72" s="3" t="s">
        <v>33</v>
      </c>
      <c r="L72" s="3" t="s">
        <v>34</v>
      </c>
      <c r="M72" s="125">
        <v>4.8920000000000003</v>
      </c>
      <c r="N72" s="3" t="s">
        <v>80</v>
      </c>
      <c r="O72" s="141">
        <v>0.01</v>
      </c>
      <c r="P72" s="142">
        <v>4.2889999999999998E-2</v>
      </c>
      <c r="Q72" s="3"/>
      <c r="R72" s="125">
        <v>380000</v>
      </c>
      <c r="S72" s="143">
        <v>1</v>
      </c>
      <c r="T72" s="145">
        <v>85.48</v>
      </c>
      <c r="U72" s="125">
        <v>324.82400000000001</v>
      </c>
      <c r="V72" s="3"/>
      <c r="W72" s="3" t="s">
        <v>36</v>
      </c>
      <c r="X72" s="142">
        <v>1.0000000000000001E-5</v>
      </c>
      <c r="Y72" s="142">
        <v>3.11799991505614E-2</v>
      </c>
      <c r="Z72" s="142">
        <v>2.10796081600838E-2</v>
      </c>
    </row>
    <row r="73" spans="1:26">
      <c r="A73" s="3">
        <v>382</v>
      </c>
      <c r="B73" s="3">
        <v>11414</v>
      </c>
      <c r="C73" s="3" t="s">
        <v>52</v>
      </c>
      <c r="D73" s="3" t="s">
        <v>81</v>
      </c>
      <c r="E73" s="3" t="s">
        <v>82</v>
      </c>
      <c r="F73" s="3" t="s">
        <v>55</v>
      </c>
      <c r="G73" s="3" t="s">
        <v>30</v>
      </c>
      <c r="H73" s="3" t="s">
        <v>30</v>
      </c>
      <c r="I73" s="3" t="s">
        <v>47</v>
      </c>
      <c r="J73" s="3" t="s">
        <v>32</v>
      </c>
      <c r="K73" s="3" t="s">
        <v>33</v>
      </c>
      <c r="L73" s="3" t="s">
        <v>34</v>
      </c>
      <c r="M73" s="125">
        <v>6.681</v>
      </c>
      <c r="N73" s="3" t="s">
        <v>83</v>
      </c>
      <c r="O73" s="141">
        <v>1.2999999999999999E-2</v>
      </c>
      <c r="P73" s="142">
        <v>4.3790000000000003E-2</v>
      </c>
      <c r="Q73" s="3"/>
      <c r="R73" s="125">
        <v>761000</v>
      </c>
      <c r="S73" s="143">
        <v>1</v>
      </c>
      <c r="T73" s="145">
        <v>82.78</v>
      </c>
      <c r="U73" s="125">
        <v>629.95600000000002</v>
      </c>
      <c r="V73" s="3"/>
      <c r="W73" s="3" t="s">
        <v>36</v>
      </c>
      <c r="X73" s="142">
        <v>2.1999999999999999E-5</v>
      </c>
      <c r="Y73" s="142">
        <v>6.04697353301826E-2</v>
      </c>
      <c r="Z73" s="142">
        <v>4.0881281623808899E-2</v>
      </c>
    </row>
    <row r="74" spans="1:26">
      <c r="A74" s="3">
        <v>382</v>
      </c>
      <c r="B74" s="3">
        <v>11414</v>
      </c>
      <c r="C74" s="3" t="s">
        <v>26</v>
      </c>
      <c r="D74" s="3" t="s">
        <v>125</v>
      </c>
      <c r="E74" s="3" t="s">
        <v>126</v>
      </c>
      <c r="F74" s="3" t="s">
        <v>29</v>
      </c>
      <c r="G74" s="3" t="s">
        <v>30</v>
      </c>
      <c r="H74" s="3" t="s">
        <v>30</v>
      </c>
      <c r="I74" s="3" t="s">
        <v>31</v>
      </c>
      <c r="J74" s="3" t="s">
        <v>32</v>
      </c>
      <c r="K74" s="3" t="s">
        <v>33</v>
      </c>
      <c r="L74" s="3" t="s">
        <v>34</v>
      </c>
      <c r="M74" s="125">
        <v>0.84699999999999998</v>
      </c>
      <c r="N74" s="3" t="s">
        <v>127</v>
      </c>
      <c r="O74" s="141">
        <v>0</v>
      </c>
      <c r="P74" s="142">
        <v>4.2599999999999999E-2</v>
      </c>
      <c r="Q74" s="3"/>
      <c r="R74" s="125">
        <v>630000</v>
      </c>
      <c r="S74" s="143">
        <v>1</v>
      </c>
      <c r="T74" s="145">
        <v>96.53</v>
      </c>
      <c r="U74" s="125">
        <v>608.13900000000001</v>
      </c>
      <c r="V74" s="3"/>
      <c r="W74" s="3" t="s">
        <v>36</v>
      </c>
      <c r="X74" s="142">
        <v>3.4999999999999997E-5</v>
      </c>
      <c r="Y74" s="142">
        <v>5.8375531067357198E-2</v>
      </c>
      <c r="Z74" s="142">
        <v>3.9465469998722899E-2</v>
      </c>
    </row>
    <row r="75" spans="1:26">
      <c r="A75" s="3">
        <v>382</v>
      </c>
      <c r="B75" s="3">
        <v>11414</v>
      </c>
      <c r="C75" s="3" t="s">
        <v>26</v>
      </c>
      <c r="D75" s="3" t="s">
        <v>87</v>
      </c>
      <c r="E75" s="3" t="s">
        <v>88</v>
      </c>
      <c r="F75" s="3" t="s">
        <v>29</v>
      </c>
      <c r="G75" s="3" t="s">
        <v>30</v>
      </c>
      <c r="H75" s="3" t="s">
        <v>30</v>
      </c>
      <c r="I75" s="3" t="s">
        <v>31</v>
      </c>
      <c r="J75" s="3" t="s">
        <v>32</v>
      </c>
      <c r="K75" s="3" t="s">
        <v>33</v>
      </c>
      <c r="L75" s="3" t="s">
        <v>34</v>
      </c>
      <c r="M75" s="125">
        <v>0.34799999999999998</v>
      </c>
      <c r="N75" s="3" t="s">
        <v>89</v>
      </c>
      <c r="O75" s="141">
        <v>0</v>
      </c>
      <c r="P75" s="142">
        <v>4.2869999999999998E-2</v>
      </c>
      <c r="Q75" s="3"/>
      <c r="R75" s="125">
        <v>780000</v>
      </c>
      <c r="S75" s="143">
        <v>1</v>
      </c>
      <c r="T75" s="145">
        <v>98.55</v>
      </c>
      <c r="U75" s="125">
        <v>768.69</v>
      </c>
      <c r="V75" s="3"/>
      <c r="W75" s="3" t="s">
        <v>36</v>
      </c>
      <c r="X75" s="142">
        <v>6.4999999999999994E-5</v>
      </c>
      <c r="Y75" s="142">
        <v>7.3786892431116594E-2</v>
      </c>
      <c r="Z75" s="142">
        <v>4.9884503597562899E-2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157</v>
      </c>
      <c r="N1" s="12" t="s">
        <v>133</v>
      </c>
      <c r="O1" s="12" t="s">
        <v>9</v>
      </c>
      <c r="P1" s="12" t="s">
        <v>10</v>
      </c>
      <c r="Q1" s="12" t="s">
        <v>181</v>
      </c>
      <c r="R1" s="12" t="s">
        <v>11</v>
      </c>
      <c r="S1" s="12" t="s">
        <v>12</v>
      </c>
      <c r="T1" s="12" t="s">
        <v>922</v>
      </c>
      <c r="U1" s="12" t="s">
        <v>13</v>
      </c>
      <c r="V1" s="120" t="s">
        <v>14</v>
      </c>
      <c r="W1" s="12" t="s">
        <v>15</v>
      </c>
      <c r="X1" s="12" t="s">
        <v>423</v>
      </c>
      <c r="Y1" s="12" t="s">
        <v>844</v>
      </c>
      <c r="Z1" s="12" t="s">
        <v>17</v>
      </c>
      <c r="AA1" s="12" t="s">
        <v>18</v>
      </c>
      <c r="AB1" s="12" t="s">
        <v>19</v>
      </c>
      <c r="AC1" s="12" t="s">
        <v>16</v>
      </c>
      <c r="AD1" s="12" t="s">
        <v>20</v>
      </c>
      <c r="AE1" s="12" t="s">
        <v>21</v>
      </c>
      <c r="AF1" s="12" t="s">
        <v>173</v>
      </c>
      <c r="AG1" s="12" t="s">
        <v>22</v>
      </c>
      <c r="AH1" s="12" t="s">
        <v>23</v>
      </c>
      <c r="AI1" s="12" t="s">
        <v>24</v>
      </c>
      <c r="AJ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08"/>
  <sheetViews>
    <sheetView rightToLeft="1" zoomScale="70" zoomScaleNormal="70" workbookViewId="0"/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339</v>
      </c>
      <c r="M1" s="12" t="s">
        <v>8</v>
      </c>
      <c r="N1" s="12" t="s">
        <v>157</v>
      </c>
      <c r="O1" s="12" t="s">
        <v>133</v>
      </c>
      <c r="P1" s="12" t="s">
        <v>9</v>
      </c>
      <c r="Q1" s="12" t="s">
        <v>10</v>
      </c>
      <c r="R1" s="12" t="s">
        <v>181</v>
      </c>
      <c r="S1" s="12" t="s">
        <v>11</v>
      </c>
      <c r="T1" s="12" t="s">
        <v>12</v>
      </c>
      <c r="U1" s="12" t="s">
        <v>13</v>
      </c>
      <c r="V1" s="135" t="s">
        <v>14</v>
      </c>
      <c r="W1" s="139" t="s">
        <v>15</v>
      </c>
      <c r="X1" s="12" t="s">
        <v>423</v>
      </c>
      <c r="Y1" s="12" t="s">
        <v>844</v>
      </c>
      <c r="Z1" s="12" t="s">
        <v>17</v>
      </c>
      <c r="AA1" s="133" t="s">
        <v>18</v>
      </c>
      <c r="AB1" s="144" t="s">
        <v>19</v>
      </c>
      <c r="AC1" s="12" t="s">
        <v>16</v>
      </c>
      <c r="AD1" s="12" t="s">
        <v>20</v>
      </c>
      <c r="AE1" s="12" t="s">
        <v>21</v>
      </c>
      <c r="AF1" s="12" t="s">
        <v>173</v>
      </c>
      <c r="AG1" s="12" t="s">
        <v>22</v>
      </c>
      <c r="AH1" s="139" t="s">
        <v>23</v>
      </c>
      <c r="AI1" s="139" t="s">
        <v>24</v>
      </c>
      <c r="AJ1" s="139" t="s">
        <v>25</v>
      </c>
    </row>
    <row r="2" spans="1:36">
      <c r="A2" s="2">
        <v>382</v>
      </c>
      <c r="B2" s="13">
        <v>382</v>
      </c>
      <c r="C2" s="13" t="s">
        <v>1752</v>
      </c>
      <c r="D2" s="13" t="s">
        <v>1753</v>
      </c>
      <c r="E2" s="11" t="s">
        <v>1325</v>
      </c>
      <c r="F2" s="13" t="s">
        <v>1754</v>
      </c>
      <c r="G2" s="13" t="s">
        <v>1755</v>
      </c>
      <c r="H2" s="11" t="s">
        <v>187</v>
      </c>
      <c r="I2" s="18" t="s">
        <v>768</v>
      </c>
      <c r="J2" s="11" t="s">
        <v>30</v>
      </c>
      <c r="K2" s="11" t="s">
        <v>30</v>
      </c>
      <c r="L2" s="13" t="s">
        <v>340</v>
      </c>
      <c r="M2" s="11" t="s">
        <v>47</v>
      </c>
      <c r="N2" s="13" t="s">
        <v>475</v>
      </c>
      <c r="O2" s="13" t="s">
        <v>147</v>
      </c>
      <c r="P2" s="13" t="s">
        <v>1756</v>
      </c>
      <c r="Q2" s="13" t="s">
        <v>426</v>
      </c>
      <c r="R2" s="13" t="s">
        <v>420</v>
      </c>
      <c r="S2" s="11" t="s">
        <v>34</v>
      </c>
      <c r="T2" s="126">
        <v>2.2669999999999999</v>
      </c>
      <c r="U2" s="13" t="s">
        <v>1757</v>
      </c>
      <c r="V2" s="147">
        <v>2.3400000000000001E-2</v>
      </c>
      <c r="W2" s="148">
        <v>2.7969999999999998E-2</v>
      </c>
      <c r="X2" s="11" t="s">
        <v>425</v>
      </c>
      <c r="Y2" s="11" t="s">
        <v>147</v>
      </c>
      <c r="Z2" s="126">
        <v>4080000.33</v>
      </c>
      <c r="AA2" s="149">
        <v>1</v>
      </c>
      <c r="AB2" s="150">
        <v>114.39</v>
      </c>
      <c r="AC2" s="13"/>
      <c r="AD2" s="126">
        <v>4667.1120000000001</v>
      </c>
      <c r="AE2" s="13"/>
      <c r="AF2" s="18"/>
      <c r="AG2" s="11" t="s">
        <v>36</v>
      </c>
      <c r="AH2" s="140">
        <v>2.503E-3</v>
      </c>
      <c r="AI2" s="140">
        <v>1.58743626287021E-2</v>
      </c>
      <c r="AJ2" s="140">
        <v>1.61425894205213E-3</v>
      </c>
    </row>
    <row r="3" spans="1:36">
      <c r="A3" s="13">
        <v>382</v>
      </c>
      <c r="B3" s="13">
        <v>382</v>
      </c>
      <c r="C3" s="13" t="s">
        <v>1546</v>
      </c>
      <c r="D3" s="13" t="s">
        <v>1547</v>
      </c>
      <c r="E3" s="11" t="s">
        <v>1325</v>
      </c>
      <c r="F3" s="13" t="s">
        <v>1758</v>
      </c>
      <c r="G3" s="13" t="s">
        <v>1759</v>
      </c>
      <c r="H3" s="11" t="s">
        <v>187</v>
      </c>
      <c r="I3" s="13" t="s">
        <v>768</v>
      </c>
      <c r="J3" s="11" t="s">
        <v>30</v>
      </c>
      <c r="K3" s="11" t="s">
        <v>30</v>
      </c>
      <c r="L3" s="13" t="s">
        <v>340</v>
      </c>
      <c r="M3" s="11" t="s">
        <v>47</v>
      </c>
      <c r="N3" s="13" t="s">
        <v>475</v>
      </c>
      <c r="O3" s="13" t="s">
        <v>147</v>
      </c>
      <c r="P3" s="13" t="s">
        <v>1760</v>
      </c>
      <c r="Q3" s="13" t="s">
        <v>426</v>
      </c>
      <c r="R3" s="13" t="s">
        <v>420</v>
      </c>
      <c r="S3" s="11" t="s">
        <v>34</v>
      </c>
      <c r="T3" s="126">
        <v>6.6630000000000003</v>
      </c>
      <c r="U3" s="13" t="s">
        <v>1761</v>
      </c>
      <c r="V3" s="147">
        <v>2.5600000000000001E-2</v>
      </c>
      <c r="W3" s="148">
        <v>3.5029999999999999E-2</v>
      </c>
      <c r="X3" s="11" t="s">
        <v>425</v>
      </c>
      <c r="Y3" s="11" t="s">
        <v>147</v>
      </c>
      <c r="Z3" s="126">
        <v>2700000</v>
      </c>
      <c r="AA3" s="149">
        <v>1</v>
      </c>
      <c r="AB3" s="150">
        <v>101.59</v>
      </c>
      <c r="AC3" s="13"/>
      <c r="AD3" s="126">
        <v>2742.93</v>
      </c>
      <c r="AE3" s="13"/>
      <c r="AF3" s="2"/>
      <c r="AG3" s="11" t="s">
        <v>36</v>
      </c>
      <c r="AH3" s="140">
        <v>2.5699999999999998E-3</v>
      </c>
      <c r="AI3" s="140">
        <v>9.3295943965658705E-3</v>
      </c>
      <c r="AJ3" s="140">
        <v>9.48723519339637E-4</v>
      </c>
    </row>
    <row r="4" spans="1:36">
      <c r="A4" s="13">
        <v>382</v>
      </c>
      <c r="B4" s="13">
        <v>382</v>
      </c>
      <c r="C4" s="13" t="s">
        <v>1546</v>
      </c>
      <c r="D4" s="13" t="s">
        <v>1547</v>
      </c>
      <c r="E4" s="11" t="s">
        <v>1325</v>
      </c>
      <c r="F4" s="13" t="s">
        <v>1762</v>
      </c>
      <c r="G4" s="13" t="s">
        <v>1763</v>
      </c>
      <c r="H4" s="11" t="s">
        <v>187</v>
      </c>
      <c r="I4" s="13" t="s">
        <v>980</v>
      </c>
      <c r="J4" s="11" t="s">
        <v>30</v>
      </c>
      <c r="K4" s="11" t="s">
        <v>30</v>
      </c>
      <c r="L4" s="13" t="s">
        <v>340</v>
      </c>
      <c r="M4" s="11" t="s">
        <v>47</v>
      </c>
      <c r="N4" s="13" t="s">
        <v>475</v>
      </c>
      <c r="O4" s="13" t="s">
        <v>147</v>
      </c>
      <c r="P4" s="13" t="s">
        <v>1760</v>
      </c>
      <c r="Q4" s="13" t="s">
        <v>426</v>
      </c>
      <c r="R4" s="13" t="s">
        <v>420</v>
      </c>
      <c r="S4" s="11" t="s">
        <v>34</v>
      </c>
      <c r="T4" s="126">
        <v>3.9510000000000001</v>
      </c>
      <c r="U4" s="13" t="s">
        <v>1764</v>
      </c>
      <c r="V4" s="147">
        <v>2.41E-2</v>
      </c>
      <c r="W4" s="148">
        <v>5.2909999999999999E-2</v>
      </c>
      <c r="X4" s="11" t="s">
        <v>425</v>
      </c>
      <c r="Y4" s="11" t="s">
        <v>147</v>
      </c>
      <c r="Z4" s="126">
        <v>3685500</v>
      </c>
      <c r="AA4" s="149">
        <v>1</v>
      </c>
      <c r="AB4" s="150">
        <v>89.75</v>
      </c>
      <c r="AC4" s="13"/>
      <c r="AD4" s="126">
        <v>3307.7359999999999</v>
      </c>
      <c r="AE4" s="13"/>
      <c r="AF4" s="2"/>
      <c r="AG4" s="11" t="s">
        <v>36</v>
      </c>
      <c r="AH4" s="140">
        <v>1.7930000000000001E-3</v>
      </c>
      <c r="AI4" s="140">
        <v>1.1250683605968001E-2</v>
      </c>
      <c r="AJ4" s="140">
        <v>1.14407847671916E-3</v>
      </c>
    </row>
    <row r="5" spans="1:36">
      <c r="A5" s="13">
        <v>382</v>
      </c>
      <c r="B5" s="13">
        <v>382</v>
      </c>
      <c r="C5" s="13" t="s">
        <v>1765</v>
      </c>
      <c r="D5" s="13" t="s">
        <v>1766</v>
      </c>
      <c r="E5" s="11" t="s">
        <v>1325</v>
      </c>
      <c r="F5" s="13" t="s">
        <v>1767</v>
      </c>
      <c r="G5" s="13" t="s">
        <v>1768</v>
      </c>
      <c r="H5" s="11" t="s">
        <v>187</v>
      </c>
      <c r="I5" s="13" t="s">
        <v>980</v>
      </c>
      <c r="J5" s="11" t="s">
        <v>30</v>
      </c>
      <c r="K5" s="11" t="s">
        <v>30</v>
      </c>
      <c r="L5" s="13" t="s">
        <v>340</v>
      </c>
      <c r="M5" s="11" t="s">
        <v>47</v>
      </c>
      <c r="N5" s="13" t="s">
        <v>462</v>
      </c>
      <c r="O5" s="13" t="s">
        <v>147</v>
      </c>
      <c r="P5" s="13" t="s">
        <v>1769</v>
      </c>
      <c r="Q5" s="13" t="s">
        <v>426</v>
      </c>
      <c r="R5" s="13" t="s">
        <v>420</v>
      </c>
      <c r="S5" s="11" t="s">
        <v>34</v>
      </c>
      <c r="T5" s="126">
        <v>0.72899999999999998</v>
      </c>
      <c r="U5" s="13" t="s">
        <v>1770</v>
      </c>
      <c r="V5" s="147">
        <v>0.04</v>
      </c>
      <c r="W5" s="148">
        <v>5.407E-2</v>
      </c>
      <c r="X5" s="11" t="s">
        <v>425</v>
      </c>
      <c r="Y5" s="11" t="s">
        <v>147</v>
      </c>
      <c r="Z5" s="126">
        <v>1166669.47</v>
      </c>
      <c r="AA5" s="149">
        <v>1</v>
      </c>
      <c r="AB5" s="150">
        <v>100.05</v>
      </c>
      <c r="AC5" s="13"/>
      <c r="AD5" s="126">
        <v>1167.2529999999999</v>
      </c>
      <c r="AE5" s="13"/>
      <c r="AF5" s="2"/>
      <c r="AG5" s="11" t="s">
        <v>36</v>
      </c>
      <c r="AH5" s="140">
        <v>8.855E-3</v>
      </c>
      <c r="AI5" s="140">
        <v>3.9702053010581603E-3</v>
      </c>
      <c r="AJ5" s="140">
        <v>4.0372892814153201E-4</v>
      </c>
    </row>
    <row r="6" spans="1:36">
      <c r="A6" s="13">
        <v>382</v>
      </c>
      <c r="B6" s="13">
        <v>382</v>
      </c>
      <c r="C6" s="13" t="s">
        <v>1765</v>
      </c>
      <c r="D6" s="13" t="s">
        <v>1766</v>
      </c>
      <c r="E6" s="11" t="s">
        <v>1325</v>
      </c>
      <c r="F6" s="13" t="s">
        <v>1771</v>
      </c>
      <c r="G6" s="13" t="s">
        <v>1772</v>
      </c>
      <c r="H6" s="11" t="s">
        <v>187</v>
      </c>
      <c r="I6" s="13" t="s">
        <v>980</v>
      </c>
      <c r="J6" s="11" t="s">
        <v>30</v>
      </c>
      <c r="K6" s="11" t="s">
        <v>30</v>
      </c>
      <c r="L6" s="13" t="s">
        <v>340</v>
      </c>
      <c r="M6" s="11" t="s">
        <v>47</v>
      </c>
      <c r="N6" s="13" t="s">
        <v>462</v>
      </c>
      <c r="O6" s="13" t="s">
        <v>147</v>
      </c>
      <c r="P6" s="13" t="s">
        <v>1769</v>
      </c>
      <c r="Q6" s="13" t="s">
        <v>426</v>
      </c>
      <c r="R6" s="13" t="s">
        <v>420</v>
      </c>
      <c r="S6" s="11" t="s">
        <v>34</v>
      </c>
      <c r="T6" s="126">
        <v>2.996</v>
      </c>
      <c r="U6" s="13" t="s">
        <v>1773</v>
      </c>
      <c r="V6" s="147">
        <v>0.04</v>
      </c>
      <c r="W6" s="148">
        <v>5.2400000000000002E-2</v>
      </c>
      <c r="X6" s="11" t="s">
        <v>425</v>
      </c>
      <c r="Y6" s="11" t="s">
        <v>147</v>
      </c>
      <c r="Z6" s="124">
        <v>1950000.55</v>
      </c>
      <c r="AA6" s="134">
        <v>1</v>
      </c>
      <c r="AB6" s="151">
        <v>97.45</v>
      </c>
      <c r="AC6" s="13"/>
      <c r="AD6" s="124">
        <v>1900.2760000000001</v>
      </c>
      <c r="AE6" s="2"/>
      <c r="AF6" s="2"/>
      <c r="AG6" s="2" t="s">
        <v>36</v>
      </c>
      <c r="AH6" s="140">
        <v>3.3579999999999999E-3</v>
      </c>
      <c r="AI6" s="140">
        <v>6.4634533117372897E-3</v>
      </c>
      <c r="AJ6" s="140">
        <v>6.5726653403667501E-4</v>
      </c>
    </row>
    <row r="7" spans="1:36">
      <c r="A7" s="13">
        <v>382</v>
      </c>
      <c r="B7" s="13">
        <v>382</v>
      </c>
      <c r="C7" s="13" t="s">
        <v>1550</v>
      </c>
      <c r="D7" s="13" t="s">
        <v>1551</v>
      </c>
      <c r="E7" s="11" t="s">
        <v>1325</v>
      </c>
      <c r="F7" s="13" t="s">
        <v>1774</v>
      </c>
      <c r="G7" s="13" t="s">
        <v>1775</v>
      </c>
      <c r="H7" s="11" t="s">
        <v>187</v>
      </c>
      <c r="I7" s="13" t="s">
        <v>768</v>
      </c>
      <c r="J7" s="11" t="s">
        <v>30</v>
      </c>
      <c r="K7" s="11" t="s">
        <v>30</v>
      </c>
      <c r="L7" s="13" t="s">
        <v>340</v>
      </c>
      <c r="M7" s="11" t="s">
        <v>47</v>
      </c>
      <c r="N7" s="13" t="s">
        <v>475</v>
      </c>
      <c r="O7" s="13" t="s">
        <v>147</v>
      </c>
      <c r="P7" s="13" t="s">
        <v>1756</v>
      </c>
      <c r="Q7" s="13" t="s">
        <v>426</v>
      </c>
      <c r="R7" s="13" t="s">
        <v>420</v>
      </c>
      <c r="S7" s="11" t="s">
        <v>34</v>
      </c>
      <c r="T7" s="126">
        <v>1.6819999999999999</v>
      </c>
      <c r="U7" s="13" t="s">
        <v>1776</v>
      </c>
      <c r="V7" s="147">
        <v>3.2000000000000001E-2</v>
      </c>
      <c r="W7" s="148">
        <v>2.7539999999999999E-2</v>
      </c>
      <c r="X7" s="11" t="s">
        <v>425</v>
      </c>
      <c r="Y7" s="11" t="s">
        <v>147</v>
      </c>
      <c r="Z7" s="124">
        <v>3120000</v>
      </c>
      <c r="AA7" s="134">
        <v>1</v>
      </c>
      <c r="AB7" s="151">
        <v>118.93</v>
      </c>
      <c r="AC7" s="13"/>
      <c r="AD7" s="124">
        <v>3710.616</v>
      </c>
      <c r="AE7" s="2"/>
      <c r="AF7" s="2"/>
      <c r="AG7" s="2" t="s">
        <v>36</v>
      </c>
      <c r="AH7" s="140">
        <v>5.6509999999999998E-3</v>
      </c>
      <c r="AI7" s="140">
        <v>1.26210082799808E-2</v>
      </c>
      <c r="AJ7" s="140">
        <v>1.28342636175111E-3</v>
      </c>
    </row>
    <row r="8" spans="1:36">
      <c r="A8" s="13">
        <v>382</v>
      </c>
      <c r="B8" s="13">
        <v>382</v>
      </c>
      <c r="C8" s="13" t="s">
        <v>1554</v>
      </c>
      <c r="D8" s="13" t="s">
        <v>1555</v>
      </c>
      <c r="E8" s="11" t="s">
        <v>1325</v>
      </c>
      <c r="F8" s="13" t="s">
        <v>1777</v>
      </c>
      <c r="G8" s="13" t="s">
        <v>1778</v>
      </c>
      <c r="H8" s="11" t="s">
        <v>187</v>
      </c>
      <c r="I8" s="13" t="s">
        <v>980</v>
      </c>
      <c r="J8" s="11" t="s">
        <v>30</v>
      </c>
      <c r="K8" s="11" t="s">
        <v>103</v>
      </c>
      <c r="L8" s="13" t="s">
        <v>340</v>
      </c>
      <c r="M8" s="11" t="s">
        <v>47</v>
      </c>
      <c r="N8" s="13" t="s">
        <v>452</v>
      </c>
      <c r="O8" s="13" t="s">
        <v>147</v>
      </c>
      <c r="P8" s="13" t="s">
        <v>1779</v>
      </c>
      <c r="Q8" s="13" t="s">
        <v>428</v>
      </c>
      <c r="R8" s="13" t="s">
        <v>420</v>
      </c>
      <c r="S8" s="11" t="s">
        <v>34</v>
      </c>
      <c r="T8" s="126">
        <v>1.2609999999999999</v>
      </c>
      <c r="U8" s="13" t="s">
        <v>1780</v>
      </c>
      <c r="V8" s="147">
        <v>3.4500000000000003E-2</v>
      </c>
      <c r="W8" s="148">
        <v>5.4989999999999997E-2</v>
      </c>
      <c r="X8" s="11" t="s">
        <v>425</v>
      </c>
      <c r="Y8" s="11" t="s">
        <v>147</v>
      </c>
      <c r="Z8" s="126">
        <v>2608695.46</v>
      </c>
      <c r="AA8" s="149">
        <v>1</v>
      </c>
      <c r="AB8" s="150">
        <v>97.86</v>
      </c>
      <c r="AC8" s="13"/>
      <c r="AD8" s="126">
        <v>2552.8690000000001</v>
      </c>
      <c r="AE8" s="13"/>
      <c r="AF8" s="2"/>
      <c r="AG8" s="11" t="s">
        <v>36</v>
      </c>
      <c r="AH8" s="140">
        <v>4.0590000000000001E-3</v>
      </c>
      <c r="AI8" s="140">
        <v>8.68313658616123E-3</v>
      </c>
      <c r="AJ8" s="140">
        <v>8.82985427958361E-4</v>
      </c>
    </row>
    <row r="9" spans="1:36">
      <c r="A9" s="13">
        <v>382</v>
      </c>
      <c r="B9" s="13">
        <v>382</v>
      </c>
      <c r="C9" s="13" t="s">
        <v>1781</v>
      </c>
      <c r="D9" s="13" t="s">
        <v>1782</v>
      </c>
      <c r="E9" s="11" t="s">
        <v>1325</v>
      </c>
      <c r="F9" s="13" t="s">
        <v>1783</v>
      </c>
      <c r="G9" s="13" t="s">
        <v>1784</v>
      </c>
      <c r="H9" s="11" t="s">
        <v>187</v>
      </c>
      <c r="I9" s="13" t="s">
        <v>769</v>
      </c>
      <c r="J9" s="11" t="s">
        <v>30</v>
      </c>
      <c r="K9" s="11" t="s">
        <v>30</v>
      </c>
      <c r="L9" s="13" t="s">
        <v>340</v>
      </c>
      <c r="M9" s="11" t="s">
        <v>47</v>
      </c>
      <c r="N9" s="13" t="s">
        <v>451</v>
      </c>
      <c r="O9" s="13" t="s">
        <v>147</v>
      </c>
      <c r="P9" s="13" t="s">
        <v>1769</v>
      </c>
      <c r="Q9" s="13" t="s">
        <v>426</v>
      </c>
      <c r="R9" s="13" t="s">
        <v>420</v>
      </c>
      <c r="S9" s="11" t="s">
        <v>34</v>
      </c>
      <c r="T9" s="126">
        <v>0.499</v>
      </c>
      <c r="U9" s="13" t="s">
        <v>1785</v>
      </c>
      <c r="V9" s="147">
        <v>4.7E-2</v>
      </c>
      <c r="W9" s="148">
        <v>7.732E-2</v>
      </c>
      <c r="X9" s="11" t="s">
        <v>425</v>
      </c>
      <c r="Y9" s="11" t="s">
        <v>147</v>
      </c>
      <c r="Z9" s="126">
        <v>563616.51</v>
      </c>
      <c r="AA9" s="149">
        <v>1</v>
      </c>
      <c r="AB9" s="150">
        <v>100.8</v>
      </c>
      <c r="AC9" s="13"/>
      <c r="AD9" s="126">
        <v>568.125</v>
      </c>
      <c r="AE9" s="13"/>
      <c r="AF9" s="2"/>
      <c r="AG9" s="11" t="s">
        <v>36</v>
      </c>
      <c r="AH9" s="140">
        <v>2.2980000000000001E-3</v>
      </c>
      <c r="AI9" s="140">
        <v>1.93237885800078E-3</v>
      </c>
      <c r="AJ9" s="140">
        <v>1.9650299819409301E-4</v>
      </c>
    </row>
    <row r="10" spans="1:36">
      <c r="A10" s="13">
        <v>382</v>
      </c>
      <c r="B10" s="13">
        <v>382</v>
      </c>
      <c r="C10" s="13" t="s">
        <v>1786</v>
      </c>
      <c r="D10" s="13" t="s">
        <v>1787</v>
      </c>
      <c r="E10" s="11" t="s">
        <v>1325</v>
      </c>
      <c r="F10" s="13" t="s">
        <v>1788</v>
      </c>
      <c r="G10" s="13" t="s">
        <v>1789</v>
      </c>
      <c r="H10" s="11" t="s">
        <v>187</v>
      </c>
      <c r="I10" s="13" t="s">
        <v>768</v>
      </c>
      <c r="J10" s="11" t="s">
        <v>30</v>
      </c>
      <c r="K10" s="11" t="s">
        <v>30</v>
      </c>
      <c r="L10" s="13" t="s">
        <v>340</v>
      </c>
      <c r="M10" s="11" t="s">
        <v>47</v>
      </c>
      <c r="N10" s="13" t="s">
        <v>475</v>
      </c>
      <c r="O10" s="13" t="s">
        <v>147</v>
      </c>
      <c r="P10" s="13" t="s">
        <v>1760</v>
      </c>
      <c r="Q10" s="13" t="s">
        <v>426</v>
      </c>
      <c r="R10" s="13" t="s">
        <v>420</v>
      </c>
      <c r="S10" s="11" t="s">
        <v>34</v>
      </c>
      <c r="T10" s="126">
        <v>0.11</v>
      </c>
      <c r="U10" s="13" t="s">
        <v>1790</v>
      </c>
      <c r="V10" s="147">
        <v>2.5000000000000001E-2</v>
      </c>
      <c r="W10" s="148">
        <v>3.7620000000000001E-2</v>
      </c>
      <c r="X10" s="11" t="s">
        <v>425</v>
      </c>
      <c r="Y10" s="11" t="s">
        <v>147</v>
      </c>
      <c r="Z10" s="126">
        <v>1500379.74</v>
      </c>
      <c r="AA10" s="149">
        <v>1</v>
      </c>
      <c r="AB10" s="150">
        <v>116.75</v>
      </c>
      <c r="AC10" s="13"/>
      <c r="AD10" s="126">
        <v>1751.693</v>
      </c>
      <c r="AE10" s="13"/>
      <c r="AF10" s="2"/>
      <c r="AG10" s="11" t="s">
        <v>36</v>
      </c>
      <c r="AH10" s="140">
        <v>6.3709999999999999E-3</v>
      </c>
      <c r="AI10" s="140">
        <v>5.9580771035140003E-3</v>
      </c>
      <c r="AJ10" s="140">
        <v>6.0587498640062595E-4</v>
      </c>
    </row>
    <row r="11" spans="1:36">
      <c r="A11" s="13">
        <v>382</v>
      </c>
      <c r="B11" s="13">
        <v>382</v>
      </c>
      <c r="C11" s="13" t="s">
        <v>1786</v>
      </c>
      <c r="D11" s="13" t="s">
        <v>1787</v>
      </c>
      <c r="E11" s="11" t="s">
        <v>1325</v>
      </c>
      <c r="F11" s="13" t="s">
        <v>1791</v>
      </c>
      <c r="G11" s="13" t="s">
        <v>1792</v>
      </c>
      <c r="H11" s="11" t="s">
        <v>187</v>
      </c>
      <c r="I11" s="13" t="s">
        <v>768</v>
      </c>
      <c r="J11" s="11" t="s">
        <v>30</v>
      </c>
      <c r="K11" s="11" t="s">
        <v>30</v>
      </c>
      <c r="L11" s="13" t="s">
        <v>340</v>
      </c>
      <c r="M11" s="11" t="s">
        <v>47</v>
      </c>
      <c r="N11" s="13" t="s">
        <v>475</v>
      </c>
      <c r="O11" s="13" t="s">
        <v>147</v>
      </c>
      <c r="P11" s="13" t="s">
        <v>1760</v>
      </c>
      <c r="Q11" s="13" t="s">
        <v>426</v>
      </c>
      <c r="R11" s="13" t="s">
        <v>420</v>
      </c>
      <c r="S11" s="11" t="s">
        <v>34</v>
      </c>
      <c r="T11" s="126">
        <v>4.8780000000000001</v>
      </c>
      <c r="U11" s="13" t="s">
        <v>1793</v>
      </c>
      <c r="V11" s="147">
        <v>1.8700000000000001E-2</v>
      </c>
      <c r="W11" s="148">
        <v>3.1629999999999998E-2</v>
      </c>
      <c r="X11" s="11" t="s">
        <v>425</v>
      </c>
      <c r="Y11" s="11" t="s">
        <v>147</v>
      </c>
      <c r="Z11" s="126">
        <v>6786300</v>
      </c>
      <c r="AA11" s="149">
        <v>1</v>
      </c>
      <c r="AB11" s="150">
        <v>105.08</v>
      </c>
      <c r="AC11" s="13"/>
      <c r="AD11" s="126">
        <v>7131.0439999999999</v>
      </c>
      <c r="AE11" s="13"/>
      <c r="AF11" s="2"/>
      <c r="AG11" s="11" t="s">
        <v>36</v>
      </c>
      <c r="AH11" s="140">
        <v>6.6309999999999997E-3</v>
      </c>
      <c r="AI11" s="140">
        <v>2.4254993206989799E-2</v>
      </c>
      <c r="AJ11" s="140">
        <v>2.46648262923033E-3</v>
      </c>
    </row>
    <row r="12" spans="1:36">
      <c r="A12" s="13">
        <v>382</v>
      </c>
      <c r="B12" s="13">
        <v>382</v>
      </c>
      <c r="C12" s="13" t="s">
        <v>1794</v>
      </c>
      <c r="D12" s="13" t="s">
        <v>1795</v>
      </c>
      <c r="E12" s="11" t="s">
        <v>1325</v>
      </c>
      <c r="F12" s="13" t="s">
        <v>1796</v>
      </c>
      <c r="G12" s="13" t="s">
        <v>1797</v>
      </c>
      <c r="H12" s="11" t="s">
        <v>187</v>
      </c>
      <c r="I12" s="13" t="s">
        <v>768</v>
      </c>
      <c r="J12" s="11" t="s">
        <v>30</v>
      </c>
      <c r="K12" s="11" t="s">
        <v>30</v>
      </c>
      <c r="L12" s="13" t="s">
        <v>340</v>
      </c>
      <c r="M12" s="11" t="s">
        <v>47</v>
      </c>
      <c r="N12" s="13" t="s">
        <v>459</v>
      </c>
      <c r="O12" s="13" t="s">
        <v>147</v>
      </c>
      <c r="P12" s="13" t="s">
        <v>1182</v>
      </c>
      <c r="Q12" s="13" t="s">
        <v>426</v>
      </c>
      <c r="R12" s="13" t="s">
        <v>420</v>
      </c>
      <c r="S12" s="11" t="s">
        <v>34</v>
      </c>
      <c r="T12" s="126">
        <v>0.44400000000000001</v>
      </c>
      <c r="U12" s="13" t="s">
        <v>1798</v>
      </c>
      <c r="V12" s="147">
        <v>1E-3</v>
      </c>
      <c r="W12" s="148">
        <v>2.2599999999999999E-2</v>
      </c>
      <c r="X12" s="11" t="s">
        <v>425</v>
      </c>
      <c r="Y12" s="11" t="s">
        <v>147</v>
      </c>
      <c r="Z12" s="126">
        <v>2000000</v>
      </c>
      <c r="AA12" s="149">
        <v>1</v>
      </c>
      <c r="AB12" s="150">
        <v>113.85</v>
      </c>
      <c r="AC12" s="13"/>
      <c r="AD12" s="126">
        <v>2277</v>
      </c>
      <c r="AE12" s="13"/>
      <c r="AF12" s="2"/>
      <c r="AG12" s="11" t="s">
        <v>36</v>
      </c>
      <c r="AH12" s="140">
        <v>1.333E-3</v>
      </c>
      <c r="AI12" s="140">
        <v>7.7448153766156999E-3</v>
      </c>
      <c r="AJ12" s="140">
        <v>7.8756783933106296E-4</v>
      </c>
    </row>
    <row r="13" spans="1:36">
      <c r="A13" s="13">
        <v>382</v>
      </c>
      <c r="B13" s="13">
        <v>382</v>
      </c>
      <c r="C13" s="13" t="s">
        <v>1799</v>
      </c>
      <c r="D13" s="13" t="s">
        <v>1800</v>
      </c>
      <c r="E13" s="11" t="s">
        <v>1325</v>
      </c>
      <c r="F13" s="13" t="s">
        <v>1801</v>
      </c>
      <c r="G13" s="13" t="s">
        <v>1802</v>
      </c>
      <c r="H13" s="11" t="s">
        <v>187</v>
      </c>
      <c r="I13" s="13" t="s">
        <v>980</v>
      </c>
      <c r="J13" s="11" t="s">
        <v>30</v>
      </c>
      <c r="K13" s="11" t="s">
        <v>30</v>
      </c>
      <c r="L13" s="13" t="s">
        <v>340</v>
      </c>
      <c r="M13" s="11" t="s">
        <v>47</v>
      </c>
      <c r="N13" s="13" t="s">
        <v>451</v>
      </c>
      <c r="O13" s="13" t="s">
        <v>147</v>
      </c>
      <c r="P13" s="13" t="s">
        <v>1803</v>
      </c>
      <c r="Q13" s="13" t="s">
        <v>428</v>
      </c>
      <c r="R13" s="13" t="s">
        <v>420</v>
      </c>
      <c r="S13" s="11" t="s">
        <v>34</v>
      </c>
      <c r="T13" s="126">
        <v>2.621</v>
      </c>
      <c r="U13" s="13" t="s">
        <v>1804</v>
      </c>
      <c r="V13" s="147">
        <v>7.2499999999999995E-2</v>
      </c>
      <c r="W13" s="148">
        <v>5.6919999999999998E-2</v>
      </c>
      <c r="X13" s="11" t="s">
        <v>425</v>
      </c>
      <c r="Y13" s="11" t="s">
        <v>147</v>
      </c>
      <c r="Z13" s="126">
        <v>2150052.2999999998</v>
      </c>
      <c r="AA13" s="149">
        <v>1</v>
      </c>
      <c r="AB13" s="150">
        <v>107.37</v>
      </c>
      <c r="AC13" s="13"/>
      <c r="AD13" s="126">
        <v>2308.511</v>
      </c>
      <c r="AE13" s="13"/>
      <c r="AF13" s="2"/>
      <c r="AG13" s="11" t="s">
        <v>36</v>
      </c>
      <c r="AH13" s="140">
        <v>2.9859999999999999E-3</v>
      </c>
      <c r="AI13" s="140">
        <v>7.8519950314176103E-3</v>
      </c>
      <c r="AJ13" s="140">
        <v>7.9846690471194496E-4</v>
      </c>
    </row>
    <row r="14" spans="1:36">
      <c r="A14" s="13">
        <v>382</v>
      </c>
      <c r="B14" s="13">
        <v>382</v>
      </c>
      <c r="C14" s="13" t="s">
        <v>1805</v>
      </c>
      <c r="D14" s="13" t="s">
        <v>1806</v>
      </c>
      <c r="E14" s="11" t="s">
        <v>1325</v>
      </c>
      <c r="F14" s="13" t="s">
        <v>1807</v>
      </c>
      <c r="G14" s="13" t="s">
        <v>1808</v>
      </c>
      <c r="H14" s="11" t="s">
        <v>187</v>
      </c>
      <c r="I14" s="13" t="s">
        <v>768</v>
      </c>
      <c r="J14" s="11" t="s">
        <v>30</v>
      </c>
      <c r="K14" s="11" t="s">
        <v>30</v>
      </c>
      <c r="L14" s="13" t="s">
        <v>340</v>
      </c>
      <c r="M14" s="11" t="s">
        <v>47</v>
      </c>
      <c r="N14" s="13" t="s">
        <v>475</v>
      </c>
      <c r="O14" s="13" t="s">
        <v>147</v>
      </c>
      <c r="P14" s="13" t="s">
        <v>1756</v>
      </c>
      <c r="Q14" s="13" t="s">
        <v>426</v>
      </c>
      <c r="R14" s="13" t="s">
        <v>420</v>
      </c>
      <c r="S14" s="11" t="s">
        <v>34</v>
      </c>
      <c r="T14" s="126">
        <v>4.673</v>
      </c>
      <c r="U14" s="13" t="s">
        <v>1809</v>
      </c>
      <c r="V14" s="147">
        <v>5.8999999999999999E-3</v>
      </c>
      <c r="W14" s="148">
        <v>3.0779999999999998E-2</v>
      </c>
      <c r="X14" s="11" t="s">
        <v>425</v>
      </c>
      <c r="Y14" s="11" t="s">
        <v>147</v>
      </c>
      <c r="Z14" s="126">
        <v>2807000</v>
      </c>
      <c r="AA14" s="149">
        <v>1</v>
      </c>
      <c r="AB14" s="150">
        <v>100.11</v>
      </c>
      <c r="AC14" s="13"/>
      <c r="AD14" s="126">
        <v>2810.0880000000002</v>
      </c>
      <c r="AE14" s="13"/>
      <c r="AF14" s="2"/>
      <c r="AG14" s="11" t="s">
        <v>36</v>
      </c>
      <c r="AH14" s="140">
        <v>2.0040000000000001E-3</v>
      </c>
      <c r="AI14" s="140">
        <v>9.5580195119010294E-3</v>
      </c>
      <c r="AJ14" s="140">
        <v>9.7195199746148296E-4</v>
      </c>
    </row>
    <row r="15" spans="1:36">
      <c r="A15" s="13">
        <v>382</v>
      </c>
      <c r="B15" s="13">
        <v>382</v>
      </c>
      <c r="C15" s="13" t="s">
        <v>1810</v>
      </c>
      <c r="D15" s="13" t="s">
        <v>1811</v>
      </c>
      <c r="E15" s="11" t="s">
        <v>1325</v>
      </c>
      <c r="F15" s="13" t="s">
        <v>1812</v>
      </c>
      <c r="G15" s="13" t="s">
        <v>1813</v>
      </c>
      <c r="H15" s="11" t="s">
        <v>187</v>
      </c>
      <c r="I15" s="13" t="s">
        <v>768</v>
      </c>
      <c r="J15" s="11" t="s">
        <v>30</v>
      </c>
      <c r="K15" s="11" t="s">
        <v>313</v>
      </c>
      <c r="L15" s="13" t="s">
        <v>340</v>
      </c>
      <c r="M15" s="11" t="s">
        <v>47</v>
      </c>
      <c r="N15" s="13" t="s">
        <v>476</v>
      </c>
      <c r="O15" s="13" t="s">
        <v>147</v>
      </c>
      <c r="P15" s="13" t="s">
        <v>1814</v>
      </c>
      <c r="Q15" s="13" t="s">
        <v>426</v>
      </c>
      <c r="R15" s="13" t="s">
        <v>420</v>
      </c>
      <c r="S15" s="11" t="s">
        <v>34</v>
      </c>
      <c r="T15" s="126">
        <v>1.393</v>
      </c>
      <c r="U15" s="13" t="s">
        <v>1815</v>
      </c>
      <c r="V15" s="147">
        <v>0.04</v>
      </c>
      <c r="W15" s="148">
        <v>4.675E-2</v>
      </c>
      <c r="X15" s="11" t="s">
        <v>425</v>
      </c>
      <c r="Y15" s="11" t="s">
        <v>147</v>
      </c>
      <c r="Z15" s="126">
        <v>5399994.5300000003</v>
      </c>
      <c r="AA15" s="149">
        <v>1</v>
      </c>
      <c r="AB15" s="150">
        <v>115.5</v>
      </c>
      <c r="AC15" s="13"/>
      <c r="AD15" s="126">
        <v>6236.9939999999997</v>
      </c>
      <c r="AE15" s="13"/>
      <c r="AF15" s="2"/>
      <c r="AG15" s="11" t="s">
        <v>36</v>
      </c>
      <c r="AH15" s="140">
        <v>2.9589999999999998E-3</v>
      </c>
      <c r="AI15" s="140">
        <v>2.1214038020803801E-2</v>
      </c>
      <c r="AJ15" s="140">
        <v>2.15724885295229E-3</v>
      </c>
    </row>
    <row r="16" spans="1:36">
      <c r="A16" s="13">
        <v>382</v>
      </c>
      <c r="B16" s="13">
        <v>382</v>
      </c>
      <c r="C16" s="13" t="s">
        <v>1816</v>
      </c>
      <c r="D16" s="13" t="s">
        <v>1817</v>
      </c>
      <c r="E16" s="11" t="s">
        <v>1325</v>
      </c>
      <c r="F16" s="13" t="s">
        <v>1818</v>
      </c>
      <c r="G16" s="13" t="s">
        <v>1819</v>
      </c>
      <c r="H16" s="11" t="s">
        <v>187</v>
      </c>
      <c r="I16" s="13" t="s">
        <v>768</v>
      </c>
      <c r="J16" s="11" t="s">
        <v>30</v>
      </c>
      <c r="K16" s="11" t="s">
        <v>30</v>
      </c>
      <c r="L16" s="13" t="s">
        <v>340</v>
      </c>
      <c r="M16" s="11" t="s">
        <v>47</v>
      </c>
      <c r="N16" s="13" t="s">
        <v>459</v>
      </c>
      <c r="O16" s="13" t="s">
        <v>147</v>
      </c>
      <c r="P16" s="13" t="s">
        <v>1182</v>
      </c>
      <c r="Q16" s="13" t="s">
        <v>426</v>
      </c>
      <c r="R16" s="13" t="s">
        <v>420</v>
      </c>
      <c r="S16" s="11" t="s">
        <v>34</v>
      </c>
      <c r="T16" s="126">
        <v>3.7480000000000002</v>
      </c>
      <c r="U16" s="13" t="s">
        <v>1820</v>
      </c>
      <c r="V16" s="147">
        <v>2E-3</v>
      </c>
      <c r="W16" s="148">
        <v>2.5999999999999999E-2</v>
      </c>
      <c r="X16" s="11" t="s">
        <v>425</v>
      </c>
      <c r="Y16" s="11" t="s">
        <v>147</v>
      </c>
      <c r="Z16" s="126">
        <v>4973684.0199999996</v>
      </c>
      <c r="AA16" s="149">
        <v>1</v>
      </c>
      <c r="AB16" s="150">
        <v>103.06</v>
      </c>
      <c r="AC16" s="13"/>
      <c r="AD16" s="126">
        <v>5125.8789999999999</v>
      </c>
      <c r="AE16" s="13"/>
      <c r="AF16" s="2"/>
      <c r="AG16" s="11" t="s">
        <v>36</v>
      </c>
      <c r="AH16" s="140">
        <v>1.459E-3</v>
      </c>
      <c r="AI16" s="140">
        <v>1.74347758320182E-2</v>
      </c>
      <c r="AJ16" s="140">
        <v>1.7729368698320301E-3</v>
      </c>
    </row>
    <row r="17" spans="1:36">
      <c r="A17" s="13">
        <v>382</v>
      </c>
      <c r="B17" s="13">
        <v>382</v>
      </c>
      <c r="C17" s="13" t="s">
        <v>1816</v>
      </c>
      <c r="D17" s="13" t="s">
        <v>1817</v>
      </c>
      <c r="E17" s="11" t="s">
        <v>1325</v>
      </c>
      <c r="F17" s="13" t="s">
        <v>1821</v>
      </c>
      <c r="G17" s="13" t="s">
        <v>1822</v>
      </c>
      <c r="H17" s="11" t="s">
        <v>187</v>
      </c>
      <c r="I17" s="13" t="s">
        <v>768</v>
      </c>
      <c r="J17" s="11" t="s">
        <v>30</v>
      </c>
      <c r="K17" s="11" t="s">
        <v>30</v>
      </c>
      <c r="L17" s="13" t="s">
        <v>340</v>
      </c>
      <c r="M17" s="11" t="s">
        <v>47</v>
      </c>
      <c r="N17" s="13" t="s">
        <v>459</v>
      </c>
      <c r="O17" s="13" t="s">
        <v>147</v>
      </c>
      <c r="P17" s="13" t="s">
        <v>1182</v>
      </c>
      <c r="Q17" s="13" t="s">
        <v>426</v>
      </c>
      <c r="R17" s="13" t="s">
        <v>420</v>
      </c>
      <c r="S17" s="11" t="s">
        <v>34</v>
      </c>
      <c r="T17" s="126">
        <v>5.1459999999999999</v>
      </c>
      <c r="U17" s="13" t="s">
        <v>1823</v>
      </c>
      <c r="V17" s="147">
        <v>2.47E-2</v>
      </c>
      <c r="W17" s="148">
        <v>2.6089999999999999E-2</v>
      </c>
      <c r="X17" s="11" t="s">
        <v>425</v>
      </c>
      <c r="Y17" s="11" t="s">
        <v>147</v>
      </c>
      <c r="Z17" s="126">
        <v>6006000</v>
      </c>
      <c r="AA17" s="149">
        <v>1</v>
      </c>
      <c r="AB17" s="150">
        <v>101.3</v>
      </c>
      <c r="AC17" s="13"/>
      <c r="AD17" s="126">
        <v>6084.0780000000004</v>
      </c>
      <c r="AE17" s="13"/>
      <c r="AF17" s="2"/>
      <c r="AG17" s="11" t="s">
        <v>36</v>
      </c>
      <c r="AH17" s="140">
        <v>2.3089999999999999E-3</v>
      </c>
      <c r="AI17" s="140">
        <v>2.0693922198914898E-2</v>
      </c>
      <c r="AJ17" s="140">
        <v>2.10435843863929E-3</v>
      </c>
    </row>
    <row r="18" spans="1:36">
      <c r="A18" s="13">
        <v>382</v>
      </c>
      <c r="B18" s="13">
        <v>382</v>
      </c>
      <c r="C18" s="13" t="s">
        <v>1816</v>
      </c>
      <c r="D18" s="13" t="s">
        <v>1817</v>
      </c>
      <c r="E18" s="11" t="s">
        <v>1325</v>
      </c>
      <c r="F18" s="13" t="s">
        <v>1824</v>
      </c>
      <c r="G18" s="13" t="s">
        <v>1825</v>
      </c>
      <c r="H18" s="11" t="s">
        <v>187</v>
      </c>
      <c r="I18" s="13" t="s">
        <v>980</v>
      </c>
      <c r="J18" s="11" t="s">
        <v>30</v>
      </c>
      <c r="K18" s="11" t="s">
        <v>30</v>
      </c>
      <c r="L18" s="13" t="s">
        <v>340</v>
      </c>
      <c r="M18" s="11" t="s">
        <v>47</v>
      </c>
      <c r="N18" s="13" t="s">
        <v>459</v>
      </c>
      <c r="O18" s="13" t="s">
        <v>147</v>
      </c>
      <c r="P18" s="13" t="s">
        <v>1182</v>
      </c>
      <c r="Q18" s="13" t="s">
        <v>426</v>
      </c>
      <c r="R18" s="13" t="s">
        <v>420</v>
      </c>
      <c r="S18" s="11" t="s">
        <v>34</v>
      </c>
      <c r="T18" s="126">
        <v>2.9780000000000002</v>
      </c>
      <c r="U18" s="13" t="s">
        <v>1826</v>
      </c>
      <c r="V18" s="147">
        <v>2.6800000000000001E-2</v>
      </c>
      <c r="W18" s="148">
        <v>4.7109999999999999E-2</v>
      </c>
      <c r="X18" s="11" t="s">
        <v>425</v>
      </c>
      <c r="Y18" s="11" t="s">
        <v>147</v>
      </c>
      <c r="Z18" s="126">
        <v>6605294.3099999996</v>
      </c>
      <c r="AA18" s="149">
        <v>1</v>
      </c>
      <c r="AB18" s="150">
        <v>95.08</v>
      </c>
      <c r="AC18" s="13"/>
      <c r="AD18" s="126">
        <v>6280.3140000000003</v>
      </c>
      <c r="AE18" s="13"/>
      <c r="AF18" s="2"/>
      <c r="AG18" s="11" t="s">
        <v>36</v>
      </c>
      <c r="AH18" s="140">
        <v>3.3739999999999998E-3</v>
      </c>
      <c r="AI18" s="140">
        <v>2.1361383891152198E-2</v>
      </c>
      <c r="AJ18" s="140">
        <v>2.17223240815685E-3</v>
      </c>
    </row>
    <row r="19" spans="1:36">
      <c r="A19" s="13">
        <v>382</v>
      </c>
      <c r="B19" s="13">
        <v>382</v>
      </c>
      <c r="C19" s="13" t="s">
        <v>1816</v>
      </c>
      <c r="D19" s="13" t="s">
        <v>1817</v>
      </c>
      <c r="E19" s="11" t="s">
        <v>1325</v>
      </c>
      <c r="F19" s="13" t="s">
        <v>1827</v>
      </c>
      <c r="G19" s="13" t="s">
        <v>1828</v>
      </c>
      <c r="H19" s="11" t="s">
        <v>187</v>
      </c>
      <c r="I19" s="13" t="s">
        <v>768</v>
      </c>
      <c r="J19" s="11" t="s">
        <v>30</v>
      </c>
      <c r="K19" s="11" t="s">
        <v>30</v>
      </c>
      <c r="L19" s="13" t="s">
        <v>340</v>
      </c>
      <c r="M19" s="11" t="s">
        <v>47</v>
      </c>
      <c r="N19" s="13" t="s">
        <v>459</v>
      </c>
      <c r="O19" s="13" t="s">
        <v>147</v>
      </c>
      <c r="P19" s="13" t="s">
        <v>1760</v>
      </c>
      <c r="Q19" s="13" t="s">
        <v>426</v>
      </c>
      <c r="R19" s="13" t="s">
        <v>420</v>
      </c>
      <c r="S19" s="11" t="s">
        <v>34</v>
      </c>
      <c r="T19" s="126">
        <v>3.488</v>
      </c>
      <c r="U19" s="13" t="s">
        <v>1829</v>
      </c>
      <c r="V19" s="147">
        <v>3.1699999999999999E-2</v>
      </c>
      <c r="W19" s="148">
        <v>3.0249999999999999E-2</v>
      </c>
      <c r="X19" s="11" t="s">
        <v>425</v>
      </c>
      <c r="Y19" s="11" t="s">
        <v>147</v>
      </c>
      <c r="Z19" s="126">
        <v>4850000</v>
      </c>
      <c r="AA19" s="149">
        <v>1</v>
      </c>
      <c r="AB19" s="150">
        <v>108.94</v>
      </c>
      <c r="AC19" s="13"/>
      <c r="AD19" s="126">
        <v>5283.59</v>
      </c>
      <c r="AE19" s="13"/>
      <c r="AF19" s="2"/>
      <c r="AG19" s="11" t="s">
        <v>36</v>
      </c>
      <c r="AH19" s="140">
        <v>5.7429999999999998E-3</v>
      </c>
      <c r="AI19" s="140">
        <v>1.79712029318107E-2</v>
      </c>
      <c r="AJ19" s="140">
        <v>1.82748597286395E-3</v>
      </c>
    </row>
    <row r="20" spans="1:36">
      <c r="A20" s="2">
        <v>382</v>
      </c>
      <c r="B20" s="2">
        <v>382</v>
      </c>
      <c r="C20" s="2" t="s">
        <v>1830</v>
      </c>
      <c r="D20" s="2" t="s">
        <v>1831</v>
      </c>
      <c r="E20" s="11" t="s">
        <v>1325</v>
      </c>
      <c r="F20" s="2" t="s">
        <v>1832</v>
      </c>
      <c r="G20" s="2" t="s">
        <v>1833</v>
      </c>
      <c r="H20" s="11" t="s">
        <v>187</v>
      </c>
      <c r="I20" s="13" t="s">
        <v>980</v>
      </c>
      <c r="J20" s="11" t="s">
        <v>30</v>
      </c>
      <c r="K20" s="11" t="s">
        <v>30</v>
      </c>
      <c r="L20" s="13" t="s">
        <v>340</v>
      </c>
      <c r="M20" s="11" t="s">
        <v>47</v>
      </c>
      <c r="N20" s="13" t="s">
        <v>456</v>
      </c>
      <c r="O20" s="13" t="s">
        <v>147</v>
      </c>
      <c r="P20" s="2" t="s">
        <v>1760</v>
      </c>
      <c r="Q20" s="13" t="s">
        <v>426</v>
      </c>
      <c r="R20" s="13" t="s">
        <v>420</v>
      </c>
      <c r="S20" s="2" t="s">
        <v>34</v>
      </c>
      <c r="T20" s="124">
        <v>1.2250000000000001</v>
      </c>
      <c r="U20" s="2" t="s">
        <v>1770</v>
      </c>
      <c r="V20" s="138">
        <v>2.9100000000000001E-2</v>
      </c>
      <c r="W20" s="140">
        <v>4.8590000000000001E-2</v>
      </c>
      <c r="X20" s="11" t="s">
        <v>425</v>
      </c>
      <c r="Y20" s="11" t="s">
        <v>147</v>
      </c>
      <c r="Z20" s="124">
        <v>134125</v>
      </c>
      <c r="AA20" s="134">
        <v>1</v>
      </c>
      <c r="AB20" s="151">
        <v>98.47</v>
      </c>
      <c r="AC20" s="2"/>
      <c r="AD20" s="124">
        <v>132.07300000000001</v>
      </c>
      <c r="AE20" s="2"/>
      <c r="AF20" s="2"/>
      <c r="AG20" s="2" t="s">
        <v>36</v>
      </c>
      <c r="AH20" s="140">
        <v>2.24E-4</v>
      </c>
      <c r="AI20" s="140">
        <v>4.4922271846466199E-4</v>
      </c>
      <c r="AJ20" s="140">
        <v>4.5681316926916797E-5</v>
      </c>
    </row>
    <row r="21" spans="1:36">
      <c r="A21" s="2">
        <v>382</v>
      </c>
      <c r="B21" s="2">
        <v>382</v>
      </c>
      <c r="C21" s="2" t="s">
        <v>1834</v>
      </c>
      <c r="D21" s="2" t="s">
        <v>1835</v>
      </c>
      <c r="E21" s="3" t="s">
        <v>1325</v>
      </c>
      <c r="F21" s="2" t="s">
        <v>1836</v>
      </c>
      <c r="G21" s="2" t="s">
        <v>1837</v>
      </c>
      <c r="H21" s="3" t="s">
        <v>187</v>
      </c>
      <c r="I21" s="2" t="s">
        <v>980</v>
      </c>
      <c r="J21" s="2" t="s">
        <v>30</v>
      </c>
      <c r="K21" s="2" t="s">
        <v>30</v>
      </c>
      <c r="L21" s="2" t="s">
        <v>340</v>
      </c>
      <c r="M21" s="3" t="s">
        <v>47</v>
      </c>
      <c r="N21" s="2" t="s">
        <v>456</v>
      </c>
      <c r="O21" s="2" t="s">
        <v>147</v>
      </c>
      <c r="P21" s="2" t="s">
        <v>1838</v>
      </c>
      <c r="Q21" s="2" t="s">
        <v>428</v>
      </c>
      <c r="R21" s="2" t="s">
        <v>420</v>
      </c>
      <c r="S21" s="2" t="s">
        <v>34</v>
      </c>
      <c r="T21" s="124">
        <v>4.8419999999999996</v>
      </c>
      <c r="U21" s="2" t="s">
        <v>1839</v>
      </c>
      <c r="V21" s="138">
        <v>1.95E-2</v>
      </c>
      <c r="W21" s="140">
        <v>5.0009999999999999E-2</v>
      </c>
      <c r="X21" s="3" t="s">
        <v>425</v>
      </c>
      <c r="Y21" s="3" t="s">
        <v>147</v>
      </c>
      <c r="Z21" s="124">
        <v>7202343.5300000003</v>
      </c>
      <c r="AA21" s="134">
        <v>1</v>
      </c>
      <c r="AB21" s="151">
        <v>86.78</v>
      </c>
      <c r="AC21" s="2"/>
      <c r="AD21" s="124">
        <v>6250.1940000000004</v>
      </c>
      <c r="AE21" s="2"/>
      <c r="AF21" s="2"/>
      <c r="AG21" s="2" t="s">
        <v>36</v>
      </c>
      <c r="AH21" s="140">
        <v>7.1780000000000004E-3</v>
      </c>
      <c r="AI21" s="140">
        <v>2.12589356141175E-2</v>
      </c>
      <c r="AJ21" s="140">
        <v>2.16181447509275E-3</v>
      </c>
    </row>
    <row r="22" spans="1:36">
      <c r="A22" s="2">
        <v>382</v>
      </c>
      <c r="B22" s="2">
        <v>382</v>
      </c>
      <c r="C22" s="2" t="s">
        <v>1840</v>
      </c>
      <c r="D22" s="2" t="s">
        <v>1841</v>
      </c>
      <c r="E22" s="3" t="s">
        <v>1325</v>
      </c>
      <c r="F22" s="2" t="s">
        <v>1842</v>
      </c>
      <c r="G22" s="2" t="s">
        <v>1843</v>
      </c>
      <c r="H22" s="3" t="s">
        <v>187</v>
      </c>
      <c r="I22" s="2" t="s">
        <v>980</v>
      </c>
      <c r="J22" s="2" t="s">
        <v>30</v>
      </c>
      <c r="K22" s="2" t="s">
        <v>30</v>
      </c>
      <c r="L22" s="2" t="s">
        <v>340</v>
      </c>
      <c r="M22" s="3" t="s">
        <v>47</v>
      </c>
      <c r="N22" s="2" t="s">
        <v>475</v>
      </c>
      <c r="O22" s="2" t="s">
        <v>147</v>
      </c>
      <c r="P22" s="2" t="s">
        <v>1756</v>
      </c>
      <c r="Q22" s="2" t="s">
        <v>426</v>
      </c>
      <c r="R22" s="2" t="s">
        <v>420</v>
      </c>
      <c r="S22" s="2" t="s">
        <v>34</v>
      </c>
      <c r="T22" s="124">
        <v>0.23799999999999999</v>
      </c>
      <c r="U22" s="2" t="s">
        <v>1844</v>
      </c>
      <c r="V22" s="138">
        <v>2.5499999999999998E-2</v>
      </c>
      <c r="W22" s="140">
        <v>3.0169999999999999E-2</v>
      </c>
      <c r="X22" s="3" t="s">
        <v>425</v>
      </c>
      <c r="Y22" s="3" t="s">
        <v>147</v>
      </c>
      <c r="Z22" s="124">
        <v>1399999.93</v>
      </c>
      <c r="AA22" s="134">
        <v>1</v>
      </c>
      <c r="AB22" s="151">
        <v>100.56</v>
      </c>
      <c r="AC22" s="2"/>
      <c r="AD22" s="124">
        <v>1407.84</v>
      </c>
      <c r="AE22" s="2"/>
      <c r="AF22" s="2"/>
      <c r="AG22" s="2" t="s">
        <v>36</v>
      </c>
      <c r="AH22" s="140">
        <v>2.0861999999999999E-2</v>
      </c>
      <c r="AI22" s="140">
        <v>4.7885201293990298E-3</v>
      </c>
      <c r="AJ22" s="140">
        <v>4.8694310561500599E-4</v>
      </c>
    </row>
    <row r="23" spans="1:36">
      <c r="A23" s="2">
        <v>382</v>
      </c>
      <c r="B23" s="2">
        <v>382</v>
      </c>
      <c r="C23" s="2" t="s">
        <v>1845</v>
      </c>
      <c r="D23" s="2" t="s">
        <v>1846</v>
      </c>
      <c r="E23" s="3" t="s">
        <v>1325</v>
      </c>
      <c r="F23" s="2" t="s">
        <v>1847</v>
      </c>
      <c r="G23" s="2" t="s">
        <v>1848</v>
      </c>
      <c r="H23" s="3" t="s">
        <v>187</v>
      </c>
      <c r="I23" s="2" t="s">
        <v>768</v>
      </c>
      <c r="J23" s="2" t="s">
        <v>30</v>
      </c>
      <c r="K23" s="2" t="s">
        <v>30</v>
      </c>
      <c r="L23" s="2" t="s">
        <v>340</v>
      </c>
      <c r="M23" s="2" t="s">
        <v>47</v>
      </c>
      <c r="N23" s="2" t="s">
        <v>451</v>
      </c>
      <c r="O23" s="2" t="s">
        <v>147</v>
      </c>
      <c r="P23" s="2" t="s">
        <v>1182</v>
      </c>
      <c r="Q23" s="2" t="s">
        <v>426</v>
      </c>
      <c r="R23" s="2" t="s">
        <v>420</v>
      </c>
      <c r="S23" s="2" t="s">
        <v>34</v>
      </c>
      <c r="T23" s="124">
        <v>3.0219999999999998</v>
      </c>
      <c r="U23" s="2" t="s">
        <v>1849</v>
      </c>
      <c r="V23" s="138">
        <v>3.85E-2</v>
      </c>
      <c r="W23" s="140">
        <v>2.5659999999999999E-2</v>
      </c>
      <c r="X23" s="3" t="s">
        <v>425</v>
      </c>
      <c r="Y23" s="3" t="s">
        <v>147</v>
      </c>
      <c r="Z23" s="124">
        <v>3719173.05</v>
      </c>
      <c r="AA23" s="134">
        <v>1</v>
      </c>
      <c r="AB23" s="151">
        <v>120.79</v>
      </c>
      <c r="AC23" s="124">
        <v>131.631</v>
      </c>
      <c r="AD23" s="124">
        <v>4624.0200000000004</v>
      </c>
      <c r="AE23" s="2"/>
      <c r="AF23" s="2"/>
      <c r="AG23" s="2" t="s">
        <v>36</v>
      </c>
      <c r="AH23" s="140">
        <v>1.456E-3</v>
      </c>
      <c r="AI23" s="140">
        <v>1.5727792693637801E-2</v>
      </c>
      <c r="AJ23" s="140">
        <v>1.59935429146252E-3</v>
      </c>
    </row>
    <row r="24" spans="1:36">
      <c r="A24" s="2">
        <v>382</v>
      </c>
      <c r="B24" s="2">
        <v>382</v>
      </c>
      <c r="C24" s="2" t="s">
        <v>1845</v>
      </c>
      <c r="D24" s="2" t="s">
        <v>1846</v>
      </c>
      <c r="E24" s="3" t="s">
        <v>1325</v>
      </c>
      <c r="F24" s="2" t="s">
        <v>1850</v>
      </c>
      <c r="G24" s="2" t="s">
        <v>1851</v>
      </c>
      <c r="H24" s="2" t="s">
        <v>187</v>
      </c>
      <c r="I24" s="2" t="s">
        <v>768</v>
      </c>
      <c r="J24" s="2" t="s">
        <v>30</v>
      </c>
      <c r="K24" s="2" t="s">
        <v>30</v>
      </c>
      <c r="L24" s="2" t="s">
        <v>340</v>
      </c>
      <c r="M24" s="2" t="s">
        <v>47</v>
      </c>
      <c r="N24" s="2" t="s">
        <v>451</v>
      </c>
      <c r="O24" s="2" t="s">
        <v>147</v>
      </c>
      <c r="P24" s="2" t="s">
        <v>1182</v>
      </c>
      <c r="Q24" s="2" t="s">
        <v>426</v>
      </c>
      <c r="R24" s="2" t="s">
        <v>420</v>
      </c>
      <c r="S24" s="2" t="s">
        <v>34</v>
      </c>
      <c r="T24" s="124">
        <v>10.281000000000001</v>
      </c>
      <c r="U24" s="2" t="s">
        <v>1852</v>
      </c>
      <c r="V24" s="138">
        <v>1.2500000000000001E-2</v>
      </c>
      <c r="W24" s="140">
        <v>3.1099999999999999E-2</v>
      </c>
      <c r="X24" s="3" t="s">
        <v>425</v>
      </c>
      <c r="Y24" s="3" t="s">
        <v>147</v>
      </c>
      <c r="Z24" s="124">
        <v>7800000</v>
      </c>
      <c r="AA24" s="134">
        <v>1</v>
      </c>
      <c r="AB24" s="151">
        <v>95.3</v>
      </c>
      <c r="AC24" s="2"/>
      <c r="AD24" s="124">
        <v>7433.4</v>
      </c>
      <c r="AE24" s="2"/>
      <c r="AF24" s="2"/>
      <c r="AG24" s="2" t="s">
        <v>36</v>
      </c>
      <c r="AH24" s="140">
        <v>1.817E-3</v>
      </c>
      <c r="AI24" s="140">
        <v>2.5283403873752799E-2</v>
      </c>
      <c r="AJ24" s="140">
        <v>2.5710613864222799E-3</v>
      </c>
    </row>
    <row r="25" spans="1:36">
      <c r="A25" s="2">
        <v>382</v>
      </c>
      <c r="B25" s="2">
        <v>382</v>
      </c>
      <c r="C25" s="2" t="s">
        <v>1845</v>
      </c>
      <c r="D25" s="2" t="s">
        <v>1846</v>
      </c>
      <c r="E25" s="3" t="s">
        <v>1325</v>
      </c>
      <c r="F25" s="2" t="s">
        <v>1853</v>
      </c>
      <c r="G25" s="2" t="s">
        <v>1854</v>
      </c>
      <c r="H25" s="2" t="s">
        <v>187</v>
      </c>
      <c r="I25" s="2" t="s">
        <v>768</v>
      </c>
      <c r="J25" s="2" t="s">
        <v>30</v>
      </c>
      <c r="K25" s="2" t="s">
        <v>30</v>
      </c>
      <c r="L25" s="2" t="s">
        <v>340</v>
      </c>
      <c r="M25" s="2" t="s">
        <v>47</v>
      </c>
      <c r="N25" s="2" t="s">
        <v>451</v>
      </c>
      <c r="O25" s="2" t="s">
        <v>147</v>
      </c>
      <c r="P25" s="2" t="s">
        <v>1182</v>
      </c>
      <c r="Q25" s="2" t="s">
        <v>426</v>
      </c>
      <c r="R25" s="2" t="s">
        <v>420</v>
      </c>
      <c r="S25" s="2" t="s">
        <v>34</v>
      </c>
      <c r="T25" s="124">
        <v>7.2709999999999999</v>
      </c>
      <c r="U25" s="2" t="s">
        <v>1855</v>
      </c>
      <c r="V25" s="138">
        <v>0.03</v>
      </c>
      <c r="W25" s="140">
        <v>2.9510000000000002E-2</v>
      </c>
      <c r="X25" s="3" t="s">
        <v>425</v>
      </c>
      <c r="Y25" s="3" t="s">
        <v>147</v>
      </c>
      <c r="Z25" s="124">
        <v>6125000</v>
      </c>
      <c r="AA25" s="134">
        <v>1</v>
      </c>
      <c r="AB25" s="151">
        <v>106.29</v>
      </c>
      <c r="AC25" s="2"/>
      <c r="AD25" s="124">
        <v>6510.2619999999997</v>
      </c>
      <c r="AE25" s="2"/>
      <c r="AF25" s="2"/>
      <c r="AG25" s="2" t="s">
        <v>36</v>
      </c>
      <c r="AH25" s="140">
        <v>1.5009999999999999E-3</v>
      </c>
      <c r="AI25" s="140">
        <v>2.2143513884850499E-2</v>
      </c>
      <c r="AJ25" s="140">
        <v>2.2517669611783202E-3</v>
      </c>
    </row>
    <row r="26" spans="1:36">
      <c r="A26" s="2">
        <v>382</v>
      </c>
      <c r="B26" s="2">
        <v>382</v>
      </c>
      <c r="C26" s="2" t="s">
        <v>1856</v>
      </c>
      <c r="D26" s="2" t="s">
        <v>1857</v>
      </c>
      <c r="E26" s="3" t="s">
        <v>1325</v>
      </c>
      <c r="F26" s="2" t="s">
        <v>1858</v>
      </c>
      <c r="G26" s="2" t="s">
        <v>1859</v>
      </c>
      <c r="H26" s="2" t="s">
        <v>187</v>
      </c>
      <c r="I26" s="2" t="s">
        <v>980</v>
      </c>
      <c r="J26" s="2" t="s">
        <v>30</v>
      </c>
      <c r="K26" s="2" t="s">
        <v>30</v>
      </c>
      <c r="L26" s="2" t="s">
        <v>340</v>
      </c>
      <c r="M26" s="2" t="s">
        <v>47</v>
      </c>
      <c r="N26" s="2" t="s">
        <v>473</v>
      </c>
      <c r="O26" s="2" t="s">
        <v>147</v>
      </c>
      <c r="P26" s="2" t="s">
        <v>1760</v>
      </c>
      <c r="Q26" s="2" t="s">
        <v>426</v>
      </c>
      <c r="R26" s="2" t="s">
        <v>420</v>
      </c>
      <c r="S26" s="2" t="s">
        <v>34</v>
      </c>
      <c r="T26" s="124">
        <v>1.891</v>
      </c>
      <c r="U26" s="2" t="s">
        <v>1860</v>
      </c>
      <c r="V26" s="138">
        <v>2.18E-2</v>
      </c>
      <c r="W26" s="140">
        <v>5.1799999999999999E-2</v>
      </c>
      <c r="X26" s="3" t="s">
        <v>425</v>
      </c>
      <c r="Y26" s="3" t="s">
        <v>147</v>
      </c>
      <c r="Z26" s="124">
        <v>3199999.96</v>
      </c>
      <c r="AA26" s="134">
        <v>1</v>
      </c>
      <c r="AB26" s="151">
        <v>94.94</v>
      </c>
      <c r="AC26" s="2"/>
      <c r="AD26" s="124">
        <v>3038.08</v>
      </c>
      <c r="AE26" s="2"/>
      <c r="AF26" s="2"/>
      <c r="AG26" s="2" t="s">
        <v>36</v>
      </c>
      <c r="AH26" s="140">
        <v>1.0508E-2</v>
      </c>
      <c r="AI26" s="140">
        <v>1.0333495127479801E-2</v>
      </c>
      <c r="AJ26" s="140">
        <v>1.0508098688652801E-3</v>
      </c>
    </row>
    <row r="27" spans="1:36">
      <c r="A27" s="2">
        <v>382</v>
      </c>
      <c r="B27" s="2">
        <v>382</v>
      </c>
      <c r="C27" s="2" t="s">
        <v>1180</v>
      </c>
      <c r="D27" s="2" t="s">
        <v>1599</v>
      </c>
      <c r="E27" s="3" t="s">
        <v>1325</v>
      </c>
      <c r="F27" s="2" t="s">
        <v>1861</v>
      </c>
      <c r="G27" s="2" t="s">
        <v>1862</v>
      </c>
      <c r="H27" s="2" t="s">
        <v>187</v>
      </c>
      <c r="I27" s="2" t="s">
        <v>768</v>
      </c>
      <c r="J27" s="2" t="s">
        <v>30</v>
      </c>
      <c r="K27" s="2" t="s">
        <v>30</v>
      </c>
      <c r="L27" s="2" t="s">
        <v>340</v>
      </c>
      <c r="M27" s="2" t="s">
        <v>47</v>
      </c>
      <c r="N27" s="2" t="s">
        <v>459</v>
      </c>
      <c r="O27" s="2" t="s">
        <v>147</v>
      </c>
      <c r="P27" s="2" t="s">
        <v>1182</v>
      </c>
      <c r="Q27" s="2" t="s">
        <v>426</v>
      </c>
      <c r="R27" s="2" t="s">
        <v>420</v>
      </c>
      <c r="S27" s="2" t="s">
        <v>34</v>
      </c>
      <c r="T27" s="124">
        <v>1.238</v>
      </c>
      <c r="U27" s="2" t="s">
        <v>1770</v>
      </c>
      <c r="V27" s="138">
        <v>8.3000000000000001E-3</v>
      </c>
      <c r="W27" s="140">
        <v>2.29E-2</v>
      </c>
      <c r="X27" s="3" t="s">
        <v>425</v>
      </c>
      <c r="Y27" s="3" t="s">
        <v>147</v>
      </c>
      <c r="Z27" s="124">
        <v>7750000</v>
      </c>
      <c r="AA27" s="134">
        <v>1</v>
      </c>
      <c r="AB27" s="151">
        <v>114.23</v>
      </c>
      <c r="AC27" s="2"/>
      <c r="AD27" s="124">
        <v>8852.8250000000007</v>
      </c>
      <c r="AE27" s="2"/>
      <c r="AF27" s="2"/>
      <c r="AG27" s="2" t="s">
        <v>36</v>
      </c>
      <c r="AH27" s="140">
        <v>5.0959999999999998E-3</v>
      </c>
      <c r="AI27" s="140">
        <v>3.0111328584316099E-2</v>
      </c>
      <c r="AJ27" s="140">
        <v>3.06201153150023E-3</v>
      </c>
    </row>
    <row r="28" spans="1:36">
      <c r="A28" s="2">
        <v>382</v>
      </c>
      <c r="B28" s="2">
        <v>382</v>
      </c>
      <c r="C28" s="2" t="s">
        <v>1180</v>
      </c>
      <c r="D28" s="2" t="s">
        <v>1599</v>
      </c>
      <c r="E28" s="3" t="s">
        <v>1325</v>
      </c>
      <c r="F28" s="2" t="s">
        <v>1863</v>
      </c>
      <c r="G28" s="2" t="s">
        <v>1864</v>
      </c>
      <c r="H28" s="2" t="s">
        <v>187</v>
      </c>
      <c r="I28" s="2" t="s">
        <v>980</v>
      </c>
      <c r="J28" s="2" t="s">
        <v>30</v>
      </c>
      <c r="K28" s="2" t="s">
        <v>30</v>
      </c>
      <c r="L28" s="2" t="s">
        <v>340</v>
      </c>
      <c r="M28" s="2" t="s">
        <v>47</v>
      </c>
      <c r="N28" s="2" t="s">
        <v>459</v>
      </c>
      <c r="O28" s="2" t="s">
        <v>147</v>
      </c>
      <c r="P28" s="2" t="s">
        <v>1182</v>
      </c>
      <c r="Q28" s="2" t="s">
        <v>426</v>
      </c>
      <c r="R28" s="2" t="s">
        <v>420</v>
      </c>
      <c r="S28" s="2" t="s">
        <v>34</v>
      </c>
      <c r="T28" s="124">
        <v>2.6629999999999998</v>
      </c>
      <c r="U28" s="2" t="s">
        <v>1865</v>
      </c>
      <c r="V28" s="138">
        <v>2.76E-2</v>
      </c>
      <c r="W28" s="140">
        <v>4.6679999999999999E-2</v>
      </c>
      <c r="X28" s="3" t="s">
        <v>425</v>
      </c>
      <c r="Y28" s="3" t="s">
        <v>147</v>
      </c>
      <c r="Z28" s="124">
        <v>14500000</v>
      </c>
      <c r="AA28" s="134">
        <v>1</v>
      </c>
      <c r="AB28" s="151">
        <v>96.29</v>
      </c>
      <c r="AC28" s="2"/>
      <c r="AD28" s="124">
        <v>13962.05</v>
      </c>
      <c r="AE28" s="2"/>
      <c r="AF28" s="2"/>
      <c r="AG28" s="2" t="s">
        <v>36</v>
      </c>
      <c r="AH28" s="140">
        <v>1.0851E-2</v>
      </c>
      <c r="AI28" s="140">
        <v>4.7489459608729502E-2</v>
      </c>
      <c r="AJ28" s="140">
        <v>4.82918820866591E-3</v>
      </c>
    </row>
    <row r="29" spans="1:36">
      <c r="A29" s="2">
        <v>382</v>
      </c>
      <c r="B29" s="2">
        <v>382</v>
      </c>
      <c r="C29" s="2" t="s">
        <v>1180</v>
      </c>
      <c r="D29" s="2" t="s">
        <v>1599</v>
      </c>
      <c r="E29" s="3" t="s">
        <v>1325</v>
      </c>
      <c r="F29" s="2" t="s">
        <v>1866</v>
      </c>
      <c r="G29" s="2" t="s">
        <v>1867</v>
      </c>
      <c r="H29" s="2" t="s">
        <v>187</v>
      </c>
      <c r="I29" s="2" t="s">
        <v>768</v>
      </c>
      <c r="J29" s="2" t="s">
        <v>30</v>
      </c>
      <c r="K29" s="2" t="s">
        <v>30</v>
      </c>
      <c r="L29" s="2" t="s">
        <v>340</v>
      </c>
      <c r="M29" s="2" t="s">
        <v>47</v>
      </c>
      <c r="N29" s="2" t="s">
        <v>459</v>
      </c>
      <c r="O29" s="2" t="s">
        <v>147</v>
      </c>
      <c r="P29" s="2" t="s">
        <v>1182</v>
      </c>
      <c r="Q29" s="2" t="s">
        <v>426</v>
      </c>
      <c r="R29" s="2" t="s">
        <v>420</v>
      </c>
      <c r="S29" s="2" t="s">
        <v>34</v>
      </c>
      <c r="T29" s="124">
        <v>4.5970000000000004</v>
      </c>
      <c r="U29" s="2" t="s">
        <v>1868</v>
      </c>
      <c r="V29" s="138">
        <v>2.0199999999999999E-2</v>
      </c>
      <c r="W29" s="140">
        <v>2.5819999999999999E-2</v>
      </c>
      <c r="X29" s="3" t="s">
        <v>425</v>
      </c>
      <c r="Y29" s="3" t="s">
        <v>147</v>
      </c>
      <c r="Z29" s="124">
        <v>13300000</v>
      </c>
      <c r="AA29" s="134">
        <v>1</v>
      </c>
      <c r="AB29" s="151">
        <v>101.85</v>
      </c>
      <c r="AC29" s="2"/>
      <c r="AD29" s="124">
        <v>13546.05</v>
      </c>
      <c r="AE29" s="2"/>
      <c r="AF29" s="2"/>
      <c r="AG29" s="2" t="s">
        <v>36</v>
      </c>
      <c r="AH29" s="140">
        <v>3.728E-3</v>
      </c>
      <c r="AI29" s="140">
        <v>4.6074508709883603E-2</v>
      </c>
      <c r="AJ29" s="140">
        <v>4.6853022968689302E-3</v>
      </c>
    </row>
    <row r="30" spans="1:36">
      <c r="A30" s="2">
        <v>382</v>
      </c>
      <c r="B30" s="2">
        <v>382</v>
      </c>
      <c r="C30" s="2" t="s">
        <v>1180</v>
      </c>
      <c r="D30" s="2" t="s">
        <v>1599</v>
      </c>
      <c r="E30" s="3" t="s">
        <v>1325</v>
      </c>
      <c r="F30" s="2" t="s">
        <v>1869</v>
      </c>
      <c r="G30" s="2" t="s">
        <v>1870</v>
      </c>
      <c r="H30" s="2" t="s">
        <v>187</v>
      </c>
      <c r="I30" s="2" t="s">
        <v>768</v>
      </c>
      <c r="J30" s="2" t="s">
        <v>30</v>
      </c>
      <c r="K30" s="2" t="s">
        <v>30</v>
      </c>
      <c r="L30" s="2" t="s">
        <v>340</v>
      </c>
      <c r="M30" s="2" t="s">
        <v>47</v>
      </c>
      <c r="N30" s="2" t="s">
        <v>459</v>
      </c>
      <c r="O30" s="2" t="s">
        <v>147</v>
      </c>
      <c r="P30" s="2" t="s">
        <v>1760</v>
      </c>
      <c r="Q30" s="2" t="s">
        <v>426</v>
      </c>
      <c r="R30" s="2" t="s">
        <v>420</v>
      </c>
      <c r="S30" s="2" t="s">
        <v>34</v>
      </c>
      <c r="T30" s="124">
        <v>2.944</v>
      </c>
      <c r="U30" s="2" t="s">
        <v>1871</v>
      </c>
      <c r="V30" s="138">
        <v>1.4999999999999999E-2</v>
      </c>
      <c r="W30" s="140">
        <v>3.0460000000000001E-2</v>
      </c>
      <c r="X30" s="3" t="s">
        <v>425</v>
      </c>
      <c r="Y30" s="3" t="s">
        <v>147</v>
      </c>
      <c r="Z30" s="124">
        <v>9000000</v>
      </c>
      <c r="AA30" s="134">
        <v>1</v>
      </c>
      <c r="AB30" s="151">
        <v>106.7</v>
      </c>
      <c r="AC30" s="2"/>
      <c r="AD30" s="124">
        <v>9603</v>
      </c>
      <c r="AE30" s="2"/>
      <c r="AF30" s="2"/>
      <c r="AG30" s="2" t="s">
        <v>36</v>
      </c>
      <c r="AH30" s="140">
        <v>6.411E-3</v>
      </c>
      <c r="AI30" s="140">
        <v>3.2662917023118403E-2</v>
      </c>
      <c r="AJ30" s="140">
        <v>3.3214817571788299E-3</v>
      </c>
    </row>
    <row r="31" spans="1:36">
      <c r="A31" s="2">
        <v>382</v>
      </c>
      <c r="B31" s="2">
        <v>382</v>
      </c>
      <c r="C31" s="2" t="s">
        <v>1180</v>
      </c>
      <c r="D31" s="2" t="s">
        <v>1599</v>
      </c>
      <c r="E31" s="3" t="s">
        <v>1325</v>
      </c>
      <c r="F31" s="2" t="s">
        <v>1872</v>
      </c>
      <c r="G31" s="2" t="s">
        <v>1873</v>
      </c>
      <c r="H31" s="2" t="s">
        <v>187</v>
      </c>
      <c r="I31" s="2" t="s">
        <v>768</v>
      </c>
      <c r="J31" s="2" t="s">
        <v>30</v>
      </c>
      <c r="K31" s="2" t="s">
        <v>30</v>
      </c>
      <c r="L31" s="2" t="s">
        <v>340</v>
      </c>
      <c r="M31" s="2" t="s">
        <v>31</v>
      </c>
      <c r="N31" s="2" t="s">
        <v>459</v>
      </c>
      <c r="O31" s="2" t="s">
        <v>147</v>
      </c>
      <c r="P31" s="2" t="s">
        <v>1760</v>
      </c>
      <c r="Q31" s="2" t="s">
        <v>426</v>
      </c>
      <c r="R31" s="2" t="s">
        <v>420</v>
      </c>
      <c r="S31" s="2" t="s">
        <v>34</v>
      </c>
      <c r="T31" s="124">
        <v>5.4809999999999999</v>
      </c>
      <c r="U31" s="2" t="s">
        <v>1874</v>
      </c>
      <c r="V31" s="138">
        <v>3.1E-2</v>
      </c>
      <c r="W31" s="140">
        <v>3.1029999999999999E-2</v>
      </c>
      <c r="X31" s="3" t="s">
        <v>425</v>
      </c>
      <c r="Y31" s="3" t="s">
        <v>147</v>
      </c>
      <c r="Z31" s="124">
        <v>7200000</v>
      </c>
      <c r="AA31" s="134">
        <v>1</v>
      </c>
      <c r="AB31" s="151">
        <v>100.81</v>
      </c>
      <c r="AC31" s="2"/>
      <c r="AD31" s="124">
        <v>7258.32</v>
      </c>
      <c r="AE31" s="2"/>
      <c r="AF31" s="2"/>
      <c r="AG31" s="2" t="s">
        <v>36</v>
      </c>
      <c r="AH31" s="140">
        <v>4.6899999999999997E-3</v>
      </c>
      <c r="AI31" s="140">
        <v>2.46879000194981E-2</v>
      </c>
      <c r="AJ31" s="140">
        <v>2.5105047868131101E-3</v>
      </c>
    </row>
    <row r="32" spans="1:36">
      <c r="A32" s="2">
        <v>382</v>
      </c>
      <c r="B32" s="2">
        <v>382</v>
      </c>
      <c r="C32" s="2" t="s">
        <v>1875</v>
      </c>
      <c r="D32" s="2" t="s">
        <v>1876</v>
      </c>
      <c r="E32" s="3" t="s">
        <v>1325</v>
      </c>
      <c r="F32" s="2" t="s">
        <v>1877</v>
      </c>
      <c r="G32" s="2" t="s">
        <v>1878</v>
      </c>
      <c r="H32" s="2" t="s">
        <v>187</v>
      </c>
      <c r="I32" s="2" t="s">
        <v>768</v>
      </c>
      <c r="J32" s="2" t="s">
        <v>30</v>
      </c>
      <c r="K32" s="2" t="s">
        <v>30</v>
      </c>
      <c r="L32" s="2" t="s">
        <v>340</v>
      </c>
      <c r="M32" s="2" t="s">
        <v>47</v>
      </c>
      <c r="N32" s="2" t="s">
        <v>475</v>
      </c>
      <c r="O32" s="2" t="s">
        <v>147</v>
      </c>
      <c r="P32" s="2" t="s">
        <v>1756</v>
      </c>
      <c r="Q32" s="2" t="s">
        <v>426</v>
      </c>
      <c r="R32" s="2" t="s">
        <v>420</v>
      </c>
      <c r="S32" s="2" t="s">
        <v>34</v>
      </c>
      <c r="T32" s="124">
        <v>1.409</v>
      </c>
      <c r="U32" s="2" t="s">
        <v>1879</v>
      </c>
      <c r="V32" s="138">
        <v>2.4E-2</v>
      </c>
      <c r="W32" s="140">
        <v>2.5999999999999999E-2</v>
      </c>
      <c r="X32" s="3" t="s">
        <v>425</v>
      </c>
      <c r="Y32" s="3" t="s">
        <v>147</v>
      </c>
      <c r="Z32" s="124">
        <v>3221180.39</v>
      </c>
      <c r="AA32" s="134">
        <v>1</v>
      </c>
      <c r="AB32" s="151">
        <v>115.95</v>
      </c>
      <c r="AC32" s="2"/>
      <c r="AD32" s="124">
        <v>3734.9589999999998</v>
      </c>
      <c r="AE32" s="2"/>
      <c r="AF32" s="2"/>
      <c r="AG32" s="2" t="s">
        <v>36</v>
      </c>
      <c r="AH32" s="140">
        <v>5.9930000000000001E-3</v>
      </c>
      <c r="AI32" s="140">
        <v>1.2703805567882901E-2</v>
      </c>
      <c r="AJ32" s="140">
        <v>1.291845991912E-3</v>
      </c>
    </row>
    <row r="33" spans="1:36">
      <c r="A33" s="2">
        <v>382</v>
      </c>
      <c r="B33" s="2">
        <v>382</v>
      </c>
      <c r="C33" s="2" t="s">
        <v>1875</v>
      </c>
      <c r="D33" s="2" t="s">
        <v>1876</v>
      </c>
      <c r="E33" s="3" t="s">
        <v>1325</v>
      </c>
      <c r="F33" s="2" t="s">
        <v>1880</v>
      </c>
      <c r="G33" s="2" t="s">
        <v>1881</v>
      </c>
      <c r="H33" s="2" t="s">
        <v>187</v>
      </c>
      <c r="I33" s="2" t="s">
        <v>768</v>
      </c>
      <c r="J33" s="2" t="s">
        <v>30</v>
      </c>
      <c r="K33" s="2" t="s">
        <v>30</v>
      </c>
      <c r="L33" s="2" t="s">
        <v>340</v>
      </c>
      <c r="M33" s="2" t="s">
        <v>47</v>
      </c>
      <c r="N33" s="2" t="s">
        <v>475</v>
      </c>
      <c r="O33" s="2" t="s">
        <v>147</v>
      </c>
      <c r="P33" s="2" t="s">
        <v>1756</v>
      </c>
      <c r="Q33" s="2" t="s">
        <v>426</v>
      </c>
      <c r="R33" s="2" t="s">
        <v>420</v>
      </c>
      <c r="S33" s="2" t="s">
        <v>34</v>
      </c>
      <c r="T33" s="124">
        <v>1.6830000000000001</v>
      </c>
      <c r="U33" s="2" t="s">
        <v>1882</v>
      </c>
      <c r="V33" s="138">
        <v>3.6999999999999998E-2</v>
      </c>
      <c r="W33" s="140">
        <v>2.8479999999999998E-2</v>
      </c>
      <c r="X33" s="3" t="s">
        <v>425</v>
      </c>
      <c r="Y33" s="3" t="s">
        <v>147</v>
      </c>
      <c r="Z33" s="124">
        <v>2600000.48</v>
      </c>
      <c r="AA33" s="134">
        <v>1</v>
      </c>
      <c r="AB33" s="151">
        <v>118.43</v>
      </c>
      <c r="AC33" s="2"/>
      <c r="AD33" s="124">
        <v>3079.181</v>
      </c>
      <c r="AE33" s="2"/>
      <c r="AF33" s="2"/>
      <c r="AG33" s="2" t="s">
        <v>36</v>
      </c>
      <c r="AH33" s="140">
        <v>8.6449999999999999E-3</v>
      </c>
      <c r="AI33" s="140">
        <v>1.0473291617925399E-2</v>
      </c>
      <c r="AJ33" s="140">
        <v>1.06502573000237E-3</v>
      </c>
    </row>
    <row r="34" spans="1:36">
      <c r="A34" s="2">
        <v>382</v>
      </c>
      <c r="B34" s="2">
        <v>382</v>
      </c>
      <c r="C34" s="2" t="s">
        <v>1883</v>
      </c>
      <c r="D34" s="2" t="s">
        <v>1884</v>
      </c>
      <c r="E34" s="3" t="s">
        <v>1325</v>
      </c>
      <c r="F34" s="2" t="s">
        <v>1885</v>
      </c>
      <c r="G34" s="2" t="s">
        <v>1886</v>
      </c>
      <c r="H34" s="2" t="s">
        <v>187</v>
      </c>
      <c r="I34" s="2" t="s">
        <v>980</v>
      </c>
      <c r="J34" s="2" t="s">
        <v>30</v>
      </c>
      <c r="K34" s="2" t="s">
        <v>30</v>
      </c>
      <c r="L34" s="2" t="s">
        <v>340</v>
      </c>
      <c r="M34" s="2" t="s">
        <v>31</v>
      </c>
      <c r="N34" s="2" t="s">
        <v>456</v>
      </c>
      <c r="O34" s="2" t="s">
        <v>147</v>
      </c>
      <c r="P34" s="2" t="s">
        <v>1887</v>
      </c>
      <c r="Q34" s="2" t="s">
        <v>428</v>
      </c>
      <c r="R34" s="2" t="s">
        <v>420</v>
      </c>
      <c r="S34" s="2" t="s">
        <v>34</v>
      </c>
      <c r="T34" s="124">
        <v>6.867</v>
      </c>
      <c r="U34" s="2" t="s">
        <v>1888</v>
      </c>
      <c r="V34" s="138">
        <v>6.0699999999999997E-2</v>
      </c>
      <c r="W34" s="140">
        <v>5.5280000000000003E-2</v>
      </c>
      <c r="X34" s="3" t="s">
        <v>425</v>
      </c>
      <c r="Y34" s="3" t="s">
        <v>147</v>
      </c>
      <c r="Z34" s="124">
        <v>1408500</v>
      </c>
      <c r="AA34" s="134">
        <v>1</v>
      </c>
      <c r="AB34" s="151">
        <v>105.72</v>
      </c>
      <c r="AC34" s="2"/>
      <c r="AD34" s="124">
        <v>1489.066</v>
      </c>
      <c r="AE34" s="2"/>
      <c r="AF34" s="2"/>
      <c r="AG34" s="2" t="s">
        <v>36</v>
      </c>
      <c r="AH34" s="140">
        <v>3.1120000000000002E-3</v>
      </c>
      <c r="AI34" s="140">
        <v>5.0647970147381198E-3</v>
      </c>
      <c r="AJ34" s="140">
        <v>5.1503761517563296E-4</v>
      </c>
    </row>
    <row r="35" spans="1:36">
      <c r="A35" s="2">
        <v>382</v>
      </c>
      <c r="B35" s="2">
        <v>382</v>
      </c>
      <c r="C35" s="2" t="s">
        <v>1883</v>
      </c>
      <c r="D35" s="2" t="s">
        <v>1884</v>
      </c>
      <c r="E35" s="3" t="s">
        <v>1325</v>
      </c>
      <c r="F35" s="2" t="s">
        <v>1889</v>
      </c>
      <c r="G35" s="2" t="s">
        <v>1890</v>
      </c>
      <c r="H35" s="2" t="s">
        <v>187</v>
      </c>
      <c r="I35" s="2" t="s">
        <v>980</v>
      </c>
      <c r="J35" s="2" t="s">
        <v>30</v>
      </c>
      <c r="K35" s="2" t="s">
        <v>30</v>
      </c>
      <c r="L35" s="2" t="s">
        <v>340</v>
      </c>
      <c r="M35" s="2" t="s">
        <v>31</v>
      </c>
      <c r="N35" s="2" t="s">
        <v>456</v>
      </c>
      <c r="O35" s="2" t="s">
        <v>147</v>
      </c>
      <c r="P35" s="2" t="s">
        <v>1769</v>
      </c>
      <c r="Q35" s="2" t="s">
        <v>426</v>
      </c>
      <c r="R35" s="2" t="s">
        <v>420</v>
      </c>
      <c r="S35" s="2" t="s">
        <v>34</v>
      </c>
      <c r="T35" s="124">
        <v>6.2469999999999999</v>
      </c>
      <c r="U35" s="2" t="s">
        <v>1891</v>
      </c>
      <c r="V35" s="138">
        <v>6.0699999999999997E-2</v>
      </c>
      <c r="W35" s="140">
        <v>5.457E-2</v>
      </c>
      <c r="X35" s="3" t="s">
        <v>425</v>
      </c>
      <c r="Y35" s="3" t="s">
        <v>147</v>
      </c>
      <c r="Z35" s="124">
        <v>1408500</v>
      </c>
      <c r="AA35" s="134">
        <v>1</v>
      </c>
      <c r="AB35" s="151">
        <v>105.78</v>
      </c>
      <c r="AC35" s="2"/>
      <c r="AD35" s="124">
        <v>1489.9110000000001</v>
      </c>
      <c r="AE35" s="2"/>
      <c r="AF35" s="2"/>
      <c r="AG35" s="2" t="s">
        <v>36</v>
      </c>
      <c r="AH35" s="140">
        <v>3.1120000000000002E-3</v>
      </c>
      <c r="AI35" s="140">
        <v>5.0676714738838299E-3</v>
      </c>
      <c r="AJ35" s="140">
        <v>5.1532991802192998E-4</v>
      </c>
    </row>
    <row r="36" spans="1:36">
      <c r="A36" s="2">
        <v>382</v>
      </c>
      <c r="B36" s="2">
        <v>382</v>
      </c>
      <c r="C36" s="2" t="s">
        <v>1892</v>
      </c>
      <c r="D36" s="2" t="s">
        <v>1893</v>
      </c>
      <c r="E36" s="3" t="s">
        <v>1325</v>
      </c>
      <c r="F36" s="2" t="s">
        <v>1894</v>
      </c>
      <c r="G36" s="2" t="s">
        <v>1895</v>
      </c>
      <c r="H36" s="2" t="s">
        <v>187</v>
      </c>
      <c r="I36" s="2" t="s">
        <v>768</v>
      </c>
      <c r="J36" s="2" t="s">
        <v>30</v>
      </c>
      <c r="K36" s="2" t="s">
        <v>30</v>
      </c>
      <c r="L36" s="2" t="s">
        <v>340</v>
      </c>
      <c r="M36" s="2" t="s">
        <v>47</v>
      </c>
      <c r="N36" s="2" t="s">
        <v>475</v>
      </c>
      <c r="O36" s="2" t="s">
        <v>147</v>
      </c>
      <c r="P36" s="2" t="s">
        <v>1769</v>
      </c>
      <c r="Q36" s="2" t="s">
        <v>426</v>
      </c>
      <c r="R36" s="2" t="s">
        <v>420</v>
      </c>
      <c r="S36" s="2" t="s">
        <v>34</v>
      </c>
      <c r="T36" s="124">
        <v>1.3859999999999999</v>
      </c>
      <c r="U36" s="2" t="s">
        <v>1896</v>
      </c>
      <c r="V36" s="138">
        <v>2.0500000000000001E-2</v>
      </c>
      <c r="W36" s="140">
        <v>3.1309999999999998E-2</v>
      </c>
      <c r="X36" s="3" t="s">
        <v>425</v>
      </c>
      <c r="Y36" s="3" t="s">
        <v>147</v>
      </c>
      <c r="Z36" s="124">
        <v>1994571.53</v>
      </c>
      <c r="AA36" s="134">
        <v>1</v>
      </c>
      <c r="AB36" s="151">
        <v>115.58</v>
      </c>
      <c r="AC36" s="2"/>
      <c r="AD36" s="124">
        <v>2305.326</v>
      </c>
      <c r="AE36" s="2"/>
      <c r="AF36" s="2"/>
      <c r="AG36" s="2" t="s">
        <v>36</v>
      </c>
      <c r="AH36" s="140">
        <v>2.6410000000000001E-3</v>
      </c>
      <c r="AI36" s="140">
        <v>7.8411605206325195E-3</v>
      </c>
      <c r="AJ36" s="140">
        <v>7.9736514671846297E-4</v>
      </c>
    </row>
    <row r="37" spans="1:36">
      <c r="A37" s="2">
        <v>382</v>
      </c>
      <c r="B37" s="2">
        <v>382</v>
      </c>
      <c r="C37" s="2" t="s">
        <v>1897</v>
      </c>
      <c r="D37" s="2" t="s">
        <v>1898</v>
      </c>
      <c r="E37" s="3" t="s">
        <v>1325</v>
      </c>
      <c r="F37" s="2" t="s">
        <v>1899</v>
      </c>
      <c r="G37" s="2" t="s">
        <v>1900</v>
      </c>
      <c r="H37" s="2" t="s">
        <v>187</v>
      </c>
      <c r="I37" s="2" t="s">
        <v>768</v>
      </c>
      <c r="J37" s="2" t="s">
        <v>30</v>
      </c>
      <c r="K37" s="2" t="s">
        <v>30</v>
      </c>
      <c r="L37" s="2" t="s">
        <v>340</v>
      </c>
      <c r="M37" s="2" t="s">
        <v>47</v>
      </c>
      <c r="N37" s="2" t="s">
        <v>459</v>
      </c>
      <c r="O37" s="2" t="s">
        <v>147</v>
      </c>
      <c r="P37" s="2" t="s">
        <v>1182</v>
      </c>
      <c r="Q37" s="2" t="s">
        <v>426</v>
      </c>
      <c r="R37" s="2" t="s">
        <v>420</v>
      </c>
      <c r="S37" s="2" t="s">
        <v>34</v>
      </c>
      <c r="T37" s="124">
        <v>3.5550000000000002</v>
      </c>
      <c r="U37" s="2" t="s">
        <v>1901</v>
      </c>
      <c r="V37" s="138">
        <v>1E-3</v>
      </c>
      <c r="W37" s="140">
        <v>2.5600000000000001E-2</v>
      </c>
      <c r="X37" s="3" t="s">
        <v>425</v>
      </c>
      <c r="Y37" s="3" t="s">
        <v>147</v>
      </c>
      <c r="Z37" s="124">
        <v>4160000</v>
      </c>
      <c r="AA37" s="134">
        <v>1</v>
      </c>
      <c r="AB37" s="151">
        <v>103.56</v>
      </c>
      <c r="AC37" s="2"/>
      <c r="AD37" s="124">
        <v>4308.0959999999995</v>
      </c>
      <c r="AE37" s="2"/>
      <c r="AF37" s="2"/>
      <c r="AG37" s="2" t="s">
        <v>36</v>
      </c>
      <c r="AH37" s="140">
        <v>1.232E-3</v>
      </c>
      <c r="AI37" s="140">
        <v>1.4653231508448199E-2</v>
      </c>
      <c r="AJ37" s="140">
        <v>1.4900825025695201E-3</v>
      </c>
    </row>
    <row r="38" spans="1:36">
      <c r="A38" s="2">
        <v>382</v>
      </c>
      <c r="B38" s="2">
        <v>382</v>
      </c>
      <c r="C38" s="2" t="s">
        <v>1897</v>
      </c>
      <c r="D38" s="2" t="s">
        <v>1898</v>
      </c>
      <c r="E38" s="3" t="s">
        <v>1325</v>
      </c>
      <c r="F38" s="2" t="s">
        <v>1902</v>
      </c>
      <c r="G38" s="2" t="s">
        <v>1903</v>
      </c>
      <c r="H38" s="2" t="s">
        <v>187</v>
      </c>
      <c r="I38" s="2" t="s">
        <v>768</v>
      </c>
      <c r="J38" s="2" t="s">
        <v>30</v>
      </c>
      <c r="K38" s="2" t="s">
        <v>30</v>
      </c>
      <c r="L38" s="2" t="s">
        <v>340</v>
      </c>
      <c r="M38" s="2" t="s">
        <v>47</v>
      </c>
      <c r="N38" s="2" t="s">
        <v>459</v>
      </c>
      <c r="O38" s="2" t="s">
        <v>147</v>
      </c>
      <c r="P38" s="2" t="s">
        <v>1182</v>
      </c>
      <c r="Q38" s="2" t="s">
        <v>426</v>
      </c>
      <c r="R38" s="2" t="s">
        <v>420</v>
      </c>
      <c r="S38" s="2" t="s">
        <v>34</v>
      </c>
      <c r="T38" s="124">
        <v>3.9049999999999998</v>
      </c>
      <c r="U38" s="2" t="s">
        <v>1855</v>
      </c>
      <c r="V38" s="138">
        <v>2.06E-2</v>
      </c>
      <c r="W38" s="140">
        <v>2.597E-2</v>
      </c>
      <c r="X38" s="3" t="s">
        <v>425</v>
      </c>
      <c r="Y38" s="3" t="s">
        <v>147</v>
      </c>
      <c r="Z38" s="124">
        <v>10170000</v>
      </c>
      <c r="AA38" s="134">
        <v>1</v>
      </c>
      <c r="AB38" s="151">
        <v>104.37</v>
      </c>
      <c r="AC38" s="2"/>
      <c r="AD38" s="124">
        <v>10614.429</v>
      </c>
      <c r="AE38" s="2"/>
      <c r="AF38" s="2"/>
      <c r="AG38" s="2" t="s">
        <v>36</v>
      </c>
      <c r="AH38" s="140">
        <v>5.6499999999999996E-3</v>
      </c>
      <c r="AI38" s="140">
        <v>3.61031150343415E-2</v>
      </c>
      <c r="AJ38" s="140">
        <v>3.6713144107435101E-3</v>
      </c>
    </row>
    <row r="39" spans="1:36">
      <c r="A39" s="2">
        <v>382</v>
      </c>
      <c r="B39" s="2">
        <v>382</v>
      </c>
      <c r="C39" s="2" t="s">
        <v>1897</v>
      </c>
      <c r="D39" s="2" t="s">
        <v>1898</v>
      </c>
      <c r="E39" s="3" t="s">
        <v>1325</v>
      </c>
      <c r="F39" s="2" t="s">
        <v>1904</v>
      </c>
      <c r="G39" s="2" t="s">
        <v>1905</v>
      </c>
      <c r="H39" s="2" t="s">
        <v>187</v>
      </c>
      <c r="I39" s="2" t="s">
        <v>768</v>
      </c>
      <c r="J39" s="2" t="s">
        <v>30</v>
      </c>
      <c r="K39" s="2" t="s">
        <v>30</v>
      </c>
      <c r="L39" s="2" t="s">
        <v>340</v>
      </c>
      <c r="M39" s="2" t="s">
        <v>47</v>
      </c>
      <c r="N39" s="2" t="s">
        <v>459</v>
      </c>
      <c r="O39" s="2" t="s">
        <v>147</v>
      </c>
      <c r="P39" s="2" t="s">
        <v>1182</v>
      </c>
      <c r="Q39" s="2" t="s">
        <v>426</v>
      </c>
      <c r="R39" s="2" t="s">
        <v>420</v>
      </c>
      <c r="S39" s="2" t="s">
        <v>34</v>
      </c>
      <c r="T39" s="124">
        <v>4.45</v>
      </c>
      <c r="U39" s="2" t="s">
        <v>1906</v>
      </c>
      <c r="V39" s="138">
        <v>1.9900000000000001E-2</v>
      </c>
      <c r="W39" s="140">
        <v>2.5340000000000001E-2</v>
      </c>
      <c r="X39" s="3" t="s">
        <v>425</v>
      </c>
      <c r="Y39" s="3" t="s">
        <v>147</v>
      </c>
      <c r="Z39" s="124">
        <v>7020000</v>
      </c>
      <c r="AA39" s="134">
        <v>1</v>
      </c>
      <c r="AB39" s="151">
        <v>101.81</v>
      </c>
      <c r="AC39" s="2"/>
      <c r="AD39" s="124">
        <v>7147.0619999999999</v>
      </c>
      <c r="AE39" s="2"/>
      <c r="AF39" s="2"/>
      <c r="AG39" s="2" t="s">
        <v>36</v>
      </c>
      <c r="AH39" s="140">
        <v>2.8890000000000001E-3</v>
      </c>
      <c r="AI39" s="140">
        <v>2.4309475483190901E-2</v>
      </c>
      <c r="AJ39" s="140">
        <v>2.4720229147585202E-3</v>
      </c>
    </row>
    <row r="40" spans="1:36">
      <c r="A40" s="2">
        <v>382</v>
      </c>
      <c r="B40" s="2">
        <v>382</v>
      </c>
      <c r="C40" s="2" t="s">
        <v>1897</v>
      </c>
      <c r="D40" s="2" t="s">
        <v>1898</v>
      </c>
      <c r="E40" s="3" t="s">
        <v>1325</v>
      </c>
      <c r="F40" s="2" t="s">
        <v>1907</v>
      </c>
      <c r="G40" s="2" t="s">
        <v>1908</v>
      </c>
      <c r="H40" s="2" t="s">
        <v>187</v>
      </c>
      <c r="I40" s="2" t="s">
        <v>768</v>
      </c>
      <c r="J40" s="2" t="s">
        <v>30</v>
      </c>
      <c r="K40" s="2" t="s">
        <v>30</v>
      </c>
      <c r="L40" s="2" t="s">
        <v>340</v>
      </c>
      <c r="M40" s="2" t="s">
        <v>47</v>
      </c>
      <c r="N40" s="2" t="s">
        <v>459</v>
      </c>
      <c r="O40" s="2" t="s">
        <v>147</v>
      </c>
      <c r="P40" s="2" t="s">
        <v>1182</v>
      </c>
      <c r="Q40" s="2" t="s">
        <v>426</v>
      </c>
      <c r="R40" s="2" t="s">
        <v>420</v>
      </c>
      <c r="S40" s="2" t="s">
        <v>34</v>
      </c>
      <c r="T40" s="124">
        <v>1.224</v>
      </c>
      <c r="U40" s="2" t="s">
        <v>1909</v>
      </c>
      <c r="V40" s="138">
        <v>3.8E-3</v>
      </c>
      <c r="W40" s="140">
        <v>2.3910000000000001E-2</v>
      </c>
      <c r="X40" s="3" t="s">
        <v>425</v>
      </c>
      <c r="Y40" s="3" t="s">
        <v>147</v>
      </c>
      <c r="Z40" s="124">
        <v>3000000</v>
      </c>
      <c r="AA40" s="134">
        <v>1</v>
      </c>
      <c r="AB40" s="151">
        <v>111.45</v>
      </c>
      <c r="AC40" s="2"/>
      <c r="AD40" s="124">
        <v>3343.5</v>
      </c>
      <c r="AE40" s="2"/>
      <c r="AF40" s="2"/>
      <c r="AG40" s="2" t="s">
        <v>36</v>
      </c>
      <c r="AH40" s="140">
        <v>1E-3</v>
      </c>
      <c r="AI40" s="140">
        <v>1.1372327717046399E-2</v>
      </c>
      <c r="AJ40" s="140">
        <v>1.1564484281086601E-3</v>
      </c>
    </row>
    <row r="41" spans="1:36">
      <c r="A41" s="2">
        <v>382</v>
      </c>
      <c r="B41" s="2">
        <v>382</v>
      </c>
      <c r="C41" s="2" t="s">
        <v>1897</v>
      </c>
      <c r="D41" s="2" t="s">
        <v>1898</v>
      </c>
      <c r="E41" s="3" t="s">
        <v>1325</v>
      </c>
      <c r="F41" s="2" t="s">
        <v>1910</v>
      </c>
      <c r="G41" s="2" t="s">
        <v>1911</v>
      </c>
      <c r="H41" s="2" t="s">
        <v>187</v>
      </c>
      <c r="I41" s="2" t="s">
        <v>768</v>
      </c>
      <c r="J41" s="2" t="s">
        <v>30</v>
      </c>
      <c r="K41" s="2" t="s">
        <v>30</v>
      </c>
      <c r="L41" s="2" t="s">
        <v>340</v>
      </c>
      <c r="M41" s="2" t="s">
        <v>47</v>
      </c>
      <c r="N41" s="2" t="s">
        <v>459</v>
      </c>
      <c r="O41" s="2" t="s">
        <v>147</v>
      </c>
      <c r="P41" s="2" t="s">
        <v>1182</v>
      </c>
      <c r="Q41" s="2" t="s">
        <v>426</v>
      </c>
      <c r="R41" s="2" t="s">
        <v>420</v>
      </c>
      <c r="S41" s="2" t="s">
        <v>34</v>
      </c>
      <c r="T41" s="124">
        <v>2.9279999999999999</v>
      </c>
      <c r="U41" s="2" t="s">
        <v>1912</v>
      </c>
      <c r="V41" s="138">
        <v>1E-3</v>
      </c>
      <c r="W41" s="140">
        <v>2.5739999999999999E-2</v>
      </c>
      <c r="X41" s="3" t="s">
        <v>425</v>
      </c>
      <c r="Y41" s="3" t="s">
        <v>147</v>
      </c>
      <c r="Z41" s="124">
        <v>5800000</v>
      </c>
      <c r="AA41" s="134">
        <v>1</v>
      </c>
      <c r="AB41" s="151">
        <v>103.82</v>
      </c>
      <c r="AC41" s="2"/>
      <c r="AD41" s="124">
        <v>6021.56</v>
      </c>
      <c r="AE41" s="2"/>
      <c r="AF41" s="2"/>
      <c r="AG41" s="2" t="s">
        <v>36</v>
      </c>
      <c r="AH41" s="140">
        <v>2.2279999999999999E-3</v>
      </c>
      <c r="AI41" s="140">
        <v>2.04812782078235E-2</v>
      </c>
      <c r="AJ41" s="140">
        <v>2.08273473807745E-3</v>
      </c>
    </row>
    <row r="42" spans="1:36">
      <c r="A42" s="2">
        <v>382</v>
      </c>
      <c r="B42" s="2">
        <v>382</v>
      </c>
      <c r="C42" s="2" t="s">
        <v>1913</v>
      </c>
      <c r="D42" s="2" t="s">
        <v>1914</v>
      </c>
      <c r="E42" s="3" t="s">
        <v>1325</v>
      </c>
      <c r="F42" s="2" t="s">
        <v>1915</v>
      </c>
      <c r="G42" s="2" t="s">
        <v>1916</v>
      </c>
      <c r="H42" s="2" t="s">
        <v>187</v>
      </c>
      <c r="I42" s="2" t="s">
        <v>768</v>
      </c>
      <c r="J42" s="2" t="s">
        <v>30</v>
      </c>
      <c r="K42" s="2" t="s">
        <v>30</v>
      </c>
      <c r="L42" s="2" t="s">
        <v>340</v>
      </c>
      <c r="M42" s="2" t="s">
        <v>47</v>
      </c>
      <c r="N42" s="2" t="s">
        <v>454</v>
      </c>
      <c r="O42" s="2" t="s">
        <v>147</v>
      </c>
      <c r="P42" s="2" t="s">
        <v>1887</v>
      </c>
      <c r="Q42" s="2" t="s">
        <v>428</v>
      </c>
      <c r="R42" s="2" t="s">
        <v>420</v>
      </c>
      <c r="S42" s="2" t="s">
        <v>34</v>
      </c>
      <c r="T42" s="124">
        <v>1.3089999999999999</v>
      </c>
      <c r="U42" s="2" t="s">
        <v>1917</v>
      </c>
      <c r="V42" s="138">
        <v>3.5400000000000001E-2</v>
      </c>
      <c r="W42" s="140">
        <v>3.0630000000000001E-2</v>
      </c>
      <c r="X42" s="3" t="s">
        <v>425</v>
      </c>
      <c r="Y42" s="3" t="s">
        <v>147</v>
      </c>
      <c r="Z42" s="124">
        <v>-496200</v>
      </c>
      <c r="AA42" s="134">
        <v>1</v>
      </c>
      <c r="AB42" s="151">
        <v>107.99</v>
      </c>
      <c r="AC42" s="2"/>
      <c r="AD42" s="124">
        <v>-535.846</v>
      </c>
      <c r="AE42" s="2"/>
      <c r="AF42" s="2"/>
      <c r="AG42" s="2" t="s">
        <v>36</v>
      </c>
      <c r="AH42" s="140">
        <v>-4.9399999999999997E-4</v>
      </c>
      <c r="AI42" s="140">
        <v>-1.8225873005392401E-3</v>
      </c>
      <c r="AJ42" s="140">
        <v>-1.85338329253391E-4</v>
      </c>
    </row>
    <row r="43" spans="1:36">
      <c r="A43" s="2">
        <v>382</v>
      </c>
      <c r="B43" s="2">
        <v>382</v>
      </c>
      <c r="C43" s="2" t="s">
        <v>1913</v>
      </c>
      <c r="D43" s="2" t="s">
        <v>1914</v>
      </c>
      <c r="E43" s="3" t="s">
        <v>1325</v>
      </c>
      <c r="F43" s="2" t="s">
        <v>1918</v>
      </c>
      <c r="G43" s="2" t="s">
        <v>1916</v>
      </c>
      <c r="H43" s="2" t="s">
        <v>187</v>
      </c>
      <c r="I43" s="2" t="s">
        <v>768</v>
      </c>
      <c r="J43" s="2" t="s">
        <v>30</v>
      </c>
      <c r="K43" s="2" t="s">
        <v>30</v>
      </c>
      <c r="L43" s="2" t="s">
        <v>342</v>
      </c>
      <c r="M43" s="2" t="s">
        <v>47</v>
      </c>
      <c r="N43" s="2" t="s">
        <v>454</v>
      </c>
      <c r="O43" s="2" t="s">
        <v>147</v>
      </c>
      <c r="P43" s="2" t="s">
        <v>1887</v>
      </c>
      <c r="Q43" s="2" t="s">
        <v>428</v>
      </c>
      <c r="R43" s="2" t="s">
        <v>420</v>
      </c>
      <c r="S43" s="2" t="s">
        <v>34</v>
      </c>
      <c r="T43" s="124">
        <v>1.3109999999999999</v>
      </c>
      <c r="U43" s="2" t="s">
        <v>1917</v>
      </c>
      <c r="V43" s="138">
        <v>3.5400000000000001E-2</v>
      </c>
      <c r="W43" s="140">
        <v>3.2239999999999998E-2</v>
      </c>
      <c r="X43" s="3" t="s">
        <v>425</v>
      </c>
      <c r="Y43" s="3" t="s">
        <v>147</v>
      </c>
      <c r="Z43" s="124">
        <v>4962000</v>
      </c>
      <c r="AA43" s="134">
        <v>1</v>
      </c>
      <c r="AB43" s="151">
        <v>107.99</v>
      </c>
      <c r="AC43" s="2"/>
      <c r="AD43" s="124">
        <v>5358.4639999999999</v>
      </c>
      <c r="AE43" s="2"/>
      <c r="AF43" s="2"/>
      <c r="AG43" s="2" t="s">
        <v>36</v>
      </c>
      <c r="AH43" s="140">
        <v>0</v>
      </c>
      <c r="AI43" s="140">
        <v>1.8225873005392398E-2</v>
      </c>
      <c r="AJ43" s="140">
        <v>1.85338329253391E-3</v>
      </c>
    </row>
    <row r="44" spans="1:36">
      <c r="A44" s="2">
        <v>382</v>
      </c>
      <c r="B44" s="2">
        <v>382</v>
      </c>
      <c r="C44" s="2" t="s">
        <v>1610</v>
      </c>
      <c r="D44" s="2" t="s">
        <v>1611</v>
      </c>
      <c r="E44" s="3" t="s">
        <v>1325</v>
      </c>
      <c r="F44" s="2" t="s">
        <v>1919</v>
      </c>
      <c r="G44" s="2" t="s">
        <v>1920</v>
      </c>
      <c r="H44" s="2" t="s">
        <v>187</v>
      </c>
      <c r="I44" s="2" t="s">
        <v>768</v>
      </c>
      <c r="J44" s="2" t="s">
        <v>30</v>
      </c>
      <c r="K44" s="2" t="s">
        <v>30</v>
      </c>
      <c r="L44" s="2" t="s">
        <v>340</v>
      </c>
      <c r="M44" s="2" t="s">
        <v>47</v>
      </c>
      <c r="N44" s="2" t="s">
        <v>475</v>
      </c>
      <c r="O44" s="2" t="s">
        <v>147</v>
      </c>
      <c r="P44" s="2" t="s">
        <v>1756</v>
      </c>
      <c r="Q44" s="2" t="s">
        <v>426</v>
      </c>
      <c r="R44" s="2" t="s">
        <v>420</v>
      </c>
      <c r="S44" s="2" t="s">
        <v>34</v>
      </c>
      <c r="T44" s="124">
        <v>3.0990000000000002</v>
      </c>
      <c r="U44" s="2" t="s">
        <v>1776</v>
      </c>
      <c r="V44" s="138">
        <v>6.4999999999999997E-3</v>
      </c>
      <c r="W44" s="140">
        <v>2.7089999999999999E-2</v>
      </c>
      <c r="X44" s="3" t="s">
        <v>425</v>
      </c>
      <c r="Y44" s="3" t="s">
        <v>147</v>
      </c>
      <c r="Z44" s="124">
        <v>3542553.05</v>
      </c>
      <c r="AA44" s="134">
        <v>1</v>
      </c>
      <c r="AB44" s="151">
        <v>108.48</v>
      </c>
      <c r="AC44" s="2"/>
      <c r="AD44" s="124">
        <v>3842.962</v>
      </c>
      <c r="AE44" s="2"/>
      <c r="AF44" s="2"/>
      <c r="AG44" s="2" t="s">
        <v>36</v>
      </c>
      <c r="AH44" s="140">
        <v>6.5539999999999999E-3</v>
      </c>
      <c r="AI44" s="140">
        <v>1.3071158407400099E-2</v>
      </c>
      <c r="AJ44" s="140">
        <v>1.32920198660288E-3</v>
      </c>
    </row>
    <row r="45" spans="1:36">
      <c r="A45" s="2">
        <v>382</v>
      </c>
      <c r="B45" s="2">
        <v>382</v>
      </c>
      <c r="C45" s="2" t="s">
        <v>1610</v>
      </c>
      <c r="D45" s="2" t="s">
        <v>1611</v>
      </c>
      <c r="E45" s="3" t="s">
        <v>1325</v>
      </c>
      <c r="F45" s="2" t="s">
        <v>1921</v>
      </c>
      <c r="G45" s="2" t="s">
        <v>1922</v>
      </c>
      <c r="H45" s="2" t="s">
        <v>187</v>
      </c>
      <c r="I45" s="2" t="s">
        <v>768</v>
      </c>
      <c r="J45" s="2" t="s">
        <v>30</v>
      </c>
      <c r="K45" s="2" t="s">
        <v>30</v>
      </c>
      <c r="L45" s="2" t="s">
        <v>340</v>
      </c>
      <c r="M45" s="2" t="s">
        <v>47</v>
      </c>
      <c r="N45" s="2" t="s">
        <v>475</v>
      </c>
      <c r="O45" s="2" t="s">
        <v>147</v>
      </c>
      <c r="P45" s="2" t="s">
        <v>1756</v>
      </c>
      <c r="Q45" s="2" t="s">
        <v>426</v>
      </c>
      <c r="R45" s="2" t="s">
        <v>420</v>
      </c>
      <c r="S45" s="2" t="s">
        <v>34</v>
      </c>
      <c r="T45" s="124">
        <v>5.726</v>
      </c>
      <c r="U45" s="2" t="s">
        <v>1923</v>
      </c>
      <c r="V45" s="138">
        <v>3.61E-2</v>
      </c>
      <c r="W45" s="140">
        <v>3.0759999999999999E-2</v>
      </c>
      <c r="X45" s="3" t="s">
        <v>425</v>
      </c>
      <c r="Y45" s="3" t="s">
        <v>147</v>
      </c>
      <c r="Z45" s="124">
        <v>2285395.0699999998</v>
      </c>
      <c r="AA45" s="134">
        <v>1</v>
      </c>
      <c r="AB45" s="151">
        <v>110.37</v>
      </c>
      <c r="AC45" s="2"/>
      <c r="AD45" s="124">
        <v>2522.3910000000001</v>
      </c>
      <c r="AE45" s="2"/>
      <c r="AF45" s="2"/>
      <c r="AG45" s="2" t="s">
        <v>36</v>
      </c>
      <c r="AH45" s="140">
        <v>1.454E-3</v>
      </c>
      <c r="AI45" s="140">
        <v>8.5794681732150394E-3</v>
      </c>
      <c r="AJ45" s="140">
        <v>8.7244341965724297E-4</v>
      </c>
    </row>
    <row r="46" spans="1:36">
      <c r="A46" s="2">
        <v>382</v>
      </c>
      <c r="B46" s="2">
        <v>382</v>
      </c>
      <c r="C46" s="2" t="s">
        <v>1610</v>
      </c>
      <c r="D46" s="2" t="s">
        <v>1611</v>
      </c>
      <c r="E46" s="3" t="s">
        <v>1325</v>
      </c>
      <c r="F46" s="2" t="s">
        <v>1924</v>
      </c>
      <c r="G46" s="2" t="s">
        <v>1925</v>
      </c>
      <c r="H46" s="2" t="s">
        <v>187</v>
      </c>
      <c r="I46" s="2" t="s">
        <v>768</v>
      </c>
      <c r="J46" s="2" t="s">
        <v>30</v>
      </c>
      <c r="K46" s="2" t="s">
        <v>30</v>
      </c>
      <c r="L46" s="2" t="s">
        <v>340</v>
      </c>
      <c r="M46" s="2" t="s">
        <v>47</v>
      </c>
      <c r="N46" s="2" t="s">
        <v>475</v>
      </c>
      <c r="O46" s="2" t="s">
        <v>147</v>
      </c>
      <c r="P46" s="2" t="s">
        <v>1756</v>
      </c>
      <c r="Q46" s="2" t="s">
        <v>426</v>
      </c>
      <c r="R46" s="2" t="s">
        <v>420</v>
      </c>
      <c r="S46" s="2" t="s">
        <v>34</v>
      </c>
      <c r="T46" s="124">
        <v>0.27400000000000002</v>
      </c>
      <c r="U46" s="2" t="s">
        <v>1926</v>
      </c>
      <c r="V46" s="138">
        <v>2.3E-2</v>
      </c>
      <c r="W46" s="140">
        <v>2.1250000000000002E-2</v>
      </c>
      <c r="X46" s="3" t="s">
        <v>425</v>
      </c>
      <c r="Y46" s="3" t="s">
        <v>147</v>
      </c>
      <c r="Z46" s="124">
        <v>1995807.72</v>
      </c>
      <c r="AA46" s="134">
        <v>1</v>
      </c>
      <c r="AB46" s="151">
        <v>118.09</v>
      </c>
      <c r="AC46" s="2"/>
      <c r="AD46" s="124">
        <v>2356.8490000000002</v>
      </c>
      <c r="AE46" s="2"/>
      <c r="AF46" s="2"/>
      <c r="AG46" s="2" t="s">
        <v>36</v>
      </c>
      <c r="AH46" s="140">
        <v>2.5079999999999998E-3</v>
      </c>
      <c r="AI46" s="140">
        <v>8.0164088634446396E-3</v>
      </c>
      <c r="AJ46" s="140">
        <v>8.1518609557046904E-4</v>
      </c>
    </row>
    <row r="47" spans="1:36">
      <c r="A47" s="2">
        <v>382</v>
      </c>
      <c r="B47" s="2">
        <v>382</v>
      </c>
      <c r="C47" s="2" t="s">
        <v>1610</v>
      </c>
      <c r="D47" s="2" t="s">
        <v>1611</v>
      </c>
      <c r="E47" s="3" t="s">
        <v>1325</v>
      </c>
      <c r="F47" s="2" t="s">
        <v>1927</v>
      </c>
      <c r="G47" s="2" t="s">
        <v>1928</v>
      </c>
      <c r="H47" s="2" t="s">
        <v>187</v>
      </c>
      <c r="I47" s="2" t="s">
        <v>768</v>
      </c>
      <c r="J47" s="2" t="s">
        <v>30</v>
      </c>
      <c r="K47" s="2" t="s">
        <v>30</v>
      </c>
      <c r="L47" s="2" t="s">
        <v>340</v>
      </c>
      <c r="M47" s="2" t="s">
        <v>47</v>
      </c>
      <c r="N47" s="2" t="s">
        <v>475</v>
      </c>
      <c r="O47" s="2" t="s">
        <v>147</v>
      </c>
      <c r="P47" s="2" t="s">
        <v>1756</v>
      </c>
      <c r="Q47" s="2" t="s">
        <v>426</v>
      </c>
      <c r="R47" s="2" t="s">
        <v>420</v>
      </c>
      <c r="S47" s="2" t="s">
        <v>34</v>
      </c>
      <c r="T47" s="124">
        <v>3.4910000000000001</v>
      </c>
      <c r="U47" s="2" t="s">
        <v>1929</v>
      </c>
      <c r="V47" s="138">
        <v>2.2499999999999999E-2</v>
      </c>
      <c r="W47" s="140">
        <v>2.9399999999999999E-2</v>
      </c>
      <c r="X47" s="3" t="s">
        <v>425</v>
      </c>
      <c r="Y47" s="3" t="s">
        <v>147</v>
      </c>
      <c r="Z47" s="124">
        <v>6008955.0599999996</v>
      </c>
      <c r="AA47" s="134">
        <v>1</v>
      </c>
      <c r="AB47" s="151">
        <v>115.02</v>
      </c>
      <c r="AC47" s="2"/>
      <c r="AD47" s="124">
        <v>6911.5</v>
      </c>
      <c r="AE47" s="2"/>
      <c r="AF47" s="2"/>
      <c r="AG47" s="2" t="s">
        <v>36</v>
      </c>
      <c r="AH47" s="140">
        <v>3.4069999999999999E-3</v>
      </c>
      <c r="AI47" s="140">
        <v>2.3508253108257399E-2</v>
      </c>
      <c r="AJ47" s="140">
        <v>2.3905468634951902E-3</v>
      </c>
    </row>
    <row r="48" spans="1:36">
      <c r="A48" s="2">
        <v>382</v>
      </c>
      <c r="B48" s="2">
        <v>382</v>
      </c>
      <c r="C48" s="2" t="s">
        <v>1610</v>
      </c>
      <c r="D48" s="2" t="s">
        <v>1611</v>
      </c>
      <c r="E48" s="3" t="s">
        <v>1325</v>
      </c>
      <c r="F48" s="2" t="s">
        <v>1930</v>
      </c>
      <c r="G48" s="2" t="s">
        <v>1931</v>
      </c>
      <c r="H48" s="2" t="s">
        <v>187</v>
      </c>
      <c r="I48" s="2" t="s">
        <v>768</v>
      </c>
      <c r="J48" s="2" t="s">
        <v>30</v>
      </c>
      <c r="K48" s="2" t="s">
        <v>30</v>
      </c>
      <c r="L48" s="2" t="s">
        <v>340</v>
      </c>
      <c r="M48" s="2" t="s">
        <v>47</v>
      </c>
      <c r="N48" s="2" t="s">
        <v>475</v>
      </c>
      <c r="O48" s="2" t="s">
        <v>147</v>
      </c>
      <c r="P48" s="2" t="s">
        <v>1756</v>
      </c>
      <c r="Q48" s="2" t="s">
        <v>426</v>
      </c>
      <c r="R48" s="2" t="s">
        <v>420</v>
      </c>
      <c r="S48" s="2" t="s">
        <v>34</v>
      </c>
      <c r="T48" s="124">
        <v>4.8760000000000003</v>
      </c>
      <c r="U48" s="2" t="s">
        <v>1932</v>
      </c>
      <c r="V48" s="138">
        <v>2.5000000000000001E-3</v>
      </c>
      <c r="W48" s="140">
        <v>2.7699999999999999E-2</v>
      </c>
      <c r="X48" s="3" t="s">
        <v>425</v>
      </c>
      <c r="Y48" s="3" t="s">
        <v>147</v>
      </c>
      <c r="Z48" s="124">
        <v>4245600.3499999996</v>
      </c>
      <c r="AA48" s="134">
        <v>1</v>
      </c>
      <c r="AB48" s="151">
        <v>100.5</v>
      </c>
      <c r="AC48" s="2"/>
      <c r="AD48" s="124">
        <v>4266.8280000000004</v>
      </c>
      <c r="AE48" s="2"/>
      <c r="AF48" s="2"/>
      <c r="AG48" s="2" t="s">
        <v>36</v>
      </c>
      <c r="AH48" s="140">
        <v>3.14E-3</v>
      </c>
      <c r="AI48" s="140">
        <v>1.45128668546391E-2</v>
      </c>
      <c r="AJ48" s="140">
        <v>1.4758088650787299E-3</v>
      </c>
    </row>
    <row r="49" spans="1:36">
      <c r="A49" s="2">
        <v>382</v>
      </c>
      <c r="B49" s="2">
        <v>382</v>
      </c>
      <c r="C49" s="2" t="s">
        <v>1933</v>
      </c>
      <c r="D49" s="2" t="s">
        <v>1934</v>
      </c>
      <c r="E49" s="3" t="s">
        <v>1325</v>
      </c>
      <c r="F49" s="2" t="s">
        <v>1935</v>
      </c>
      <c r="G49" s="2" t="s">
        <v>1936</v>
      </c>
      <c r="H49" s="2" t="s">
        <v>187</v>
      </c>
      <c r="I49" s="2" t="s">
        <v>768</v>
      </c>
      <c r="J49" s="2" t="s">
        <v>30</v>
      </c>
      <c r="K49" s="2" t="s">
        <v>30</v>
      </c>
      <c r="L49" s="2" t="s">
        <v>340</v>
      </c>
      <c r="M49" s="2" t="s">
        <v>47</v>
      </c>
      <c r="N49" s="2" t="s">
        <v>475</v>
      </c>
      <c r="O49" s="2" t="s">
        <v>147</v>
      </c>
      <c r="P49" s="2" t="s">
        <v>1937</v>
      </c>
      <c r="Q49" s="2" t="s">
        <v>426</v>
      </c>
      <c r="R49" s="2" t="s">
        <v>420</v>
      </c>
      <c r="S49" s="2" t="s">
        <v>34</v>
      </c>
      <c r="T49" s="124">
        <v>0.73899999999999999</v>
      </c>
      <c r="U49" s="2" t="s">
        <v>1938</v>
      </c>
      <c r="V49" s="138">
        <v>4.9500000000000002E-2</v>
      </c>
      <c r="W49" s="140">
        <v>3.2739999999999998E-2</v>
      </c>
      <c r="X49" s="3" t="s">
        <v>425</v>
      </c>
      <c r="Y49" s="3" t="s">
        <v>147</v>
      </c>
      <c r="Z49" s="124">
        <v>500000.95</v>
      </c>
      <c r="AA49" s="134">
        <v>1</v>
      </c>
      <c r="AB49" s="151">
        <v>143.07</v>
      </c>
      <c r="AC49" s="2"/>
      <c r="AD49" s="124">
        <v>715.351</v>
      </c>
      <c r="AE49" s="2"/>
      <c r="AF49" s="2"/>
      <c r="AG49" s="2" t="s">
        <v>36</v>
      </c>
      <c r="AH49" s="140">
        <v>2.2769999999999999E-3</v>
      </c>
      <c r="AI49" s="140">
        <v>2.4331419438489402E-3</v>
      </c>
      <c r="AJ49" s="140">
        <v>2.4742543886698199E-4</v>
      </c>
    </row>
    <row r="50" spans="1:36">
      <c r="A50" s="2">
        <v>382</v>
      </c>
      <c r="B50" s="2">
        <v>382</v>
      </c>
      <c r="C50" s="2" t="s">
        <v>1633</v>
      </c>
      <c r="D50" s="2" t="s">
        <v>1634</v>
      </c>
      <c r="E50" s="3" t="s">
        <v>1325</v>
      </c>
      <c r="F50" s="2" t="s">
        <v>1939</v>
      </c>
      <c r="G50" s="2" t="s">
        <v>1940</v>
      </c>
      <c r="H50" s="2" t="s">
        <v>187</v>
      </c>
      <c r="I50" s="2" t="s">
        <v>768</v>
      </c>
      <c r="J50" s="2" t="s">
        <v>30</v>
      </c>
      <c r="K50" s="2" t="s">
        <v>30</v>
      </c>
      <c r="L50" s="2" t="s">
        <v>340</v>
      </c>
      <c r="M50" s="2" t="s">
        <v>47</v>
      </c>
      <c r="N50" s="2" t="s">
        <v>475</v>
      </c>
      <c r="O50" s="2" t="s">
        <v>147</v>
      </c>
      <c r="P50" s="2" t="s">
        <v>104</v>
      </c>
      <c r="Q50" s="2" t="s">
        <v>426</v>
      </c>
      <c r="R50" s="2" t="s">
        <v>420</v>
      </c>
      <c r="S50" s="2" t="s">
        <v>34</v>
      </c>
      <c r="T50" s="124">
        <v>2.6619999999999999</v>
      </c>
      <c r="U50" s="2" t="s">
        <v>1941</v>
      </c>
      <c r="V50" s="138">
        <v>1.34E-2</v>
      </c>
      <c r="W50" s="140">
        <v>2.8070000000000001E-2</v>
      </c>
      <c r="X50" s="3" t="s">
        <v>425</v>
      </c>
      <c r="Y50" s="3" t="s">
        <v>147</v>
      </c>
      <c r="Z50" s="124">
        <v>3832320.45</v>
      </c>
      <c r="AA50" s="134">
        <v>1</v>
      </c>
      <c r="AB50" s="151">
        <v>113.01</v>
      </c>
      <c r="AC50" s="2"/>
      <c r="AD50" s="124">
        <v>4330.9049999999997</v>
      </c>
      <c r="AE50" s="2"/>
      <c r="AF50" s="2"/>
      <c r="AG50" s="2" t="s">
        <v>36</v>
      </c>
      <c r="AH50" s="140">
        <v>1.5770000000000001E-3</v>
      </c>
      <c r="AI50" s="140">
        <v>1.4730813472165099E-2</v>
      </c>
      <c r="AJ50" s="140">
        <v>1.4979717880546301E-3</v>
      </c>
    </row>
    <row r="51" spans="1:36">
      <c r="A51" s="2">
        <v>382</v>
      </c>
      <c r="B51" s="2">
        <v>382</v>
      </c>
      <c r="C51" s="2" t="s">
        <v>1637</v>
      </c>
      <c r="D51" s="2" t="s">
        <v>1638</v>
      </c>
      <c r="E51" s="3" t="s">
        <v>1325</v>
      </c>
      <c r="F51" s="2" t="s">
        <v>1942</v>
      </c>
      <c r="G51" s="2" t="s">
        <v>1943</v>
      </c>
      <c r="H51" s="2" t="s">
        <v>187</v>
      </c>
      <c r="I51" s="2" t="s">
        <v>768</v>
      </c>
      <c r="J51" s="2" t="s">
        <v>30</v>
      </c>
      <c r="K51" s="2" t="s">
        <v>30</v>
      </c>
      <c r="L51" s="2" t="s">
        <v>340</v>
      </c>
      <c r="M51" s="2" t="s">
        <v>47</v>
      </c>
      <c r="N51" s="2" t="s">
        <v>459</v>
      </c>
      <c r="O51" s="2" t="s">
        <v>147</v>
      </c>
      <c r="P51" s="2" t="s">
        <v>1760</v>
      </c>
      <c r="Q51" s="2" t="s">
        <v>426</v>
      </c>
      <c r="R51" s="2" t="s">
        <v>420</v>
      </c>
      <c r="S51" s="2" t="s">
        <v>34</v>
      </c>
      <c r="T51" s="124">
        <v>1.101</v>
      </c>
      <c r="U51" s="2" t="s">
        <v>1944</v>
      </c>
      <c r="V51" s="138">
        <v>2.5899999999999999E-2</v>
      </c>
      <c r="W51" s="140">
        <v>2.8549999999999999E-2</v>
      </c>
      <c r="X51" s="3" t="s">
        <v>425</v>
      </c>
      <c r="Y51" s="3" t="s">
        <v>147</v>
      </c>
      <c r="Z51" s="124">
        <v>550000</v>
      </c>
      <c r="AA51" s="134">
        <v>1</v>
      </c>
      <c r="AB51" s="151">
        <v>117.6</v>
      </c>
      <c r="AC51" s="2"/>
      <c r="AD51" s="124">
        <v>646.79999999999995</v>
      </c>
      <c r="AE51" s="2"/>
      <c r="AF51" s="2"/>
      <c r="AG51" s="2" t="s">
        <v>36</v>
      </c>
      <c r="AH51" s="140">
        <v>5.2099999999999998E-4</v>
      </c>
      <c r="AI51" s="140">
        <v>2.1999765417633002E-3</v>
      </c>
      <c r="AJ51" s="140">
        <v>2.2371492247664999E-4</v>
      </c>
    </row>
    <row r="52" spans="1:36">
      <c r="A52" s="2">
        <v>382</v>
      </c>
      <c r="B52" s="2">
        <v>382</v>
      </c>
      <c r="C52" s="2" t="s">
        <v>1637</v>
      </c>
      <c r="D52" s="2" t="s">
        <v>1638</v>
      </c>
      <c r="E52" s="3" t="s">
        <v>1325</v>
      </c>
      <c r="F52" s="2" t="s">
        <v>1945</v>
      </c>
      <c r="G52" s="2" t="s">
        <v>1946</v>
      </c>
      <c r="H52" s="2" t="s">
        <v>187</v>
      </c>
      <c r="I52" s="2" t="s">
        <v>768</v>
      </c>
      <c r="J52" s="2" t="s">
        <v>30</v>
      </c>
      <c r="K52" s="2" t="s">
        <v>30</v>
      </c>
      <c r="L52" s="2" t="s">
        <v>340</v>
      </c>
      <c r="M52" s="2" t="s">
        <v>47</v>
      </c>
      <c r="N52" s="2" t="s">
        <v>459</v>
      </c>
      <c r="O52" s="2" t="s">
        <v>147</v>
      </c>
      <c r="P52" s="2" t="s">
        <v>1182</v>
      </c>
      <c r="Q52" s="2" t="s">
        <v>426</v>
      </c>
      <c r="R52" s="2" t="s">
        <v>420</v>
      </c>
      <c r="S52" s="2" t="s">
        <v>34</v>
      </c>
      <c r="T52" s="124">
        <v>3.5870000000000002</v>
      </c>
      <c r="U52" s="2" t="s">
        <v>1947</v>
      </c>
      <c r="V52" s="138">
        <v>1E-3</v>
      </c>
      <c r="W52" s="140">
        <v>2.5610000000000001E-2</v>
      </c>
      <c r="X52" s="3" t="s">
        <v>425</v>
      </c>
      <c r="Y52" s="3" t="s">
        <v>147</v>
      </c>
      <c r="Z52" s="124">
        <v>3500000</v>
      </c>
      <c r="AA52" s="134">
        <v>1</v>
      </c>
      <c r="AB52" s="151">
        <v>103.24</v>
      </c>
      <c r="AC52" s="2"/>
      <c r="AD52" s="124">
        <v>3613.4</v>
      </c>
      <c r="AE52" s="2"/>
      <c r="AF52" s="2"/>
      <c r="AG52" s="2" t="s">
        <v>36</v>
      </c>
      <c r="AH52" s="140">
        <v>3.5560000000000001E-3</v>
      </c>
      <c r="AI52" s="140">
        <v>1.22903451391582E-2</v>
      </c>
      <c r="AJ52" s="140">
        <v>1.24980133097886E-3</v>
      </c>
    </row>
    <row r="53" spans="1:36">
      <c r="A53" s="2">
        <v>382</v>
      </c>
      <c r="B53" s="2">
        <v>382</v>
      </c>
      <c r="C53" s="2" t="s">
        <v>1637</v>
      </c>
      <c r="D53" s="2" t="s">
        <v>1638</v>
      </c>
      <c r="E53" s="3" t="s">
        <v>1325</v>
      </c>
      <c r="F53" s="2" t="s">
        <v>1948</v>
      </c>
      <c r="G53" s="2" t="s">
        <v>1949</v>
      </c>
      <c r="H53" s="2" t="s">
        <v>187</v>
      </c>
      <c r="I53" s="2" t="s">
        <v>768</v>
      </c>
      <c r="J53" s="2" t="s">
        <v>30</v>
      </c>
      <c r="K53" s="2" t="s">
        <v>30</v>
      </c>
      <c r="L53" s="2" t="s">
        <v>340</v>
      </c>
      <c r="M53" s="2" t="s">
        <v>47</v>
      </c>
      <c r="N53" s="2" t="s">
        <v>459</v>
      </c>
      <c r="O53" s="2" t="s">
        <v>147</v>
      </c>
      <c r="P53" s="2" t="s">
        <v>1182</v>
      </c>
      <c r="Q53" s="2" t="s">
        <v>426</v>
      </c>
      <c r="R53" s="2" t="s">
        <v>420</v>
      </c>
      <c r="S53" s="2" t="s">
        <v>34</v>
      </c>
      <c r="T53" s="124">
        <v>1.54</v>
      </c>
      <c r="U53" s="2" t="s">
        <v>1950</v>
      </c>
      <c r="V53" s="138">
        <v>6.0000000000000001E-3</v>
      </c>
      <c r="W53" s="140">
        <v>2.4459999999999999E-2</v>
      </c>
      <c r="X53" s="3" t="s">
        <v>425</v>
      </c>
      <c r="Y53" s="3" t="s">
        <v>147</v>
      </c>
      <c r="Z53" s="124">
        <v>3962222.34</v>
      </c>
      <c r="AA53" s="134">
        <v>1</v>
      </c>
      <c r="AB53" s="151">
        <v>113.98</v>
      </c>
      <c r="AC53" s="2"/>
      <c r="AD53" s="124">
        <v>4516.1409999999996</v>
      </c>
      <c r="AE53" s="2"/>
      <c r="AF53" s="2"/>
      <c r="AG53" s="2" t="s">
        <v>36</v>
      </c>
      <c r="AH53" s="140">
        <v>4.4539999999999996E-3</v>
      </c>
      <c r="AI53" s="140">
        <v>1.5360860096143E-2</v>
      </c>
      <c r="AJ53" s="140">
        <v>1.5620410310506999E-3</v>
      </c>
    </row>
    <row r="54" spans="1:36">
      <c r="A54" s="2">
        <v>382</v>
      </c>
      <c r="B54" s="2">
        <v>382</v>
      </c>
      <c r="C54" s="2" t="s">
        <v>1637</v>
      </c>
      <c r="D54" s="2" t="s">
        <v>1638</v>
      </c>
      <c r="E54" s="3" t="s">
        <v>1325</v>
      </c>
      <c r="F54" s="2" t="s">
        <v>1951</v>
      </c>
      <c r="G54" s="2" t="s">
        <v>1952</v>
      </c>
      <c r="H54" s="2" t="s">
        <v>187</v>
      </c>
      <c r="I54" s="2" t="s">
        <v>768</v>
      </c>
      <c r="J54" s="2" t="s">
        <v>30</v>
      </c>
      <c r="K54" s="2" t="s">
        <v>30</v>
      </c>
      <c r="L54" s="2" t="s">
        <v>340</v>
      </c>
      <c r="M54" s="2" t="s">
        <v>47</v>
      </c>
      <c r="N54" s="2" t="s">
        <v>459</v>
      </c>
      <c r="O54" s="2" t="s">
        <v>147</v>
      </c>
      <c r="P54" s="2" t="s">
        <v>1182</v>
      </c>
      <c r="Q54" s="2" t="s">
        <v>426</v>
      </c>
      <c r="R54" s="2" t="s">
        <v>420</v>
      </c>
      <c r="S54" s="2" t="s">
        <v>34</v>
      </c>
      <c r="T54" s="124">
        <v>3.0529999999999999</v>
      </c>
      <c r="U54" s="2" t="s">
        <v>1953</v>
      </c>
      <c r="V54" s="138">
        <v>1.7500000000000002E-2</v>
      </c>
      <c r="W54" s="140">
        <v>2.554E-2</v>
      </c>
      <c r="X54" s="3" t="s">
        <v>425</v>
      </c>
      <c r="Y54" s="3" t="s">
        <v>147</v>
      </c>
      <c r="Z54" s="124">
        <v>7357594.5199999996</v>
      </c>
      <c r="AA54" s="134">
        <v>1</v>
      </c>
      <c r="AB54" s="151">
        <v>112.78</v>
      </c>
      <c r="AC54" s="2"/>
      <c r="AD54" s="124">
        <v>8297.8950000000004</v>
      </c>
      <c r="AE54" s="2"/>
      <c r="AF54" s="2"/>
      <c r="AG54" s="2" t="s">
        <v>36</v>
      </c>
      <c r="AH54" s="140">
        <v>3.3010000000000001E-3</v>
      </c>
      <c r="AI54" s="140">
        <v>2.8223832042757899E-2</v>
      </c>
      <c r="AJ54" s="140">
        <v>2.8700726019463699E-3</v>
      </c>
    </row>
    <row r="55" spans="1:36">
      <c r="A55" s="2">
        <v>382</v>
      </c>
      <c r="B55" s="2">
        <v>382</v>
      </c>
      <c r="C55" s="2" t="s">
        <v>1637</v>
      </c>
      <c r="D55" s="2" t="s">
        <v>1638</v>
      </c>
      <c r="E55" s="3" t="s">
        <v>1325</v>
      </c>
      <c r="F55" s="2" t="s">
        <v>1954</v>
      </c>
      <c r="G55" s="2" t="s">
        <v>1955</v>
      </c>
      <c r="H55" s="2" t="s">
        <v>187</v>
      </c>
      <c r="I55" s="2" t="s">
        <v>768</v>
      </c>
      <c r="J55" s="2" t="s">
        <v>30</v>
      </c>
      <c r="K55" s="2" t="s">
        <v>30</v>
      </c>
      <c r="L55" s="2" t="s">
        <v>340</v>
      </c>
      <c r="M55" s="2" t="s">
        <v>31</v>
      </c>
      <c r="N55" s="2" t="s">
        <v>459</v>
      </c>
      <c r="O55" s="2" t="s">
        <v>147</v>
      </c>
      <c r="P55" s="2" t="s">
        <v>1760</v>
      </c>
      <c r="Q55" s="2" t="s">
        <v>426</v>
      </c>
      <c r="R55" s="2" t="s">
        <v>420</v>
      </c>
      <c r="S55" s="2" t="s">
        <v>34</v>
      </c>
      <c r="T55" s="124">
        <v>6.8019999999999996</v>
      </c>
      <c r="U55" s="2" t="s">
        <v>1956</v>
      </c>
      <c r="V55" s="138">
        <v>3.4500000000000003E-2</v>
      </c>
      <c r="W55" s="140">
        <v>3.1910000000000001E-2</v>
      </c>
      <c r="X55" s="3" t="s">
        <v>425</v>
      </c>
      <c r="Y55" s="3" t="s">
        <v>147</v>
      </c>
      <c r="Z55" s="124">
        <v>8300000</v>
      </c>
      <c r="AA55" s="134">
        <v>1</v>
      </c>
      <c r="AB55" s="151">
        <v>102.77</v>
      </c>
      <c r="AC55" s="2"/>
      <c r="AD55" s="124">
        <v>8529.91</v>
      </c>
      <c r="AE55" s="2"/>
      <c r="AF55" s="2"/>
      <c r="AG55" s="2" t="s">
        <v>36</v>
      </c>
      <c r="AH55" s="140">
        <v>9.0240000000000008E-3</v>
      </c>
      <c r="AI55" s="140">
        <v>2.9012989955708401E-2</v>
      </c>
      <c r="AJ55" s="140">
        <v>2.9503218218657999E-3</v>
      </c>
    </row>
    <row r="56" spans="1:36">
      <c r="A56" s="2">
        <v>382</v>
      </c>
      <c r="B56" s="2">
        <v>382</v>
      </c>
      <c r="C56" s="2" t="s">
        <v>1637</v>
      </c>
      <c r="D56" s="2" t="s">
        <v>1638</v>
      </c>
      <c r="E56" s="3" t="s">
        <v>1325</v>
      </c>
      <c r="F56" s="2" t="s">
        <v>1957</v>
      </c>
      <c r="G56" s="2" t="s">
        <v>1958</v>
      </c>
      <c r="H56" s="2" t="s">
        <v>187</v>
      </c>
      <c r="I56" s="2" t="s">
        <v>768</v>
      </c>
      <c r="J56" s="2" t="s">
        <v>30</v>
      </c>
      <c r="K56" s="2" t="s">
        <v>30</v>
      </c>
      <c r="L56" s="2" t="s">
        <v>340</v>
      </c>
      <c r="M56" s="2" t="s">
        <v>47</v>
      </c>
      <c r="N56" s="2" t="s">
        <v>459</v>
      </c>
      <c r="O56" s="2" t="s">
        <v>147</v>
      </c>
      <c r="P56" s="2" t="s">
        <v>1760</v>
      </c>
      <c r="Q56" s="2" t="s">
        <v>426</v>
      </c>
      <c r="R56" s="2" t="s">
        <v>420</v>
      </c>
      <c r="S56" s="2" t="s">
        <v>34</v>
      </c>
      <c r="T56" s="124">
        <v>1.349</v>
      </c>
      <c r="U56" s="2" t="s">
        <v>1959</v>
      </c>
      <c r="V56" s="138">
        <v>2.9700000000000001E-2</v>
      </c>
      <c r="W56" s="140">
        <v>2.9309999999999999E-2</v>
      </c>
      <c r="X56" s="3" t="s">
        <v>425</v>
      </c>
      <c r="Y56" s="3" t="s">
        <v>147</v>
      </c>
      <c r="Z56" s="124">
        <v>4500000</v>
      </c>
      <c r="AA56" s="134">
        <v>1</v>
      </c>
      <c r="AB56" s="151">
        <v>117.74</v>
      </c>
      <c r="AC56" s="2"/>
      <c r="AD56" s="124">
        <v>5298.3</v>
      </c>
      <c r="AE56" s="2"/>
      <c r="AF56" s="2"/>
      <c r="AG56" s="2" t="s">
        <v>36</v>
      </c>
      <c r="AH56" s="140">
        <v>6.4289999999999998E-3</v>
      </c>
      <c r="AI56" s="140">
        <v>1.8021236411911699E-2</v>
      </c>
      <c r="AJ56" s="140">
        <v>1.83257386171619E-3</v>
      </c>
    </row>
    <row r="57" spans="1:36">
      <c r="A57" s="2">
        <v>382</v>
      </c>
      <c r="B57" s="2">
        <v>382</v>
      </c>
      <c r="C57" s="2" t="s">
        <v>1637</v>
      </c>
      <c r="D57" s="2" t="s">
        <v>1638</v>
      </c>
      <c r="E57" s="3" t="s">
        <v>1325</v>
      </c>
      <c r="F57" s="2" t="s">
        <v>1960</v>
      </c>
      <c r="G57" s="2" t="s">
        <v>1961</v>
      </c>
      <c r="H57" s="2" t="s">
        <v>187</v>
      </c>
      <c r="I57" s="2" t="s">
        <v>768</v>
      </c>
      <c r="J57" s="2" t="s">
        <v>30</v>
      </c>
      <c r="K57" s="2" t="s">
        <v>30</v>
      </c>
      <c r="L57" s="2" t="s">
        <v>340</v>
      </c>
      <c r="M57" s="2" t="s">
        <v>47</v>
      </c>
      <c r="N57" s="2" t="s">
        <v>459</v>
      </c>
      <c r="O57" s="2" t="s">
        <v>147</v>
      </c>
      <c r="P57" s="2" t="s">
        <v>1760</v>
      </c>
      <c r="Q57" s="2" t="s">
        <v>426</v>
      </c>
      <c r="R57" s="2" t="s">
        <v>420</v>
      </c>
      <c r="S57" s="2" t="s">
        <v>34</v>
      </c>
      <c r="T57" s="124">
        <v>3.0000000000000001E-3</v>
      </c>
      <c r="U57" s="2" t="s">
        <v>1962</v>
      </c>
      <c r="V57" s="138">
        <v>2.0199999999999999E-2</v>
      </c>
      <c r="W57" s="140">
        <v>0.1356</v>
      </c>
      <c r="X57" s="3" t="s">
        <v>425</v>
      </c>
      <c r="Y57" s="3" t="s">
        <v>147</v>
      </c>
      <c r="Z57" s="124">
        <v>1900000</v>
      </c>
      <c r="AA57" s="134">
        <v>1</v>
      </c>
      <c r="AB57" s="151">
        <v>117.81</v>
      </c>
      <c r="AC57" s="2"/>
      <c r="AD57" s="124">
        <v>2238.39</v>
      </c>
      <c r="AE57" s="2"/>
      <c r="AF57" s="2"/>
      <c r="AG57" s="2" t="s">
        <v>36</v>
      </c>
      <c r="AH57" s="140">
        <v>1.8060000000000001E-3</v>
      </c>
      <c r="AI57" s="140">
        <v>7.6134902463165597E-3</v>
      </c>
      <c r="AJ57" s="140">
        <v>7.7421342814240602E-4</v>
      </c>
    </row>
    <row r="58" spans="1:36">
      <c r="A58" s="2">
        <v>382</v>
      </c>
      <c r="B58" s="2">
        <v>382</v>
      </c>
      <c r="C58" s="2" t="s">
        <v>1963</v>
      </c>
      <c r="D58" s="2" t="s">
        <v>1964</v>
      </c>
      <c r="E58" s="3" t="s">
        <v>1325</v>
      </c>
      <c r="F58" s="2" t="s">
        <v>1965</v>
      </c>
      <c r="G58" s="2" t="s">
        <v>1966</v>
      </c>
      <c r="H58" s="2" t="s">
        <v>187</v>
      </c>
      <c r="I58" s="2" t="s">
        <v>768</v>
      </c>
      <c r="J58" s="2" t="s">
        <v>30</v>
      </c>
      <c r="K58" s="2" t="s">
        <v>30</v>
      </c>
      <c r="L58" s="2" t="s">
        <v>340</v>
      </c>
      <c r="M58" s="2" t="s">
        <v>47</v>
      </c>
      <c r="N58" s="2" t="s">
        <v>451</v>
      </c>
      <c r="O58" s="2" t="s">
        <v>147</v>
      </c>
      <c r="P58" s="2" t="s">
        <v>1760</v>
      </c>
      <c r="Q58" s="2" t="s">
        <v>426</v>
      </c>
      <c r="R58" s="2" t="s">
        <v>420</v>
      </c>
      <c r="S58" s="2" t="s">
        <v>34</v>
      </c>
      <c r="T58" s="124">
        <v>2.101</v>
      </c>
      <c r="U58" s="2" t="s">
        <v>1829</v>
      </c>
      <c r="V58" s="138">
        <v>1.9400000000000001E-2</v>
      </c>
      <c r="W58" s="140">
        <v>2.5569999999999999E-2</v>
      </c>
      <c r="X58" s="3" t="s">
        <v>425</v>
      </c>
      <c r="Y58" s="3" t="s">
        <v>147</v>
      </c>
      <c r="Z58" s="124">
        <v>2099175.77</v>
      </c>
      <c r="AA58" s="134">
        <v>1</v>
      </c>
      <c r="AB58" s="151">
        <v>115.77</v>
      </c>
      <c r="AC58" s="2"/>
      <c r="AD58" s="124">
        <v>2430.2159999999999</v>
      </c>
      <c r="AE58" s="2"/>
      <c r="AF58" s="2"/>
      <c r="AG58" s="2" t="s">
        <v>36</v>
      </c>
      <c r="AH58" s="140">
        <v>8.7080000000000005E-3</v>
      </c>
      <c r="AI58" s="140">
        <v>8.2659519589774102E-3</v>
      </c>
      <c r="AJ58" s="140">
        <v>8.4056205445544503E-4</v>
      </c>
    </row>
    <row r="59" spans="1:36">
      <c r="A59" s="2">
        <v>382</v>
      </c>
      <c r="B59" s="2">
        <v>382</v>
      </c>
      <c r="C59" s="2" t="s">
        <v>1967</v>
      </c>
      <c r="D59" s="2" t="s">
        <v>1968</v>
      </c>
      <c r="E59" s="3" t="s">
        <v>1325</v>
      </c>
      <c r="F59" s="2" t="s">
        <v>1969</v>
      </c>
      <c r="G59" s="2" t="s">
        <v>1970</v>
      </c>
      <c r="H59" s="2" t="s">
        <v>187</v>
      </c>
      <c r="I59" s="2" t="s">
        <v>980</v>
      </c>
      <c r="J59" s="2" t="s">
        <v>30</v>
      </c>
      <c r="K59" s="2" t="s">
        <v>30</v>
      </c>
      <c r="L59" s="2" t="s">
        <v>340</v>
      </c>
      <c r="M59" s="2" t="s">
        <v>47</v>
      </c>
      <c r="N59" s="2" t="s">
        <v>456</v>
      </c>
      <c r="O59" s="2" t="s">
        <v>147</v>
      </c>
      <c r="P59" s="2" t="s">
        <v>1756</v>
      </c>
      <c r="Q59" s="2" t="s">
        <v>426</v>
      </c>
      <c r="R59" s="2" t="s">
        <v>420</v>
      </c>
      <c r="S59" s="2" t="s">
        <v>34</v>
      </c>
      <c r="T59" s="124">
        <v>4.6790000000000003</v>
      </c>
      <c r="U59" s="2" t="s">
        <v>1971</v>
      </c>
      <c r="V59" s="138">
        <v>4.6899999999999997E-2</v>
      </c>
      <c r="W59" s="140">
        <v>5.033E-2</v>
      </c>
      <c r="X59" s="3" t="s">
        <v>425</v>
      </c>
      <c r="Y59" s="3" t="s">
        <v>147</v>
      </c>
      <c r="Z59" s="124">
        <v>5199023</v>
      </c>
      <c r="AA59" s="134">
        <v>1</v>
      </c>
      <c r="AB59" s="151">
        <v>98.85</v>
      </c>
      <c r="AC59" s="2"/>
      <c r="AD59" s="124">
        <v>5139.2340000000004</v>
      </c>
      <c r="AE59" s="2"/>
      <c r="AF59" s="2"/>
      <c r="AG59" s="2" t="s">
        <v>36</v>
      </c>
      <c r="AH59" s="140">
        <v>1.0397999999999999E-2</v>
      </c>
      <c r="AI59" s="140">
        <v>1.7480202165625899E-2</v>
      </c>
      <c r="AJ59" s="140">
        <v>1.77755625940666E-3</v>
      </c>
    </row>
    <row r="60" spans="1:36">
      <c r="A60" s="2">
        <v>382</v>
      </c>
      <c r="B60" s="2">
        <v>382</v>
      </c>
      <c r="C60" s="2" t="s">
        <v>1653</v>
      </c>
      <c r="D60" s="2" t="s">
        <v>1654</v>
      </c>
      <c r="E60" s="3" t="s">
        <v>1325</v>
      </c>
      <c r="F60" s="2" t="s">
        <v>1972</v>
      </c>
      <c r="G60" s="2" t="s">
        <v>1973</v>
      </c>
      <c r="H60" s="2" t="s">
        <v>187</v>
      </c>
      <c r="I60" s="2" t="s">
        <v>768</v>
      </c>
      <c r="J60" s="2" t="s">
        <v>30</v>
      </c>
      <c r="K60" s="2" t="s">
        <v>30</v>
      </c>
      <c r="L60" s="2" t="s">
        <v>340</v>
      </c>
      <c r="M60" s="2" t="s">
        <v>47</v>
      </c>
      <c r="N60" s="2" t="s">
        <v>487</v>
      </c>
      <c r="O60" s="2" t="s">
        <v>147</v>
      </c>
      <c r="P60" s="2" t="s">
        <v>1756</v>
      </c>
      <c r="Q60" s="2" t="s">
        <v>426</v>
      </c>
      <c r="R60" s="2" t="s">
        <v>420</v>
      </c>
      <c r="S60" s="2" t="s">
        <v>34</v>
      </c>
      <c r="T60" s="124">
        <v>1.9410000000000001</v>
      </c>
      <c r="U60" s="2" t="s">
        <v>1974</v>
      </c>
      <c r="V60" s="138">
        <v>4.2999999999999997E-2</v>
      </c>
      <c r="W60" s="140">
        <v>2.547E-2</v>
      </c>
      <c r="X60" s="3" t="s">
        <v>425</v>
      </c>
      <c r="Y60" s="3" t="s">
        <v>147</v>
      </c>
      <c r="Z60" s="124">
        <v>1645835.4</v>
      </c>
      <c r="AA60" s="134">
        <v>1</v>
      </c>
      <c r="AB60" s="151">
        <v>121.82</v>
      </c>
      <c r="AC60" s="2"/>
      <c r="AD60" s="124">
        <v>2004.9570000000001</v>
      </c>
      <c r="AE60" s="2"/>
      <c r="AF60" s="2"/>
      <c r="AG60" s="2" t="s">
        <v>36</v>
      </c>
      <c r="AH60" s="140">
        <v>4.0350000000000004E-3</v>
      </c>
      <c r="AI60" s="140">
        <v>6.81950784271417E-3</v>
      </c>
      <c r="AJ60" s="140">
        <v>6.9347360728624202E-4</v>
      </c>
    </row>
    <row r="61" spans="1:36">
      <c r="A61" s="2">
        <v>382</v>
      </c>
      <c r="B61" s="2">
        <v>382</v>
      </c>
      <c r="C61" s="2" t="s">
        <v>1975</v>
      </c>
      <c r="D61" s="2" t="s">
        <v>1976</v>
      </c>
      <c r="E61" s="3" t="s">
        <v>1325</v>
      </c>
      <c r="F61" s="2" t="s">
        <v>1977</v>
      </c>
      <c r="G61" s="2" t="s">
        <v>1978</v>
      </c>
      <c r="H61" s="2" t="s">
        <v>187</v>
      </c>
      <c r="I61" s="2" t="s">
        <v>768</v>
      </c>
      <c r="J61" s="2" t="s">
        <v>30</v>
      </c>
      <c r="K61" s="2" t="s">
        <v>30</v>
      </c>
      <c r="L61" s="2" t="s">
        <v>340</v>
      </c>
      <c r="M61" s="2" t="s">
        <v>47</v>
      </c>
      <c r="N61" s="2" t="s">
        <v>458</v>
      </c>
      <c r="O61" s="2" t="s">
        <v>147</v>
      </c>
      <c r="P61" s="2" t="s">
        <v>1937</v>
      </c>
      <c r="Q61" s="2" t="s">
        <v>426</v>
      </c>
      <c r="R61" s="2" t="s">
        <v>420</v>
      </c>
      <c r="S61" s="2" t="s">
        <v>34</v>
      </c>
      <c r="T61" s="124">
        <v>3.0000000000000001E-3</v>
      </c>
      <c r="U61" s="2" t="s">
        <v>1979</v>
      </c>
      <c r="V61" s="138">
        <v>4.3400000000000001E-2</v>
      </c>
      <c r="W61" s="140">
        <v>0.29882999999999998</v>
      </c>
      <c r="X61" s="3" t="s">
        <v>425</v>
      </c>
      <c r="Y61" s="3" t="s">
        <v>147</v>
      </c>
      <c r="Z61" s="124">
        <v>0</v>
      </c>
      <c r="AA61" s="134">
        <v>1</v>
      </c>
      <c r="AB61" s="151">
        <v>0</v>
      </c>
      <c r="AC61" s="124">
        <v>2050.4209999999998</v>
      </c>
      <c r="AD61" s="124">
        <v>2050.4209999999998</v>
      </c>
      <c r="AE61" s="2"/>
      <c r="AF61" s="2"/>
      <c r="AG61" s="2" t="s">
        <v>36</v>
      </c>
      <c r="AH61" s="140">
        <v>0</v>
      </c>
      <c r="AI61" s="140">
        <v>6.9741463833351801E-3</v>
      </c>
      <c r="AJ61" s="140">
        <v>7.0919875183673899E-4</v>
      </c>
    </row>
    <row r="62" spans="1:36">
      <c r="A62" s="2">
        <v>382</v>
      </c>
      <c r="B62" s="2">
        <v>382</v>
      </c>
      <c r="C62" s="2" t="s">
        <v>1980</v>
      </c>
      <c r="D62" s="2" t="s">
        <v>1981</v>
      </c>
      <c r="E62" s="3" t="s">
        <v>1325</v>
      </c>
      <c r="F62" s="2" t="s">
        <v>1982</v>
      </c>
      <c r="G62" s="2" t="s">
        <v>1983</v>
      </c>
      <c r="H62" s="2" t="s">
        <v>187</v>
      </c>
      <c r="I62" s="2" t="s">
        <v>980</v>
      </c>
      <c r="J62" s="2" t="s">
        <v>30</v>
      </c>
      <c r="K62" s="2" t="s">
        <v>30</v>
      </c>
      <c r="L62" s="2" t="s">
        <v>340</v>
      </c>
      <c r="M62" s="2" t="s">
        <v>47</v>
      </c>
      <c r="N62" s="2" t="s">
        <v>451</v>
      </c>
      <c r="O62" s="2" t="s">
        <v>147</v>
      </c>
      <c r="P62" s="2" t="s">
        <v>1803</v>
      </c>
      <c r="Q62" s="2" t="s">
        <v>428</v>
      </c>
      <c r="R62" s="2" t="s">
        <v>420</v>
      </c>
      <c r="S62" s="2" t="s">
        <v>34</v>
      </c>
      <c r="T62" s="124">
        <v>3.9580000000000002</v>
      </c>
      <c r="U62" s="2" t="s">
        <v>1984</v>
      </c>
      <c r="V62" s="138">
        <v>6.7699999999999996E-2</v>
      </c>
      <c r="W62" s="140">
        <v>5.6840000000000002E-2</v>
      </c>
      <c r="X62" s="3" t="s">
        <v>425</v>
      </c>
      <c r="Y62" s="3" t="s">
        <v>147</v>
      </c>
      <c r="Z62" s="124">
        <v>4900000</v>
      </c>
      <c r="AA62" s="134">
        <v>1</v>
      </c>
      <c r="AB62" s="151">
        <v>106.28</v>
      </c>
      <c r="AC62" s="2"/>
      <c r="AD62" s="124">
        <v>5207.72</v>
      </c>
      <c r="AE62" s="2"/>
      <c r="AF62" s="2"/>
      <c r="AG62" s="2" t="s">
        <v>36</v>
      </c>
      <c r="AH62" s="140">
        <v>6.5329999999999997E-3</v>
      </c>
      <c r="AI62" s="140">
        <v>1.77131444589851E-2</v>
      </c>
      <c r="AJ62" s="140">
        <v>1.8012440879407799E-3</v>
      </c>
    </row>
    <row r="63" spans="1:36">
      <c r="A63" s="2">
        <v>382</v>
      </c>
      <c r="B63" s="2">
        <v>382</v>
      </c>
      <c r="C63" s="2" t="s">
        <v>1985</v>
      </c>
      <c r="D63" s="2" t="s">
        <v>1986</v>
      </c>
      <c r="E63" s="3" t="s">
        <v>1325</v>
      </c>
      <c r="F63" s="2" t="s">
        <v>1987</v>
      </c>
      <c r="G63" s="2" t="s">
        <v>1988</v>
      </c>
      <c r="H63" s="2" t="s">
        <v>187</v>
      </c>
      <c r="I63" s="2" t="s">
        <v>769</v>
      </c>
      <c r="J63" s="2" t="s">
        <v>30</v>
      </c>
      <c r="K63" s="2" t="s">
        <v>30</v>
      </c>
      <c r="L63" s="2" t="s">
        <v>340</v>
      </c>
      <c r="M63" s="2" t="s">
        <v>47</v>
      </c>
      <c r="N63" s="2" t="s">
        <v>465</v>
      </c>
      <c r="O63" s="2" t="s">
        <v>147</v>
      </c>
      <c r="P63" s="2" t="s">
        <v>1989</v>
      </c>
      <c r="Q63" s="2" t="s">
        <v>428</v>
      </c>
      <c r="R63" s="2" t="s">
        <v>420</v>
      </c>
      <c r="S63" s="2" t="s">
        <v>34</v>
      </c>
      <c r="T63" s="124">
        <v>2.4769999999999999</v>
      </c>
      <c r="U63" s="2" t="s">
        <v>1990</v>
      </c>
      <c r="V63" s="138">
        <v>5.4800000000000001E-2</v>
      </c>
      <c r="W63" s="140">
        <v>6.5290000000000001E-2</v>
      </c>
      <c r="X63" s="3" t="s">
        <v>425</v>
      </c>
      <c r="Y63" s="3" t="s">
        <v>147</v>
      </c>
      <c r="Z63" s="124">
        <v>925100.04</v>
      </c>
      <c r="AA63" s="134">
        <v>1</v>
      </c>
      <c r="AB63" s="151">
        <v>102.76</v>
      </c>
      <c r="AC63" s="2"/>
      <c r="AD63" s="124">
        <v>950.63300000000004</v>
      </c>
      <c r="AE63" s="2"/>
      <c r="AF63" s="2"/>
      <c r="AG63" s="2" t="s">
        <v>36</v>
      </c>
      <c r="AH63" s="140">
        <v>3.444E-3</v>
      </c>
      <c r="AI63" s="140">
        <v>3.2334104240252601E-3</v>
      </c>
      <c r="AJ63" s="140">
        <v>3.2880448887251401E-4</v>
      </c>
    </row>
    <row r="64" spans="1:36">
      <c r="A64" s="2">
        <v>382</v>
      </c>
      <c r="B64" s="2">
        <v>382</v>
      </c>
      <c r="C64" s="2" t="s">
        <v>1991</v>
      </c>
      <c r="D64" s="2" t="s">
        <v>1992</v>
      </c>
      <c r="E64" s="3" t="s">
        <v>1325</v>
      </c>
      <c r="F64" s="2" t="s">
        <v>1993</v>
      </c>
      <c r="G64" s="2" t="s">
        <v>1994</v>
      </c>
      <c r="H64" s="2" t="s">
        <v>187</v>
      </c>
      <c r="I64" s="2" t="s">
        <v>769</v>
      </c>
      <c r="J64" s="2" t="s">
        <v>30</v>
      </c>
      <c r="K64" s="2" t="s">
        <v>30</v>
      </c>
      <c r="L64" s="2" t="s">
        <v>340</v>
      </c>
      <c r="M64" s="2" t="s">
        <v>47</v>
      </c>
      <c r="N64" s="2" t="s">
        <v>465</v>
      </c>
      <c r="O64" s="2" t="s">
        <v>147</v>
      </c>
      <c r="P64" s="2" t="s">
        <v>1887</v>
      </c>
      <c r="Q64" s="2" t="s">
        <v>428</v>
      </c>
      <c r="R64" s="2" t="s">
        <v>420</v>
      </c>
      <c r="S64" s="2" t="s">
        <v>34</v>
      </c>
      <c r="T64" s="124">
        <v>2.6720000000000002</v>
      </c>
      <c r="U64" s="2" t="s">
        <v>1990</v>
      </c>
      <c r="V64" s="138">
        <v>4.6899999999999997E-2</v>
      </c>
      <c r="W64" s="140">
        <v>6.7659999999999998E-2</v>
      </c>
      <c r="X64" s="3" t="s">
        <v>425</v>
      </c>
      <c r="Y64" s="3" t="s">
        <v>147</v>
      </c>
      <c r="Z64" s="124">
        <v>7076099.9500000002</v>
      </c>
      <c r="AA64" s="134">
        <v>1</v>
      </c>
      <c r="AB64" s="151">
        <v>101</v>
      </c>
      <c r="AC64" s="2"/>
      <c r="AD64" s="124">
        <v>7146.8609999999999</v>
      </c>
      <c r="AE64" s="2"/>
      <c r="AF64" s="2"/>
      <c r="AG64" s="2" t="s">
        <v>36</v>
      </c>
      <c r="AH64" s="140">
        <v>5.2370000000000003E-3</v>
      </c>
      <c r="AI64" s="140">
        <v>2.4308791645244601E-2</v>
      </c>
      <c r="AJ64" s="140">
        <v>2.4719533754928701E-3</v>
      </c>
    </row>
    <row r="65" spans="1:36">
      <c r="A65" s="2">
        <v>382</v>
      </c>
      <c r="B65" s="2">
        <v>382</v>
      </c>
      <c r="C65" s="2" t="s">
        <v>1637</v>
      </c>
      <c r="D65" s="2" t="s">
        <v>1638</v>
      </c>
      <c r="E65" s="3" t="s">
        <v>1325</v>
      </c>
      <c r="F65" s="2" t="s">
        <v>1995</v>
      </c>
      <c r="G65" s="2" t="s">
        <v>1996</v>
      </c>
      <c r="H65" s="2" t="s">
        <v>187</v>
      </c>
      <c r="I65" s="2" t="s">
        <v>769</v>
      </c>
      <c r="J65" s="2" t="s">
        <v>30</v>
      </c>
      <c r="K65" s="2" t="s">
        <v>30</v>
      </c>
      <c r="L65" s="2" t="s">
        <v>340</v>
      </c>
      <c r="M65" s="2" t="s">
        <v>31</v>
      </c>
      <c r="N65" s="2" t="s">
        <v>548</v>
      </c>
      <c r="O65" s="2" t="s">
        <v>147</v>
      </c>
      <c r="P65" s="2" t="s">
        <v>1997</v>
      </c>
      <c r="Q65" s="2" t="s">
        <v>444</v>
      </c>
      <c r="R65" s="2" t="s">
        <v>420</v>
      </c>
      <c r="S65" s="2" t="s">
        <v>98</v>
      </c>
      <c r="T65" s="124">
        <v>1.748</v>
      </c>
      <c r="U65" s="2" t="s">
        <v>1998</v>
      </c>
      <c r="V65" s="138">
        <v>3.2550000000000003E-2</v>
      </c>
      <c r="W65" s="140">
        <v>6.0560000000000003E-2</v>
      </c>
      <c r="X65" s="3" t="s">
        <v>425</v>
      </c>
      <c r="Y65" s="3" t="s">
        <v>147</v>
      </c>
      <c r="Z65" s="124">
        <v>2000000</v>
      </c>
      <c r="AA65" s="134">
        <v>3.718</v>
      </c>
      <c r="AB65" s="151">
        <v>96.147999999999996</v>
      </c>
      <c r="AC65" s="2"/>
      <c r="AD65" s="124">
        <v>7149.5559999999996</v>
      </c>
      <c r="AE65" s="2"/>
      <c r="AF65" s="2"/>
      <c r="AG65" s="2" t="s">
        <v>36</v>
      </c>
      <c r="AH65" s="140">
        <v>2E-3</v>
      </c>
      <c r="AI65" s="140">
        <v>2.4317958334915599E-2</v>
      </c>
      <c r="AJ65" s="140">
        <v>2.4728855332819201E-3</v>
      </c>
    </row>
    <row r="66" spans="1:36">
      <c r="A66" s="2">
        <v>382</v>
      </c>
      <c r="B66" s="2">
        <v>382</v>
      </c>
      <c r="C66" s="2" t="s">
        <v>1180</v>
      </c>
      <c r="D66" s="2" t="s">
        <v>1599</v>
      </c>
      <c r="E66" s="3" t="s">
        <v>1325</v>
      </c>
      <c r="F66" s="2" t="s">
        <v>1999</v>
      </c>
      <c r="G66" s="2" t="s">
        <v>2000</v>
      </c>
      <c r="H66" s="2" t="s">
        <v>187</v>
      </c>
      <c r="I66" s="2" t="s">
        <v>769</v>
      </c>
      <c r="J66" s="2" t="s">
        <v>30</v>
      </c>
      <c r="K66" s="2" t="s">
        <v>30</v>
      </c>
      <c r="L66" s="2" t="s">
        <v>340</v>
      </c>
      <c r="M66" s="2" t="s">
        <v>31</v>
      </c>
      <c r="N66" s="2" t="s">
        <v>548</v>
      </c>
      <c r="O66" s="2" t="s">
        <v>147</v>
      </c>
      <c r="P66" s="2" t="s">
        <v>1997</v>
      </c>
      <c r="Q66" s="2" t="s">
        <v>444</v>
      </c>
      <c r="R66" s="2" t="s">
        <v>420</v>
      </c>
      <c r="S66" s="2" t="s">
        <v>98</v>
      </c>
      <c r="T66" s="124">
        <v>5.09</v>
      </c>
      <c r="U66" s="2" t="s">
        <v>2001</v>
      </c>
      <c r="V66" s="138">
        <v>3.2750000000000001E-2</v>
      </c>
      <c r="W66" s="140">
        <v>5.7320000000000003E-2</v>
      </c>
      <c r="X66" s="3" t="s">
        <v>425</v>
      </c>
      <c r="Y66" s="3" t="s">
        <v>147</v>
      </c>
      <c r="Z66" s="124">
        <v>1900000</v>
      </c>
      <c r="AA66" s="134">
        <v>3.718</v>
      </c>
      <c r="AB66" s="151">
        <v>98.468000000000004</v>
      </c>
      <c r="AC66" s="2"/>
      <c r="AD66" s="124">
        <v>6955.9849999999997</v>
      </c>
      <c r="AE66" s="2"/>
      <c r="AF66" s="2"/>
      <c r="AG66" s="2" t="s">
        <v>36</v>
      </c>
      <c r="AH66" s="140">
        <v>2.5330000000000001E-3</v>
      </c>
      <c r="AI66" s="140">
        <v>2.3659561618121001E-2</v>
      </c>
      <c r="AJ66" s="140">
        <v>2.4059333782655199E-3</v>
      </c>
    </row>
    <row r="67" spans="1:36">
      <c r="A67" s="2">
        <v>382</v>
      </c>
      <c r="B67" s="2">
        <v>1404</v>
      </c>
      <c r="C67" s="2" t="s">
        <v>1752</v>
      </c>
      <c r="D67" s="2" t="s">
        <v>1753</v>
      </c>
      <c r="E67" s="3" t="s">
        <v>1325</v>
      </c>
      <c r="F67" s="2" t="s">
        <v>1754</v>
      </c>
      <c r="G67" s="2" t="s">
        <v>1755</v>
      </c>
      <c r="H67" s="2" t="s">
        <v>187</v>
      </c>
      <c r="I67" s="2" t="s">
        <v>768</v>
      </c>
      <c r="J67" s="2" t="s">
        <v>30</v>
      </c>
      <c r="K67" s="2" t="s">
        <v>30</v>
      </c>
      <c r="L67" s="2" t="s">
        <v>340</v>
      </c>
      <c r="M67" s="2" t="s">
        <v>47</v>
      </c>
      <c r="N67" s="2" t="s">
        <v>475</v>
      </c>
      <c r="O67" s="2" t="s">
        <v>147</v>
      </c>
      <c r="P67" s="2" t="s">
        <v>1756</v>
      </c>
      <c r="Q67" s="2" t="s">
        <v>426</v>
      </c>
      <c r="R67" s="2" t="s">
        <v>420</v>
      </c>
      <c r="S67" s="2" t="s">
        <v>34</v>
      </c>
      <c r="T67" s="124">
        <v>2.2669999999999999</v>
      </c>
      <c r="U67" s="2" t="s">
        <v>1757</v>
      </c>
      <c r="V67" s="138">
        <v>2.3400000000000001E-2</v>
      </c>
      <c r="W67" s="140">
        <v>2.7969999999999998E-2</v>
      </c>
      <c r="X67" s="3" t="s">
        <v>425</v>
      </c>
      <c r="Y67" s="3" t="s">
        <v>147</v>
      </c>
      <c r="Z67" s="124">
        <v>50000</v>
      </c>
      <c r="AA67" s="134">
        <v>1</v>
      </c>
      <c r="AB67" s="151">
        <v>114.39</v>
      </c>
      <c r="AC67" s="2"/>
      <c r="AD67" s="124">
        <v>57.195</v>
      </c>
      <c r="AE67" s="2"/>
      <c r="AF67" s="2"/>
      <c r="AG67" s="2" t="s">
        <v>36</v>
      </c>
      <c r="AH67" s="140">
        <v>3.1000000000000001E-5</v>
      </c>
      <c r="AI67" s="140">
        <v>1.36027028347848E-2</v>
      </c>
      <c r="AJ67" s="140">
        <v>2.1392751326842598E-3</v>
      </c>
    </row>
    <row r="68" spans="1:36">
      <c r="A68" s="2">
        <v>382</v>
      </c>
      <c r="B68" s="2">
        <v>1404</v>
      </c>
      <c r="C68" s="2" t="s">
        <v>1752</v>
      </c>
      <c r="D68" s="2" t="s">
        <v>1753</v>
      </c>
      <c r="E68" s="3" t="s">
        <v>1325</v>
      </c>
      <c r="F68" s="2" t="s">
        <v>2002</v>
      </c>
      <c r="G68" s="2" t="s">
        <v>2003</v>
      </c>
      <c r="H68" s="2" t="s">
        <v>187</v>
      </c>
      <c r="I68" s="2" t="s">
        <v>980</v>
      </c>
      <c r="J68" s="2" t="s">
        <v>30</v>
      </c>
      <c r="K68" s="2" t="s">
        <v>30</v>
      </c>
      <c r="L68" s="2" t="s">
        <v>340</v>
      </c>
      <c r="M68" s="2" t="s">
        <v>47</v>
      </c>
      <c r="N68" s="2" t="s">
        <v>475</v>
      </c>
      <c r="O68" s="2" t="s">
        <v>147</v>
      </c>
      <c r="P68" s="2" t="s">
        <v>1756</v>
      </c>
      <c r="Q68" s="2" t="s">
        <v>426</v>
      </c>
      <c r="R68" s="2" t="s">
        <v>420</v>
      </c>
      <c r="S68" s="2" t="s">
        <v>34</v>
      </c>
      <c r="T68" s="124">
        <v>2.2559999999999998</v>
      </c>
      <c r="U68" s="2" t="s">
        <v>1804</v>
      </c>
      <c r="V68" s="138">
        <v>0.05</v>
      </c>
      <c r="W68" s="140">
        <v>5.058E-2</v>
      </c>
      <c r="X68" s="3" t="s">
        <v>425</v>
      </c>
      <c r="Y68" s="3" t="s">
        <v>147</v>
      </c>
      <c r="Z68" s="124">
        <v>80000</v>
      </c>
      <c r="AA68" s="134">
        <v>1</v>
      </c>
      <c r="AB68" s="151">
        <v>102.1</v>
      </c>
      <c r="AC68" s="2"/>
      <c r="AD68" s="124">
        <v>81.680000000000007</v>
      </c>
      <c r="AE68" s="2"/>
      <c r="AF68" s="2"/>
      <c r="AG68" s="2" t="s">
        <v>36</v>
      </c>
      <c r="AH68" s="140">
        <v>2.0000000000000001E-4</v>
      </c>
      <c r="AI68" s="140">
        <v>1.9425977227820902E-2</v>
      </c>
      <c r="AJ68" s="140">
        <v>3.0550921031147799E-3</v>
      </c>
    </row>
    <row r="69" spans="1:36">
      <c r="A69" s="2">
        <v>382</v>
      </c>
      <c r="B69" s="2">
        <v>1404</v>
      </c>
      <c r="C69" s="2" t="s">
        <v>1542</v>
      </c>
      <c r="D69" s="2" t="s">
        <v>1543</v>
      </c>
      <c r="E69" s="3" t="s">
        <v>1325</v>
      </c>
      <c r="F69" s="2" t="s">
        <v>2004</v>
      </c>
      <c r="G69" s="2" t="s">
        <v>2005</v>
      </c>
      <c r="H69" s="2" t="s">
        <v>187</v>
      </c>
      <c r="I69" s="2" t="s">
        <v>980</v>
      </c>
      <c r="J69" s="2" t="s">
        <v>30</v>
      </c>
      <c r="K69" s="2" t="s">
        <v>30</v>
      </c>
      <c r="L69" s="2" t="s">
        <v>340</v>
      </c>
      <c r="M69" s="2" t="s">
        <v>47</v>
      </c>
      <c r="N69" s="2" t="s">
        <v>457</v>
      </c>
      <c r="O69" s="2" t="s">
        <v>147</v>
      </c>
      <c r="P69" s="2" t="s">
        <v>1756</v>
      </c>
      <c r="Q69" s="2" t="s">
        <v>426</v>
      </c>
      <c r="R69" s="2" t="s">
        <v>420</v>
      </c>
      <c r="S69" s="2" t="s">
        <v>34</v>
      </c>
      <c r="T69" s="124">
        <v>2.141</v>
      </c>
      <c r="U69" s="2" t="s">
        <v>2006</v>
      </c>
      <c r="V69" s="138">
        <v>1.0800000000000001E-2</v>
      </c>
      <c r="W69" s="140">
        <v>4.7140000000000001E-2</v>
      </c>
      <c r="X69" s="3" t="s">
        <v>425</v>
      </c>
      <c r="Y69" s="3" t="s">
        <v>147</v>
      </c>
      <c r="Z69" s="124">
        <v>38541.67</v>
      </c>
      <c r="AA69" s="134">
        <v>1</v>
      </c>
      <c r="AB69" s="151">
        <v>92.86</v>
      </c>
      <c r="AC69" s="2"/>
      <c r="AD69" s="124">
        <v>35.79</v>
      </c>
      <c r="AE69" s="2"/>
      <c r="AF69" s="2"/>
      <c r="AG69" s="2" t="s">
        <v>36</v>
      </c>
      <c r="AH69" s="140">
        <v>4.1E-5</v>
      </c>
      <c r="AI69" s="140">
        <v>8.5118968907320902E-3</v>
      </c>
      <c r="AJ69" s="140">
        <v>1.33865229370085E-3</v>
      </c>
    </row>
    <row r="70" spans="1:36">
      <c r="A70" s="2">
        <v>382</v>
      </c>
      <c r="B70" s="2">
        <v>1404</v>
      </c>
      <c r="C70" s="2" t="s">
        <v>1546</v>
      </c>
      <c r="D70" s="2" t="s">
        <v>1547</v>
      </c>
      <c r="E70" s="3" t="s">
        <v>1325</v>
      </c>
      <c r="F70" s="2" t="s">
        <v>2007</v>
      </c>
      <c r="G70" s="2" t="s">
        <v>2008</v>
      </c>
      <c r="H70" s="2" t="s">
        <v>187</v>
      </c>
      <c r="I70" s="2" t="s">
        <v>980</v>
      </c>
      <c r="J70" s="2" t="s">
        <v>30</v>
      </c>
      <c r="K70" s="2" t="s">
        <v>30</v>
      </c>
      <c r="L70" s="2" t="s">
        <v>340</v>
      </c>
      <c r="M70" s="2" t="s">
        <v>47</v>
      </c>
      <c r="N70" s="2" t="s">
        <v>475</v>
      </c>
      <c r="O70" s="2" t="s">
        <v>147</v>
      </c>
      <c r="P70" s="2" t="s">
        <v>1760</v>
      </c>
      <c r="Q70" s="2" t="s">
        <v>426</v>
      </c>
      <c r="R70" s="2" t="s">
        <v>420</v>
      </c>
      <c r="S70" s="2" t="s">
        <v>34</v>
      </c>
      <c r="T70" s="124">
        <v>1.3919999999999999</v>
      </c>
      <c r="U70" s="2" t="s">
        <v>2009</v>
      </c>
      <c r="V70" s="138">
        <v>3.85E-2</v>
      </c>
      <c r="W70" s="140">
        <v>5.0290000000000001E-2</v>
      </c>
      <c r="X70" s="3" t="s">
        <v>425</v>
      </c>
      <c r="Y70" s="3" t="s">
        <v>147</v>
      </c>
      <c r="Z70" s="124">
        <v>47357.15</v>
      </c>
      <c r="AA70" s="134">
        <v>1</v>
      </c>
      <c r="AB70" s="151">
        <v>98.76</v>
      </c>
      <c r="AC70" s="2"/>
      <c r="AD70" s="124">
        <v>46.77</v>
      </c>
      <c r="AE70" s="2"/>
      <c r="AF70" s="2"/>
      <c r="AG70" s="2" t="s">
        <v>36</v>
      </c>
      <c r="AH70" s="140">
        <v>1.5200000000000001E-4</v>
      </c>
      <c r="AI70" s="140">
        <v>1.1123303463489401E-2</v>
      </c>
      <c r="AJ70" s="140">
        <v>1.74934399301094E-3</v>
      </c>
    </row>
    <row r="71" spans="1:36">
      <c r="A71" s="2">
        <v>382</v>
      </c>
      <c r="B71" s="2">
        <v>1404</v>
      </c>
      <c r="C71" s="2" t="s">
        <v>1546</v>
      </c>
      <c r="D71" s="2" t="s">
        <v>1547</v>
      </c>
      <c r="E71" s="3" t="s">
        <v>1325</v>
      </c>
      <c r="F71" s="2" t="s">
        <v>1758</v>
      </c>
      <c r="G71" s="2" t="s">
        <v>1759</v>
      </c>
      <c r="H71" s="2" t="s">
        <v>187</v>
      </c>
      <c r="I71" s="2" t="s">
        <v>768</v>
      </c>
      <c r="J71" s="2" t="s">
        <v>30</v>
      </c>
      <c r="K71" s="2" t="s">
        <v>30</v>
      </c>
      <c r="L71" s="2" t="s">
        <v>340</v>
      </c>
      <c r="M71" s="2" t="s">
        <v>47</v>
      </c>
      <c r="N71" s="2" t="s">
        <v>475</v>
      </c>
      <c r="O71" s="2" t="s">
        <v>147</v>
      </c>
      <c r="P71" s="2" t="s">
        <v>1760</v>
      </c>
      <c r="Q71" s="2" t="s">
        <v>426</v>
      </c>
      <c r="R71" s="2" t="s">
        <v>420</v>
      </c>
      <c r="S71" s="2" t="s">
        <v>34</v>
      </c>
      <c r="T71" s="124">
        <v>6.6630000000000003</v>
      </c>
      <c r="U71" s="2" t="s">
        <v>1761</v>
      </c>
      <c r="V71" s="138">
        <v>2.5600000000000001E-2</v>
      </c>
      <c r="W71" s="140">
        <v>3.5029999999999999E-2</v>
      </c>
      <c r="X71" s="3" t="s">
        <v>425</v>
      </c>
      <c r="Y71" s="3" t="s">
        <v>147</v>
      </c>
      <c r="Z71" s="124">
        <v>30000</v>
      </c>
      <c r="AA71" s="134">
        <v>1</v>
      </c>
      <c r="AB71" s="151">
        <v>101.59</v>
      </c>
      <c r="AC71" s="2"/>
      <c r="AD71" s="124">
        <v>30.477</v>
      </c>
      <c r="AE71" s="2"/>
      <c r="AF71" s="2"/>
      <c r="AG71" s="2" t="s">
        <v>36</v>
      </c>
      <c r="AH71" s="140">
        <v>2.9E-5</v>
      </c>
      <c r="AI71" s="140">
        <v>7.2483534276726099E-3</v>
      </c>
      <c r="AJ71" s="140">
        <v>1.13993685145237E-3</v>
      </c>
    </row>
    <row r="72" spans="1:36">
      <c r="A72" s="2">
        <v>382</v>
      </c>
      <c r="B72" s="2">
        <v>1404</v>
      </c>
      <c r="C72" s="2" t="s">
        <v>1546</v>
      </c>
      <c r="D72" s="2" t="s">
        <v>1547</v>
      </c>
      <c r="E72" s="3" t="s">
        <v>1325</v>
      </c>
      <c r="F72" s="2" t="s">
        <v>1762</v>
      </c>
      <c r="G72" s="2" t="s">
        <v>1763</v>
      </c>
      <c r="H72" s="2" t="s">
        <v>187</v>
      </c>
      <c r="I72" s="2" t="s">
        <v>980</v>
      </c>
      <c r="J72" s="2" t="s">
        <v>30</v>
      </c>
      <c r="K72" s="2" t="s">
        <v>30</v>
      </c>
      <c r="L72" s="2" t="s">
        <v>340</v>
      </c>
      <c r="M72" s="2" t="s">
        <v>47</v>
      </c>
      <c r="N72" s="2" t="s">
        <v>475</v>
      </c>
      <c r="O72" s="2" t="s">
        <v>147</v>
      </c>
      <c r="P72" s="2" t="s">
        <v>1760</v>
      </c>
      <c r="Q72" s="2" t="s">
        <v>426</v>
      </c>
      <c r="R72" s="2" t="s">
        <v>420</v>
      </c>
      <c r="S72" s="2" t="s">
        <v>34</v>
      </c>
      <c r="T72" s="124">
        <v>3.9510000000000001</v>
      </c>
      <c r="U72" s="2" t="s">
        <v>1764</v>
      </c>
      <c r="V72" s="138">
        <v>2.41E-2</v>
      </c>
      <c r="W72" s="140">
        <v>5.2909999999999999E-2</v>
      </c>
      <c r="X72" s="3" t="s">
        <v>425</v>
      </c>
      <c r="Y72" s="3" t="s">
        <v>147</v>
      </c>
      <c r="Z72" s="124">
        <v>84240</v>
      </c>
      <c r="AA72" s="134">
        <v>1</v>
      </c>
      <c r="AB72" s="151">
        <v>89.75</v>
      </c>
      <c r="AC72" s="2"/>
      <c r="AD72" s="124">
        <v>75.605000000000004</v>
      </c>
      <c r="AE72" s="2"/>
      <c r="AF72" s="2"/>
      <c r="AG72" s="2" t="s">
        <v>36</v>
      </c>
      <c r="AH72" s="140">
        <v>4.1E-5</v>
      </c>
      <c r="AI72" s="140">
        <v>1.79812534120996E-2</v>
      </c>
      <c r="AJ72" s="140">
        <v>2.8278827190601698E-3</v>
      </c>
    </row>
    <row r="73" spans="1:36">
      <c r="A73" s="2">
        <v>382</v>
      </c>
      <c r="B73" s="2">
        <v>1404</v>
      </c>
      <c r="C73" s="2" t="s">
        <v>1765</v>
      </c>
      <c r="D73" s="2" t="s">
        <v>1766</v>
      </c>
      <c r="E73" s="3" t="s">
        <v>1325</v>
      </c>
      <c r="F73" s="2" t="s">
        <v>1771</v>
      </c>
      <c r="G73" s="2" t="s">
        <v>1772</v>
      </c>
      <c r="H73" s="2" t="s">
        <v>187</v>
      </c>
      <c r="I73" s="2" t="s">
        <v>980</v>
      </c>
      <c r="J73" s="2" t="s">
        <v>30</v>
      </c>
      <c r="K73" s="2" t="s">
        <v>30</v>
      </c>
      <c r="L73" s="2" t="s">
        <v>340</v>
      </c>
      <c r="M73" s="2" t="s">
        <v>47</v>
      </c>
      <c r="N73" s="2" t="s">
        <v>462</v>
      </c>
      <c r="O73" s="2" t="s">
        <v>147</v>
      </c>
      <c r="P73" s="2" t="s">
        <v>1769</v>
      </c>
      <c r="Q73" s="2" t="s">
        <v>426</v>
      </c>
      <c r="R73" s="2" t="s">
        <v>420</v>
      </c>
      <c r="S73" s="2" t="s">
        <v>34</v>
      </c>
      <c r="T73" s="124">
        <v>2.996</v>
      </c>
      <c r="U73" s="2" t="s">
        <v>1773</v>
      </c>
      <c r="V73" s="138">
        <v>0.04</v>
      </c>
      <c r="W73" s="140">
        <v>5.2400000000000002E-2</v>
      </c>
      <c r="X73" s="3" t="s">
        <v>425</v>
      </c>
      <c r="Y73" s="3" t="s">
        <v>147</v>
      </c>
      <c r="Z73" s="124">
        <v>30000</v>
      </c>
      <c r="AA73" s="134">
        <v>1</v>
      </c>
      <c r="AB73" s="151">
        <v>97.45</v>
      </c>
      <c r="AC73" s="2"/>
      <c r="AD73" s="124">
        <v>29.234999999999999</v>
      </c>
      <c r="AE73" s="2"/>
      <c r="AF73" s="2"/>
      <c r="AG73" s="2" t="s">
        <v>36</v>
      </c>
      <c r="AH73" s="140">
        <v>5.1999999999999997E-5</v>
      </c>
      <c r="AI73" s="140">
        <v>6.9529682205600497E-3</v>
      </c>
      <c r="AJ73" s="140">
        <v>1.09348209640745E-3</v>
      </c>
    </row>
    <row r="74" spans="1:36">
      <c r="A74" s="2">
        <v>382</v>
      </c>
      <c r="B74" s="2">
        <v>1404</v>
      </c>
      <c r="C74" s="2" t="s">
        <v>1550</v>
      </c>
      <c r="D74" s="2" t="s">
        <v>1551</v>
      </c>
      <c r="E74" s="3" t="s">
        <v>1325</v>
      </c>
      <c r="F74" s="2" t="s">
        <v>1774</v>
      </c>
      <c r="G74" s="2" t="s">
        <v>1775</v>
      </c>
      <c r="H74" s="2" t="s">
        <v>187</v>
      </c>
      <c r="I74" s="2" t="s">
        <v>768</v>
      </c>
      <c r="J74" s="2" t="s">
        <v>30</v>
      </c>
      <c r="K74" s="2" t="s">
        <v>30</v>
      </c>
      <c r="L74" s="2" t="s">
        <v>340</v>
      </c>
      <c r="M74" s="2" t="s">
        <v>47</v>
      </c>
      <c r="N74" s="2" t="s">
        <v>475</v>
      </c>
      <c r="O74" s="2" t="s">
        <v>147</v>
      </c>
      <c r="P74" s="2" t="s">
        <v>1756</v>
      </c>
      <c r="Q74" s="2" t="s">
        <v>426</v>
      </c>
      <c r="R74" s="2" t="s">
        <v>420</v>
      </c>
      <c r="S74" s="2" t="s">
        <v>34</v>
      </c>
      <c r="T74" s="124">
        <v>1.6819999999999999</v>
      </c>
      <c r="U74" s="2" t="s">
        <v>1776</v>
      </c>
      <c r="V74" s="138">
        <v>3.2000000000000001E-2</v>
      </c>
      <c r="W74" s="140">
        <v>2.7539999999999999E-2</v>
      </c>
      <c r="X74" s="3" t="s">
        <v>425</v>
      </c>
      <c r="Y74" s="3" t="s">
        <v>147</v>
      </c>
      <c r="Z74" s="124">
        <v>66000</v>
      </c>
      <c r="AA74" s="134">
        <v>1</v>
      </c>
      <c r="AB74" s="151">
        <v>118.93</v>
      </c>
      <c r="AC74" s="2"/>
      <c r="AD74" s="124">
        <v>78.494</v>
      </c>
      <c r="AE74" s="2"/>
      <c r="AF74" s="2"/>
      <c r="AG74" s="2" t="s">
        <v>36</v>
      </c>
      <c r="AH74" s="140">
        <v>1.2E-4</v>
      </c>
      <c r="AI74" s="140">
        <v>1.8668202391345898E-2</v>
      </c>
      <c r="AJ74" s="140">
        <v>2.9359180769278998E-3</v>
      </c>
    </row>
    <row r="75" spans="1:36">
      <c r="A75" s="2">
        <v>382</v>
      </c>
      <c r="B75" s="2">
        <v>1404</v>
      </c>
      <c r="C75" s="2" t="s">
        <v>1805</v>
      </c>
      <c r="D75" s="2" t="s">
        <v>1806</v>
      </c>
      <c r="E75" s="3" t="s">
        <v>1325</v>
      </c>
      <c r="F75" s="2" t="s">
        <v>2010</v>
      </c>
      <c r="G75" s="2" t="s">
        <v>2011</v>
      </c>
      <c r="H75" s="2" t="s">
        <v>187</v>
      </c>
      <c r="I75" s="2" t="s">
        <v>980</v>
      </c>
      <c r="J75" s="2" t="s">
        <v>30</v>
      </c>
      <c r="K75" s="2" t="s">
        <v>30</v>
      </c>
      <c r="L75" s="2" t="s">
        <v>340</v>
      </c>
      <c r="M75" s="2" t="s">
        <v>47</v>
      </c>
      <c r="N75" s="2" t="s">
        <v>475</v>
      </c>
      <c r="O75" s="2" t="s">
        <v>147</v>
      </c>
      <c r="P75" s="2" t="s">
        <v>1756</v>
      </c>
      <c r="Q75" s="2" t="s">
        <v>426</v>
      </c>
      <c r="R75" s="2" t="s">
        <v>420</v>
      </c>
      <c r="S75" s="2" t="s">
        <v>34</v>
      </c>
      <c r="T75" s="124">
        <v>4.7640000000000002</v>
      </c>
      <c r="U75" s="2" t="s">
        <v>1984</v>
      </c>
      <c r="V75" s="138">
        <v>2.5499999999999998E-2</v>
      </c>
      <c r="W75" s="140">
        <v>5.2690000000000001E-2</v>
      </c>
      <c r="X75" s="3" t="s">
        <v>425</v>
      </c>
      <c r="Y75" s="3" t="s">
        <v>147</v>
      </c>
      <c r="Z75" s="124">
        <v>78000</v>
      </c>
      <c r="AA75" s="134">
        <v>1</v>
      </c>
      <c r="AB75" s="151">
        <v>88.7</v>
      </c>
      <c r="AC75" s="2"/>
      <c r="AD75" s="124">
        <v>69.186000000000007</v>
      </c>
      <c r="AE75" s="2"/>
      <c r="AF75" s="2"/>
      <c r="AG75" s="2" t="s">
        <v>36</v>
      </c>
      <c r="AH75" s="140">
        <v>3.3000000000000003E-5</v>
      </c>
      <c r="AI75" s="140">
        <v>1.6454525716013899E-2</v>
      </c>
      <c r="AJ75" s="140">
        <v>2.5877767170188501E-3</v>
      </c>
    </row>
    <row r="76" spans="1:36">
      <c r="A76" s="2">
        <v>382</v>
      </c>
      <c r="B76" s="2">
        <v>1404</v>
      </c>
      <c r="C76" s="2" t="s">
        <v>1805</v>
      </c>
      <c r="D76" s="2" t="s">
        <v>1806</v>
      </c>
      <c r="E76" s="3" t="s">
        <v>1325</v>
      </c>
      <c r="F76" s="2" t="s">
        <v>1807</v>
      </c>
      <c r="G76" s="2" t="s">
        <v>1808</v>
      </c>
      <c r="H76" s="2" t="s">
        <v>187</v>
      </c>
      <c r="I76" s="2" t="s">
        <v>768</v>
      </c>
      <c r="J76" s="2" t="s">
        <v>30</v>
      </c>
      <c r="K76" s="2" t="s">
        <v>30</v>
      </c>
      <c r="L76" s="2" t="s">
        <v>340</v>
      </c>
      <c r="M76" s="2" t="s">
        <v>47</v>
      </c>
      <c r="N76" s="2" t="s">
        <v>475</v>
      </c>
      <c r="O76" s="2" t="s">
        <v>147</v>
      </c>
      <c r="P76" s="2" t="s">
        <v>1756</v>
      </c>
      <c r="Q76" s="2" t="s">
        <v>426</v>
      </c>
      <c r="R76" s="2" t="s">
        <v>420</v>
      </c>
      <c r="S76" s="2" t="s">
        <v>34</v>
      </c>
      <c r="T76" s="124">
        <v>4.673</v>
      </c>
      <c r="U76" s="2" t="s">
        <v>1809</v>
      </c>
      <c r="V76" s="138">
        <v>5.8999999999999999E-3</v>
      </c>
      <c r="W76" s="140">
        <v>3.0779999999999998E-2</v>
      </c>
      <c r="X76" s="3" t="s">
        <v>425</v>
      </c>
      <c r="Y76" s="3" t="s">
        <v>147</v>
      </c>
      <c r="Z76" s="124">
        <v>28000</v>
      </c>
      <c r="AA76" s="134">
        <v>1</v>
      </c>
      <c r="AB76" s="151">
        <v>100.11</v>
      </c>
      <c r="AC76" s="2"/>
      <c r="AD76" s="124">
        <v>28.030999999999999</v>
      </c>
      <c r="AE76" s="2"/>
      <c r="AF76" s="2"/>
      <c r="AG76" s="2" t="s">
        <v>36</v>
      </c>
      <c r="AH76" s="140">
        <v>2.0000000000000002E-5</v>
      </c>
      <c r="AI76" s="140">
        <v>6.6665729980117903E-3</v>
      </c>
      <c r="AJ76" s="140">
        <v>1.0484411817334701E-3</v>
      </c>
    </row>
    <row r="77" spans="1:36">
      <c r="A77" s="2">
        <v>382</v>
      </c>
      <c r="B77" s="2">
        <v>1404</v>
      </c>
      <c r="C77" s="2" t="s">
        <v>1816</v>
      </c>
      <c r="D77" s="2" t="s">
        <v>1817</v>
      </c>
      <c r="E77" s="3" t="s">
        <v>1325</v>
      </c>
      <c r="F77" s="2" t="s">
        <v>1818</v>
      </c>
      <c r="G77" s="2" t="s">
        <v>1819</v>
      </c>
      <c r="H77" s="2" t="s">
        <v>187</v>
      </c>
      <c r="I77" s="2" t="s">
        <v>768</v>
      </c>
      <c r="J77" s="2" t="s">
        <v>30</v>
      </c>
      <c r="K77" s="2" t="s">
        <v>30</v>
      </c>
      <c r="L77" s="2" t="s">
        <v>340</v>
      </c>
      <c r="M77" s="2" t="s">
        <v>47</v>
      </c>
      <c r="N77" s="2" t="s">
        <v>459</v>
      </c>
      <c r="O77" s="2" t="s">
        <v>147</v>
      </c>
      <c r="P77" s="2" t="s">
        <v>1182</v>
      </c>
      <c r="Q77" s="2" t="s">
        <v>426</v>
      </c>
      <c r="R77" s="2" t="s">
        <v>420</v>
      </c>
      <c r="S77" s="2" t="s">
        <v>34</v>
      </c>
      <c r="T77" s="124">
        <v>3.7480000000000002</v>
      </c>
      <c r="U77" s="2" t="s">
        <v>1820</v>
      </c>
      <c r="V77" s="138">
        <v>2E-3</v>
      </c>
      <c r="W77" s="140">
        <v>2.5999999999999999E-2</v>
      </c>
      <c r="X77" s="3" t="s">
        <v>425</v>
      </c>
      <c r="Y77" s="3" t="s">
        <v>147</v>
      </c>
      <c r="Z77" s="124">
        <v>121491.22</v>
      </c>
      <c r="AA77" s="134">
        <v>1</v>
      </c>
      <c r="AB77" s="151">
        <v>103.06</v>
      </c>
      <c r="AC77" s="2"/>
      <c r="AD77" s="124">
        <v>125.209</v>
      </c>
      <c r="AE77" s="2"/>
      <c r="AF77" s="2"/>
      <c r="AG77" s="2" t="s">
        <v>36</v>
      </c>
      <c r="AH77" s="140">
        <v>3.6000000000000001E-5</v>
      </c>
      <c r="AI77" s="140">
        <v>2.9778456105497699E-2</v>
      </c>
      <c r="AJ77" s="140">
        <v>4.6832097569106997E-3</v>
      </c>
    </row>
    <row r="78" spans="1:36">
      <c r="A78" s="2">
        <v>382</v>
      </c>
      <c r="B78" s="2">
        <v>1404</v>
      </c>
      <c r="C78" s="2" t="s">
        <v>1816</v>
      </c>
      <c r="D78" s="2" t="s">
        <v>1817</v>
      </c>
      <c r="E78" s="3" t="s">
        <v>1325</v>
      </c>
      <c r="F78" s="2" t="s">
        <v>1821</v>
      </c>
      <c r="G78" s="2" t="s">
        <v>1822</v>
      </c>
      <c r="H78" s="2" t="s">
        <v>187</v>
      </c>
      <c r="I78" s="2" t="s">
        <v>768</v>
      </c>
      <c r="J78" s="2" t="s">
        <v>30</v>
      </c>
      <c r="K78" s="2" t="s">
        <v>30</v>
      </c>
      <c r="L78" s="2" t="s">
        <v>340</v>
      </c>
      <c r="M78" s="2" t="s">
        <v>47</v>
      </c>
      <c r="N78" s="2" t="s">
        <v>459</v>
      </c>
      <c r="O78" s="2" t="s">
        <v>147</v>
      </c>
      <c r="P78" s="2" t="s">
        <v>1182</v>
      </c>
      <c r="Q78" s="2" t="s">
        <v>426</v>
      </c>
      <c r="R78" s="2" t="s">
        <v>420</v>
      </c>
      <c r="S78" s="2" t="s">
        <v>34</v>
      </c>
      <c r="T78" s="124">
        <v>5.1459999999999999</v>
      </c>
      <c r="U78" s="2" t="s">
        <v>1823</v>
      </c>
      <c r="V78" s="138">
        <v>2.47E-2</v>
      </c>
      <c r="W78" s="140">
        <v>2.6089999999999999E-2</v>
      </c>
      <c r="X78" s="3" t="s">
        <v>425</v>
      </c>
      <c r="Y78" s="3" t="s">
        <v>147</v>
      </c>
      <c r="Z78" s="124">
        <v>72800</v>
      </c>
      <c r="AA78" s="134">
        <v>1</v>
      </c>
      <c r="AB78" s="151">
        <v>101.3</v>
      </c>
      <c r="AC78" s="2"/>
      <c r="AD78" s="124">
        <v>73.745999999999995</v>
      </c>
      <c r="AE78" s="2"/>
      <c r="AF78" s="2"/>
      <c r="AG78" s="2" t="s">
        <v>36</v>
      </c>
      <c r="AH78" s="140">
        <v>2.8E-5</v>
      </c>
      <c r="AI78" s="140">
        <v>1.7539126922548599E-2</v>
      </c>
      <c r="AJ78" s="140">
        <v>2.7583501992304599E-3</v>
      </c>
    </row>
    <row r="79" spans="1:36">
      <c r="A79" s="2">
        <v>382</v>
      </c>
      <c r="B79" s="2">
        <v>1404</v>
      </c>
      <c r="C79" s="2" t="s">
        <v>1816</v>
      </c>
      <c r="D79" s="2" t="s">
        <v>1817</v>
      </c>
      <c r="E79" s="3" t="s">
        <v>1325</v>
      </c>
      <c r="F79" s="2" t="s">
        <v>1824</v>
      </c>
      <c r="G79" s="2" t="s">
        <v>1825</v>
      </c>
      <c r="H79" s="2" t="s">
        <v>187</v>
      </c>
      <c r="I79" s="2" t="s">
        <v>980</v>
      </c>
      <c r="J79" s="2" t="s">
        <v>30</v>
      </c>
      <c r="K79" s="2" t="s">
        <v>30</v>
      </c>
      <c r="L79" s="2" t="s">
        <v>340</v>
      </c>
      <c r="M79" s="2" t="s">
        <v>47</v>
      </c>
      <c r="N79" s="2" t="s">
        <v>459</v>
      </c>
      <c r="O79" s="2" t="s">
        <v>147</v>
      </c>
      <c r="P79" s="2" t="s">
        <v>1182</v>
      </c>
      <c r="Q79" s="2" t="s">
        <v>426</v>
      </c>
      <c r="R79" s="2" t="s">
        <v>420</v>
      </c>
      <c r="S79" s="2" t="s">
        <v>34</v>
      </c>
      <c r="T79" s="124">
        <v>2.9780000000000002</v>
      </c>
      <c r="U79" s="2" t="s">
        <v>1826</v>
      </c>
      <c r="V79" s="138">
        <v>2.6800000000000001E-2</v>
      </c>
      <c r="W79" s="140">
        <v>4.7109999999999999E-2</v>
      </c>
      <c r="X79" s="3" t="s">
        <v>425</v>
      </c>
      <c r="Y79" s="3" t="s">
        <v>147</v>
      </c>
      <c r="Z79" s="124">
        <v>121249.73</v>
      </c>
      <c r="AA79" s="134">
        <v>1</v>
      </c>
      <c r="AB79" s="151">
        <v>95.08</v>
      </c>
      <c r="AC79" s="2"/>
      <c r="AD79" s="124">
        <v>115.28400000000001</v>
      </c>
      <c r="AE79" s="2"/>
      <c r="AF79" s="2"/>
      <c r="AG79" s="2" t="s">
        <v>36</v>
      </c>
      <c r="AH79" s="140">
        <v>6.2000000000000003E-5</v>
      </c>
      <c r="AI79" s="140">
        <v>2.7418083799725199E-2</v>
      </c>
      <c r="AJ79" s="140">
        <v>4.3119978118329096E-3</v>
      </c>
    </row>
    <row r="80" spans="1:36">
      <c r="A80" s="2">
        <v>382</v>
      </c>
      <c r="B80" s="2">
        <v>1404</v>
      </c>
      <c r="C80" s="2" t="s">
        <v>1830</v>
      </c>
      <c r="D80" s="2" t="s">
        <v>1831</v>
      </c>
      <c r="E80" s="3" t="s">
        <v>1325</v>
      </c>
      <c r="F80" s="2" t="s">
        <v>1832</v>
      </c>
      <c r="G80" s="2" t="s">
        <v>1833</v>
      </c>
      <c r="H80" s="2" t="s">
        <v>187</v>
      </c>
      <c r="I80" s="2" t="s">
        <v>980</v>
      </c>
      <c r="J80" s="2" t="s">
        <v>30</v>
      </c>
      <c r="K80" s="2" t="s">
        <v>30</v>
      </c>
      <c r="L80" s="2" t="s">
        <v>340</v>
      </c>
      <c r="M80" s="2" t="s">
        <v>47</v>
      </c>
      <c r="N80" s="2" t="s">
        <v>456</v>
      </c>
      <c r="O80" s="2" t="s">
        <v>147</v>
      </c>
      <c r="P80" s="2" t="s">
        <v>1760</v>
      </c>
      <c r="Q80" s="2" t="s">
        <v>426</v>
      </c>
      <c r="R80" s="2" t="s">
        <v>420</v>
      </c>
      <c r="S80" s="2" t="s">
        <v>34</v>
      </c>
      <c r="T80" s="124">
        <v>1.2250000000000001</v>
      </c>
      <c r="U80" s="2" t="s">
        <v>1770</v>
      </c>
      <c r="V80" s="138">
        <v>2.9100000000000001E-2</v>
      </c>
      <c r="W80" s="140">
        <v>4.8590000000000001E-2</v>
      </c>
      <c r="X80" s="3" t="s">
        <v>425</v>
      </c>
      <c r="Y80" s="3" t="s">
        <v>147</v>
      </c>
      <c r="Z80" s="124">
        <v>30000</v>
      </c>
      <c r="AA80" s="134">
        <v>1</v>
      </c>
      <c r="AB80" s="151">
        <v>98.47</v>
      </c>
      <c r="AC80" s="2"/>
      <c r="AD80" s="124">
        <v>29.541</v>
      </c>
      <c r="AE80" s="2"/>
      <c r="AF80" s="2"/>
      <c r="AG80" s="2" t="s">
        <v>36</v>
      </c>
      <c r="AH80" s="140">
        <v>5.0000000000000002E-5</v>
      </c>
      <c r="AI80" s="140">
        <v>7.0257442860805399E-3</v>
      </c>
      <c r="AJ80" s="140">
        <v>1.1049274708388099E-3</v>
      </c>
    </row>
    <row r="81" spans="1:36">
      <c r="A81" s="2">
        <v>382</v>
      </c>
      <c r="B81" s="2">
        <v>1404</v>
      </c>
      <c r="C81" s="2" t="s">
        <v>1830</v>
      </c>
      <c r="D81" s="2" t="s">
        <v>1831</v>
      </c>
      <c r="E81" s="3" t="s">
        <v>1325</v>
      </c>
      <c r="F81" s="2" t="s">
        <v>2012</v>
      </c>
      <c r="G81" s="2" t="s">
        <v>2013</v>
      </c>
      <c r="H81" s="2" t="s">
        <v>187</v>
      </c>
      <c r="I81" s="2" t="s">
        <v>980</v>
      </c>
      <c r="J81" s="2" t="s">
        <v>30</v>
      </c>
      <c r="K81" s="2" t="s">
        <v>30</v>
      </c>
      <c r="L81" s="2" t="s">
        <v>340</v>
      </c>
      <c r="M81" s="2" t="s">
        <v>47</v>
      </c>
      <c r="N81" s="2" t="s">
        <v>456</v>
      </c>
      <c r="O81" s="2" t="s">
        <v>147</v>
      </c>
      <c r="P81" s="2" t="s">
        <v>1760</v>
      </c>
      <c r="Q81" s="2" t="s">
        <v>426</v>
      </c>
      <c r="R81" s="2" t="s">
        <v>420</v>
      </c>
      <c r="S81" s="2" t="s">
        <v>34</v>
      </c>
      <c r="T81" s="124">
        <v>4.2910000000000004</v>
      </c>
      <c r="U81" s="2" t="s">
        <v>2014</v>
      </c>
      <c r="V81" s="138">
        <v>4.3799999999999999E-2</v>
      </c>
      <c r="W81" s="140">
        <v>4.922E-2</v>
      </c>
      <c r="X81" s="3" t="s">
        <v>425</v>
      </c>
      <c r="Y81" s="3" t="s">
        <v>147</v>
      </c>
      <c r="Z81" s="124">
        <v>95000</v>
      </c>
      <c r="AA81" s="134">
        <v>1</v>
      </c>
      <c r="AB81" s="151">
        <v>99.05</v>
      </c>
      <c r="AC81" s="2"/>
      <c r="AD81" s="124">
        <v>94.096999999999994</v>
      </c>
      <c r="AE81" s="2"/>
      <c r="AF81" s="2"/>
      <c r="AG81" s="2" t="s">
        <v>36</v>
      </c>
      <c r="AH81" s="140">
        <v>1.9000000000000001E-4</v>
      </c>
      <c r="AI81" s="140">
        <v>2.23792347232478E-2</v>
      </c>
      <c r="AJ81" s="140">
        <v>3.5195461456028801E-3</v>
      </c>
    </row>
    <row r="82" spans="1:36">
      <c r="A82" s="2">
        <v>382</v>
      </c>
      <c r="B82" s="2">
        <v>1404</v>
      </c>
      <c r="C82" s="2" t="s">
        <v>1834</v>
      </c>
      <c r="D82" s="2" t="s">
        <v>1835</v>
      </c>
      <c r="E82" s="3" t="s">
        <v>1325</v>
      </c>
      <c r="F82" s="2" t="s">
        <v>1836</v>
      </c>
      <c r="G82" s="2" t="s">
        <v>1837</v>
      </c>
      <c r="H82" s="2" t="s">
        <v>187</v>
      </c>
      <c r="I82" s="2" t="s">
        <v>980</v>
      </c>
      <c r="J82" s="2" t="s">
        <v>30</v>
      </c>
      <c r="K82" s="2" t="s">
        <v>30</v>
      </c>
      <c r="L82" s="2" t="s">
        <v>340</v>
      </c>
      <c r="M82" s="2" t="s">
        <v>47</v>
      </c>
      <c r="N82" s="2" t="s">
        <v>456</v>
      </c>
      <c r="O82" s="2" t="s">
        <v>147</v>
      </c>
      <c r="P82" s="2" t="s">
        <v>1838</v>
      </c>
      <c r="Q82" s="2" t="s">
        <v>428</v>
      </c>
      <c r="R82" s="2" t="s">
        <v>420</v>
      </c>
      <c r="S82" s="2" t="s">
        <v>34</v>
      </c>
      <c r="T82" s="124">
        <v>4.8419999999999996</v>
      </c>
      <c r="U82" s="2" t="s">
        <v>1839</v>
      </c>
      <c r="V82" s="138">
        <v>1.95E-2</v>
      </c>
      <c r="W82" s="140">
        <v>5.0009999999999999E-2</v>
      </c>
      <c r="X82" s="3" t="s">
        <v>425</v>
      </c>
      <c r="Y82" s="3" t="s">
        <v>147</v>
      </c>
      <c r="Z82" s="124">
        <v>172229.87</v>
      </c>
      <c r="AA82" s="134">
        <v>1</v>
      </c>
      <c r="AB82" s="151">
        <v>86.78</v>
      </c>
      <c r="AC82" s="2"/>
      <c r="AD82" s="124">
        <v>149.46100000000001</v>
      </c>
      <c r="AE82" s="2"/>
      <c r="AF82" s="2"/>
      <c r="AG82" s="2" t="s">
        <v>36</v>
      </c>
      <c r="AH82" s="140">
        <v>1.7200000000000001E-4</v>
      </c>
      <c r="AI82" s="140">
        <v>3.5546370709656397E-2</v>
      </c>
      <c r="AJ82" s="140">
        <v>5.5903203826438101E-3</v>
      </c>
    </row>
    <row r="83" spans="1:36">
      <c r="A83" s="2">
        <v>382</v>
      </c>
      <c r="B83" s="2">
        <v>1404</v>
      </c>
      <c r="C83" s="2" t="s">
        <v>1845</v>
      </c>
      <c r="D83" s="2" t="s">
        <v>1846</v>
      </c>
      <c r="E83" s="3" t="s">
        <v>1325</v>
      </c>
      <c r="F83" s="2" t="s">
        <v>2015</v>
      </c>
      <c r="G83" s="2" t="s">
        <v>2016</v>
      </c>
      <c r="H83" s="2" t="s">
        <v>187</v>
      </c>
      <c r="I83" s="2" t="s">
        <v>768</v>
      </c>
      <c r="J83" s="2" t="s">
        <v>30</v>
      </c>
      <c r="K83" s="2" t="s">
        <v>30</v>
      </c>
      <c r="L83" s="2" t="s">
        <v>340</v>
      </c>
      <c r="M83" s="2" t="s">
        <v>47</v>
      </c>
      <c r="N83" s="2" t="s">
        <v>451</v>
      </c>
      <c r="O83" s="2" t="s">
        <v>147</v>
      </c>
      <c r="P83" s="2" t="s">
        <v>1182</v>
      </c>
      <c r="Q83" s="2" t="s">
        <v>426</v>
      </c>
      <c r="R83" s="2" t="s">
        <v>420</v>
      </c>
      <c r="S83" s="2" t="s">
        <v>34</v>
      </c>
      <c r="T83" s="124">
        <v>0.90400000000000003</v>
      </c>
      <c r="U83" s="2" t="s">
        <v>2017</v>
      </c>
      <c r="V83" s="138">
        <v>4.4999999999999998E-2</v>
      </c>
      <c r="W83" s="140">
        <v>2.3970000000000002E-2</v>
      </c>
      <c r="X83" s="3" t="s">
        <v>425</v>
      </c>
      <c r="Y83" s="3" t="s">
        <v>147</v>
      </c>
      <c r="Z83" s="124">
        <v>65000</v>
      </c>
      <c r="AA83" s="134">
        <v>1</v>
      </c>
      <c r="AB83" s="151">
        <v>119.86</v>
      </c>
      <c r="AC83" s="2"/>
      <c r="AD83" s="124">
        <v>77.909000000000006</v>
      </c>
      <c r="AE83" s="2"/>
      <c r="AF83" s="2"/>
      <c r="AG83" s="2" t="s">
        <v>36</v>
      </c>
      <c r="AH83" s="140">
        <v>4.3999999999999999E-5</v>
      </c>
      <c r="AI83" s="140">
        <v>1.8529119243906701E-2</v>
      </c>
      <c r="AJ83" s="140">
        <v>2.9140446946813101E-3</v>
      </c>
    </row>
    <row r="84" spans="1:36">
      <c r="A84" s="2">
        <v>382</v>
      </c>
      <c r="B84" s="2">
        <v>1404</v>
      </c>
      <c r="C84" s="2" t="s">
        <v>1845</v>
      </c>
      <c r="D84" s="2" t="s">
        <v>1846</v>
      </c>
      <c r="E84" s="3" t="s">
        <v>1325</v>
      </c>
      <c r="F84" s="2" t="s">
        <v>1850</v>
      </c>
      <c r="G84" s="2" t="s">
        <v>1851</v>
      </c>
      <c r="H84" s="2" t="s">
        <v>187</v>
      </c>
      <c r="I84" s="2" t="s">
        <v>768</v>
      </c>
      <c r="J84" s="2" t="s">
        <v>30</v>
      </c>
      <c r="K84" s="2" t="s">
        <v>30</v>
      </c>
      <c r="L84" s="2" t="s">
        <v>340</v>
      </c>
      <c r="M84" s="2" t="s">
        <v>47</v>
      </c>
      <c r="N84" s="2" t="s">
        <v>451</v>
      </c>
      <c r="O84" s="2" t="s">
        <v>147</v>
      </c>
      <c r="P84" s="2" t="s">
        <v>1182</v>
      </c>
      <c r="Q84" s="2" t="s">
        <v>426</v>
      </c>
      <c r="R84" s="2" t="s">
        <v>420</v>
      </c>
      <c r="S84" s="2" t="s">
        <v>34</v>
      </c>
      <c r="T84" s="124">
        <v>10.281000000000001</v>
      </c>
      <c r="U84" s="2" t="s">
        <v>1852</v>
      </c>
      <c r="V84" s="138">
        <v>1.2500000000000001E-2</v>
      </c>
      <c r="W84" s="140">
        <v>3.1099999999999999E-2</v>
      </c>
      <c r="X84" s="3" t="s">
        <v>425</v>
      </c>
      <c r="Y84" s="3" t="s">
        <v>147</v>
      </c>
      <c r="Z84" s="124">
        <v>50000</v>
      </c>
      <c r="AA84" s="134">
        <v>1</v>
      </c>
      <c r="AB84" s="151">
        <v>95.3</v>
      </c>
      <c r="AC84" s="2"/>
      <c r="AD84" s="124">
        <v>47.65</v>
      </c>
      <c r="AE84" s="2"/>
      <c r="AF84" s="2"/>
      <c r="AG84" s="2" t="s">
        <v>36</v>
      </c>
      <c r="AH84" s="140">
        <v>1.2E-5</v>
      </c>
      <c r="AI84" s="140">
        <v>1.13326128171605E-2</v>
      </c>
      <c r="AJ84" s="140">
        <v>1.78226173743168E-3</v>
      </c>
    </row>
    <row r="85" spans="1:36">
      <c r="A85" s="2">
        <v>382</v>
      </c>
      <c r="B85" s="2">
        <v>1404</v>
      </c>
      <c r="C85" s="2" t="s">
        <v>1845</v>
      </c>
      <c r="D85" s="2" t="s">
        <v>1846</v>
      </c>
      <c r="E85" s="3" t="s">
        <v>1325</v>
      </c>
      <c r="F85" s="2" t="s">
        <v>1853</v>
      </c>
      <c r="G85" s="2" t="s">
        <v>1854</v>
      </c>
      <c r="H85" s="2" t="s">
        <v>187</v>
      </c>
      <c r="I85" s="2" t="s">
        <v>768</v>
      </c>
      <c r="J85" s="2" t="s">
        <v>30</v>
      </c>
      <c r="K85" s="2" t="s">
        <v>30</v>
      </c>
      <c r="L85" s="2" t="s">
        <v>340</v>
      </c>
      <c r="M85" s="2" t="s">
        <v>47</v>
      </c>
      <c r="N85" s="2" t="s">
        <v>451</v>
      </c>
      <c r="O85" s="2" t="s">
        <v>147</v>
      </c>
      <c r="P85" s="2" t="s">
        <v>1182</v>
      </c>
      <c r="Q85" s="2" t="s">
        <v>426</v>
      </c>
      <c r="R85" s="2" t="s">
        <v>420</v>
      </c>
      <c r="S85" s="2" t="s">
        <v>34</v>
      </c>
      <c r="T85" s="124">
        <v>7.2709999999999999</v>
      </c>
      <c r="U85" s="2" t="s">
        <v>1855</v>
      </c>
      <c r="V85" s="138">
        <v>0.03</v>
      </c>
      <c r="W85" s="140">
        <v>2.9510000000000002E-2</v>
      </c>
      <c r="X85" s="3" t="s">
        <v>425</v>
      </c>
      <c r="Y85" s="3" t="s">
        <v>147</v>
      </c>
      <c r="Z85" s="124">
        <v>79000</v>
      </c>
      <c r="AA85" s="134">
        <v>1</v>
      </c>
      <c r="AB85" s="151">
        <v>106.29</v>
      </c>
      <c r="AC85" s="2"/>
      <c r="AD85" s="124">
        <v>83.968999999999994</v>
      </c>
      <c r="AE85" s="2"/>
      <c r="AF85" s="2"/>
      <c r="AG85" s="2" t="s">
        <v>36</v>
      </c>
      <c r="AH85" s="140">
        <v>1.9000000000000001E-5</v>
      </c>
      <c r="AI85" s="140">
        <v>1.9970394520575599E-2</v>
      </c>
      <c r="AJ85" s="140">
        <v>3.1407117325619001E-3</v>
      </c>
    </row>
    <row r="86" spans="1:36">
      <c r="A86" s="2">
        <v>382</v>
      </c>
      <c r="B86" s="2">
        <v>1404</v>
      </c>
      <c r="C86" s="2" t="s">
        <v>1180</v>
      </c>
      <c r="D86" s="2" t="s">
        <v>1599</v>
      </c>
      <c r="E86" s="3" t="s">
        <v>1325</v>
      </c>
      <c r="F86" s="2" t="s">
        <v>1861</v>
      </c>
      <c r="G86" s="2" t="s">
        <v>1862</v>
      </c>
      <c r="H86" s="2" t="s">
        <v>187</v>
      </c>
      <c r="I86" s="2" t="s">
        <v>768</v>
      </c>
      <c r="J86" s="2" t="s">
        <v>30</v>
      </c>
      <c r="K86" s="2" t="s">
        <v>30</v>
      </c>
      <c r="L86" s="2" t="s">
        <v>340</v>
      </c>
      <c r="M86" s="2" t="s">
        <v>47</v>
      </c>
      <c r="N86" s="2" t="s">
        <v>459</v>
      </c>
      <c r="O86" s="2" t="s">
        <v>147</v>
      </c>
      <c r="P86" s="2" t="s">
        <v>1182</v>
      </c>
      <c r="Q86" s="2" t="s">
        <v>426</v>
      </c>
      <c r="R86" s="2" t="s">
        <v>420</v>
      </c>
      <c r="S86" s="2" t="s">
        <v>34</v>
      </c>
      <c r="T86" s="124">
        <v>1.238</v>
      </c>
      <c r="U86" s="2" t="s">
        <v>1770</v>
      </c>
      <c r="V86" s="138">
        <v>8.3000000000000001E-3</v>
      </c>
      <c r="W86" s="140">
        <v>2.29E-2</v>
      </c>
      <c r="X86" s="3" t="s">
        <v>425</v>
      </c>
      <c r="Y86" s="3" t="s">
        <v>147</v>
      </c>
      <c r="Z86" s="124">
        <v>100000</v>
      </c>
      <c r="AA86" s="134">
        <v>1</v>
      </c>
      <c r="AB86" s="151">
        <v>114.23</v>
      </c>
      <c r="AC86" s="2"/>
      <c r="AD86" s="124">
        <v>114.23</v>
      </c>
      <c r="AE86" s="2"/>
      <c r="AF86" s="2"/>
      <c r="AG86" s="2" t="s">
        <v>36</v>
      </c>
      <c r="AH86" s="140">
        <v>6.6000000000000005E-5</v>
      </c>
      <c r="AI86" s="140">
        <v>2.71673528248529E-2</v>
      </c>
      <c r="AJ86" s="140">
        <v>4.2725657558619198E-3</v>
      </c>
    </row>
    <row r="87" spans="1:36">
      <c r="A87" s="2">
        <v>382</v>
      </c>
      <c r="B87" s="2">
        <v>1404</v>
      </c>
      <c r="C87" s="2" t="s">
        <v>1180</v>
      </c>
      <c r="D87" s="2" t="s">
        <v>1599</v>
      </c>
      <c r="E87" s="3" t="s">
        <v>1325</v>
      </c>
      <c r="F87" s="2" t="s">
        <v>2018</v>
      </c>
      <c r="G87" s="2" t="s">
        <v>2019</v>
      </c>
      <c r="H87" s="2" t="s">
        <v>187</v>
      </c>
      <c r="I87" s="2" t="s">
        <v>768</v>
      </c>
      <c r="J87" s="2" t="s">
        <v>30</v>
      </c>
      <c r="K87" s="2" t="s">
        <v>30</v>
      </c>
      <c r="L87" s="2" t="s">
        <v>340</v>
      </c>
      <c r="M87" s="2" t="s">
        <v>47</v>
      </c>
      <c r="N87" s="2" t="s">
        <v>459</v>
      </c>
      <c r="O87" s="2" t="s">
        <v>147</v>
      </c>
      <c r="P87" s="2" t="s">
        <v>1182</v>
      </c>
      <c r="Q87" s="2" t="s">
        <v>426</v>
      </c>
      <c r="R87" s="2" t="s">
        <v>420</v>
      </c>
      <c r="S87" s="2" t="s">
        <v>34</v>
      </c>
      <c r="T87" s="124">
        <v>2.649</v>
      </c>
      <c r="U87" s="2" t="s">
        <v>2020</v>
      </c>
      <c r="V87" s="138">
        <v>1E-3</v>
      </c>
      <c r="W87" s="140">
        <v>2.3560000000000001E-2</v>
      </c>
      <c r="X87" s="3" t="s">
        <v>425</v>
      </c>
      <c r="Y87" s="3" t="s">
        <v>147</v>
      </c>
      <c r="Z87" s="124">
        <v>100000</v>
      </c>
      <c r="AA87" s="134">
        <v>1</v>
      </c>
      <c r="AB87" s="151">
        <v>106.31</v>
      </c>
      <c r="AC87" s="2"/>
      <c r="AD87" s="124">
        <v>106.31</v>
      </c>
      <c r="AE87" s="2"/>
      <c r="AF87" s="2"/>
      <c r="AG87" s="2" t="s">
        <v>36</v>
      </c>
      <c r="AH87" s="140">
        <v>3.1999999999999999E-5</v>
      </c>
      <c r="AI87" s="140">
        <v>2.52837370113815E-2</v>
      </c>
      <c r="AJ87" s="140">
        <v>3.9763325352856604E-3</v>
      </c>
    </row>
    <row r="88" spans="1:36">
      <c r="A88" s="2">
        <v>382</v>
      </c>
      <c r="B88" s="2">
        <v>1404</v>
      </c>
      <c r="C88" s="2" t="s">
        <v>1180</v>
      </c>
      <c r="D88" s="2" t="s">
        <v>1599</v>
      </c>
      <c r="E88" s="3" t="s">
        <v>1325</v>
      </c>
      <c r="F88" s="2" t="s">
        <v>1863</v>
      </c>
      <c r="G88" s="2" t="s">
        <v>1864</v>
      </c>
      <c r="H88" s="2" t="s">
        <v>187</v>
      </c>
      <c r="I88" s="2" t="s">
        <v>980</v>
      </c>
      <c r="J88" s="2" t="s">
        <v>30</v>
      </c>
      <c r="K88" s="2" t="s">
        <v>30</v>
      </c>
      <c r="L88" s="2" t="s">
        <v>340</v>
      </c>
      <c r="M88" s="2" t="s">
        <v>47</v>
      </c>
      <c r="N88" s="2" t="s">
        <v>459</v>
      </c>
      <c r="O88" s="2" t="s">
        <v>147</v>
      </c>
      <c r="P88" s="2" t="s">
        <v>1182</v>
      </c>
      <c r="Q88" s="2" t="s">
        <v>426</v>
      </c>
      <c r="R88" s="2" t="s">
        <v>420</v>
      </c>
      <c r="S88" s="2" t="s">
        <v>34</v>
      </c>
      <c r="T88" s="124">
        <v>2.6629999999999998</v>
      </c>
      <c r="U88" s="2" t="s">
        <v>1865</v>
      </c>
      <c r="V88" s="138">
        <v>2.76E-2</v>
      </c>
      <c r="W88" s="140">
        <v>4.6679999999999999E-2</v>
      </c>
      <c r="X88" s="3" t="s">
        <v>425</v>
      </c>
      <c r="Y88" s="3" t="s">
        <v>147</v>
      </c>
      <c r="Z88" s="124">
        <v>205000</v>
      </c>
      <c r="AA88" s="134">
        <v>1</v>
      </c>
      <c r="AB88" s="151">
        <v>96.29</v>
      </c>
      <c r="AC88" s="2"/>
      <c r="AD88" s="124">
        <v>197.39400000000001</v>
      </c>
      <c r="AE88" s="2"/>
      <c r="AF88" s="2"/>
      <c r="AG88" s="2" t="s">
        <v>36</v>
      </c>
      <c r="AH88" s="140">
        <v>1.5300000000000001E-4</v>
      </c>
      <c r="AI88" s="140">
        <v>4.694638910256E-2</v>
      </c>
      <c r="AJ88" s="140">
        <v>7.3831828862425501E-3</v>
      </c>
    </row>
    <row r="89" spans="1:36">
      <c r="A89" s="2">
        <v>382</v>
      </c>
      <c r="B89" s="2">
        <v>1404</v>
      </c>
      <c r="C89" s="2" t="s">
        <v>1180</v>
      </c>
      <c r="D89" s="2" t="s">
        <v>1599</v>
      </c>
      <c r="E89" s="3" t="s">
        <v>1325</v>
      </c>
      <c r="F89" s="2" t="s">
        <v>1866</v>
      </c>
      <c r="G89" s="2" t="s">
        <v>1867</v>
      </c>
      <c r="H89" s="2" t="s">
        <v>187</v>
      </c>
      <c r="I89" s="2" t="s">
        <v>768</v>
      </c>
      <c r="J89" s="2" t="s">
        <v>30</v>
      </c>
      <c r="K89" s="2" t="s">
        <v>30</v>
      </c>
      <c r="L89" s="2" t="s">
        <v>340</v>
      </c>
      <c r="M89" s="2" t="s">
        <v>47</v>
      </c>
      <c r="N89" s="2" t="s">
        <v>459</v>
      </c>
      <c r="O89" s="2" t="s">
        <v>147</v>
      </c>
      <c r="P89" s="2" t="s">
        <v>1182</v>
      </c>
      <c r="Q89" s="2" t="s">
        <v>426</v>
      </c>
      <c r="R89" s="2" t="s">
        <v>420</v>
      </c>
      <c r="S89" s="2" t="s">
        <v>34</v>
      </c>
      <c r="T89" s="124">
        <v>4.5970000000000004</v>
      </c>
      <c r="U89" s="2" t="s">
        <v>1868</v>
      </c>
      <c r="V89" s="138">
        <v>2.0199999999999999E-2</v>
      </c>
      <c r="W89" s="140">
        <v>2.5819999999999999E-2</v>
      </c>
      <c r="X89" s="3" t="s">
        <v>425</v>
      </c>
      <c r="Y89" s="3" t="s">
        <v>147</v>
      </c>
      <c r="Z89" s="124">
        <v>100000</v>
      </c>
      <c r="AA89" s="134">
        <v>1</v>
      </c>
      <c r="AB89" s="151">
        <v>101.85</v>
      </c>
      <c r="AC89" s="2"/>
      <c r="AD89" s="124">
        <v>101.85</v>
      </c>
      <c r="AE89" s="2"/>
      <c r="AF89" s="2"/>
      <c r="AG89" s="2" t="s">
        <v>36</v>
      </c>
      <c r="AH89" s="140">
        <v>2.8E-5</v>
      </c>
      <c r="AI89" s="140">
        <v>2.42230139649065E-2</v>
      </c>
      <c r="AJ89" s="140">
        <v>3.8095143327894301E-3</v>
      </c>
    </row>
    <row r="90" spans="1:36">
      <c r="A90" s="2">
        <v>382</v>
      </c>
      <c r="B90" s="2">
        <v>1404</v>
      </c>
      <c r="C90" s="2" t="s">
        <v>1180</v>
      </c>
      <c r="D90" s="2" t="s">
        <v>1599</v>
      </c>
      <c r="E90" s="3" t="s">
        <v>1325</v>
      </c>
      <c r="F90" s="2" t="s">
        <v>1872</v>
      </c>
      <c r="G90" s="2" t="s">
        <v>1873</v>
      </c>
      <c r="H90" s="2" t="s">
        <v>187</v>
      </c>
      <c r="I90" s="2" t="s">
        <v>768</v>
      </c>
      <c r="J90" s="2" t="s">
        <v>30</v>
      </c>
      <c r="K90" s="2" t="s">
        <v>30</v>
      </c>
      <c r="L90" s="2" t="s">
        <v>340</v>
      </c>
      <c r="M90" s="2" t="s">
        <v>31</v>
      </c>
      <c r="N90" s="2" t="s">
        <v>459</v>
      </c>
      <c r="O90" s="2" t="s">
        <v>147</v>
      </c>
      <c r="P90" s="2" t="s">
        <v>1760</v>
      </c>
      <c r="Q90" s="2" t="s">
        <v>426</v>
      </c>
      <c r="R90" s="2" t="s">
        <v>420</v>
      </c>
      <c r="S90" s="2" t="s">
        <v>34</v>
      </c>
      <c r="T90" s="124">
        <v>5.4809999999999999</v>
      </c>
      <c r="U90" s="2" t="s">
        <v>1874</v>
      </c>
      <c r="V90" s="138">
        <v>3.1E-2</v>
      </c>
      <c r="W90" s="140">
        <v>3.1029999999999999E-2</v>
      </c>
      <c r="X90" s="3" t="s">
        <v>425</v>
      </c>
      <c r="Y90" s="3" t="s">
        <v>147</v>
      </c>
      <c r="Z90" s="124">
        <v>80000</v>
      </c>
      <c r="AA90" s="134">
        <v>1</v>
      </c>
      <c r="AB90" s="151">
        <v>100.81</v>
      </c>
      <c r="AC90" s="2"/>
      <c r="AD90" s="124">
        <v>80.647999999999996</v>
      </c>
      <c r="AE90" s="2"/>
      <c r="AF90" s="2"/>
      <c r="AG90" s="2" t="s">
        <v>36</v>
      </c>
      <c r="AH90" s="140">
        <v>5.1999999999999997E-5</v>
      </c>
      <c r="AI90" s="140">
        <v>1.9180536379398899E-2</v>
      </c>
      <c r="AJ90" s="140">
        <v>3.0164920167972701E-3</v>
      </c>
    </row>
    <row r="91" spans="1:36">
      <c r="A91" s="2">
        <v>382</v>
      </c>
      <c r="B91" s="2">
        <v>1404</v>
      </c>
      <c r="C91" s="2" t="s">
        <v>1892</v>
      </c>
      <c r="D91" s="2" t="s">
        <v>1893</v>
      </c>
      <c r="E91" s="3" t="s">
        <v>1325</v>
      </c>
      <c r="F91" s="2" t="s">
        <v>1894</v>
      </c>
      <c r="G91" s="2" t="s">
        <v>1895</v>
      </c>
      <c r="H91" s="2" t="s">
        <v>187</v>
      </c>
      <c r="I91" s="2" t="s">
        <v>768</v>
      </c>
      <c r="J91" s="2" t="s">
        <v>30</v>
      </c>
      <c r="K91" s="2" t="s">
        <v>30</v>
      </c>
      <c r="L91" s="2" t="s">
        <v>340</v>
      </c>
      <c r="M91" s="2" t="s">
        <v>47</v>
      </c>
      <c r="N91" s="2" t="s">
        <v>475</v>
      </c>
      <c r="O91" s="2" t="s">
        <v>147</v>
      </c>
      <c r="P91" s="2" t="s">
        <v>1769</v>
      </c>
      <c r="Q91" s="2" t="s">
        <v>426</v>
      </c>
      <c r="R91" s="2" t="s">
        <v>420</v>
      </c>
      <c r="S91" s="2" t="s">
        <v>34</v>
      </c>
      <c r="T91" s="124">
        <v>1.3859999999999999</v>
      </c>
      <c r="U91" s="2" t="s">
        <v>1896</v>
      </c>
      <c r="V91" s="138">
        <v>2.0500000000000001E-2</v>
      </c>
      <c r="W91" s="140">
        <v>3.1309999999999998E-2</v>
      </c>
      <c r="X91" s="3" t="s">
        <v>425</v>
      </c>
      <c r="Y91" s="3" t="s">
        <v>147</v>
      </c>
      <c r="Z91" s="124">
        <v>48000</v>
      </c>
      <c r="AA91" s="134">
        <v>1</v>
      </c>
      <c r="AB91" s="151">
        <v>115.58</v>
      </c>
      <c r="AC91" s="2"/>
      <c r="AD91" s="124">
        <v>55.478000000000002</v>
      </c>
      <c r="AE91" s="2"/>
      <c r="AF91" s="2"/>
      <c r="AG91" s="2" t="s">
        <v>36</v>
      </c>
      <c r="AH91" s="140">
        <v>6.3999999999999997E-5</v>
      </c>
      <c r="AI91" s="140">
        <v>1.3194443377031601E-2</v>
      </c>
      <c r="AJ91" s="140">
        <v>2.07506882631542E-3</v>
      </c>
    </row>
    <row r="92" spans="1:36">
      <c r="A92" s="2">
        <v>382</v>
      </c>
      <c r="B92" s="2">
        <v>1404</v>
      </c>
      <c r="C92" s="2" t="s">
        <v>1897</v>
      </c>
      <c r="D92" s="2" t="s">
        <v>1898</v>
      </c>
      <c r="E92" s="3" t="s">
        <v>1325</v>
      </c>
      <c r="F92" s="2" t="s">
        <v>1902</v>
      </c>
      <c r="G92" s="2" t="s">
        <v>1903</v>
      </c>
      <c r="H92" s="2" t="s">
        <v>187</v>
      </c>
      <c r="I92" s="2" t="s">
        <v>768</v>
      </c>
      <c r="J92" s="2" t="s">
        <v>30</v>
      </c>
      <c r="K92" s="2" t="s">
        <v>30</v>
      </c>
      <c r="L92" s="2" t="s">
        <v>340</v>
      </c>
      <c r="M92" s="2" t="s">
        <v>47</v>
      </c>
      <c r="N92" s="2" t="s">
        <v>459</v>
      </c>
      <c r="O92" s="2" t="s">
        <v>147</v>
      </c>
      <c r="P92" s="2" t="s">
        <v>1182</v>
      </c>
      <c r="Q92" s="2" t="s">
        <v>426</v>
      </c>
      <c r="R92" s="2" t="s">
        <v>420</v>
      </c>
      <c r="S92" s="2" t="s">
        <v>34</v>
      </c>
      <c r="T92" s="124">
        <v>3.9049999999999998</v>
      </c>
      <c r="U92" s="2" t="s">
        <v>1855</v>
      </c>
      <c r="V92" s="138">
        <v>2.06E-2</v>
      </c>
      <c r="W92" s="140">
        <v>2.597E-2</v>
      </c>
      <c r="X92" s="3" t="s">
        <v>425</v>
      </c>
      <c r="Y92" s="3" t="s">
        <v>147</v>
      </c>
      <c r="Z92" s="124">
        <v>72000</v>
      </c>
      <c r="AA92" s="134">
        <v>1</v>
      </c>
      <c r="AB92" s="151">
        <v>104.37</v>
      </c>
      <c r="AC92" s="2"/>
      <c r="AD92" s="124">
        <v>75.146000000000001</v>
      </c>
      <c r="AE92" s="2"/>
      <c r="AF92" s="2"/>
      <c r="AG92" s="2" t="s">
        <v>36</v>
      </c>
      <c r="AH92" s="140">
        <v>4.0000000000000003E-5</v>
      </c>
      <c r="AI92" s="140">
        <v>1.7872089313818802E-2</v>
      </c>
      <c r="AJ92" s="140">
        <v>2.8107146574131302E-3</v>
      </c>
    </row>
    <row r="93" spans="1:36">
      <c r="A93" s="2">
        <v>382</v>
      </c>
      <c r="B93" s="2">
        <v>1404</v>
      </c>
      <c r="C93" s="2" t="s">
        <v>1897</v>
      </c>
      <c r="D93" s="2" t="s">
        <v>1898</v>
      </c>
      <c r="E93" s="3" t="s">
        <v>1325</v>
      </c>
      <c r="F93" s="2" t="s">
        <v>1904</v>
      </c>
      <c r="G93" s="2" t="s">
        <v>1905</v>
      </c>
      <c r="H93" s="2" t="s">
        <v>187</v>
      </c>
      <c r="I93" s="2" t="s">
        <v>768</v>
      </c>
      <c r="J93" s="2" t="s">
        <v>30</v>
      </c>
      <c r="K93" s="2" t="s">
        <v>30</v>
      </c>
      <c r="L93" s="2" t="s">
        <v>340</v>
      </c>
      <c r="M93" s="2" t="s">
        <v>47</v>
      </c>
      <c r="N93" s="2" t="s">
        <v>459</v>
      </c>
      <c r="O93" s="2" t="s">
        <v>147</v>
      </c>
      <c r="P93" s="2" t="s">
        <v>1182</v>
      </c>
      <c r="Q93" s="2" t="s">
        <v>426</v>
      </c>
      <c r="R93" s="2" t="s">
        <v>420</v>
      </c>
      <c r="S93" s="2" t="s">
        <v>34</v>
      </c>
      <c r="T93" s="124">
        <v>4.45</v>
      </c>
      <c r="U93" s="2" t="s">
        <v>1906</v>
      </c>
      <c r="V93" s="138">
        <v>1.9900000000000001E-2</v>
      </c>
      <c r="W93" s="140">
        <v>2.5340000000000001E-2</v>
      </c>
      <c r="X93" s="3" t="s">
        <v>425</v>
      </c>
      <c r="Y93" s="3" t="s">
        <v>147</v>
      </c>
      <c r="Z93" s="124">
        <v>90000</v>
      </c>
      <c r="AA93" s="134">
        <v>1</v>
      </c>
      <c r="AB93" s="151">
        <v>101.81</v>
      </c>
      <c r="AC93" s="2"/>
      <c r="AD93" s="124">
        <v>91.629000000000005</v>
      </c>
      <c r="AE93" s="2"/>
      <c r="AF93" s="2"/>
      <c r="AG93" s="2" t="s">
        <v>36</v>
      </c>
      <c r="AH93" s="140">
        <v>3.6999999999999998E-5</v>
      </c>
      <c r="AI93" s="140">
        <v>2.1792150678354601E-2</v>
      </c>
      <c r="AJ93" s="140">
        <v>3.4272163848715E-3</v>
      </c>
    </row>
    <row r="94" spans="1:36">
      <c r="A94" s="2">
        <v>382</v>
      </c>
      <c r="B94" s="2">
        <v>1404</v>
      </c>
      <c r="C94" s="2" t="s">
        <v>1897</v>
      </c>
      <c r="D94" s="2" t="s">
        <v>1898</v>
      </c>
      <c r="E94" s="3" t="s">
        <v>1325</v>
      </c>
      <c r="F94" s="2" t="s">
        <v>1907</v>
      </c>
      <c r="G94" s="2" t="s">
        <v>1908</v>
      </c>
      <c r="H94" s="2" t="s">
        <v>187</v>
      </c>
      <c r="I94" s="2" t="s">
        <v>768</v>
      </c>
      <c r="J94" s="2" t="s">
        <v>30</v>
      </c>
      <c r="K94" s="2" t="s">
        <v>30</v>
      </c>
      <c r="L94" s="2" t="s">
        <v>340</v>
      </c>
      <c r="M94" s="2" t="s">
        <v>47</v>
      </c>
      <c r="N94" s="2" t="s">
        <v>459</v>
      </c>
      <c r="O94" s="2" t="s">
        <v>147</v>
      </c>
      <c r="P94" s="2" t="s">
        <v>1182</v>
      </c>
      <c r="Q94" s="2" t="s">
        <v>426</v>
      </c>
      <c r="R94" s="2" t="s">
        <v>420</v>
      </c>
      <c r="S94" s="2" t="s">
        <v>34</v>
      </c>
      <c r="T94" s="124">
        <v>1.224</v>
      </c>
      <c r="U94" s="2" t="s">
        <v>1909</v>
      </c>
      <c r="V94" s="138">
        <v>3.8E-3</v>
      </c>
      <c r="W94" s="140">
        <v>2.3910000000000001E-2</v>
      </c>
      <c r="X94" s="3" t="s">
        <v>425</v>
      </c>
      <c r="Y94" s="3" t="s">
        <v>147</v>
      </c>
      <c r="Z94" s="124">
        <v>330000</v>
      </c>
      <c r="AA94" s="134">
        <v>1</v>
      </c>
      <c r="AB94" s="151">
        <v>111.45</v>
      </c>
      <c r="AC94" s="2"/>
      <c r="AD94" s="124">
        <v>367.78500000000003</v>
      </c>
      <c r="AE94" s="2"/>
      <c r="AF94" s="2"/>
      <c r="AG94" s="2" t="s">
        <v>36</v>
      </c>
      <c r="AH94" s="140">
        <v>1.1E-4</v>
      </c>
      <c r="AI94" s="140">
        <v>8.7470409338076899E-2</v>
      </c>
      <c r="AJ94" s="140">
        <v>1.3756330180510199E-2</v>
      </c>
    </row>
    <row r="95" spans="1:36">
      <c r="A95" s="2">
        <v>382</v>
      </c>
      <c r="B95" s="2">
        <v>1404</v>
      </c>
      <c r="C95" s="2" t="s">
        <v>1897</v>
      </c>
      <c r="D95" s="2" t="s">
        <v>1898</v>
      </c>
      <c r="E95" s="3" t="s">
        <v>1325</v>
      </c>
      <c r="F95" s="2" t="s">
        <v>1910</v>
      </c>
      <c r="G95" s="2" t="s">
        <v>1911</v>
      </c>
      <c r="H95" s="2" t="s">
        <v>187</v>
      </c>
      <c r="I95" s="2" t="s">
        <v>768</v>
      </c>
      <c r="J95" s="2" t="s">
        <v>30</v>
      </c>
      <c r="K95" s="2" t="s">
        <v>30</v>
      </c>
      <c r="L95" s="2" t="s">
        <v>340</v>
      </c>
      <c r="M95" s="2" t="s">
        <v>47</v>
      </c>
      <c r="N95" s="2" t="s">
        <v>459</v>
      </c>
      <c r="O95" s="2" t="s">
        <v>147</v>
      </c>
      <c r="P95" s="2" t="s">
        <v>1182</v>
      </c>
      <c r="Q95" s="2" t="s">
        <v>426</v>
      </c>
      <c r="R95" s="2" t="s">
        <v>420</v>
      </c>
      <c r="S95" s="2" t="s">
        <v>34</v>
      </c>
      <c r="T95" s="124">
        <v>2.9279999999999999</v>
      </c>
      <c r="U95" s="2" t="s">
        <v>1912</v>
      </c>
      <c r="V95" s="138">
        <v>1E-3</v>
      </c>
      <c r="W95" s="140">
        <v>2.5739999999999999E-2</v>
      </c>
      <c r="X95" s="3" t="s">
        <v>425</v>
      </c>
      <c r="Y95" s="3" t="s">
        <v>147</v>
      </c>
      <c r="Z95" s="124">
        <v>220000</v>
      </c>
      <c r="AA95" s="134">
        <v>1</v>
      </c>
      <c r="AB95" s="151">
        <v>103.82</v>
      </c>
      <c r="AC95" s="2"/>
      <c r="AD95" s="124">
        <v>228.404</v>
      </c>
      <c r="AE95" s="2"/>
      <c r="AF95" s="2"/>
      <c r="AG95" s="2" t="s">
        <v>36</v>
      </c>
      <c r="AH95" s="140">
        <v>8.5000000000000006E-5</v>
      </c>
      <c r="AI95" s="140">
        <v>5.4321387154054997E-2</v>
      </c>
      <c r="AJ95" s="140">
        <v>8.5430369333965393E-3</v>
      </c>
    </row>
    <row r="96" spans="1:36">
      <c r="A96" s="2">
        <v>382</v>
      </c>
      <c r="B96" s="2">
        <v>1404</v>
      </c>
      <c r="C96" s="2" t="s">
        <v>1913</v>
      </c>
      <c r="D96" s="2" t="s">
        <v>1914</v>
      </c>
      <c r="E96" s="3" t="s">
        <v>1325</v>
      </c>
      <c r="F96" s="2" t="s">
        <v>1915</v>
      </c>
      <c r="G96" s="2" t="s">
        <v>1916</v>
      </c>
      <c r="H96" s="2" t="s">
        <v>187</v>
      </c>
      <c r="I96" s="2" t="s">
        <v>768</v>
      </c>
      <c r="J96" s="2" t="s">
        <v>30</v>
      </c>
      <c r="K96" s="2" t="s">
        <v>30</v>
      </c>
      <c r="L96" s="2" t="s">
        <v>340</v>
      </c>
      <c r="M96" s="2" t="s">
        <v>47</v>
      </c>
      <c r="N96" s="2" t="s">
        <v>454</v>
      </c>
      <c r="O96" s="2" t="s">
        <v>147</v>
      </c>
      <c r="P96" s="2" t="s">
        <v>1887</v>
      </c>
      <c r="Q96" s="2" t="s">
        <v>428</v>
      </c>
      <c r="R96" s="2" t="s">
        <v>420</v>
      </c>
      <c r="S96" s="2" t="s">
        <v>34</v>
      </c>
      <c r="T96" s="124">
        <v>1.3089999999999999</v>
      </c>
      <c r="U96" s="2" t="s">
        <v>1917</v>
      </c>
      <c r="V96" s="138">
        <v>3.5400000000000001E-2</v>
      </c>
      <c r="W96" s="140">
        <v>3.0630000000000001E-2</v>
      </c>
      <c r="X96" s="3" t="s">
        <v>425</v>
      </c>
      <c r="Y96" s="3" t="s">
        <v>147</v>
      </c>
      <c r="Z96" s="124">
        <v>-9000</v>
      </c>
      <c r="AA96" s="134">
        <v>1</v>
      </c>
      <c r="AB96" s="151">
        <v>107.99</v>
      </c>
      <c r="AC96" s="2"/>
      <c r="AD96" s="124">
        <v>-9.7189999999999994</v>
      </c>
      <c r="AE96" s="2"/>
      <c r="AF96" s="2"/>
      <c r="AG96" s="2" t="s">
        <v>36</v>
      </c>
      <c r="AH96" s="140">
        <v>-9.0000000000000002E-6</v>
      </c>
      <c r="AI96" s="140">
        <v>-2.3114962692815199E-3</v>
      </c>
      <c r="AJ96" s="140">
        <v>-3.63525289659438E-4</v>
      </c>
    </row>
    <row r="97" spans="1:36">
      <c r="A97" s="2">
        <v>382</v>
      </c>
      <c r="B97" s="2">
        <v>1404</v>
      </c>
      <c r="C97" s="2" t="s">
        <v>1913</v>
      </c>
      <c r="D97" s="2" t="s">
        <v>1914</v>
      </c>
      <c r="E97" s="3" t="s">
        <v>1325</v>
      </c>
      <c r="F97" s="2" t="s">
        <v>1918</v>
      </c>
      <c r="G97" s="2" t="s">
        <v>1916</v>
      </c>
      <c r="H97" s="2" t="s">
        <v>187</v>
      </c>
      <c r="I97" s="2" t="s">
        <v>768</v>
      </c>
      <c r="J97" s="2" t="s">
        <v>30</v>
      </c>
      <c r="K97" s="2" t="s">
        <v>30</v>
      </c>
      <c r="L97" s="2" t="s">
        <v>342</v>
      </c>
      <c r="M97" s="2" t="s">
        <v>47</v>
      </c>
      <c r="N97" s="2" t="s">
        <v>454</v>
      </c>
      <c r="O97" s="2" t="s">
        <v>147</v>
      </c>
      <c r="P97" s="2" t="s">
        <v>1887</v>
      </c>
      <c r="Q97" s="2" t="s">
        <v>428</v>
      </c>
      <c r="R97" s="2" t="s">
        <v>420</v>
      </c>
      <c r="S97" s="2" t="s">
        <v>34</v>
      </c>
      <c r="T97" s="124">
        <v>1.3109999999999999</v>
      </c>
      <c r="U97" s="2" t="s">
        <v>1917</v>
      </c>
      <c r="V97" s="138">
        <v>3.5400000000000001E-2</v>
      </c>
      <c r="W97" s="140">
        <v>3.2239999999999998E-2</v>
      </c>
      <c r="X97" s="3" t="s">
        <v>425</v>
      </c>
      <c r="Y97" s="3" t="s">
        <v>147</v>
      </c>
      <c r="Z97" s="124">
        <v>90000</v>
      </c>
      <c r="AA97" s="134">
        <v>1</v>
      </c>
      <c r="AB97" s="151">
        <v>107.99</v>
      </c>
      <c r="AC97" s="2"/>
      <c r="AD97" s="124">
        <v>97.191000000000003</v>
      </c>
      <c r="AE97" s="2"/>
      <c r="AF97" s="2"/>
      <c r="AG97" s="2" t="s">
        <v>36</v>
      </c>
      <c r="AH97" s="140">
        <v>0</v>
      </c>
      <c r="AI97" s="140">
        <v>2.31149626928152E-2</v>
      </c>
      <c r="AJ97" s="140">
        <v>3.6352528965943802E-3</v>
      </c>
    </row>
    <row r="98" spans="1:36">
      <c r="A98" s="2">
        <v>382</v>
      </c>
      <c r="B98" s="2">
        <v>1404</v>
      </c>
      <c r="C98" s="2" t="s">
        <v>1610</v>
      </c>
      <c r="D98" s="2" t="s">
        <v>1611</v>
      </c>
      <c r="E98" s="3" t="s">
        <v>1325</v>
      </c>
      <c r="F98" s="2" t="s">
        <v>1919</v>
      </c>
      <c r="G98" s="2" t="s">
        <v>1920</v>
      </c>
      <c r="H98" s="2" t="s">
        <v>187</v>
      </c>
      <c r="I98" s="2" t="s">
        <v>768</v>
      </c>
      <c r="J98" s="2" t="s">
        <v>30</v>
      </c>
      <c r="K98" s="2" t="s">
        <v>30</v>
      </c>
      <c r="L98" s="2" t="s">
        <v>340</v>
      </c>
      <c r="M98" s="2" t="s">
        <v>47</v>
      </c>
      <c r="N98" s="2" t="s">
        <v>475</v>
      </c>
      <c r="O98" s="2" t="s">
        <v>147</v>
      </c>
      <c r="P98" s="2" t="s">
        <v>1756</v>
      </c>
      <c r="Q98" s="2" t="s">
        <v>426</v>
      </c>
      <c r="R98" s="2" t="s">
        <v>420</v>
      </c>
      <c r="S98" s="2" t="s">
        <v>34</v>
      </c>
      <c r="T98" s="124">
        <v>3.0990000000000002</v>
      </c>
      <c r="U98" s="2" t="s">
        <v>1776</v>
      </c>
      <c r="V98" s="138">
        <v>6.4999999999999997E-3</v>
      </c>
      <c r="W98" s="140">
        <v>2.7089999999999999E-2</v>
      </c>
      <c r="X98" s="3" t="s">
        <v>425</v>
      </c>
      <c r="Y98" s="3" t="s">
        <v>147</v>
      </c>
      <c r="Z98" s="124">
        <v>47872.33</v>
      </c>
      <c r="AA98" s="134">
        <v>1</v>
      </c>
      <c r="AB98" s="151">
        <v>108.48</v>
      </c>
      <c r="AC98" s="2"/>
      <c r="AD98" s="124">
        <v>51.932000000000002</v>
      </c>
      <c r="AE98" s="2"/>
      <c r="AF98" s="2"/>
      <c r="AG98" s="2" t="s">
        <v>36</v>
      </c>
      <c r="AH98" s="140">
        <v>8.8999999999999995E-5</v>
      </c>
      <c r="AI98" s="140">
        <v>1.23509791432441E-2</v>
      </c>
      <c r="AJ98" s="140">
        <v>1.9424185668364001E-3</v>
      </c>
    </row>
    <row r="99" spans="1:36">
      <c r="A99" s="2">
        <v>382</v>
      </c>
      <c r="B99" s="2">
        <v>1404</v>
      </c>
      <c r="C99" s="2" t="s">
        <v>1610</v>
      </c>
      <c r="D99" s="2" t="s">
        <v>1611</v>
      </c>
      <c r="E99" s="3" t="s">
        <v>1325</v>
      </c>
      <c r="F99" s="2" t="s">
        <v>1921</v>
      </c>
      <c r="G99" s="2" t="s">
        <v>1922</v>
      </c>
      <c r="H99" s="2" t="s">
        <v>187</v>
      </c>
      <c r="I99" s="2" t="s">
        <v>768</v>
      </c>
      <c r="J99" s="2" t="s">
        <v>30</v>
      </c>
      <c r="K99" s="2" t="s">
        <v>30</v>
      </c>
      <c r="L99" s="2" t="s">
        <v>340</v>
      </c>
      <c r="M99" s="2" t="s">
        <v>47</v>
      </c>
      <c r="N99" s="2" t="s">
        <v>475</v>
      </c>
      <c r="O99" s="2" t="s">
        <v>147</v>
      </c>
      <c r="P99" s="2" t="s">
        <v>1756</v>
      </c>
      <c r="Q99" s="2" t="s">
        <v>426</v>
      </c>
      <c r="R99" s="2" t="s">
        <v>420</v>
      </c>
      <c r="S99" s="2" t="s">
        <v>34</v>
      </c>
      <c r="T99" s="124">
        <v>5.726</v>
      </c>
      <c r="U99" s="2" t="s">
        <v>1923</v>
      </c>
      <c r="V99" s="138">
        <v>3.61E-2</v>
      </c>
      <c r="W99" s="140">
        <v>3.0759999999999999E-2</v>
      </c>
      <c r="X99" s="3" t="s">
        <v>425</v>
      </c>
      <c r="Y99" s="3" t="s">
        <v>147</v>
      </c>
      <c r="Z99" s="124">
        <v>28347.5</v>
      </c>
      <c r="AA99" s="134">
        <v>1</v>
      </c>
      <c r="AB99" s="151">
        <v>110.37</v>
      </c>
      <c r="AC99" s="2"/>
      <c r="AD99" s="124">
        <v>31.286999999999999</v>
      </c>
      <c r="AE99" s="2"/>
      <c r="AF99" s="2"/>
      <c r="AG99" s="2" t="s">
        <v>36</v>
      </c>
      <c r="AH99" s="140">
        <v>1.8E-5</v>
      </c>
      <c r="AI99" s="140">
        <v>7.4410282395107998E-3</v>
      </c>
      <c r="AJ99" s="140">
        <v>1.1702385083117699E-3</v>
      </c>
    </row>
    <row r="100" spans="1:36">
      <c r="A100" s="2">
        <v>382</v>
      </c>
      <c r="B100" s="2">
        <v>1404</v>
      </c>
      <c r="C100" s="2" t="s">
        <v>1610</v>
      </c>
      <c r="D100" s="2" t="s">
        <v>1611</v>
      </c>
      <c r="E100" s="3" t="s">
        <v>1325</v>
      </c>
      <c r="F100" s="2" t="s">
        <v>1927</v>
      </c>
      <c r="G100" s="2" t="s">
        <v>1928</v>
      </c>
      <c r="H100" s="2" t="s">
        <v>187</v>
      </c>
      <c r="I100" s="2" t="s">
        <v>768</v>
      </c>
      <c r="J100" s="2" t="s">
        <v>30</v>
      </c>
      <c r="K100" s="2" t="s">
        <v>30</v>
      </c>
      <c r="L100" s="2" t="s">
        <v>340</v>
      </c>
      <c r="M100" s="2" t="s">
        <v>47</v>
      </c>
      <c r="N100" s="2" t="s">
        <v>475</v>
      </c>
      <c r="O100" s="2" t="s">
        <v>147</v>
      </c>
      <c r="P100" s="2" t="s">
        <v>1756</v>
      </c>
      <c r="Q100" s="2" t="s">
        <v>426</v>
      </c>
      <c r="R100" s="2" t="s">
        <v>420</v>
      </c>
      <c r="S100" s="2" t="s">
        <v>34</v>
      </c>
      <c r="T100" s="124">
        <v>3.4910000000000001</v>
      </c>
      <c r="U100" s="2" t="s">
        <v>1929</v>
      </c>
      <c r="V100" s="138">
        <v>2.2499999999999999E-2</v>
      </c>
      <c r="W100" s="140">
        <v>2.9399999999999999E-2</v>
      </c>
      <c r="X100" s="3" t="s">
        <v>425</v>
      </c>
      <c r="Y100" s="3" t="s">
        <v>147</v>
      </c>
      <c r="Z100" s="124">
        <v>59104.480000000003</v>
      </c>
      <c r="AA100" s="134">
        <v>1</v>
      </c>
      <c r="AB100" s="151">
        <v>115.02</v>
      </c>
      <c r="AC100" s="2"/>
      <c r="AD100" s="124">
        <v>67.981999999999999</v>
      </c>
      <c r="AE100" s="2"/>
      <c r="AF100" s="2"/>
      <c r="AG100" s="2" t="s">
        <v>36</v>
      </c>
      <c r="AH100" s="140">
        <v>3.4E-5</v>
      </c>
      <c r="AI100" s="140">
        <v>1.6168171613369701E-2</v>
      </c>
      <c r="AJ100" s="140">
        <v>2.5427422692058401E-3</v>
      </c>
    </row>
    <row r="101" spans="1:36">
      <c r="A101" s="2">
        <v>382</v>
      </c>
      <c r="B101" s="2">
        <v>1404</v>
      </c>
      <c r="C101" s="2" t="s">
        <v>2021</v>
      </c>
      <c r="D101" s="2" t="s">
        <v>2022</v>
      </c>
      <c r="E101" s="3" t="s">
        <v>1325</v>
      </c>
      <c r="F101" s="2" t="s">
        <v>2023</v>
      </c>
      <c r="G101" s="2" t="s">
        <v>2024</v>
      </c>
      <c r="H101" s="2" t="s">
        <v>187</v>
      </c>
      <c r="I101" s="2" t="s">
        <v>980</v>
      </c>
      <c r="J101" s="2" t="s">
        <v>30</v>
      </c>
      <c r="K101" s="2" t="s">
        <v>30</v>
      </c>
      <c r="L101" s="2" t="s">
        <v>340</v>
      </c>
      <c r="M101" s="2" t="s">
        <v>47</v>
      </c>
      <c r="N101" s="2" t="s">
        <v>456</v>
      </c>
      <c r="O101" s="2" t="s">
        <v>147</v>
      </c>
      <c r="P101" s="2" t="s">
        <v>1989</v>
      </c>
      <c r="Q101" s="2" t="s">
        <v>428</v>
      </c>
      <c r="R101" s="2" t="s">
        <v>420</v>
      </c>
      <c r="S101" s="2" t="s">
        <v>34</v>
      </c>
      <c r="T101" s="124">
        <v>3.95</v>
      </c>
      <c r="U101" s="2" t="s">
        <v>2006</v>
      </c>
      <c r="V101" s="138">
        <v>3.4299999999999997E-2</v>
      </c>
      <c r="W101" s="140">
        <v>4.8169999999999998E-2</v>
      </c>
      <c r="X101" s="3" t="s">
        <v>425</v>
      </c>
      <c r="Y101" s="3" t="s">
        <v>147</v>
      </c>
      <c r="Z101" s="124">
        <v>35000</v>
      </c>
      <c r="AA101" s="134">
        <v>1</v>
      </c>
      <c r="AB101" s="151">
        <v>95.78</v>
      </c>
      <c r="AC101" s="2"/>
      <c r="AD101" s="124">
        <v>33.523000000000003</v>
      </c>
      <c r="AE101" s="2"/>
      <c r="AF101" s="2"/>
      <c r="AG101" s="2" t="s">
        <v>36</v>
      </c>
      <c r="AH101" s="140">
        <v>1.15E-4</v>
      </c>
      <c r="AI101" s="140">
        <v>7.9727844589647604E-3</v>
      </c>
      <c r="AJ101" s="140">
        <v>1.2538669511841E-3</v>
      </c>
    </row>
    <row r="102" spans="1:36">
      <c r="A102" s="2">
        <v>382</v>
      </c>
      <c r="B102" s="2">
        <v>1404</v>
      </c>
      <c r="C102" s="2" t="s">
        <v>2025</v>
      </c>
      <c r="D102" s="2" t="s">
        <v>2026</v>
      </c>
      <c r="E102" s="3" t="s">
        <v>1325</v>
      </c>
      <c r="F102" s="2" t="s">
        <v>2027</v>
      </c>
      <c r="G102" s="2" t="s">
        <v>2028</v>
      </c>
      <c r="H102" s="2" t="s">
        <v>187</v>
      </c>
      <c r="I102" s="2" t="s">
        <v>768</v>
      </c>
      <c r="J102" s="2" t="s">
        <v>30</v>
      </c>
      <c r="K102" s="2" t="s">
        <v>30</v>
      </c>
      <c r="L102" s="2" t="s">
        <v>340</v>
      </c>
      <c r="M102" s="2" t="s">
        <v>47</v>
      </c>
      <c r="N102" s="2" t="s">
        <v>475</v>
      </c>
      <c r="O102" s="2" t="s">
        <v>147</v>
      </c>
      <c r="P102" s="2" t="s">
        <v>1182</v>
      </c>
      <c r="Q102" s="2" t="s">
        <v>426</v>
      </c>
      <c r="R102" s="2" t="s">
        <v>420</v>
      </c>
      <c r="S102" s="2" t="s">
        <v>34</v>
      </c>
      <c r="T102" s="124">
        <v>4.5359999999999996</v>
      </c>
      <c r="U102" s="2" t="s">
        <v>2029</v>
      </c>
      <c r="V102" s="138">
        <v>1.6500000000000001E-2</v>
      </c>
      <c r="W102" s="140">
        <v>2.579E-2</v>
      </c>
      <c r="X102" s="3" t="s">
        <v>425</v>
      </c>
      <c r="Y102" s="3" t="s">
        <v>147</v>
      </c>
      <c r="Z102" s="124">
        <v>69000</v>
      </c>
      <c r="AA102" s="134">
        <v>1</v>
      </c>
      <c r="AB102" s="151">
        <v>112.36</v>
      </c>
      <c r="AC102" s="2"/>
      <c r="AD102" s="124">
        <v>77.528000000000006</v>
      </c>
      <c r="AE102" s="2"/>
      <c r="AF102" s="2"/>
      <c r="AG102" s="2" t="s">
        <v>36</v>
      </c>
      <c r="AH102" s="140">
        <v>3.3000000000000003E-5</v>
      </c>
      <c r="AI102" s="140">
        <v>1.8438601039537102E-2</v>
      </c>
      <c r="AJ102" s="140">
        <v>2.8998090426925098E-3</v>
      </c>
    </row>
    <row r="103" spans="1:36">
      <c r="A103" s="2">
        <v>382</v>
      </c>
      <c r="B103" s="2">
        <v>1404</v>
      </c>
      <c r="C103" s="2" t="s">
        <v>1633</v>
      </c>
      <c r="D103" s="2" t="s">
        <v>1634</v>
      </c>
      <c r="E103" s="3" t="s">
        <v>1325</v>
      </c>
      <c r="F103" s="2" t="s">
        <v>1939</v>
      </c>
      <c r="G103" s="2" t="s">
        <v>1940</v>
      </c>
      <c r="H103" s="2" t="s">
        <v>187</v>
      </c>
      <c r="I103" s="2" t="s">
        <v>768</v>
      </c>
      <c r="J103" s="2" t="s">
        <v>30</v>
      </c>
      <c r="K103" s="2" t="s">
        <v>30</v>
      </c>
      <c r="L103" s="2" t="s">
        <v>340</v>
      </c>
      <c r="M103" s="2" t="s">
        <v>47</v>
      </c>
      <c r="N103" s="2" t="s">
        <v>475</v>
      </c>
      <c r="O103" s="2" t="s">
        <v>147</v>
      </c>
      <c r="P103" s="2" t="s">
        <v>104</v>
      </c>
      <c r="Q103" s="2" t="s">
        <v>426</v>
      </c>
      <c r="R103" s="2" t="s">
        <v>420</v>
      </c>
      <c r="S103" s="2" t="s">
        <v>34</v>
      </c>
      <c r="T103" s="124">
        <v>2.6619999999999999</v>
      </c>
      <c r="U103" s="2" t="s">
        <v>1941</v>
      </c>
      <c r="V103" s="138">
        <v>1.34E-2</v>
      </c>
      <c r="W103" s="140">
        <v>2.8070000000000001E-2</v>
      </c>
      <c r="X103" s="3" t="s">
        <v>425</v>
      </c>
      <c r="Y103" s="3" t="s">
        <v>147</v>
      </c>
      <c r="Z103" s="124">
        <v>89375</v>
      </c>
      <c r="AA103" s="134">
        <v>1</v>
      </c>
      <c r="AB103" s="151">
        <v>113.01</v>
      </c>
      <c r="AC103" s="2"/>
      <c r="AD103" s="124">
        <v>101.003</v>
      </c>
      <c r="AE103" s="2"/>
      <c r="AF103" s="2"/>
      <c r="AG103" s="2" t="s">
        <v>36</v>
      </c>
      <c r="AH103" s="140">
        <v>3.6999999999999998E-5</v>
      </c>
      <c r="AI103" s="140">
        <v>2.4021497396225701E-2</v>
      </c>
      <c r="AJ103" s="140">
        <v>3.77782214709378E-3</v>
      </c>
    </row>
    <row r="104" spans="1:36">
      <c r="A104" s="2">
        <v>382</v>
      </c>
      <c r="B104" s="2">
        <v>1404</v>
      </c>
      <c r="C104" s="2" t="s">
        <v>1633</v>
      </c>
      <c r="D104" s="2" t="s">
        <v>1634</v>
      </c>
      <c r="E104" s="3" t="s">
        <v>1325</v>
      </c>
      <c r="F104" s="2" t="s">
        <v>2030</v>
      </c>
      <c r="G104" s="2" t="s">
        <v>2031</v>
      </c>
      <c r="H104" s="2" t="s">
        <v>187</v>
      </c>
      <c r="I104" s="2" t="s">
        <v>768</v>
      </c>
      <c r="J104" s="2" t="s">
        <v>30</v>
      </c>
      <c r="K104" s="2" t="s">
        <v>30</v>
      </c>
      <c r="L104" s="2" t="s">
        <v>340</v>
      </c>
      <c r="M104" s="2" t="s">
        <v>47</v>
      </c>
      <c r="N104" s="2" t="s">
        <v>475</v>
      </c>
      <c r="O104" s="2" t="s">
        <v>147</v>
      </c>
      <c r="P104" s="2" t="s">
        <v>104</v>
      </c>
      <c r="Q104" s="2" t="s">
        <v>426</v>
      </c>
      <c r="R104" s="2" t="s">
        <v>420</v>
      </c>
      <c r="S104" s="2" t="s">
        <v>34</v>
      </c>
      <c r="T104" s="124">
        <v>6.4729999999999999</v>
      </c>
      <c r="U104" s="2" t="s">
        <v>2032</v>
      </c>
      <c r="V104" s="138">
        <v>8.9999999999999993E-3</v>
      </c>
      <c r="W104" s="140">
        <v>3.0720000000000001E-2</v>
      </c>
      <c r="X104" s="3" t="s">
        <v>425</v>
      </c>
      <c r="Y104" s="3" t="s">
        <v>147</v>
      </c>
      <c r="Z104" s="124">
        <v>58800</v>
      </c>
      <c r="AA104" s="134">
        <v>1</v>
      </c>
      <c r="AB104" s="151">
        <v>99.26</v>
      </c>
      <c r="AC104" s="2"/>
      <c r="AD104" s="124">
        <v>58.365000000000002</v>
      </c>
      <c r="AE104" s="2"/>
      <c r="AF104" s="2"/>
      <c r="AG104" s="2" t="s">
        <v>36</v>
      </c>
      <c r="AH104" s="140">
        <v>2.0999999999999999E-5</v>
      </c>
      <c r="AI104" s="140">
        <v>1.38809357221413E-2</v>
      </c>
      <c r="AJ104" s="140">
        <v>2.1830323700690701E-3</v>
      </c>
    </row>
    <row r="105" spans="1:36">
      <c r="A105" s="2">
        <v>382</v>
      </c>
      <c r="B105" s="2">
        <v>1404</v>
      </c>
      <c r="C105" s="2" t="s">
        <v>1633</v>
      </c>
      <c r="D105" s="2" t="s">
        <v>1634</v>
      </c>
      <c r="E105" s="3" t="s">
        <v>1325</v>
      </c>
      <c r="F105" s="2" t="s">
        <v>2033</v>
      </c>
      <c r="G105" s="2" t="s">
        <v>2034</v>
      </c>
      <c r="H105" s="2" t="s">
        <v>187</v>
      </c>
      <c r="I105" s="2" t="s">
        <v>768</v>
      </c>
      <c r="J105" s="2" t="s">
        <v>30</v>
      </c>
      <c r="K105" s="2" t="s">
        <v>30</v>
      </c>
      <c r="L105" s="2" t="s">
        <v>340</v>
      </c>
      <c r="M105" s="2" t="s">
        <v>47</v>
      </c>
      <c r="N105" s="2" t="s">
        <v>475</v>
      </c>
      <c r="O105" s="2" t="s">
        <v>147</v>
      </c>
      <c r="P105" s="2" t="s">
        <v>104</v>
      </c>
      <c r="Q105" s="2" t="s">
        <v>426</v>
      </c>
      <c r="R105" s="2" t="s">
        <v>420</v>
      </c>
      <c r="S105" s="2" t="s">
        <v>34</v>
      </c>
      <c r="T105" s="124">
        <v>3.0000000000000001E-3</v>
      </c>
      <c r="U105" s="2" t="s">
        <v>1979</v>
      </c>
      <c r="V105" s="138">
        <v>6.4999999999999997E-3</v>
      </c>
      <c r="W105" s="140">
        <v>0.25729000000000002</v>
      </c>
      <c r="X105" s="3" t="s">
        <v>425</v>
      </c>
      <c r="Y105" s="3" t="s">
        <v>147</v>
      </c>
      <c r="Z105" s="124">
        <v>0</v>
      </c>
      <c r="AA105" s="134">
        <v>1</v>
      </c>
      <c r="AB105" s="151">
        <v>0</v>
      </c>
      <c r="AC105" s="124">
        <v>69.554000000000002</v>
      </c>
      <c r="AD105" s="124">
        <v>69.554000000000002</v>
      </c>
      <c r="AE105" s="2"/>
      <c r="AF105" s="2"/>
      <c r="AG105" s="2" t="s">
        <v>36</v>
      </c>
      <c r="AH105" s="140">
        <v>0</v>
      </c>
      <c r="AI105" s="140">
        <v>1.6541956883355899E-2</v>
      </c>
      <c r="AJ105" s="140">
        <v>2.6015268756739299E-3</v>
      </c>
    </row>
    <row r="106" spans="1:36">
      <c r="A106" s="2">
        <v>382</v>
      </c>
      <c r="B106" s="2">
        <v>1404</v>
      </c>
      <c r="C106" s="2" t="s">
        <v>1637</v>
      </c>
      <c r="D106" s="2" t="s">
        <v>1638</v>
      </c>
      <c r="E106" s="3" t="s">
        <v>1325</v>
      </c>
      <c r="F106" s="2" t="s">
        <v>1948</v>
      </c>
      <c r="G106" s="2" t="s">
        <v>1949</v>
      </c>
      <c r="H106" s="2" t="s">
        <v>187</v>
      </c>
      <c r="I106" s="2" t="s">
        <v>768</v>
      </c>
      <c r="J106" s="2" t="s">
        <v>30</v>
      </c>
      <c r="K106" s="2" t="s">
        <v>30</v>
      </c>
      <c r="L106" s="2" t="s">
        <v>340</v>
      </c>
      <c r="M106" s="2" t="s">
        <v>47</v>
      </c>
      <c r="N106" s="2" t="s">
        <v>459</v>
      </c>
      <c r="O106" s="2" t="s">
        <v>147</v>
      </c>
      <c r="P106" s="2" t="s">
        <v>1182</v>
      </c>
      <c r="Q106" s="2" t="s">
        <v>426</v>
      </c>
      <c r="R106" s="2" t="s">
        <v>420</v>
      </c>
      <c r="S106" s="2" t="s">
        <v>34</v>
      </c>
      <c r="T106" s="124">
        <v>1.54</v>
      </c>
      <c r="U106" s="2" t="s">
        <v>1950</v>
      </c>
      <c r="V106" s="138">
        <v>6.0000000000000001E-3</v>
      </c>
      <c r="W106" s="140">
        <v>2.4459999999999999E-2</v>
      </c>
      <c r="X106" s="3" t="s">
        <v>425</v>
      </c>
      <c r="Y106" s="3" t="s">
        <v>147</v>
      </c>
      <c r="Z106" s="124">
        <v>239083.34</v>
      </c>
      <c r="AA106" s="134">
        <v>1</v>
      </c>
      <c r="AB106" s="151">
        <v>113.98</v>
      </c>
      <c r="AC106" s="2"/>
      <c r="AD106" s="124">
        <v>272.50700000000001</v>
      </c>
      <c r="AE106" s="2"/>
      <c r="AF106" s="2"/>
      <c r="AG106" s="2" t="s">
        <v>36</v>
      </c>
      <c r="AH106" s="140">
        <v>2.6899999999999998E-4</v>
      </c>
      <c r="AI106" s="140">
        <v>6.4810461379315398E-2</v>
      </c>
      <c r="AJ106" s="140">
        <v>1.01926367171688E-2</v>
      </c>
    </row>
    <row r="107" spans="1:36">
      <c r="A107" s="2">
        <v>382</v>
      </c>
      <c r="B107" s="2">
        <v>1404</v>
      </c>
      <c r="C107" s="2" t="s">
        <v>1637</v>
      </c>
      <c r="D107" s="2" t="s">
        <v>1638</v>
      </c>
      <c r="E107" s="3" t="s">
        <v>1325</v>
      </c>
      <c r="F107" s="2" t="s">
        <v>1951</v>
      </c>
      <c r="G107" s="2" t="s">
        <v>1952</v>
      </c>
      <c r="H107" s="2" t="s">
        <v>187</v>
      </c>
      <c r="I107" s="2" t="s">
        <v>768</v>
      </c>
      <c r="J107" s="2" t="s">
        <v>30</v>
      </c>
      <c r="K107" s="2" t="s">
        <v>30</v>
      </c>
      <c r="L107" s="2" t="s">
        <v>340</v>
      </c>
      <c r="M107" s="2" t="s">
        <v>47</v>
      </c>
      <c r="N107" s="2" t="s">
        <v>459</v>
      </c>
      <c r="O107" s="2" t="s">
        <v>147</v>
      </c>
      <c r="P107" s="2" t="s">
        <v>1182</v>
      </c>
      <c r="Q107" s="2" t="s">
        <v>426</v>
      </c>
      <c r="R107" s="2" t="s">
        <v>420</v>
      </c>
      <c r="S107" s="2" t="s">
        <v>34</v>
      </c>
      <c r="T107" s="124">
        <v>3.0529999999999999</v>
      </c>
      <c r="U107" s="2" t="s">
        <v>1953</v>
      </c>
      <c r="V107" s="138">
        <v>1.7500000000000002E-2</v>
      </c>
      <c r="W107" s="140">
        <v>2.554E-2</v>
      </c>
      <c r="X107" s="3" t="s">
        <v>425</v>
      </c>
      <c r="Y107" s="3" t="s">
        <v>147</v>
      </c>
      <c r="Z107" s="124">
        <v>189057.27</v>
      </c>
      <c r="AA107" s="134">
        <v>1</v>
      </c>
      <c r="AB107" s="151">
        <v>112.78</v>
      </c>
      <c r="AC107" s="2"/>
      <c r="AD107" s="124">
        <v>213.21899999999999</v>
      </c>
      <c r="AE107" s="2"/>
      <c r="AF107" s="2"/>
      <c r="AG107" s="2" t="s">
        <v>36</v>
      </c>
      <c r="AH107" s="140">
        <v>8.5000000000000006E-5</v>
      </c>
      <c r="AI107" s="140">
        <v>5.07098842031918E-2</v>
      </c>
      <c r="AJ107" s="140">
        <v>7.9750616899294403E-3</v>
      </c>
    </row>
    <row r="108" spans="1:36">
      <c r="A108" s="2">
        <v>382</v>
      </c>
      <c r="B108" s="2">
        <v>1404</v>
      </c>
      <c r="C108" s="2" t="s">
        <v>1637</v>
      </c>
      <c r="D108" s="2" t="s">
        <v>1638</v>
      </c>
      <c r="E108" s="3" t="s">
        <v>1325</v>
      </c>
      <c r="F108" s="2" t="s">
        <v>1954</v>
      </c>
      <c r="G108" s="2" t="s">
        <v>1955</v>
      </c>
      <c r="H108" s="2" t="s">
        <v>187</v>
      </c>
      <c r="I108" s="2" t="s">
        <v>768</v>
      </c>
      <c r="J108" s="2" t="s">
        <v>30</v>
      </c>
      <c r="K108" s="2" t="s">
        <v>30</v>
      </c>
      <c r="L108" s="2" t="s">
        <v>340</v>
      </c>
      <c r="M108" s="2" t="s">
        <v>31</v>
      </c>
      <c r="N108" s="2" t="s">
        <v>459</v>
      </c>
      <c r="O108" s="2" t="s">
        <v>147</v>
      </c>
      <c r="P108" s="2" t="s">
        <v>1760</v>
      </c>
      <c r="Q108" s="2" t="s">
        <v>426</v>
      </c>
      <c r="R108" s="2" t="s">
        <v>420</v>
      </c>
      <c r="S108" s="2" t="s">
        <v>34</v>
      </c>
      <c r="T108" s="124">
        <v>6.8019999999999996</v>
      </c>
      <c r="U108" s="2" t="s">
        <v>1956</v>
      </c>
      <c r="V108" s="138">
        <v>3.4500000000000003E-2</v>
      </c>
      <c r="W108" s="140">
        <v>3.1910000000000001E-2</v>
      </c>
      <c r="X108" s="3" t="s">
        <v>425</v>
      </c>
      <c r="Y108" s="3" t="s">
        <v>147</v>
      </c>
      <c r="Z108" s="124">
        <v>90000</v>
      </c>
      <c r="AA108" s="134">
        <v>1</v>
      </c>
      <c r="AB108" s="151">
        <v>102.77</v>
      </c>
      <c r="AC108" s="2"/>
      <c r="AD108" s="124">
        <v>92.492999999999995</v>
      </c>
      <c r="AE108" s="2"/>
      <c r="AF108" s="2"/>
      <c r="AG108" s="2" t="s">
        <v>36</v>
      </c>
      <c r="AH108" s="140">
        <v>9.7999999999999997E-5</v>
      </c>
      <c r="AI108" s="140">
        <v>2.19976360398242E-2</v>
      </c>
      <c r="AJ108" s="140">
        <v>3.4595327362071E-3</v>
      </c>
    </row>
    <row r="109" spans="1:36">
      <c r="A109" s="2">
        <v>382</v>
      </c>
      <c r="B109" s="2">
        <v>1404</v>
      </c>
      <c r="C109" s="2" t="s">
        <v>1967</v>
      </c>
      <c r="D109" s="2" t="s">
        <v>1968</v>
      </c>
      <c r="E109" s="3" t="s">
        <v>1325</v>
      </c>
      <c r="F109" s="2" t="s">
        <v>1969</v>
      </c>
      <c r="G109" s="2" t="s">
        <v>1970</v>
      </c>
      <c r="H109" s="2" t="s">
        <v>187</v>
      </c>
      <c r="I109" s="2" t="s">
        <v>980</v>
      </c>
      <c r="J109" s="2" t="s">
        <v>30</v>
      </c>
      <c r="K109" s="2" t="s">
        <v>30</v>
      </c>
      <c r="L109" s="2" t="s">
        <v>340</v>
      </c>
      <c r="M109" s="2" t="s">
        <v>47</v>
      </c>
      <c r="N109" s="2" t="s">
        <v>456</v>
      </c>
      <c r="O109" s="2" t="s">
        <v>147</v>
      </c>
      <c r="P109" s="2" t="s">
        <v>1756</v>
      </c>
      <c r="Q109" s="2" t="s">
        <v>426</v>
      </c>
      <c r="R109" s="2" t="s">
        <v>420</v>
      </c>
      <c r="S109" s="2" t="s">
        <v>34</v>
      </c>
      <c r="T109" s="124">
        <v>4.6790000000000003</v>
      </c>
      <c r="U109" s="2" t="s">
        <v>1971</v>
      </c>
      <c r="V109" s="138">
        <v>4.6899999999999997E-2</v>
      </c>
      <c r="W109" s="140">
        <v>5.033E-2</v>
      </c>
      <c r="X109" s="3" t="s">
        <v>425</v>
      </c>
      <c r="Y109" s="3" t="s">
        <v>147</v>
      </c>
      <c r="Z109" s="124">
        <v>99982</v>
      </c>
      <c r="AA109" s="134">
        <v>1</v>
      </c>
      <c r="AB109" s="151">
        <v>98.85</v>
      </c>
      <c r="AC109" s="2"/>
      <c r="AD109" s="124">
        <v>98.831999999999994</v>
      </c>
      <c r="AE109" s="2"/>
      <c r="AF109" s="2"/>
      <c r="AG109" s="2" t="s">
        <v>36</v>
      </c>
      <c r="AH109" s="140">
        <v>2.0000000000000001E-4</v>
      </c>
      <c r="AI109" s="140">
        <v>2.3505291412307599E-2</v>
      </c>
      <c r="AJ109" s="140">
        <v>3.6966392646805299E-3</v>
      </c>
    </row>
    <row r="110" spans="1:36">
      <c r="A110" s="2">
        <v>382</v>
      </c>
      <c r="B110" s="2">
        <v>1404</v>
      </c>
      <c r="C110" s="2" t="s">
        <v>2035</v>
      </c>
      <c r="D110" s="2" t="s">
        <v>2036</v>
      </c>
      <c r="E110" s="3" t="s">
        <v>1325</v>
      </c>
      <c r="F110" s="2" t="s">
        <v>2037</v>
      </c>
      <c r="G110" s="2" t="s">
        <v>2038</v>
      </c>
      <c r="H110" s="2" t="s">
        <v>187</v>
      </c>
      <c r="I110" s="2" t="s">
        <v>980</v>
      </c>
      <c r="J110" s="2" t="s">
        <v>30</v>
      </c>
      <c r="K110" s="2" t="s">
        <v>30</v>
      </c>
      <c r="L110" s="2" t="s">
        <v>340</v>
      </c>
      <c r="M110" s="2" t="s">
        <v>47</v>
      </c>
      <c r="N110" s="2" t="s">
        <v>473</v>
      </c>
      <c r="O110" s="2" t="s">
        <v>147</v>
      </c>
      <c r="P110" s="2" t="s">
        <v>1760</v>
      </c>
      <c r="Q110" s="2" t="s">
        <v>426</v>
      </c>
      <c r="R110" s="2" t="s">
        <v>420</v>
      </c>
      <c r="S110" s="2" t="s">
        <v>34</v>
      </c>
      <c r="T110" s="124">
        <v>1.518</v>
      </c>
      <c r="U110" s="2" t="s">
        <v>2039</v>
      </c>
      <c r="V110" s="138">
        <v>2.3E-2</v>
      </c>
      <c r="W110" s="140">
        <v>5.1650000000000001E-2</v>
      </c>
      <c r="X110" s="3" t="s">
        <v>425</v>
      </c>
      <c r="Y110" s="3" t="s">
        <v>147</v>
      </c>
      <c r="Z110" s="124">
        <v>47419.360000000001</v>
      </c>
      <c r="AA110" s="134">
        <v>1</v>
      </c>
      <c r="AB110" s="151">
        <v>96.07</v>
      </c>
      <c r="AC110" s="2"/>
      <c r="AD110" s="124">
        <v>45.555999999999997</v>
      </c>
      <c r="AE110" s="2"/>
      <c r="AF110" s="2"/>
      <c r="AG110" s="2" t="s">
        <v>36</v>
      </c>
      <c r="AH110" s="140">
        <v>4.3999999999999999E-5</v>
      </c>
      <c r="AI110" s="140">
        <v>1.08345436875905E-2</v>
      </c>
      <c r="AJ110" s="140">
        <v>1.70393120884569E-3</v>
      </c>
    </row>
    <row r="111" spans="1:36">
      <c r="A111" s="2">
        <v>382</v>
      </c>
      <c r="B111" s="2">
        <v>1404</v>
      </c>
      <c r="C111" s="2" t="s">
        <v>2040</v>
      </c>
      <c r="D111" s="2" t="s">
        <v>2041</v>
      </c>
      <c r="E111" s="3" t="s">
        <v>1325</v>
      </c>
      <c r="F111" s="2" t="s">
        <v>2042</v>
      </c>
      <c r="G111" s="2" t="s">
        <v>2043</v>
      </c>
      <c r="H111" s="2" t="s">
        <v>187</v>
      </c>
      <c r="I111" s="2" t="s">
        <v>768</v>
      </c>
      <c r="J111" s="2" t="s">
        <v>30</v>
      </c>
      <c r="K111" s="2" t="s">
        <v>30</v>
      </c>
      <c r="L111" s="2" t="s">
        <v>340</v>
      </c>
      <c r="M111" s="2" t="s">
        <v>47</v>
      </c>
      <c r="N111" s="2" t="s">
        <v>475</v>
      </c>
      <c r="O111" s="2" t="s">
        <v>147</v>
      </c>
      <c r="P111" s="2" t="s">
        <v>1760</v>
      </c>
      <c r="Q111" s="2" t="s">
        <v>426</v>
      </c>
      <c r="R111" s="2" t="s">
        <v>420</v>
      </c>
      <c r="S111" s="2" t="s">
        <v>34</v>
      </c>
      <c r="T111" s="124">
        <v>1.1459999999999999</v>
      </c>
      <c r="U111" s="2" t="s">
        <v>2044</v>
      </c>
      <c r="V111" s="138">
        <v>2.1499999999999998E-2</v>
      </c>
      <c r="W111" s="140">
        <v>2.8170000000000001E-2</v>
      </c>
      <c r="X111" s="3" t="s">
        <v>425</v>
      </c>
      <c r="Y111" s="3" t="s">
        <v>147</v>
      </c>
      <c r="Z111" s="124">
        <v>64285.71</v>
      </c>
      <c r="AA111" s="134">
        <v>1</v>
      </c>
      <c r="AB111" s="151">
        <v>117.16</v>
      </c>
      <c r="AC111" s="2"/>
      <c r="AD111" s="124">
        <v>75.316999999999993</v>
      </c>
      <c r="AE111" s="2"/>
      <c r="AF111" s="2"/>
      <c r="AG111" s="2" t="s">
        <v>36</v>
      </c>
      <c r="AH111" s="140">
        <v>4.6E-5</v>
      </c>
      <c r="AI111" s="140">
        <v>1.7912695941072299E-2</v>
      </c>
      <c r="AJ111" s="140">
        <v>2.8171007961798598E-3</v>
      </c>
    </row>
    <row r="112" spans="1:36">
      <c r="A112" s="2">
        <v>382</v>
      </c>
      <c r="B112" s="2">
        <v>1404</v>
      </c>
      <c r="C112" s="2" t="s">
        <v>2045</v>
      </c>
      <c r="D112" s="2" t="s">
        <v>2046</v>
      </c>
      <c r="E112" s="3" t="s">
        <v>1325</v>
      </c>
      <c r="F112" s="2" t="s">
        <v>2047</v>
      </c>
      <c r="G112" s="2" t="s">
        <v>2048</v>
      </c>
      <c r="H112" s="2" t="s">
        <v>187</v>
      </c>
      <c r="I112" s="2" t="s">
        <v>768</v>
      </c>
      <c r="J112" s="2" t="s">
        <v>30</v>
      </c>
      <c r="K112" s="2" t="s">
        <v>30</v>
      </c>
      <c r="L112" s="2" t="s">
        <v>340</v>
      </c>
      <c r="M112" s="2" t="s">
        <v>47</v>
      </c>
      <c r="N112" s="2" t="s">
        <v>489</v>
      </c>
      <c r="O112" s="2" t="s">
        <v>147</v>
      </c>
      <c r="P112" s="2" t="s">
        <v>1756</v>
      </c>
      <c r="Q112" s="2" t="s">
        <v>426</v>
      </c>
      <c r="R112" s="2" t="s">
        <v>420</v>
      </c>
      <c r="S112" s="2" t="s">
        <v>34</v>
      </c>
      <c r="T112" s="124">
        <v>3.2839999999999998</v>
      </c>
      <c r="U112" s="2" t="s">
        <v>2049</v>
      </c>
      <c r="V112" s="138">
        <v>2.1999999999999999E-2</v>
      </c>
      <c r="W112" s="140">
        <v>2.9559999999999999E-2</v>
      </c>
      <c r="X112" s="3" t="s">
        <v>425</v>
      </c>
      <c r="Y112" s="3" t="s">
        <v>147</v>
      </c>
      <c r="Z112" s="124">
        <v>76500.03</v>
      </c>
      <c r="AA112" s="134">
        <v>1</v>
      </c>
      <c r="AB112" s="151">
        <v>104.45</v>
      </c>
      <c r="AC112" s="2"/>
      <c r="AD112" s="124">
        <v>79.903999999999996</v>
      </c>
      <c r="AE112" s="2"/>
      <c r="AF112" s="2"/>
      <c r="AG112" s="2" t="s">
        <v>36</v>
      </c>
      <c r="AH112" s="140">
        <v>1.2799999999999999E-4</v>
      </c>
      <c r="AI112" s="140">
        <v>1.9003657561448398E-2</v>
      </c>
      <c r="AJ112" s="140">
        <v>2.9886745704165098E-3</v>
      </c>
    </row>
    <row r="113" spans="1:36">
      <c r="A113" s="2">
        <v>382</v>
      </c>
      <c r="B113" s="2">
        <v>7635</v>
      </c>
      <c r="C113" s="2" t="s">
        <v>1752</v>
      </c>
      <c r="D113" s="2" t="s">
        <v>1753</v>
      </c>
      <c r="E113" s="3" t="s">
        <v>1325</v>
      </c>
      <c r="F113" s="2" t="s">
        <v>1754</v>
      </c>
      <c r="G113" s="2" t="s">
        <v>1755</v>
      </c>
      <c r="H113" s="2" t="s">
        <v>187</v>
      </c>
      <c r="I113" s="2" t="s">
        <v>768</v>
      </c>
      <c r="J113" s="2" t="s">
        <v>30</v>
      </c>
      <c r="K113" s="2" t="s">
        <v>30</v>
      </c>
      <c r="L113" s="2" t="s">
        <v>340</v>
      </c>
      <c r="M113" s="2" t="s">
        <v>47</v>
      </c>
      <c r="N113" s="2" t="s">
        <v>475</v>
      </c>
      <c r="O113" s="2" t="s">
        <v>147</v>
      </c>
      <c r="P113" s="2" t="s">
        <v>1756</v>
      </c>
      <c r="Q113" s="2" t="s">
        <v>426</v>
      </c>
      <c r="R113" s="2" t="s">
        <v>420</v>
      </c>
      <c r="S113" s="2" t="s">
        <v>34</v>
      </c>
      <c r="T113" s="124">
        <v>2.2669999999999999</v>
      </c>
      <c r="U113" s="2" t="s">
        <v>1757</v>
      </c>
      <c r="V113" s="138">
        <v>2.3400000000000001E-2</v>
      </c>
      <c r="W113" s="140">
        <v>2.7969999999999998E-2</v>
      </c>
      <c r="X113" s="3" t="s">
        <v>425</v>
      </c>
      <c r="Y113" s="3" t="s">
        <v>147</v>
      </c>
      <c r="Z113" s="124">
        <v>43081.25</v>
      </c>
      <c r="AA113" s="134">
        <v>1</v>
      </c>
      <c r="AB113" s="151">
        <v>114.39</v>
      </c>
      <c r="AC113" s="2"/>
      <c r="AD113" s="124">
        <v>49.280999999999999</v>
      </c>
      <c r="AE113" s="2"/>
      <c r="AF113" s="2"/>
      <c r="AG113" s="2" t="s">
        <v>36</v>
      </c>
      <c r="AH113" s="140">
        <v>2.5999999999999998E-5</v>
      </c>
      <c r="AI113" s="140">
        <v>1.44301030673533E-2</v>
      </c>
      <c r="AJ113" s="140">
        <v>2.6535151392346901E-3</v>
      </c>
    </row>
    <row r="114" spans="1:36">
      <c r="A114" s="2">
        <v>382</v>
      </c>
      <c r="B114" s="2">
        <v>7635</v>
      </c>
      <c r="C114" s="2" t="s">
        <v>1752</v>
      </c>
      <c r="D114" s="2" t="s">
        <v>1753</v>
      </c>
      <c r="E114" s="3" t="s">
        <v>1325</v>
      </c>
      <c r="F114" s="2" t="s">
        <v>2002</v>
      </c>
      <c r="G114" s="2" t="s">
        <v>2003</v>
      </c>
      <c r="H114" s="2" t="s">
        <v>187</v>
      </c>
      <c r="I114" s="2" t="s">
        <v>980</v>
      </c>
      <c r="J114" s="2" t="s">
        <v>30</v>
      </c>
      <c r="K114" s="2" t="s">
        <v>30</v>
      </c>
      <c r="L114" s="2" t="s">
        <v>340</v>
      </c>
      <c r="M114" s="2" t="s">
        <v>47</v>
      </c>
      <c r="N114" s="2" t="s">
        <v>475</v>
      </c>
      <c r="O114" s="2" t="s">
        <v>147</v>
      </c>
      <c r="P114" s="2" t="s">
        <v>1756</v>
      </c>
      <c r="Q114" s="2" t="s">
        <v>426</v>
      </c>
      <c r="R114" s="2" t="s">
        <v>420</v>
      </c>
      <c r="S114" s="2" t="s">
        <v>34</v>
      </c>
      <c r="T114" s="124">
        <v>2.2559999999999998</v>
      </c>
      <c r="U114" s="2" t="s">
        <v>1804</v>
      </c>
      <c r="V114" s="138">
        <v>0.05</v>
      </c>
      <c r="W114" s="140">
        <v>5.058E-2</v>
      </c>
      <c r="X114" s="3" t="s">
        <v>425</v>
      </c>
      <c r="Y114" s="3" t="s">
        <v>147</v>
      </c>
      <c r="Z114" s="124">
        <v>30000</v>
      </c>
      <c r="AA114" s="134">
        <v>1</v>
      </c>
      <c r="AB114" s="151">
        <v>102.1</v>
      </c>
      <c r="AC114" s="2"/>
      <c r="AD114" s="124">
        <v>30.63</v>
      </c>
      <c r="AE114" s="2"/>
      <c r="AF114" s="2"/>
      <c r="AG114" s="2" t="s">
        <v>36</v>
      </c>
      <c r="AH114" s="140">
        <v>7.4999999999999993E-5</v>
      </c>
      <c r="AI114" s="140">
        <v>8.9689184259033397E-3</v>
      </c>
      <c r="AJ114" s="140">
        <v>1.6492717144577301E-3</v>
      </c>
    </row>
    <row r="115" spans="1:36">
      <c r="A115" s="2">
        <v>382</v>
      </c>
      <c r="B115" s="2">
        <v>7635</v>
      </c>
      <c r="C115" s="2" t="s">
        <v>2050</v>
      </c>
      <c r="D115" s="2" t="s">
        <v>2051</v>
      </c>
      <c r="E115" s="3" t="s">
        <v>1325</v>
      </c>
      <c r="F115" s="2" t="s">
        <v>2052</v>
      </c>
      <c r="G115" s="2" t="s">
        <v>2053</v>
      </c>
      <c r="H115" s="2" t="s">
        <v>187</v>
      </c>
      <c r="I115" s="2" t="s">
        <v>980</v>
      </c>
      <c r="J115" s="2" t="s">
        <v>30</v>
      </c>
      <c r="K115" s="2" t="s">
        <v>30</v>
      </c>
      <c r="L115" s="2" t="s">
        <v>340</v>
      </c>
      <c r="M115" s="2" t="s">
        <v>47</v>
      </c>
      <c r="N115" s="2" t="s">
        <v>489</v>
      </c>
      <c r="O115" s="2" t="s">
        <v>147</v>
      </c>
      <c r="P115" s="2" t="s">
        <v>1769</v>
      </c>
      <c r="Q115" s="2" t="s">
        <v>426</v>
      </c>
      <c r="R115" s="2" t="s">
        <v>420</v>
      </c>
      <c r="S115" s="2" t="s">
        <v>34</v>
      </c>
      <c r="T115" s="124">
        <v>0.88400000000000001</v>
      </c>
      <c r="U115" s="2" t="s">
        <v>2054</v>
      </c>
      <c r="V115" s="138">
        <v>3.2500000000000001E-2</v>
      </c>
      <c r="W115" s="140">
        <v>5.604E-2</v>
      </c>
      <c r="X115" s="3" t="s">
        <v>425</v>
      </c>
      <c r="Y115" s="3" t="s">
        <v>147</v>
      </c>
      <c r="Z115" s="124">
        <v>10546.88</v>
      </c>
      <c r="AA115" s="134">
        <v>1</v>
      </c>
      <c r="AB115" s="151">
        <v>98.74</v>
      </c>
      <c r="AC115" s="2"/>
      <c r="AD115" s="124">
        <v>10.414</v>
      </c>
      <c r="AE115" s="2"/>
      <c r="AF115" s="2"/>
      <c r="AG115" s="2" t="s">
        <v>36</v>
      </c>
      <c r="AH115" s="140">
        <v>3.1999999999999999E-5</v>
      </c>
      <c r="AI115" s="140">
        <v>3.0493705722349699E-3</v>
      </c>
      <c r="AJ115" s="140">
        <v>5.6074103842464001E-4</v>
      </c>
    </row>
    <row r="116" spans="1:36">
      <c r="A116" s="2">
        <v>382</v>
      </c>
      <c r="B116" s="2">
        <v>7635</v>
      </c>
      <c r="C116" s="2" t="s">
        <v>1546</v>
      </c>
      <c r="D116" s="2" t="s">
        <v>1547</v>
      </c>
      <c r="E116" s="3" t="s">
        <v>1325</v>
      </c>
      <c r="F116" s="2" t="s">
        <v>2007</v>
      </c>
      <c r="G116" s="2" t="s">
        <v>2008</v>
      </c>
      <c r="H116" s="2" t="s">
        <v>187</v>
      </c>
      <c r="I116" s="2" t="s">
        <v>980</v>
      </c>
      <c r="J116" s="2" t="s">
        <v>30</v>
      </c>
      <c r="K116" s="2" t="s">
        <v>30</v>
      </c>
      <c r="L116" s="2" t="s">
        <v>340</v>
      </c>
      <c r="M116" s="2" t="s">
        <v>47</v>
      </c>
      <c r="N116" s="2" t="s">
        <v>475</v>
      </c>
      <c r="O116" s="2" t="s">
        <v>147</v>
      </c>
      <c r="P116" s="2" t="s">
        <v>1760</v>
      </c>
      <c r="Q116" s="2" t="s">
        <v>426</v>
      </c>
      <c r="R116" s="2" t="s">
        <v>420</v>
      </c>
      <c r="S116" s="2" t="s">
        <v>34</v>
      </c>
      <c r="T116" s="124">
        <v>1.3919999999999999</v>
      </c>
      <c r="U116" s="2" t="s">
        <v>2009</v>
      </c>
      <c r="V116" s="138">
        <v>3.85E-2</v>
      </c>
      <c r="W116" s="140">
        <v>5.0290000000000001E-2</v>
      </c>
      <c r="X116" s="3" t="s">
        <v>425</v>
      </c>
      <c r="Y116" s="3" t="s">
        <v>147</v>
      </c>
      <c r="Z116" s="124">
        <v>18833.330000000002</v>
      </c>
      <c r="AA116" s="134">
        <v>1</v>
      </c>
      <c r="AB116" s="151">
        <v>98.76</v>
      </c>
      <c r="AC116" s="2"/>
      <c r="AD116" s="124">
        <v>18.600000000000001</v>
      </c>
      <c r="AE116" s="2"/>
      <c r="AF116" s="2"/>
      <c r="AG116" s="2" t="s">
        <v>36</v>
      </c>
      <c r="AH116" s="140">
        <v>6.0000000000000002E-5</v>
      </c>
      <c r="AI116" s="140">
        <v>5.4462964222147404E-3</v>
      </c>
      <c r="AJ116" s="140">
        <v>1.0015056678148401E-3</v>
      </c>
    </row>
    <row r="117" spans="1:36">
      <c r="A117" s="2">
        <v>382</v>
      </c>
      <c r="B117" s="2">
        <v>7635</v>
      </c>
      <c r="C117" s="2" t="s">
        <v>1546</v>
      </c>
      <c r="D117" s="2" t="s">
        <v>1547</v>
      </c>
      <c r="E117" s="3" t="s">
        <v>1325</v>
      </c>
      <c r="F117" s="2" t="s">
        <v>1758</v>
      </c>
      <c r="G117" s="2" t="s">
        <v>1759</v>
      </c>
      <c r="H117" s="2" t="s">
        <v>187</v>
      </c>
      <c r="I117" s="2" t="s">
        <v>768</v>
      </c>
      <c r="J117" s="2" t="s">
        <v>30</v>
      </c>
      <c r="K117" s="2" t="s">
        <v>30</v>
      </c>
      <c r="L117" s="2" t="s">
        <v>340</v>
      </c>
      <c r="M117" s="2" t="s">
        <v>47</v>
      </c>
      <c r="N117" s="2" t="s">
        <v>475</v>
      </c>
      <c r="O117" s="2" t="s">
        <v>147</v>
      </c>
      <c r="P117" s="2" t="s">
        <v>1760</v>
      </c>
      <c r="Q117" s="2" t="s">
        <v>426</v>
      </c>
      <c r="R117" s="2" t="s">
        <v>420</v>
      </c>
      <c r="S117" s="2" t="s">
        <v>34</v>
      </c>
      <c r="T117" s="124">
        <v>6.6630000000000003</v>
      </c>
      <c r="U117" s="2" t="s">
        <v>1761</v>
      </c>
      <c r="V117" s="138">
        <v>2.5600000000000001E-2</v>
      </c>
      <c r="W117" s="140">
        <v>3.5029999999999999E-2</v>
      </c>
      <c r="X117" s="3" t="s">
        <v>425</v>
      </c>
      <c r="Y117" s="3" t="s">
        <v>147</v>
      </c>
      <c r="Z117" s="124">
        <v>15000</v>
      </c>
      <c r="AA117" s="134">
        <v>1</v>
      </c>
      <c r="AB117" s="151">
        <v>101.59</v>
      </c>
      <c r="AC117" s="2"/>
      <c r="AD117" s="124">
        <v>15.239000000000001</v>
      </c>
      <c r="AE117" s="2"/>
      <c r="AF117" s="2"/>
      <c r="AG117" s="2" t="s">
        <v>36</v>
      </c>
      <c r="AH117" s="140">
        <v>1.4E-5</v>
      </c>
      <c r="AI117" s="140">
        <v>4.4620588779996102E-3</v>
      </c>
      <c r="AJ117" s="140">
        <v>8.20516716316165E-4</v>
      </c>
    </row>
    <row r="118" spans="1:36">
      <c r="A118" s="2">
        <v>382</v>
      </c>
      <c r="B118" s="2">
        <v>7635</v>
      </c>
      <c r="C118" s="2" t="s">
        <v>1546</v>
      </c>
      <c r="D118" s="2" t="s">
        <v>1547</v>
      </c>
      <c r="E118" s="3" t="s">
        <v>1325</v>
      </c>
      <c r="F118" s="2" t="s">
        <v>1762</v>
      </c>
      <c r="G118" s="2" t="s">
        <v>1763</v>
      </c>
      <c r="H118" s="2" t="s">
        <v>187</v>
      </c>
      <c r="I118" s="2" t="s">
        <v>980</v>
      </c>
      <c r="J118" s="2" t="s">
        <v>30</v>
      </c>
      <c r="K118" s="2" t="s">
        <v>30</v>
      </c>
      <c r="L118" s="2" t="s">
        <v>340</v>
      </c>
      <c r="M118" s="2" t="s">
        <v>47</v>
      </c>
      <c r="N118" s="2" t="s">
        <v>475</v>
      </c>
      <c r="O118" s="2" t="s">
        <v>147</v>
      </c>
      <c r="P118" s="2" t="s">
        <v>1760</v>
      </c>
      <c r="Q118" s="2" t="s">
        <v>426</v>
      </c>
      <c r="R118" s="2" t="s">
        <v>420</v>
      </c>
      <c r="S118" s="2" t="s">
        <v>34</v>
      </c>
      <c r="T118" s="124">
        <v>3.9510000000000001</v>
      </c>
      <c r="U118" s="2" t="s">
        <v>1764</v>
      </c>
      <c r="V118" s="138">
        <v>2.41E-2</v>
      </c>
      <c r="W118" s="140">
        <v>5.2909999999999999E-2</v>
      </c>
      <c r="X118" s="3" t="s">
        <v>425</v>
      </c>
      <c r="Y118" s="3" t="s">
        <v>147</v>
      </c>
      <c r="Z118" s="124">
        <v>32760</v>
      </c>
      <c r="AA118" s="134">
        <v>1</v>
      </c>
      <c r="AB118" s="151">
        <v>89.75</v>
      </c>
      <c r="AC118" s="2"/>
      <c r="AD118" s="124">
        <v>29.402000000000001</v>
      </c>
      <c r="AE118" s="2"/>
      <c r="AF118" s="2"/>
      <c r="AG118" s="2" t="s">
        <v>36</v>
      </c>
      <c r="AH118" s="140">
        <v>1.5999999999999999E-5</v>
      </c>
      <c r="AI118" s="140">
        <v>8.6093710888100698E-3</v>
      </c>
      <c r="AJ118" s="140">
        <v>1.5831554644354399E-3</v>
      </c>
    </row>
    <row r="119" spans="1:36">
      <c r="A119" s="2">
        <v>382</v>
      </c>
      <c r="B119" s="2">
        <v>7635</v>
      </c>
      <c r="C119" s="2" t="s">
        <v>1546</v>
      </c>
      <c r="D119" s="2" t="s">
        <v>1547</v>
      </c>
      <c r="E119" s="3" t="s">
        <v>1325</v>
      </c>
      <c r="F119" s="2" t="s">
        <v>2055</v>
      </c>
      <c r="G119" s="2" t="s">
        <v>2056</v>
      </c>
      <c r="H119" s="2" t="s">
        <v>187</v>
      </c>
      <c r="I119" s="2" t="s">
        <v>980</v>
      </c>
      <c r="J119" s="2" t="s">
        <v>30</v>
      </c>
      <c r="K119" s="2" t="s">
        <v>30</v>
      </c>
      <c r="L119" s="2" t="s">
        <v>340</v>
      </c>
      <c r="M119" s="2" t="s">
        <v>47</v>
      </c>
      <c r="N119" s="2" t="s">
        <v>475</v>
      </c>
      <c r="O119" s="2" t="s">
        <v>147</v>
      </c>
      <c r="P119" s="2" t="s">
        <v>1760</v>
      </c>
      <c r="Q119" s="2" t="s">
        <v>426</v>
      </c>
      <c r="R119" s="2" t="s">
        <v>420</v>
      </c>
      <c r="S119" s="2" t="s">
        <v>34</v>
      </c>
      <c r="T119" s="124">
        <v>6.1609999999999996</v>
      </c>
      <c r="U119" s="2" t="s">
        <v>1761</v>
      </c>
      <c r="V119" s="138">
        <v>4.9399999999999999E-2</v>
      </c>
      <c r="W119" s="140">
        <v>5.5919999999999997E-2</v>
      </c>
      <c r="X119" s="3" t="s">
        <v>425</v>
      </c>
      <c r="Y119" s="3" t="s">
        <v>147</v>
      </c>
      <c r="Z119" s="124">
        <v>15495</v>
      </c>
      <c r="AA119" s="134">
        <v>1</v>
      </c>
      <c r="AB119" s="151">
        <v>96.63</v>
      </c>
      <c r="AC119" s="2"/>
      <c r="AD119" s="124">
        <v>14.973000000000001</v>
      </c>
      <c r="AE119" s="2"/>
      <c r="AF119" s="2"/>
      <c r="AG119" s="2" t="s">
        <v>36</v>
      </c>
      <c r="AH119" s="140">
        <v>1.1E-5</v>
      </c>
      <c r="AI119" s="140">
        <v>4.3842633931556099E-3</v>
      </c>
      <c r="AJ119" s="140">
        <v>8.0621110146129405E-4</v>
      </c>
    </row>
    <row r="120" spans="1:36">
      <c r="A120" s="2">
        <v>382</v>
      </c>
      <c r="B120" s="2">
        <v>7635</v>
      </c>
      <c r="C120" s="2" t="s">
        <v>1765</v>
      </c>
      <c r="D120" s="2" t="s">
        <v>1766</v>
      </c>
      <c r="E120" s="3" t="s">
        <v>1325</v>
      </c>
      <c r="F120" s="2" t="s">
        <v>1767</v>
      </c>
      <c r="G120" s="2" t="s">
        <v>1768</v>
      </c>
      <c r="H120" s="2" t="s">
        <v>187</v>
      </c>
      <c r="I120" s="2" t="s">
        <v>980</v>
      </c>
      <c r="J120" s="2" t="s">
        <v>30</v>
      </c>
      <c r="K120" s="2" t="s">
        <v>30</v>
      </c>
      <c r="L120" s="2" t="s">
        <v>340</v>
      </c>
      <c r="M120" s="2" t="s">
        <v>47</v>
      </c>
      <c r="N120" s="2" t="s">
        <v>462</v>
      </c>
      <c r="O120" s="2" t="s">
        <v>147</v>
      </c>
      <c r="P120" s="2" t="s">
        <v>1769</v>
      </c>
      <c r="Q120" s="2" t="s">
        <v>426</v>
      </c>
      <c r="R120" s="2" t="s">
        <v>420</v>
      </c>
      <c r="S120" s="2" t="s">
        <v>34</v>
      </c>
      <c r="T120" s="124">
        <v>0.72899999999999998</v>
      </c>
      <c r="U120" s="2" t="s">
        <v>1770</v>
      </c>
      <c r="V120" s="138">
        <v>0.04</v>
      </c>
      <c r="W120" s="140">
        <v>5.407E-2</v>
      </c>
      <c r="X120" s="3" t="s">
        <v>425</v>
      </c>
      <c r="Y120" s="3" t="s">
        <v>147</v>
      </c>
      <c r="Z120" s="124">
        <v>8233.35</v>
      </c>
      <c r="AA120" s="134">
        <v>1</v>
      </c>
      <c r="AB120" s="151">
        <v>100.05</v>
      </c>
      <c r="AC120" s="2"/>
      <c r="AD120" s="124">
        <v>8.2370000000000001</v>
      </c>
      <c r="AE120" s="2"/>
      <c r="AF120" s="2"/>
      <c r="AG120" s="2" t="s">
        <v>36</v>
      </c>
      <c r="AH120" s="140">
        <v>6.2000000000000003E-5</v>
      </c>
      <c r="AI120" s="140">
        <v>2.4120524532867198E-3</v>
      </c>
      <c r="AJ120" s="140">
        <v>4.4354622219607102E-4</v>
      </c>
    </row>
    <row r="121" spans="1:36">
      <c r="A121" s="2">
        <v>382</v>
      </c>
      <c r="B121" s="2">
        <v>7635</v>
      </c>
      <c r="C121" s="2" t="s">
        <v>1765</v>
      </c>
      <c r="D121" s="2" t="s">
        <v>1766</v>
      </c>
      <c r="E121" s="3" t="s">
        <v>1325</v>
      </c>
      <c r="F121" s="2" t="s">
        <v>1771</v>
      </c>
      <c r="G121" s="2" t="s">
        <v>1772</v>
      </c>
      <c r="H121" s="2" t="s">
        <v>187</v>
      </c>
      <c r="I121" s="2" t="s">
        <v>980</v>
      </c>
      <c r="J121" s="2" t="s">
        <v>30</v>
      </c>
      <c r="K121" s="2" t="s">
        <v>30</v>
      </c>
      <c r="L121" s="2" t="s">
        <v>340</v>
      </c>
      <c r="M121" s="2" t="s">
        <v>47</v>
      </c>
      <c r="N121" s="2" t="s">
        <v>462</v>
      </c>
      <c r="O121" s="2" t="s">
        <v>147</v>
      </c>
      <c r="P121" s="2" t="s">
        <v>1769</v>
      </c>
      <c r="Q121" s="2" t="s">
        <v>426</v>
      </c>
      <c r="R121" s="2" t="s">
        <v>420</v>
      </c>
      <c r="S121" s="2" t="s">
        <v>34</v>
      </c>
      <c r="T121" s="124">
        <v>2.996</v>
      </c>
      <c r="U121" s="2" t="s">
        <v>1773</v>
      </c>
      <c r="V121" s="138">
        <v>0.04</v>
      </c>
      <c r="W121" s="140">
        <v>5.2400000000000002E-2</v>
      </c>
      <c r="X121" s="3" t="s">
        <v>425</v>
      </c>
      <c r="Y121" s="3" t="s">
        <v>147</v>
      </c>
      <c r="Z121" s="124">
        <v>22500</v>
      </c>
      <c r="AA121" s="134">
        <v>1</v>
      </c>
      <c r="AB121" s="151">
        <v>97.45</v>
      </c>
      <c r="AC121" s="2"/>
      <c r="AD121" s="124">
        <v>21.925999999999998</v>
      </c>
      <c r="AE121" s="2"/>
      <c r="AF121" s="2"/>
      <c r="AG121" s="2" t="s">
        <v>36</v>
      </c>
      <c r="AH121" s="140">
        <v>3.8999999999999999E-5</v>
      </c>
      <c r="AI121" s="140">
        <v>6.4203312972890298E-3</v>
      </c>
      <c r="AJ121" s="140">
        <v>1.18061847630195E-3</v>
      </c>
    </row>
    <row r="122" spans="1:36">
      <c r="A122" s="2">
        <v>382</v>
      </c>
      <c r="B122" s="2">
        <v>7635</v>
      </c>
      <c r="C122" s="2" t="s">
        <v>1550</v>
      </c>
      <c r="D122" s="2" t="s">
        <v>1551</v>
      </c>
      <c r="E122" s="3" t="s">
        <v>1325</v>
      </c>
      <c r="F122" s="2" t="s">
        <v>1774</v>
      </c>
      <c r="G122" s="2" t="s">
        <v>1775</v>
      </c>
      <c r="H122" s="2" t="s">
        <v>187</v>
      </c>
      <c r="I122" s="2" t="s">
        <v>768</v>
      </c>
      <c r="J122" s="2" t="s">
        <v>30</v>
      </c>
      <c r="K122" s="2" t="s">
        <v>30</v>
      </c>
      <c r="L122" s="2" t="s">
        <v>340</v>
      </c>
      <c r="M122" s="2" t="s">
        <v>47</v>
      </c>
      <c r="N122" s="2" t="s">
        <v>475</v>
      </c>
      <c r="O122" s="2" t="s">
        <v>147</v>
      </c>
      <c r="P122" s="2" t="s">
        <v>1756</v>
      </c>
      <c r="Q122" s="2" t="s">
        <v>426</v>
      </c>
      <c r="R122" s="2" t="s">
        <v>420</v>
      </c>
      <c r="S122" s="2" t="s">
        <v>34</v>
      </c>
      <c r="T122" s="124">
        <v>1.6819999999999999</v>
      </c>
      <c r="U122" s="2" t="s">
        <v>1776</v>
      </c>
      <c r="V122" s="138">
        <v>3.2000000000000001E-2</v>
      </c>
      <c r="W122" s="140">
        <v>2.7539999999999999E-2</v>
      </c>
      <c r="X122" s="3" t="s">
        <v>425</v>
      </c>
      <c r="Y122" s="3" t="s">
        <v>147</v>
      </c>
      <c r="Z122" s="124">
        <v>36000</v>
      </c>
      <c r="AA122" s="134">
        <v>1</v>
      </c>
      <c r="AB122" s="151">
        <v>118.93</v>
      </c>
      <c r="AC122" s="2"/>
      <c r="AD122" s="124">
        <v>42.814999999999998</v>
      </c>
      <c r="AE122" s="2"/>
      <c r="AF122" s="2"/>
      <c r="AG122" s="2" t="s">
        <v>36</v>
      </c>
      <c r="AH122" s="140">
        <v>6.4999999999999994E-5</v>
      </c>
      <c r="AI122" s="140">
        <v>1.25368086392872E-2</v>
      </c>
      <c r="AJ122" s="140">
        <v>2.3053620176351599E-3</v>
      </c>
    </row>
    <row r="123" spans="1:36">
      <c r="A123" s="2">
        <v>382</v>
      </c>
      <c r="B123" s="2">
        <v>7635</v>
      </c>
      <c r="C123" s="2" t="s">
        <v>1550</v>
      </c>
      <c r="D123" s="2" t="s">
        <v>1551</v>
      </c>
      <c r="E123" s="3" t="s">
        <v>1325</v>
      </c>
      <c r="F123" s="2" t="s">
        <v>2057</v>
      </c>
      <c r="G123" s="2" t="s">
        <v>2058</v>
      </c>
      <c r="H123" s="2" t="s">
        <v>187</v>
      </c>
      <c r="I123" s="2" t="s">
        <v>980</v>
      </c>
      <c r="J123" s="2" t="s">
        <v>30</v>
      </c>
      <c r="K123" s="2" t="s">
        <v>30</v>
      </c>
      <c r="L123" s="2" t="s">
        <v>340</v>
      </c>
      <c r="M123" s="2" t="s">
        <v>47</v>
      </c>
      <c r="N123" s="2" t="s">
        <v>475</v>
      </c>
      <c r="O123" s="2" t="s">
        <v>147</v>
      </c>
      <c r="P123" s="2" t="s">
        <v>1756</v>
      </c>
      <c r="Q123" s="2" t="s">
        <v>426</v>
      </c>
      <c r="R123" s="2" t="s">
        <v>420</v>
      </c>
      <c r="S123" s="2" t="s">
        <v>34</v>
      </c>
      <c r="T123" s="124">
        <v>0.76200000000000001</v>
      </c>
      <c r="U123" s="2" t="s">
        <v>2059</v>
      </c>
      <c r="V123" s="138">
        <v>3.39E-2</v>
      </c>
      <c r="W123" s="140">
        <v>4.4609999999999997E-2</v>
      </c>
      <c r="X123" s="3" t="s">
        <v>425</v>
      </c>
      <c r="Y123" s="3" t="s">
        <v>147</v>
      </c>
      <c r="Z123" s="124">
        <v>10000</v>
      </c>
      <c r="AA123" s="134">
        <v>1</v>
      </c>
      <c r="AB123" s="151">
        <v>100.01</v>
      </c>
      <c r="AC123" s="2"/>
      <c r="AD123" s="124">
        <v>10.000999999999999</v>
      </c>
      <c r="AE123" s="2"/>
      <c r="AF123" s="2"/>
      <c r="AG123" s="2" t="s">
        <v>36</v>
      </c>
      <c r="AH123" s="140">
        <v>6.0999999999999999E-5</v>
      </c>
      <c r="AI123" s="140">
        <v>2.9284411745824101E-3</v>
      </c>
      <c r="AJ123" s="140">
        <v>5.3850363748912005E-4</v>
      </c>
    </row>
    <row r="124" spans="1:36">
      <c r="A124" s="2">
        <v>382</v>
      </c>
      <c r="B124" s="2">
        <v>7635</v>
      </c>
      <c r="C124" s="2" t="s">
        <v>1550</v>
      </c>
      <c r="D124" s="2" t="s">
        <v>1551</v>
      </c>
      <c r="E124" s="3" t="s">
        <v>1325</v>
      </c>
      <c r="F124" s="2" t="s">
        <v>2060</v>
      </c>
      <c r="G124" s="2" t="s">
        <v>2061</v>
      </c>
      <c r="H124" s="2" t="s">
        <v>187</v>
      </c>
      <c r="I124" s="2" t="s">
        <v>980</v>
      </c>
      <c r="J124" s="2" t="s">
        <v>30</v>
      </c>
      <c r="K124" s="2" t="s">
        <v>30</v>
      </c>
      <c r="L124" s="2" t="s">
        <v>340</v>
      </c>
      <c r="M124" s="2" t="s">
        <v>47</v>
      </c>
      <c r="N124" s="2" t="s">
        <v>475</v>
      </c>
      <c r="O124" s="2" t="s">
        <v>147</v>
      </c>
      <c r="P124" s="2" t="s">
        <v>1756</v>
      </c>
      <c r="Q124" s="2" t="s">
        <v>426</v>
      </c>
      <c r="R124" s="2" t="s">
        <v>420</v>
      </c>
      <c r="S124" s="2" t="s">
        <v>34</v>
      </c>
      <c r="T124" s="124">
        <v>4.915</v>
      </c>
      <c r="U124" s="2" t="s">
        <v>2062</v>
      </c>
      <c r="V124" s="138">
        <v>2.4400000000000002E-2</v>
      </c>
      <c r="W124" s="140">
        <v>5.1520000000000003E-2</v>
      </c>
      <c r="X124" s="3" t="s">
        <v>425</v>
      </c>
      <c r="Y124" s="3" t="s">
        <v>147</v>
      </c>
      <c r="Z124" s="124">
        <v>40000</v>
      </c>
      <c r="AA124" s="134">
        <v>1</v>
      </c>
      <c r="AB124" s="151">
        <v>88.38</v>
      </c>
      <c r="AC124" s="2"/>
      <c r="AD124" s="124">
        <v>35.351999999999997</v>
      </c>
      <c r="AE124" s="2"/>
      <c r="AF124" s="2"/>
      <c r="AG124" s="2" t="s">
        <v>36</v>
      </c>
      <c r="AH124" s="140">
        <v>3.3000000000000003E-5</v>
      </c>
      <c r="AI124" s="140">
        <v>1.03515900813756E-2</v>
      </c>
      <c r="AJ124" s="140">
        <v>1.90352770648089E-3</v>
      </c>
    </row>
    <row r="125" spans="1:36">
      <c r="A125" s="2">
        <v>382</v>
      </c>
      <c r="B125" s="2">
        <v>7635</v>
      </c>
      <c r="C125" s="2" t="s">
        <v>1554</v>
      </c>
      <c r="D125" s="2" t="s">
        <v>1555</v>
      </c>
      <c r="E125" s="3" t="s">
        <v>1325</v>
      </c>
      <c r="F125" s="2" t="s">
        <v>1777</v>
      </c>
      <c r="G125" s="2" t="s">
        <v>1778</v>
      </c>
      <c r="H125" s="2" t="s">
        <v>187</v>
      </c>
      <c r="I125" s="2" t="s">
        <v>980</v>
      </c>
      <c r="J125" s="2" t="s">
        <v>30</v>
      </c>
      <c r="K125" s="2" t="s">
        <v>103</v>
      </c>
      <c r="L125" s="2" t="s">
        <v>340</v>
      </c>
      <c r="M125" s="2" t="s">
        <v>47</v>
      </c>
      <c r="N125" s="2" t="s">
        <v>452</v>
      </c>
      <c r="O125" s="2" t="s">
        <v>147</v>
      </c>
      <c r="P125" s="2" t="s">
        <v>1779</v>
      </c>
      <c r="Q125" s="2" t="s">
        <v>428</v>
      </c>
      <c r="R125" s="2" t="s">
        <v>420</v>
      </c>
      <c r="S125" s="2" t="s">
        <v>34</v>
      </c>
      <c r="T125" s="124">
        <v>1.2609999999999999</v>
      </c>
      <c r="U125" s="2" t="s">
        <v>1780</v>
      </c>
      <c r="V125" s="138">
        <v>3.4500000000000003E-2</v>
      </c>
      <c r="W125" s="140">
        <v>5.4989999999999997E-2</v>
      </c>
      <c r="X125" s="3" t="s">
        <v>425</v>
      </c>
      <c r="Y125" s="3" t="s">
        <v>147</v>
      </c>
      <c r="Z125" s="124">
        <v>40626.6</v>
      </c>
      <c r="AA125" s="134">
        <v>1</v>
      </c>
      <c r="AB125" s="151">
        <v>97.86</v>
      </c>
      <c r="AC125" s="2"/>
      <c r="AD125" s="124">
        <v>39.756999999999998</v>
      </c>
      <c r="AE125" s="2"/>
      <c r="AF125" s="2"/>
      <c r="AG125" s="2" t="s">
        <v>36</v>
      </c>
      <c r="AH125" s="140">
        <v>6.3E-5</v>
      </c>
      <c r="AI125" s="140">
        <v>1.1641495291202E-2</v>
      </c>
      <c r="AJ125" s="140">
        <v>2.14072511154973E-3</v>
      </c>
    </row>
    <row r="126" spans="1:36">
      <c r="A126" s="2">
        <v>382</v>
      </c>
      <c r="B126" s="2">
        <v>7635</v>
      </c>
      <c r="C126" s="2" t="s">
        <v>1781</v>
      </c>
      <c r="D126" s="2" t="s">
        <v>1782</v>
      </c>
      <c r="E126" s="3" t="s">
        <v>1325</v>
      </c>
      <c r="F126" s="2" t="s">
        <v>1783</v>
      </c>
      <c r="G126" s="2" t="s">
        <v>1784</v>
      </c>
      <c r="H126" s="2" t="s">
        <v>187</v>
      </c>
      <c r="I126" s="2" t="s">
        <v>769</v>
      </c>
      <c r="J126" s="2" t="s">
        <v>30</v>
      </c>
      <c r="K126" s="2" t="s">
        <v>30</v>
      </c>
      <c r="L126" s="2" t="s">
        <v>340</v>
      </c>
      <c r="M126" s="2" t="s">
        <v>47</v>
      </c>
      <c r="N126" s="2" t="s">
        <v>451</v>
      </c>
      <c r="O126" s="2" t="s">
        <v>147</v>
      </c>
      <c r="P126" s="2" t="s">
        <v>1769</v>
      </c>
      <c r="Q126" s="2" t="s">
        <v>426</v>
      </c>
      <c r="R126" s="2" t="s">
        <v>420</v>
      </c>
      <c r="S126" s="2" t="s">
        <v>34</v>
      </c>
      <c r="T126" s="124">
        <v>0.499</v>
      </c>
      <c r="U126" s="2" t="s">
        <v>1785</v>
      </c>
      <c r="V126" s="138">
        <v>4.7E-2</v>
      </c>
      <c r="W126" s="140">
        <v>7.732E-2</v>
      </c>
      <c r="X126" s="3" t="s">
        <v>425</v>
      </c>
      <c r="Y126" s="3" t="s">
        <v>147</v>
      </c>
      <c r="Z126" s="124">
        <v>12000</v>
      </c>
      <c r="AA126" s="134">
        <v>1</v>
      </c>
      <c r="AB126" s="151">
        <v>100.8</v>
      </c>
      <c r="AC126" s="2"/>
      <c r="AD126" s="124">
        <v>12.096</v>
      </c>
      <c r="AE126" s="2"/>
      <c r="AF126" s="2"/>
      <c r="AG126" s="2" t="s">
        <v>36</v>
      </c>
      <c r="AH126" s="140">
        <v>4.8999999999999998E-5</v>
      </c>
      <c r="AI126" s="140">
        <v>3.54188825594929E-3</v>
      </c>
      <c r="AJ126" s="140">
        <v>6.5130886901993801E-4</v>
      </c>
    </row>
    <row r="127" spans="1:36">
      <c r="A127" s="2">
        <v>382</v>
      </c>
      <c r="B127" s="2">
        <v>7635</v>
      </c>
      <c r="C127" s="2" t="s">
        <v>1786</v>
      </c>
      <c r="D127" s="2" t="s">
        <v>1787</v>
      </c>
      <c r="E127" s="3" t="s">
        <v>1325</v>
      </c>
      <c r="F127" s="2" t="s">
        <v>1791</v>
      </c>
      <c r="G127" s="2" t="s">
        <v>1792</v>
      </c>
      <c r="H127" s="2" t="s">
        <v>187</v>
      </c>
      <c r="I127" s="2" t="s">
        <v>768</v>
      </c>
      <c r="J127" s="2" t="s">
        <v>30</v>
      </c>
      <c r="K127" s="2" t="s">
        <v>30</v>
      </c>
      <c r="L127" s="2" t="s">
        <v>340</v>
      </c>
      <c r="M127" s="2" t="s">
        <v>47</v>
      </c>
      <c r="N127" s="2" t="s">
        <v>475</v>
      </c>
      <c r="O127" s="2" t="s">
        <v>147</v>
      </c>
      <c r="P127" s="2" t="s">
        <v>1760</v>
      </c>
      <c r="Q127" s="2" t="s">
        <v>426</v>
      </c>
      <c r="R127" s="2" t="s">
        <v>420</v>
      </c>
      <c r="S127" s="2" t="s">
        <v>34</v>
      </c>
      <c r="T127" s="124">
        <v>4.8780000000000001</v>
      </c>
      <c r="U127" s="2" t="s">
        <v>1793</v>
      </c>
      <c r="V127" s="138">
        <v>1.8700000000000001E-2</v>
      </c>
      <c r="W127" s="140">
        <v>3.1629999999999998E-2</v>
      </c>
      <c r="X127" s="3" t="s">
        <v>425</v>
      </c>
      <c r="Y127" s="3" t="s">
        <v>147</v>
      </c>
      <c r="Z127" s="124">
        <v>29895</v>
      </c>
      <c r="AA127" s="134">
        <v>1</v>
      </c>
      <c r="AB127" s="151">
        <v>105.08</v>
      </c>
      <c r="AC127" s="2"/>
      <c r="AD127" s="124">
        <v>31.414000000000001</v>
      </c>
      <c r="AE127" s="2"/>
      <c r="AF127" s="2"/>
      <c r="AG127" s="2" t="s">
        <v>36</v>
      </c>
      <c r="AH127" s="140">
        <v>2.9E-5</v>
      </c>
      <c r="AI127" s="140">
        <v>9.1983874571522403E-3</v>
      </c>
      <c r="AJ127" s="140">
        <v>1.69146819396743E-3</v>
      </c>
    </row>
    <row r="128" spans="1:36">
      <c r="A128" s="2">
        <v>382</v>
      </c>
      <c r="B128" s="2">
        <v>7635</v>
      </c>
      <c r="C128" s="2" t="s">
        <v>1794</v>
      </c>
      <c r="D128" s="2" t="s">
        <v>1795</v>
      </c>
      <c r="E128" s="3" t="s">
        <v>1325</v>
      </c>
      <c r="F128" s="2" t="s">
        <v>1796</v>
      </c>
      <c r="G128" s="2" t="s">
        <v>1797</v>
      </c>
      <c r="H128" s="2" t="s">
        <v>187</v>
      </c>
      <c r="I128" s="2" t="s">
        <v>768</v>
      </c>
      <c r="J128" s="2" t="s">
        <v>30</v>
      </c>
      <c r="K128" s="2" t="s">
        <v>30</v>
      </c>
      <c r="L128" s="2" t="s">
        <v>340</v>
      </c>
      <c r="M128" s="2" t="s">
        <v>47</v>
      </c>
      <c r="N128" s="2" t="s">
        <v>459</v>
      </c>
      <c r="O128" s="2" t="s">
        <v>147</v>
      </c>
      <c r="P128" s="2" t="s">
        <v>1182</v>
      </c>
      <c r="Q128" s="2" t="s">
        <v>426</v>
      </c>
      <c r="R128" s="2" t="s">
        <v>420</v>
      </c>
      <c r="S128" s="2" t="s">
        <v>34</v>
      </c>
      <c r="T128" s="124">
        <v>0.44400000000000001</v>
      </c>
      <c r="U128" s="2" t="s">
        <v>1798</v>
      </c>
      <c r="V128" s="138">
        <v>1E-3</v>
      </c>
      <c r="W128" s="140">
        <v>2.2599999999999999E-2</v>
      </c>
      <c r="X128" s="3" t="s">
        <v>425</v>
      </c>
      <c r="Y128" s="3" t="s">
        <v>147</v>
      </c>
      <c r="Z128" s="124">
        <v>50000</v>
      </c>
      <c r="AA128" s="134">
        <v>1</v>
      </c>
      <c r="AB128" s="151">
        <v>113.85</v>
      </c>
      <c r="AC128" s="2"/>
      <c r="AD128" s="124">
        <v>56.924999999999997</v>
      </c>
      <c r="AE128" s="2"/>
      <c r="AF128" s="2"/>
      <c r="AG128" s="2" t="s">
        <v>36</v>
      </c>
      <c r="AH128" s="140">
        <v>3.3000000000000003E-5</v>
      </c>
      <c r="AI128" s="140">
        <v>1.66684845378566E-2</v>
      </c>
      <c r="AJ128" s="140">
        <v>3.06512544386243E-3</v>
      </c>
    </row>
    <row r="129" spans="1:36">
      <c r="A129" s="2">
        <v>382</v>
      </c>
      <c r="B129" s="2">
        <v>7635</v>
      </c>
      <c r="C129" s="2" t="s">
        <v>1799</v>
      </c>
      <c r="D129" s="2" t="s">
        <v>1800</v>
      </c>
      <c r="E129" s="3" t="s">
        <v>1325</v>
      </c>
      <c r="F129" s="2" t="s">
        <v>1801</v>
      </c>
      <c r="G129" s="2" t="s">
        <v>1802</v>
      </c>
      <c r="H129" s="2" t="s">
        <v>187</v>
      </c>
      <c r="I129" s="2" t="s">
        <v>980</v>
      </c>
      <c r="J129" s="2" t="s">
        <v>30</v>
      </c>
      <c r="K129" s="2" t="s">
        <v>30</v>
      </c>
      <c r="L129" s="2" t="s">
        <v>340</v>
      </c>
      <c r="M129" s="2" t="s">
        <v>47</v>
      </c>
      <c r="N129" s="2" t="s">
        <v>451</v>
      </c>
      <c r="O129" s="2" t="s">
        <v>147</v>
      </c>
      <c r="P129" s="2" t="s">
        <v>1803</v>
      </c>
      <c r="Q129" s="2" t="s">
        <v>428</v>
      </c>
      <c r="R129" s="2" t="s">
        <v>420</v>
      </c>
      <c r="S129" s="2" t="s">
        <v>34</v>
      </c>
      <c r="T129" s="124">
        <v>2.621</v>
      </c>
      <c r="U129" s="2" t="s">
        <v>1804</v>
      </c>
      <c r="V129" s="138">
        <v>7.2499999999999995E-2</v>
      </c>
      <c r="W129" s="140">
        <v>5.6919999999999998E-2</v>
      </c>
      <c r="X129" s="3" t="s">
        <v>425</v>
      </c>
      <c r="Y129" s="3" t="s">
        <v>147</v>
      </c>
      <c r="Z129" s="124">
        <v>8958.6</v>
      </c>
      <c r="AA129" s="134">
        <v>1</v>
      </c>
      <c r="AB129" s="151">
        <v>107.37</v>
      </c>
      <c r="AC129" s="2"/>
      <c r="AD129" s="124">
        <v>9.6189999999999998</v>
      </c>
      <c r="AE129" s="2"/>
      <c r="AF129" s="2"/>
      <c r="AG129" s="2" t="s">
        <v>36</v>
      </c>
      <c r="AH129" s="140">
        <v>1.2E-5</v>
      </c>
      <c r="AI129" s="140">
        <v>2.8165416394931998E-3</v>
      </c>
      <c r="AJ129" s="140">
        <v>5.1792671513127997E-4</v>
      </c>
    </row>
    <row r="130" spans="1:36">
      <c r="A130" s="2">
        <v>382</v>
      </c>
      <c r="B130" s="2">
        <v>7635</v>
      </c>
      <c r="C130" s="2" t="s">
        <v>1805</v>
      </c>
      <c r="D130" s="2" t="s">
        <v>1806</v>
      </c>
      <c r="E130" s="3" t="s">
        <v>1325</v>
      </c>
      <c r="F130" s="2" t="s">
        <v>2010</v>
      </c>
      <c r="G130" s="2" t="s">
        <v>2011</v>
      </c>
      <c r="H130" s="2" t="s">
        <v>187</v>
      </c>
      <c r="I130" s="2" t="s">
        <v>980</v>
      </c>
      <c r="J130" s="2" t="s">
        <v>30</v>
      </c>
      <c r="K130" s="2" t="s">
        <v>30</v>
      </c>
      <c r="L130" s="2" t="s">
        <v>340</v>
      </c>
      <c r="M130" s="2" t="s">
        <v>47</v>
      </c>
      <c r="N130" s="2" t="s">
        <v>475</v>
      </c>
      <c r="O130" s="2" t="s">
        <v>147</v>
      </c>
      <c r="P130" s="2" t="s">
        <v>1756</v>
      </c>
      <c r="Q130" s="2" t="s">
        <v>426</v>
      </c>
      <c r="R130" s="2" t="s">
        <v>420</v>
      </c>
      <c r="S130" s="2" t="s">
        <v>34</v>
      </c>
      <c r="T130" s="124">
        <v>4.7640000000000002</v>
      </c>
      <c r="U130" s="2" t="s">
        <v>1984</v>
      </c>
      <c r="V130" s="138">
        <v>2.5499999999999998E-2</v>
      </c>
      <c r="W130" s="140">
        <v>5.2690000000000001E-2</v>
      </c>
      <c r="X130" s="3" t="s">
        <v>425</v>
      </c>
      <c r="Y130" s="3" t="s">
        <v>147</v>
      </c>
      <c r="Z130" s="124">
        <v>33583.32</v>
      </c>
      <c r="AA130" s="134">
        <v>1</v>
      </c>
      <c r="AB130" s="151">
        <v>88.7</v>
      </c>
      <c r="AC130" s="2"/>
      <c r="AD130" s="124">
        <v>29.788</v>
      </c>
      <c r="AE130" s="2"/>
      <c r="AF130" s="2"/>
      <c r="AG130" s="2" t="s">
        <v>36</v>
      </c>
      <c r="AH130" s="140">
        <v>1.4E-5</v>
      </c>
      <c r="AI130" s="140">
        <v>8.7224868771708809E-3</v>
      </c>
      <c r="AJ130" s="140">
        <v>1.6039560405297999E-3</v>
      </c>
    </row>
    <row r="131" spans="1:36">
      <c r="A131" s="2">
        <v>382</v>
      </c>
      <c r="B131" s="2">
        <v>7635</v>
      </c>
      <c r="C131" s="2" t="s">
        <v>1805</v>
      </c>
      <c r="D131" s="2" t="s">
        <v>1806</v>
      </c>
      <c r="E131" s="3" t="s">
        <v>1325</v>
      </c>
      <c r="F131" s="2" t="s">
        <v>1807</v>
      </c>
      <c r="G131" s="2" t="s">
        <v>1808</v>
      </c>
      <c r="H131" s="2" t="s">
        <v>187</v>
      </c>
      <c r="I131" s="2" t="s">
        <v>768</v>
      </c>
      <c r="J131" s="2" t="s">
        <v>30</v>
      </c>
      <c r="K131" s="2" t="s">
        <v>30</v>
      </c>
      <c r="L131" s="2" t="s">
        <v>340</v>
      </c>
      <c r="M131" s="2" t="s">
        <v>47</v>
      </c>
      <c r="N131" s="2" t="s">
        <v>475</v>
      </c>
      <c r="O131" s="2" t="s">
        <v>147</v>
      </c>
      <c r="P131" s="2" t="s">
        <v>1756</v>
      </c>
      <c r="Q131" s="2" t="s">
        <v>426</v>
      </c>
      <c r="R131" s="2" t="s">
        <v>420</v>
      </c>
      <c r="S131" s="2" t="s">
        <v>34</v>
      </c>
      <c r="T131" s="124">
        <v>4.673</v>
      </c>
      <c r="U131" s="2" t="s">
        <v>1809</v>
      </c>
      <c r="V131" s="138">
        <v>5.8999999999999999E-3</v>
      </c>
      <c r="W131" s="140">
        <v>3.0779999999999998E-2</v>
      </c>
      <c r="X131" s="3" t="s">
        <v>425</v>
      </c>
      <c r="Y131" s="3" t="s">
        <v>147</v>
      </c>
      <c r="Z131" s="124">
        <v>24000</v>
      </c>
      <c r="AA131" s="134">
        <v>1</v>
      </c>
      <c r="AB131" s="151">
        <v>100.11</v>
      </c>
      <c r="AC131" s="2"/>
      <c r="AD131" s="124">
        <v>24.026</v>
      </c>
      <c r="AE131" s="2"/>
      <c r="AF131" s="2"/>
      <c r="AG131" s="2" t="s">
        <v>36</v>
      </c>
      <c r="AH131" s="140">
        <v>1.7E-5</v>
      </c>
      <c r="AI131" s="140">
        <v>7.03528637506118E-3</v>
      </c>
      <c r="AJ131" s="140">
        <v>1.29370100947591E-3</v>
      </c>
    </row>
    <row r="132" spans="1:36">
      <c r="A132" s="2">
        <v>382</v>
      </c>
      <c r="B132" s="2">
        <v>7635</v>
      </c>
      <c r="C132" s="2" t="s">
        <v>1810</v>
      </c>
      <c r="D132" s="2" t="s">
        <v>1811</v>
      </c>
      <c r="E132" s="3" t="s">
        <v>1325</v>
      </c>
      <c r="F132" s="2" t="s">
        <v>2063</v>
      </c>
      <c r="G132" s="2" t="s">
        <v>2064</v>
      </c>
      <c r="H132" s="2" t="s">
        <v>187</v>
      </c>
      <c r="I132" s="2" t="s">
        <v>768</v>
      </c>
      <c r="J132" s="2" t="s">
        <v>30</v>
      </c>
      <c r="K132" s="2" t="s">
        <v>313</v>
      </c>
      <c r="L132" s="2" t="s">
        <v>340</v>
      </c>
      <c r="M132" s="2" t="s">
        <v>47</v>
      </c>
      <c r="N132" s="2" t="s">
        <v>476</v>
      </c>
      <c r="O132" s="2" t="s">
        <v>147</v>
      </c>
      <c r="P132" s="2" t="s">
        <v>1814</v>
      </c>
      <c r="Q132" s="2" t="s">
        <v>426</v>
      </c>
      <c r="R132" s="2" t="s">
        <v>420</v>
      </c>
      <c r="S132" s="2" t="s">
        <v>34</v>
      </c>
      <c r="T132" s="124">
        <v>1.7569999999999999</v>
      </c>
      <c r="U132" s="2" t="s">
        <v>1882</v>
      </c>
      <c r="V132" s="138">
        <v>3.2800000000000003E-2</v>
      </c>
      <c r="W132" s="140">
        <v>4.947E-2</v>
      </c>
      <c r="X132" s="3" t="s">
        <v>425</v>
      </c>
      <c r="Y132" s="3" t="s">
        <v>147</v>
      </c>
      <c r="Z132" s="124">
        <v>54736.84</v>
      </c>
      <c r="AA132" s="134">
        <v>1</v>
      </c>
      <c r="AB132" s="151">
        <v>114.78</v>
      </c>
      <c r="AC132" s="2"/>
      <c r="AD132" s="124">
        <v>62.826999999999998</v>
      </c>
      <c r="AE132" s="2"/>
      <c r="AF132" s="2"/>
      <c r="AG132" s="2" t="s">
        <v>36</v>
      </c>
      <c r="AH132" s="140">
        <v>3.1999999999999999E-5</v>
      </c>
      <c r="AI132" s="140">
        <v>1.83966615809079E-2</v>
      </c>
      <c r="AJ132" s="140">
        <v>3.3829155473433401E-3</v>
      </c>
    </row>
    <row r="133" spans="1:36">
      <c r="A133" s="2">
        <v>382</v>
      </c>
      <c r="B133" s="2">
        <v>7635</v>
      </c>
      <c r="C133" s="2" t="s">
        <v>1816</v>
      </c>
      <c r="D133" s="2" t="s">
        <v>1817</v>
      </c>
      <c r="E133" s="3" t="s">
        <v>1325</v>
      </c>
      <c r="F133" s="2" t="s">
        <v>1818</v>
      </c>
      <c r="G133" s="2" t="s">
        <v>1819</v>
      </c>
      <c r="H133" s="2" t="s">
        <v>187</v>
      </c>
      <c r="I133" s="2" t="s">
        <v>768</v>
      </c>
      <c r="J133" s="2" t="s">
        <v>30</v>
      </c>
      <c r="K133" s="2" t="s">
        <v>30</v>
      </c>
      <c r="L133" s="2" t="s">
        <v>340</v>
      </c>
      <c r="M133" s="2" t="s">
        <v>47</v>
      </c>
      <c r="N133" s="2" t="s">
        <v>459</v>
      </c>
      <c r="O133" s="2" t="s">
        <v>147</v>
      </c>
      <c r="P133" s="2" t="s">
        <v>1182</v>
      </c>
      <c r="Q133" s="2" t="s">
        <v>426</v>
      </c>
      <c r="R133" s="2" t="s">
        <v>420</v>
      </c>
      <c r="S133" s="2" t="s">
        <v>34</v>
      </c>
      <c r="T133" s="124">
        <v>3.7480000000000002</v>
      </c>
      <c r="U133" s="2" t="s">
        <v>1820</v>
      </c>
      <c r="V133" s="138">
        <v>2E-3</v>
      </c>
      <c r="W133" s="140">
        <v>2.5999999999999999E-2</v>
      </c>
      <c r="X133" s="3" t="s">
        <v>425</v>
      </c>
      <c r="Y133" s="3" t="s">
        <v>147</v>
      </c>
      <c r="Z133" s="124">
        <v>96929.82</v>
      </c>
      <c r="AA133" s="134">
        <v>1</v>
      </c>
      <c r="AB133" s="151">
        <v>103.06</v>
      </c>
      <c r="AC133" s="2"/>
      <c r="AD133" s="124">
        <v>99.896000000000001</v>
      </c>
      <c r="AE133" s="2"/>
      <c r="AF133" s="2"/>
      <c r="AG133" s="2" t="s">
        <v>36</v>
      </c>
      <c r="AH133" s="140">
        <v>2.8E-5</v>
      </c>
      <c r="AI133" s="140">
        <v>2.9250993518288901E-2</v>
      </c>
      <c r="AJ133" s="140">
        <v>5.3788911815909803E-3</v>
      </c>
    </row>
    <row r="134" spans="1:36">
      <c r="A134" s="2">
        <v>382</v>
      </c>
      <c r="B134" s="2">
        <v>7635</v>
      </c>
      <c r="C134" s="2" t="s">
        <v>1816</v>
      </c>
      <c r="D134" s="2" t="s">
        <v>1817</v>
      </c>
      <c r="E134" s="3" t="s">
        <v>1325</v>
      </c>
      <c r="F134" s="2" t="s">
        <v>1821</v>
      </c>
      <c r="G134" s="2" t="s">
        <v>1822</v>
      </c>
      <c r="H134" s="2" t="s">
        <v>187</v>
      </c>
      <c r="I134" s="2" t="s">
        <v>768</v>
      </c>
      <c r="J134" s="2" t="s">
        <v>30</v>
      </c>
      <c r="K134" s="2" t="s">
        <v>30</v>
      </c>
      <c r="L134" s="2" t="s">
        <v>340</v>
      </c>
      <c r="M134" s="2" t="s">
        <v>47</v>
      </c>
      <c r="N134" s="2" t="s">
        <v>459</v>
      </c>
      <c r="O134" s="2" t="s">
        <v>147</v>
      </c>
      <c r="P134" s="2" t="s">
        <v>1182</v>
      </c>
      <c r="Q134" s="2" t="s">
        <v>426</v>
      </c>
      <c r="R134" s="2" t="s">
        <v>420</v>
      </c>
      <c r="S134" s="2" t="s">
        <v>34</v>
      </c>
      <c r="T134" s="124">
        <v>5.1459999999999999</v>
      </c>
      <c r="U134" s="2" t="s">
        <v>1823</v>
      </c>
      <c r="V134" s="138">
        <v>2.47E-2</v>
      </c>
      <c r="W134" s="140">
        <v>2.6089999999999999E-2</v>
      </c>
      <c r="X134" s="3" t="s">
        <v>425</v>
      </c>
      <c r="Y134" s="3" t="s">
        <v>147</v>
      </c>
      <c r="Z134" s="124">
        <v>27300</v>
      </c>
      <c r="AA134" s="134">
        <v>1</v>
      </c>
      <c r="AB134" s="151">
        <v>101.3</v>
      </c>
      <c r="AC134" s="2"/>
      <c r="AD134" s="124">
        <v>27.655000000000001</v>
      </c>
      <c r="AE134" s="2"/>
      <c r="AF134" s="2"/>
      <c r="AG134" s="2" t="s">
        <v>36</v>
      </c>
      <c r="AH134" s="140">
        <v>1.0000000000000001E-5</v>
      </c>
      <c r="AI134" s="140">
        <v>8.0977650073951798E-3</v>
      </c>
      <c r="AJ134" s="140">
        <v>1.4890775166881199E-3</v>
      </c>
    </row>
    <row r="135" spans="1:36">
      <c r="A135" s="2">
        <v>382</v>
      </c>
      <c r="B135" s="2">
        <v>7635</v>
      </c>
      <c r="C135" s="2" t="s">
        <v>1816</v>
      </c>
      <c r="D135" s="2" t="s">
        <v>1817</v>
      </c>
      <c r="E135" s="3" t="s">
        <v>1325</v>
      </c>
      <c r="F135" s="2" t="s">
        <v>1824</v>
      </c>
      <c r="G135" s="2" t="s">
        <v>1825</v>
      </c>
      <c r="H135" s="2" t="s">
        <v>187</v>
      </c>
      <c r="I135" s="2" t="s">
        <v>980</v>
      </c>
      <c r="J135" s="2" t="s">
        <v>30</v>
      </c>
      <c r="K135" s="2" t="s">
        <v>30</v>
      </c>
      <c r="L135" s="2" t="s">
        <v>340</v>
      </c>
      <c r="M135" s="2" t="s">
        <v>47</v>
      </c>
      <c r="N135" s="2" t="s">
        <v>459</v>
      </c>
      <c r="O135" s="2" t="s">
        <v>147</v>
      </c>
      <c r="P135" s="2" t="s">
        <v>1182</v>
      </c>
      <c r="Q135" s="2" t="s">
        <v>426</v>
      </c>
      <c r="R135" s="2" t="s">
        <v>420</v>
      </c>
      <c r="S135" s="2" t="s">
        <v>34</v>
      </c>
      <c r="T135" s="124">
        <v>2.9780000000000002</v>
      </c>
      <c r="U135" s="2" t="s">
        <v>1826</v>
      </c>
      <c r="V135" s="138">
        <v>2.6800000000000001E-2</v>
      </c>
      <c r="W135" s="140">
        <v>4.7109999999999999E-2</v>
      </c>
      <c r="X135" s="3" t="s">
        <v>425</v>
      </c>
      <c r="Y135" s="3" t="s">
        <v>147</v>
      </c>
      <c r="Z135" s="124">
        <v>80211.67</v>
      </c>
      <c r="AA135" s="134">
        <v>1</v>
      </c>
      <c r="AB135" s="151">
        <v>95.08</v>
      </c>
      <c r="AC135" s="2"/>
      <c r="AD135" s="124">
        <v>76.265000000000001</v>
      </c>
      <c r="AE135" s="2"/>
      <c r="AF135" s="2"/>
      <c r="AG135" s="2" t="s">
        <v>36</v>
      </c>
      <c r="AH135" s="140">
        <v>4.1E-5</v>
      </c>
      <c r="AI135" s="140">
        <v>2.2331598378182601E-2</v>
      </c>
      <c r="AJ135" s="140">
        <v>4.1065011180606301E-3</v>
      </c>
    </row>
    <row r="136" spans="1:36">
      <c r="A136" s="2">
        <v>382</v>
      </c>
      <c r="B136" s="2">
        <v>7635</v>
      </c>
      <c r="C136" s="2" t="s">
        <v>1830</v>
      </c>
      <c r="D136" s="2" t="s">
        <v>1831</v>
      </c>
      <c r="E136" s="3" t="s">
        <v>1325</v>
      </c>
      <c r="F136" s="2" t="s">
        <v>1832</v>
      </c>
      <c r="G136" s="2" t="s">
        <v>1833</v>
      </c>
      <c r="H136" s="2" t="s">
        <v>187</v>
      </c>
      <c r="I136" s="2" t="s">
        <v>980</v>
      </c>
      <c r="J136" s="2" t="s">
        <v>30</v>
      </c>
      <c r="K136" s="2" t="s">
        <v>30</v>
      </c>
      <c r="L136" s="2" t="s">
        <v>340</v>
      </c>
      <c r="M136" s="2" t="s">
        <v>47</v>
      </c>
      <c r="N136" s="2" t="s">
        <v>456</v>
      </c>
      <c r="O136" s="2" t="s">
        <v>147</v>
      </c>
      <c r="P136" s="2" t="s">
        <v>1760</v>
      </c>
      <c r="Q136" s="2" t="s">
        <v>426</v>
      </c>
      <c r="R136" s="2" t="s">
        <v>420</v>
      </c>
      <c r="S136" s="2" t="s">
        <v>34</v>
      </c>
      <c r="T136" s="124">
        <v>1.2250000000000001</v>
      </c>
      <c r="U136" s="2" t="s">
        <v>1770</v>
      </c>
      <c r="V136" s="138">
        <v>2.9100000000000001E-2</v>
      </c>
      <c r="W136" s="140">
        <v>4.8590000000000001E-2</v>
      </c>
      <c r="X136" s="3" t="s">
        <v>425</v>
      </c>
      <c r="Y136" s="3" t="s">
        <v>147</v>
      </c>
      <c r="Z136" s="124">
        <v>10000</v>
      </c>
      <c r="AA136" s="134">
        <v>1</v>
      </c>
      <c r="AB136" s="151">
        <v>98.47</v>
      </c>
      <c r="AC136" s="2"/>
      <c r="AD136" s="124">
        <v>9.8469999999999995</v>
      </c>
      <c r="AE136" s="2"/>
      <c r="AF136" s="2"/>
      <c r="AG136" s="2" t="s">
        <v>36</v>
      </c>
      <c r="AH136" s="140">
        <v>1.7E-5</v>
      </c>
      <c r="AI136" s="140">
        <v>2.8833476898423201E-3</v>
      </c>
      <c r="AJ136" s="140">
        <v>5.3021151068446796E-4</v>
      </c>
    </row>
    <row r="137" spans="1:36">
      <c r="A137" s="2">
        <v>382</v>
      </c>
      <c r="B137" s="2">
        <v>7635</v>
      </c>
      <c r="C137" s="2" t="s">
        <v>1834</v>
      </c>
      <c r="D137" s="2" t="s">
        <v>1835</v>
      </c>
      <c r="E137" s="3" t="s">
        <v>1325</v>
      </c>
      <c r="F137" s="2" t="s">
        <v>1836</v>
      </c>
      <c r="G137" s="2" t="s">
        <v>1837</v>
      </c>
      <c r="H137" s="2" t="s">
        <v>187</v>
      </c>
      <c r="I137" s="2" t="s">
        <v>980</v>
      </c>
      <c r="J137" s="2" t="s">
        <v>30</v>
      </c>
      <c r="K137" s="2" t="s">
        <v>30</v>
      </c>
      <c r="L137" s="2" t="s">
        <v>340</v>
      </c>
      <c r="M137" s="2" t="s">
        <v>47</v>
      </c>
      <c r="N137" s="2" t="s">
        <v>456</v>
      </c>
      <c r="O137" s="2" t="s">
        <v>147</v>
      </c>
      <c r="P137" s="2" t="s">
        <v>1838</v>
      </c>
      <c r="Q137" s="2" t="s">
        <v>428</v>
      </c>
      <c r="R137" s="2" t="s">
        <v>420</v>
      </c>
      <c r="S137" s="2" t="s">
        <v>34</v>
      </c>
      <c r="T137" s="124">
        <v>4.8419999999999996</v>
      </c>
      <c r="U137" s="2" t="s">
        <v>1839</v>
      </c>
      <c r="V137" s="138">
        <v>1.95E-2</v>
      </c>
      <c r="W137" s="140">
        <v>5.0009999999999999E-2</v>
      </c>
      <c r="X137" s="3" t="s">
        <v>425</v>
      </c>
      <c r="Y137" s="3" t="s">
        <v>147</v>
      </c>
      <c r="Z137" s="124">
        <v>52887.77</v>
      </c>
      <c r="AA137" s="134">
        <v>1</v>
      </c>
      <c r="AB137" s="151">
        <v>86.78</v>
      </c>
      <c r="AC137" s="2"/>
      <c r="AD137" s="124">
        <v>45.896000000000001</v>
      </c>
      <c r="AE137" s="2"/>
      <c r="AF137" s="2"/>
      <c r="AG137" s="2" t="s">
        <v>36</v>
      </c>
      <c r="AH137" s="140">
        <v>5.3000000000000001E-5</v>
      </c>
      <c r="AI137" s="140">
        <v>1.343903170479E-2</v>
      </c>
      <c r="AJ137" s="140">
        <v>2.4712695341722302E-3</v>
      </c>
    </row>
    <row r="138" spans="1:36">
      <c r="A138" s="2">
        <v>382</v>
      </c>
      <c r="B138" s="2">
        <v>7635</v>
      </c>
      <c r="C138" s="2" t="s">
        <v>2065</v>
      </c>
      <c r="D138" s="2" t="s">
        <v>2066</v>
      </c>
      <c r="E138" s="3" t="s">
        <v>1325</v>
      </c>
      <c r="F138" s="2" t="s">
        <v>2067</v>
      </c>
      <c r="G138" s="2" t="s">
        <v>2068</v>
      </c>
      <c r="H138" s="2" t="s">
        <v>187</v>
      </c>
      <c r="I138" s="2" t="s">
        <v>980</v>
      </c>
      <c r="J138" s="2" t="s">
        <v>30</v>
      </c>
      <c r="K138" s="2" t="s">
        <v>30</v>
      </c>
      <c r="L138" s="2" t="s">
        <v>340</v>
      </c>
      <c r="M138" s="2" t="s">
        <v>47</v>
      </c>
      <c r="N138" s="2" t="s">
        <v>462</v>
      </c>
      <c r="O138" s="2" t="s">
        <v>147</v>
      </c>
      <c r="P138" s="2" t="s">
        <v>1769</v>
      </c>
      <c r="Q138" s="2" t="s">
        <v>426</v>
      </c>
      <c r="R138" s="2" t="s">
        <v>420</v>
      </c>
      <c r="S138" s="2" t="s">
        <v>34</v>
      </c>
      <c r="T138" s="124">
        <v>1.014</v>
      </c>
      <c r="U138" s="2" t="s">
        <v>1879</v>
      </c>
      <c r="V138" s="138">
        <v>3.5999999999999997E-2</v>
      </c>
      <c r="W138" s="140">
        <v>5.0639999999999998E-2</v>
      </c>
      <c r="X138" s="3" t="s">
        <v>425</v>
      </c>
      <c r="Y138" s="3" t="s">
        <v>147</v>
      </c>
      <c r="Z138" s="124">
        <v>14583.33</v>
      </c>
      <c r="AA138" s="134">
        <v>1</v>
      </c>
      <c r="AB138" s="151">
        <v>98.62</v>
      </c>
      <c r="AC138" s="2"/>
      <c r="AD138" s="124">
        <v>14.382</v>
      </c>
      <c r="AE138" s="2"/>
      <c r="AF138" s="2"/>
      <c r="AG138" s="2" t="s">
        <v>36</v>
      </c>
      <c r="AH138" s="140">
        <v>6.9999999999999994E-5</v>
      </c>
      <c r="AI138" s="140">
        <v>4.2112864096436903E-3</v>
      </c>
      <c r="AJ138" s="140">
        <v>7.7440280166290402E-4</v>
      </c>
    </row>
    <row r="139" spans="1:36">
      <c r="A139" s="2">
        <v>382</v>
      </c>
      <c r="B139" s="2">
        <v>7635</v>
      </c>
      <c r="C139" s="2" t="s">
        <v>1845</v>
      </c>
      <c r="D139" s="2" t="s">
        <v>1846</v>
      </c>
      <c r="E139" s="3" t="s">
        <v>1325</v>
      </c>
      <c r="F139" s="2" t="s">
        <v>2015</v>
      </c>
      <c r="G139" s="2" t="s">
        <v>2016</v>
      </c>
      <c r="H139" s="2" t="s">
        <v>187</v>
      </c>
      <c r="I139" s="2" t="s">
        <v>768</v>
      </c>
      <c r="J139" s="2" t="s">
        <v>30</v>
      </c>
      <c r="K139" s="2" t="s">
        <v>30</v>
      </c>
      <c r="L139" s="2" t="s">
        <v>340</v>
      </c>
      <c r="M139" s="2" t="s">
        <v>47</v>
      </c>
      <c r="N139" s="2" t="s">
        <v>451</v>
      </c>
      <c r="O139" s="2" t="s">
        <v>147</v>
      </c>
      <c r="P139" s="2" t="s">
        <v>1182</v>
      </c>
      <c r="Q139" s="2" t="s">
        <v>426</v>
      </c>
      <c r="R139" s="2" t="s">
        <v>420</v>
      </c>
      <c r="S139" s="2" t="s">
        <v>34</v>
      </c>
      <c r="T139" s="124">
        <v>0.90400000000000003</v>
      </c>
      <c r="U139" s="2" t="s">
        <v>2017</v>
      </c>
      <c r="V139" s="138">
        <v>4.4999999999999998E-2</v>
      </c>
      <c r="W139" s="140">
        <v>2.3970000000000002E-2</v>
      </c>
      <c r="X139" s="3" t="s">
        <v>425</v>
      </c>
      <c r="Y139" s="3" t="s">
        <v>147</v>
      </c>
      <c r="Z139" s="124">
        <v>39500</v>
      </c>
      <c r="AA139" s="134">
        <v>1</v>
      </c>
      <c r="AB139" s="151">
        <v>119.86</v>
      </c>
      <c r="AC139" s="2"/>
      <c r="AD139" s="124">
        <v>47.344999999999999</v>
      </c>
      <c r="AE139" s="2"/>
      <c r="AF139" s="2"/>
      <c r="AG139" s="2" t="s">
        <v>36</v>
      </c>
      <c r="AH139" s="140">
        <v>2.6999999999999999E-5</v>
      </c>
      <c r="AI139" s="140">
        <v>1.38632305647687E-2</v>
      </c>
      <c r="AJ139" s="140">
        <v>2.5492743891442002E-3</v>
      </c>
    </row>
    <row r="140" spans="1:36">
      <c r="A140" s="2">
        <v>382</v>
      </c>
      <c r="B140" s="2">
        <v>7635</v>
      </c>
      <c r="C140" s="2" t="s">
        <v>1845</v>
      </c>
      <c r="D140" s="2" t="s">
        <v>1846</v>
      </c>
      <c r="E140" s="3" t="s">
        <v>1325</v>
      </c>
      <c r="F140" s="2" t="s">
        <v>1850</v>
      </c>
      <c r="G140" s="2" t="s">
        <v>1851</v>
      </c>
      <c r="H140" s="2" t="s">
        <v>187</v>
      </c>
      <c r="I140" s="2" t="s">
        <v>768</v>
      </c>
      <c r="J140" s="2" t="s">
        <v>30</v>
      </c>
      <c r="K140" s="2" t="s">
        <v>30</v>
      </c>
      <c r="L140" s="2" t="s">
        <v>340</v>
      </c>
      <c r="M140" s="2" t="s">
        <v>47</v>
      </c>
      <c r="N140" s="2" t="s">
        <v>451</v>
      </c>
      <c r="O140" s="2" t="s">
        <v>147</v>
      </c>
      <c r="P140" s="2" t="s">
        <v>1182</v>
      </c>
      <c r="Q140" s="2" t="s">
        <v>426</v>
      </c>
      <c r="R140" s="2" t="s">
        <v>420</v>
      </c>
      <c r="S140" s="2" t="s">
        <v>34</v>
      </c>
      <c r="T140" s="124">
        <v>10.281000000000001</v>
      </c>
      <c r="U140" s="2" t="s">
        <v>1852</v>
      </c>
      <c r="V140" s="138">
        <v>1.2500000000000001E-2</v>
      </c>
      <c r="W140" s="140">
        <v>3.1099999999999999E-2</v>
      </c>
      <c r="X140" s="3" t="s">
        <v>425</v>
      </c>
      <c r="Y140" s="3" t="s">
        <v>147</v>
      </c>
      <c r="Z140" s="124">
        <v>40000</v>
      </c>
      <c r="AA140" s="134">
        <v>1</v>
      </c>
      <c r="AB140" s="151">
        <v>95.3</v>
      </c>
      <c r="AC140" s="2"/>
      <c r="AD140" s="124">
        <v>38.119999999999997</v>
      </c>
      <c r="AE140" s="2"/>
      <c r="AF140" s="2"/>
      <c r="AG140" s="2" t="s">
        <v>36</v>
      </c>
      <c r="AH140" s="140">
        <v>9.0000000000000002E-6</v>
      </c>
      <c r="AI140" s="140">
        <v>1.1162101547353399E-2</v>
      </c>
      <c r="AJ140" s="140">
        <v>2.0525706090476202E-3</v>
      </c>
    </row>
    <row r="141" spans="1:36">
      <c r="A141" s="2">
        <v>382</v>
      </c>
      <c r="B141" s="2">
        <v>7635</v>
      </c>
      <c r="C141" s="2" t="s">
        <v>1845</v>
      </c>
      <c r="D141" s="2" t="s">
        <v>1846</v>
      </c>
      <c r="E141" s="3" t="s">
        <v>1325</v>
      </c>
      <c r="F141" s="2" t="s">
        <v>1853</v>
      </c>
      <c r="G141" s="2" t="s">
        <v>1854</v>
      </c>
      <c r="H141" s="2" t="s">
        <v>187</v>
      </c>
      <c r="I141" s="2" t="s">
        <v>768</v>
      </c>
      <c r="J141" s="2" t="s">
        <v>30</v>
      </c>
      <c r="K141" s="2" t="s">
        <v>30</v>
      </c>
      <c r="L141" s="2" t="s">
        <v>340</v>
      </c>
      <c r="M141" s="2" t="s">
        <v>47</v>
      </c>
      <c r="N141" s="2" t="s">
        <v>451</v>
      </c>
      <c r="O141" s="2" t="s">
        <v>147</v>
      </c>
      <c r="P141" s="2" t="s">
        <v>1182</v>
      </c>
      <c r="Q141" s="2" t="s">
        <v>426</v>
      </c>
      <c r="R141" s="2" t="s">
        <v>420</v>
      </c>
      <c r="S141" s="2" t="s">
        <v>34</v>
      </c>
      <c r="T141" s="124">
        <v>7.2709999999999999</v>
      </c>
      <c r="U141" s="2" t="s">
        <v>1855</v>
      </c>
      <c r="V141" s="138">
        <v>0.03</v>
      </c>
      <c r="W141" s="140">
        <v>2.9510000000000002E-2</v>
      </c>
      <c r="X141" s="3" t="s">
        <v>425</v>
      </c>
      <c r="Y141" s="3" t="s">
        <v>147</v>
      </c>
      <c r="Z141" s="124">
        <v>30000</v>
      </c>
      <c r="AA141" s="134">
        <v>1</v>
      </c>
      <c r="AB141" s="151">
        <v>106.29</v>
      </c>
      <c r="AC141" s="2"/>
      <c r="AD141" s="124">
        <v>31.887</v>
      </c>
      <c r="AE141" s="2"/>
      <c r="AF141" s="2"/>
      <c r="AG141" s="2" t="s">
        <v>36</v>
      </c>
      <c r="AH141" s="140">
        <v>6.9999999999999999E-6</v>
      </c>
      <c r="AI141" s="140">
        <v>9.33698667472347E-3</v>
      </c>
      <c r="AJ141" s="140">
        <v>1.7169548533762201E-3</v>
      </c>
    </row>
    <row r="142" spans="1:36">
      <c r="A142" s="2">
        <v>382</v>
      </c>
      <c r="B142" s="2">
        <v>7635</v>
      </c>
      <c r="C142" s="2" t="s">
        <v>2069</v>
      </c>
      <c r="D142" s="2" t="s">
        <v>2070</v>
      </c>
      <c r="E142" s="3" t="s">
        <v>327</v>
      </c>
      <c r="F142" s="2" t="s">
        <v>2071</v>
      </c>
      <c r="G142" s="2" t="s">
        <v>2072</v>
      </c>
      <c r="H142" s="2" t="s">
        <v>187</v>
      </c>
      <c r="I142" s="2" t="s">
        <v>769</v>
      </c>
      <c r="J142" s="2" t="s">
        <v>30</v>
      </c>
      <c r="K142" s="2" t="s">
        <v>30</v>
      </c>
      <c r="L142" s="2" t="s">
        <v>340</v>
      </c>
      <c r="M142" s="2" t="s">
        <v>47</v>
      </c>
      <c r="N142" s="2" t="s">
        <v>465</v>
      </c>
      <c r="O142" s="2" t="s">
        <v>147</v>
      </c>
      <c r="P142" s="2" t="s">
        <v>1756</v>
      </c>
      <c r="Q142" s="2" t="s">
        <v>426</v>
      </c>
      <c r="R142" s="2" t="s">
        <v>420</v>
      </c>
      <c r="S142" s="2" t="s">
        <v>34</v>
      </c>
      <c r="T142" s="124">
        <v>0.26800000000000002</v>
      </c>
      <c r="U142" s="2" t="s">
        <v>2073</v>
      </c>
      <c r="V142" s="138">
        <v>3.49E-2</v>
      </c>
      <c r="W142" s="140">
        <v>8.48E-2</v>
      </c>
      <c r="X142" s="3" t="s">
        <v>425</v>
      </c>
      <c r="Y142" s="3" t="s">
        <v>147</v>
      </c>
      <c r="Z142" s="124">
        <v>3631.58</v>
      </c>
      <c r="AA142" s="134">
        <v>1</v>
      </c>
      <c r="AB142" s="151">
        <v>103.71</v>
      </c>
      <c r="AC142" s="2"/>
      <c r="AD142" s="124">
        <v>3.766</v>
      </c>
      <c r="AE142" s="2"/>
      <c r="AF142" s="2"/>
      <c r="AG142" s="2" t="s">
        <v>36</v>
      </c>
      <c r="AH142" s="140">
        <v>1.1E-5</v>
      </c>
      <c r="AI142" s="140">
        <v>1.10283191865406E-3</v>
      </c>
      <c r="AJ142" s="140">
        <v>2.0279697092396101E-4</v>
      </c>
    </row>
    <row r="143" spans="1:36">
      <c r="A143" s="2">
        <v>382</v>
      </c>
      <c r="B143" s="2">
        <v>7635</v>
      </c>
      <c r="C143" s="2" t="s">
        <v>2074</v>
      </c>
      <c r="D143" s="2" t="s">
        <v>2075</v>
      </c>
      <c r="E143" s="3" t="s">
        <v>1325</v>
      </c>
      <c r="F143" s="2" t="s">
        <v>2076</v>
      </c>
      <c r="G143" s="2" t="s">
        <v>2077</v>
      </c>
      <c r="H143" s="2" t="s">
        <v>187</v>
      </c>
      <c r="I143" s="2" t="s">
        <v>980</v>
      </c>
      <c r="J143" s="2" t="s">
        <v>30</v>
      </c>
      <c r="K143" s="2" t="s">
        <v>30</v>
      </c>
      <c r="L143" s="2" t="s">
        <v>340</v>
      </c>
      <c r="M143" s="2" t="s">
        <v>47</v>
      </c>
      <c r="N143" s="2" t="s">
        <v>475</v>
      </c>
      <c r="O143" s="2" t="s">
        <v>147</v>
      </c>
      <c r="P143" s="2" t="s">
        <v>1760</v>
      </c>
      <c r="Q143" s="2" t="s">
        <v>426</v>
      </c>
      <c r="R143" s="2" t="s">
        <v>420</v>
      </c>
      <c r="S143" s="2" t="s">
        <v>34</v>
      </c>
      <c r="T143" s="124">
        <v>1.373</v>
      </c>
      <c r="U143" s="2" t="s">
        <v>2078</v>
      </c>
      <c r="V143" s="138">
        <v>5.0500000000000003E-2</v>
      </c>
      <c r="W143" s="140">
        <v>5.033E-2</v>
      </c>
      <c r="X143" s="3" t="s">
        <v>425</v>
      </c>
      <c r="Y143" s="3" t="s">
        <v>147</v>
      </c>
      <c r="Z143" s="124">
        <v>16666.669999999998</v>
      </c>
      <c r="AA143" s="134">
        <v>1</v>
      </c>
      <c r="AB143" s="151">
        <v>100.53</v>
      </c>
      <c r="AC143" s="2"/>
      <c r="AD143" s="124">
        <v>16.754999999999999</v>
      </c>
      <c r="AE143" s="2"/>
      <c r="AF143" s="2"/>
      <c r="AG143" s="2" t="s">
        <v>36</v>
      </c>
      <c r="AH143" s="140">
        <v>9.0000000000000006E-5</v>
      </c>
      <c r="AI143" s="140">
        <v>4.9061135579776703E-3</v>
      </c>
      <c r="AJ143" s="140">
        <v>9.0217280778481204E-4</v>
      </c>
    </row>
    <row r="144" spans="1:36">
      <c r="A144" s="2">
        <v>382</v>
      </c>
      <c r="B144" s="2">
        <v>7635</v>
      </c>
      <c r="C144" s="2" t="s">
        <v>2079</v>
      </c>
      <c r="D144" s="2" t="s">
        <v>2080</v>
      </c>
      <c r="E144" s="3" t="s">
        <v>1325</v>
      </c>
      <c r="F144" s="2" t="s">
        <v>2081</v>
      </c>
      <c r="G144" s="2" t="s">
        <v>2082</v>
      </c>
      <c r="H144" s="2" t="s">
        <v>187</v>
      </c>
      <c r="I144" s="2" t="s">
        <v>768</v>
      </c>
      <c r="J144" s="2" t="s">
        <v>30</v>
      </c>
      <c r="K144" s="2" t="s">
        <v>30</v>
      </c>
      <c r="L144" s="2" t="s">
        <v>340</v>
      </c>
      <c r="M144" s="2" t="s">
        <v>47</v>
      </c>
      <c r="N144" s="2" t="s">
        <v>456</v>
      </c>
      <c r="O144" s="2" t="s">
        <v>147</v>
      </c>
      <c r="P144" s="2" t="s">
        <v>1760</v>
      </c>
      <c r="Q144" s="2" t="s">
        <v>426</v>
      </c>
      <c r="R144" s="2" t="s">
        <v>420</v>
      </c>
      <c r="S144" s="2" t="s">
        <v>34</v>
      </c>
      <c r="T144" s="124">
        <v>0.33200000000000002</v>
      </c>
      <c r="U144" s="2" t="s">
        <v>2083</v>
      </c>
      <c r="V144" s="138">
        <v>2.4799999999999999E-2</v>
      </c>
      <c r="W144" s="140">
        <v>2.597E-2</v>
      </c>
      <c r="X144" s="3" t="s">
        <v>425</v>
      </c>
      <c r="Y144" s="3" t="s">
        <v>147</v>
      </c>
      <c r="Z144" s="124">
        <v>80000</v>
      </c>
      <c r="AA144" s="134">
        <v>1</v>
      </c>
      <c r="AB144" s="151">
        <v>116.22</v>
      </c>
      <c r="AC144" s="2"/>
      <c r="AD144" s="124">
        <v>92.975999999999999</v>
      </c>
      <c r="AE144" s="2"/>
      <c r="AF144" s="2"/>
      <c r="AG144" s="2" t="s">
        <v>36</v>
      </c>
      <c r="AH144" s="140">
        <v>1.8900000000000001E-4</v>
      </c>
      <c r="AI144" s="140">
        <v>2.72247521895785E-2</v>
      </c>
      <c r="AJ144" s="140">
        <v>5.00629079083976E-3</v>
      </c>
    </row>
    <row r="145" spans="1:36">
      <c r="A145" s="2">
        <v>382</v>
      </c>
      <c r="B145" s="2">
        <v>7635</v>
      </c>
      <c r="C145" s="2" t="s">
        <v>1180</v>
      </c>
      <c r="D145" s="2" t="s">
        <v>1599</v>
      </c>
      <c r="E145" s="3" t="s">
        <v>1325</v>
      </c>
      <c r="F145" s="2" t="s">
        <v>1861</v>
      </c>
      <c r="G145" s="2" t="s">
        <v>1862</v>
      </c>
      <c r="H145" s="2" t="s">
        <v>187</v>
      </c>
      <c r="I145" s="2" t="s">
        <v>768</v>
      </c>
      <c r="J145" s="2" t="s">
        <v>30</v>
      </c>
      <c r="K145" s="2" t="s">
        <v>30</v>
      </c>
      <c r="L145" s="2" t="s">
        <v>340</v>
      </c>
      <c r="M145" s="2" t="s">
        <v>47</v>
      </c>
      <c r="N145" s="2" t="s">
        <v>459</v>
      </c>
      <c r="O145" s="2" t="s">
        <v>147</v>
      </c>
      <c r="P145" s="2" t="s">
        <v>1182</v>
      </c>
      <c r="Q145" s="2" t="s">
        <v>426</v>
      </c>
      <c r="R145" s="2" t="s">
        <v>420</v>
      </c>
      <c r="S145" s="2" t="s">
        <v>34</v>
      </c>
      <c r="T145" s="124">
        <v>1.238</v>
      </c>
      <c r="U145" s="2" t="s">
        <v>1770</v>
      </c>
      <c r="V145" s="138">
        <v>8.3000000000000001E-3</v>
      </c>
      <c r="W145" s="140">
        <v>2.29E-2</v>
      </c>
      <c r="X145" s="3" t="s">
        <v>425</v>
      </c>
      <c r="Y145" s="3" t="s">
        <v>147</v>
      </c>
      <c r="Z145" s="124">
        <v>45000</v>
      </c>
      <c r="AA145" s="134">
        <v>1</v>
      </c>
      <c r="AB145" s="151">
        <v>114.23</v>
      </c>
      <c r="AC145" s="2"/>
      <c r="AD145" s="124">
        <v>51.404000000000003</v>
      </c>
      <c r="AE145" s="2"/>
      <c r="AF145" s="2"/>
      <c r="AG145" s="2" t="s">
        <v>36</v>
      </c>
      <c r="AH145" s="140">
        <v>3.0000000000000001E-5</v>
      </c>
      <c r="AI145" s="140">
        <v>1.50517074210226E-2</v>
      </c>
      <c r="AJ145" s="140">
        <v>2.76782039092811E-3</v>
      </c>
    </row>
    <row r="146" spans="1:36">
      <c r="A146" s="2">
        <v>382</v>
      </c>
      <c r="B146" s="2">
        <v>7635</v>
      </c>
      <c r="C146" s="2" t="s">
        <v>1180</v>
      </c>
      <c r="D146" s="2" t="s">
        <v>1599</v>
      </c>
      <c r="E146" s="3" t="s">
        <v>1325</v>
      </c>
      <c r="F146" s="2" t="s">
        <v>2084</v>
      </c>
      <c r="G146" s="2" t="s">
        <v>2085</v>
      </c>
      <c r="H146" s="2" t="s">
        <v>187</v>
      </c>
      <c r="I146" s="2" t="s">
        <v>768</v>
      </c>
      <c r="J146" s="2" t="s">
        <v>30</v>
      </c>
      <c r="K146" s="2" t="s">
        <v>30</v>
      </c>
      <c r="L146" s="2" t="s">
        <v>340</v>
      </c>
      <c r="M146" s="2" t="s">
        <v>47</v>
      </c>
      <c r="N146" s="2" t="s">
        <v>459</v>
      </c>
      <c r="O146" s="2" t="s">
        <v>147</v>
      </c>
      <c r="P146" s="2" t="s">
        <v>1182</v>
      </c>
      <c r="Q146" s="2" t="s">
        <v>426</v>
      </c>
      <c r="R146" s="2" t="s">
        <v>420</v>
      </c>
      <c r="S146" s="2" t="s">
        <v>34</v>
      </c>
      <c r="T146" s="124">
        <v>2.3460000000000001</v>
      </c>
      <c r="U146" s="2" t="s">
        <v>2086</v>
      </c>
      <c r="V146" s="138">
        <v>1.8599999999999998E-2</v>
      </c>
      <c r="W146" s="140">
        <v>2.4129999999999999E-2</v>
      </c>
      <c r="X146" s="3" t="s">
        <v>425</v>
      </c>
      <c r="Y146" s="3" t="s">
        <v>147</v>
      </c>
      <c r="Z146" s="124">
        <v>36000</v>
      </c>
      <c r="AA146" s="134">
        <v>1</v>
      </c>
      <c r="AB146" s="151">
        <v>102.59</v>
      </c>
      <c r="AC146" s="2"/>
      <c r="AD146" s="124">
        <v>36.932000000000002</v>
      </c>
      <c r="AE146" s="2"/>
      <c r="AF146" s="2"/>
      <c r="AG146" s="2" t="s">
        <v>36</v>
      </c>
      <c r="AH146" s="140">
        <v>1.2999999999999999E-5</v>
      </c>
      <c r="AI146" s="140">
        <v>1.08143546481499E-2</v>
      </c>
      <c r="AJ146" s="140">
        <v>1.9886243116891498E-3</v>
      </c>
    </row>
    <row r="147" spans="1:36">
      <c r="A147" s="2">
        <v>382</v>
      </c>
      <c r="B147" s="2">
        <v>7635</v>
      </c>
      <c r="C147" s="2" t="s">
        <v>1180</v>
      </c>
      <c r="D147" s="2" t="s">
        <v>1599</v>
      </c>
      <c r="E147" s="3" t="s">
        <v>1325</v>
      </c>
      <c r="F147" s="2" t="s">
        <v>2018</v>
      </c>
      <c r="G147" s="2" t="s">
        <v>2019</v>
      </c>
      <c r="H147" s="2" t="s">
        <v>187</v>
      </c>
      <c r="I147" s="2" t="s">
        <v>768</v>
      </c>
      <c r="J147" s="2" t="s">
        <v>30</v>
      </c>
      <c r="K147" s="2" t="s">
        <v>30</v>
      </c>
      <c r="L147" s="2" t="s">
        <v>340</v>
      </c>
      <c r="M147" s="2" t="s">
        <v>47</v>
      </c>
      <c r="N147" s="2" t="s">
        <v>459</v>
      </c>
      <c r="O147" s="2" t="s">
        <v>147</v>
      </c>
      <c r="P147" s="2" t="s">
        <v>1182</v>
      </c>
      <c r="Q147" s="2" t="s">
        <v>426</v>
      </c>
      <c r="R147" s="2" t="s">
        <v>420</v>
      </c>
      <c r="S147" s="2" t="s">
        <v>34</v>
      </c>
      <c r="T147" s="124">
        <v>2.649</v>
      </c>
      <c r="U147" s="2" t="s">
        <v>2020</v>
      </c>
      <c r="V147" s="138">
        <v>1E-3</v>
      </c>
      <c r="W147" s="140">
        <v>2.3560000000000001E-2</v>
      </c>
      <c r="X147" s="3" t="s">
        <v>425</v>
      </c>
      <c r="Y147" s="3" t="s">
        <v>147</v>
      </c>
      <c r="Z147" s="124">
        <v>68000</v>
      </c>
      <c r="AA147" s="134">
        <v>1</v>
      </c>
      <c r="AB147" s="151">
        <v>106.31</v>
      </c>
      <c r="AC147" s="2"/>
      <c r="AD147" s="124">
        <v>72.290999999999997</v>
      </c>
      <c r="AE147" s="2"/>
      <c r="AF147" s="2"/>
      <c r="AG147" s="2" t="s">
        <v>36</v>
      </c>
      <c r="AH147" s="140">
        <v>2.1999999999999999E-5</v>
      </c>
      <c r="AI147" s="140">
        <v>2.1167818744475798E-2</v>
      </c>
      <c r="AJ147" s="140">
        <v>3.8924966260372499E-3</v>
      </c>
    </row>
    <row r="148" spans="1:36">
      <c r="A148" s="2">
        <v>382</v>
      </c>
      <c r="B148" s="2">
        <v>7635</v>
      </c>
      <c r="C148" s="2" t="s">
        <v>1180</v>
      </c>
      <c r="D148" s="2" t="s">
        <v>1599</v>
      </c>
      <c r="E148" s="3" t="s">
        <v>1325</v>
      </c>
      <c r="F148" s="2" t="s">
        <v>1863</v>
      </c>
      <c r="G148" s="2" t="s">
        <v>1864</v>
      </c>
      <c r="H148" s="2" t="s">
        <v>187</v>
      </c>
      <c r="I148" s="2" t="s">
        <v>980</v>
      </c>
      <c r="J148" s="2" t="s">
        <v>30</v>
      </c>
      <c r="K148" s="2" t="s">
        <v>30</v>
      </c>
      <c r="L148" s="2" t="s">
        <v>340</v>
      </c>
      <c r="M148" s="2" t="s">
        <v>47</v>
      </c>
      <c r="N148" s="2" t="s">
        <v>459</v>
      </c>
      <c r="O148" s="2" t="s">
        <v>147</v>
      </c>
      <c r="P148" s="2" t="s">
        <v>1182</v>
      </c>
      <c r="Q148" s="2" t="s">
        <v>426</v>
      </c>
      <c r="R148" s="2" t="s">
        <v>420</v>
      </c>
      <c r="S148" s="2" t="s">
        <v>34</v>
      </c>
      <c r="T148" s="124">
        <v>2.6629999999999998</v>
      </c>
      <c r="U148" s="2" t="s">
        <v>1865</v>
      </c>
      <c r="V148" s="138">
        <v>2.76E-2</v>
      </c>
      <c r="W148" s="140">
        <v>4.6679999999999999E-2</v>
      </c>
      <c r="X148" s="3" t="s">
        <v>425</v>
      </c>
      <c r="Y148" s="3" t="s">
        <v>147</v>
      </c>
      <c r="Z148" s="124">
        <v>145000</v>
      </c>
      <c r="AA148" s="134">
        <v>1</v>
      </c>
      <c r="AB148" s="151">
        <v>96.29</v>
      </c>
      <c r="AC148" s="2"/>
      <c r="AD148" s="124">
        <v>139.62</v>
      </c>
      <c r="AE148" s="2"/>
      <c r="AF148" s="2"/>
      <c r="AG148" s="2" t="s">
        <v>36</v>
      </c>
      <c r="AH148" s="140">
        <v>1.0900000000000001E-4</v>
      </c>
      <c r="AI148" s="140">
        <v>4.0882953806197803E-2</v>
      </c>
      <c r="AJ148" s="140">
        <v>7.5178629255124203E-3</v>
      </c>
    </row>
    <row r="149" spans="1:36">
      <c r="A149" s="2">
        <v>382</v>
      </c>
      <c r="B149" s="2">
        <v>7635</v>
      </c>
      <c r="C149" s="2" t="s">
        <v>1180</v>
      </c>
      <c r="D149" s="2" t="s">
        <v>1599</v>
      </c>
      <c r="E149" s="3" t="s">
        <v>1325</v>
      </c>
      <c r="F149" s="2" t="s">
        <v>1866</v>
      </c>
      <c r="G149" s="2" t="s">
        <v>1867</v>
      </c>
      <c r="H149" s="2" t="s">
        <v>187</v>
      </c>
      <c r="I149" s="2" t="s">
        <v>768</v>
      </c>
      <c r="J149" s="2" t="s">
        <v>30</v>
      </c>
      <c r="K149" s="2" t="s">
        <v>30</v>
      </c>
      <c r="L149" s="2" t="s">
        <v>340</v>
      </c>
      <c r="M149" s="2" t="s">
        <v>47</v>
      </c>
      <c r="N149" s="2" t="s">
        <v>459</v>
      </c>
      <c r="O149" s="2" t="s">
        <v>147</v>
      </c>
      <c r="P149" s="2" t="s">
        <v>1182</v>
      </c>
      <c r="Q149" s="2" t="s">
        <v>426</v>
      </c>
      <c r="R149" s="2" t="s">
        <v>420</v>
      </c>
      <c r="S149" s="2" t="s">
        <v>34</v>
      </c>
      <c r="T149" s="124">
        <v>4.5970000000000004</v>
      </c>
      <c r="U149" s="2" t="s">
        <v>1868</v>
      </c>
      <c r="V149" s="138">
        <v>2.0199999999999999E-2</v>
      </c>
      <c r="W149" s="140">
        <v>2.5819999999999999E-2</v>
      </c>
      <c r="X149" s="3" t="s">
        <v>425</v>
      </c>
      <c r="Y149" s="3" t="s">
        <v>147</v>
      </c>
      <c r="Z149" s="124">
        <v>40000</v>
      </c>
      <c r="AA149" s="134">
        <v>1</v>
      </c>
      <c r="AB149" s="151">
        <v>101.85</v>
      </c>
      <c r="AC149" s="2"/>
      <c r="AD149" s="124">
        <v>40.74</v>
      </c>
      <c r="AE149" s="2"/>
      <c r="AF149" s="2"/>
      <c r="AG149" s="2" t="s">
        <v>36</v>
      </c>
      <c r="AH149" s="140">
        <v>1.1E-5</v>
      </c>
      <c r="AI149" s="140">
        <v>1.1929276417607E-2</v>
      </c>
      <c r="AJ149" s="140">
        <v>2.1936444546852099E-3</v>
      </c>
    </row>
    <row r="150" spans="1:36">
      <c r="A150" s="2">
        <v>382</v>
      </c>
      <c r="B150" s="2">
        <v>7635</v>
      </c>
      <c r="C150" s="2" t="s">
        <v>1180</v>
      </c>
      <c r="D150" s="2" t="s">
        <v>1599</v>
      </c>
      <c r="E150" s="3" t="s">
        <v>1325</v>
      </c>
      <c r="F150" s="2" t="s">
        <v>1872</v>
      </c>
      <c r="G150" s="2" t="s">
        <v>1873</v>
      </c>
      <c r="H150" s="2" t="s">
        <v>187</v>
      </c>
      <c r="I150" s="2" t="s">
        <v>768</v>
      </c>
      <c r="J150" s="2" t="s">
        <v>30</v>
      </c>
      <c r="K150" s="2" t="s">
        <v>30</v>
      </c>
      <c r="L150" s="2" t="s">
        <v>340</v>
      </c>
      <c r="M150" s="2" t="s">
        <v>31</v>
      </c>
      <c r="N150" s="2" t="s">
        <v>459</v>
      </c>
      <c r="O150" s="2" t="s">
        <v>147</v>
      </c>
      <c r="P150" s="2" t="s">
        <v>1760</v>
      </c>
      <c r="Q150" s="2" t="s">
        <v>426</v>
      </c>
      <c r="R150" s="2" t="s">
        <v>420</v>
      </c>
      <c r="S150" s="2" t="s">
        <v>34</v>
      </c>
      <c r="T150" s="124">
        <v>5.4809999999999999</v>
      </c>
      <c r="U150" s="2" t="s">
        <v>1874</v>
      </c>
      <c r="V150" s="138">
        <v>3.1E-2</v>
      </c>
      <c r="W150" s="140">
        <v>3.1029999999999999E-2</v>
      </c>
      <c r="X150" s="3" t="s">
        <v>425</v>
      </c>
      <c r="Y150" s="3" t="s">
        <v>147</v>
      </c>
      <c r="Z150" s="124">
        <v>60000</v>
      </c>
      <c r="AA150" s="134">
        <v>1</v>
      </c>
      <c r="AB150" s="151">
        <v>100.81</v>
      </c>
      <c r="AC150" s="2"/>
      <c r="AD150" s="124">
        <v>60.485999999999997</v>
      </c>
      <c r="AE150" s="2"/>
      <c r="AF150" s="2"/>
      <c r="AG150" s="2" t="s">
        <v>36</v>
      </c>
      <c r="AH150" s="140">
        <v>3.8999999999999999E-5</v>
      </c>
      <c r="AI150" s="140">
        <v>1.77111981687623E-2</v>
      </c>
      <c r="AJ150" s="140">
        <v>3.2568674149752001E-3</v>
      </c>
    </row>
    <row r="151" spans="1:36">
      <c r="A151" s="2">
        <v>382</v>
      </c>
      <c r="B151" s="2">
        <v>7635</v>
      </c>
      <c r="C151" s="2" t="s">
        <v>1875</v>
      </c>
      <c r="D151" s="2" t="s">
        <v>1876</v>
      </c>
      <c r="E151" s="3" t="s">
        <v>1325</v>
      </c>
      <c r="F151" s="2" t="s">
        <v>2087</v>
      </c>
      <c r="G151" s="2" t="s">
        <v>2088</v>
      </c>
      <c r="H151" s="2" t="s">
        <v>187</v>
      </c>
      <c r="I151" s="2" t="s">
        <v>980</v>
      </c>
      <c r="J151" s="2" t="s">
        <v>30</v>
      </c>
      <c r="K151" s="2" t="s">
        <v>30</v>
      </c>
      <c r="L151" s="2" t="s">
        <v>340</v>
      </c>
      <c r="M151" s="2" t="s">
        <v>47</v>
      </c>
      <c r="N151" s="2" t="s">
        <v>475</v>
      </c>
      <c r="O151" s="2" t="s">
        <v>147</v>
      </c>
      <c r="P151" s="2" t="s">
        <v>1756</v>
      </c>
      <c r="Q151" s="2" t="s">
        <v>426</v>
      </c>
      <c r="R151" s="2" t="s">
        <v>420</v>
      </c>
      <c r="S151" s="2" t="s">
        <v>34</v>
      </c>
      <c r="T151" s="124">
        <v>1.6439999999999999</v>
      </c>
      <c r="U151" s="2" t="s">
        <v>1882</v>
      </c>
      <c r="V151" s="138">
        <v>5.6500000000000002E-2</v>
      </c>
      <c r="W151" s="140">
        <v>4.9410000000000003E-2</v>
      </c>
      <c r="X151" s="3" t="s">
        <v>425</v>
      </c>
      <c r="Y151" s="3" t="s">
        <v>147</v>
      </c>
      <c r="Z151" s="124">
        <v>17000</v>
      </c>
      <c r="AA151" s="134">
        <v>1</v>
      </c>
      <c r="AB151" s="151">
        <v>102.67</v>
      </c>
      <c r="AC151" s="2"/>
      <c r="AD151" s="124">
        <v>17.454000000000001</v>
      </c>
      <c r="AE151" s="2"/>
      <c r="AF151" s="2"/>
      <c r="AG151" s="2" t="s">
        <v>36</v>
      </c>
      <c r="AH151" s="140">
        <v>1.0900000000000001E-4</v>
      </c>
      <c r="AI151" s="140">
        <v>5.1107608656178402E-3</v>
      </c>
      <c r="AJ151" s="140">
        <v>9.3980488334880104E-4</v>
      </c>
    </row>
    <row r="152" spans="1:36">
      <c r="A152" s="2">
        <v>382</v>
      </c>
      <c r="B152" s="2">
        <v>7635</v>
      </c>
      <c r="C152" s="2" t="s">
        <v>1875</v>
      </c>
      <c r="D152" s="2" t="s">
        <v>1876</v>
      </c>
      <c r="E152" s="3" t="s">
        <v>1325</v>
      </c>
      <c r="F152" s="2" t="s">
        <v>1880</v>
      </c>
      <c r="G152" s="2" t="s">
        <v>1881</v>
      </c>
      <c r="H152" s="2" t="s">
        <v>187</v>
      </c>
      <c r="I152" s="2" t="s">
        <v>768</v>
      </c>
      <c r="J152" s="2" t="s">
        <v>30</v>
      </c>
      <c r="K152" s="2" t="s">
        <v>30</v>
      </c>
      <c r="L152" s="2" t="s">
        <v>340</v>
      </c>
      <c r="M152" s="2" t="s">
        <v>47</v>
      </c>
      <c r="N152" s="2" t="s">
        <v>475</v>
      </c>
      <c r="O152" s="2" t="s">
        <v>147</v>
      </c>
      <c r="P152" s="2" t="s">
        <v>1756</v>
      </c>
      <c r="Q152" s="2" t="s">
        <v>426</v>
      </c>
      <c r="R152" s="2" t="s">
        <v>420</v>
      </c>
      <c r="S152" s="2" t="s">
        <v>34</v>
      </c>
      <c r="T152" s="124">
        <v>1.6830000000000001</v>
      </c>
      <c r="U152" s="2" t="s">
        <v>1882</v>
      </c>
      <c r="V152" s="138">
        <v>3.6999999999999998E-2</v>
      </c>
      <c r="W152" s="140">
        <v>2.8479999999999998E-2</v>
      </c>
      <c r="X152" s="3" t="s">
        <v>425</v>
      </c>
      <c r="Y152" s="3" t="s">
        <v>147</v>
      </c>
      <c r="Z152" s="124">
        <v>46321.98</v>
      </c>
      <c r="AA152" s="134">
        <v>1</v>
      </c>
      <c r="AB152" s="151">
        <v>118.43</v>
      </c>
      <c r="AC152" s="2"/>
      <c r="AD152" s="124">
        <v>54.859000000000002</v>
      </c>
      <c r="AE152" s="2"/>
      <c r="AF152" s="2"/>
      <c r="AG152" s="2" t="s">
        <v>36</v>
      </c>
      <c r="AH152" s="140">
        <v>1.54E-4</v>
      </c>
      <c r="AI152" s="140">
        <v>1.6063564492146101E-2</v>
      </c>
      <c r="AJ152" s="140">
        <v>2.9538882273417101E-3</v>
      </c>
    </row>
    <row r="153" spans="1:36">
      <c r="A153" s="2">
        <v>382</v>
      </c>
      <c r="B153" s="2">
        <v>7635</v>
      </c>
      <c r="C153" s="2" t="s">
        <v>1892</v>
      </c>
      <c r="D153" s="2" t="s">
        <v>1893</v>
      </c>
      <c r="E153" s="3" t="s">
        <v>1325</v>
      </c>
      <c r="F153" s="2" t="s">
        <v>1894</v>
      </c>
      <c r="G153" s="2" t="s">
        <v>1895</v>
      </c>
      <c r="H153" s="2" t="s">
        <v>187</v>
      </c>
      <c r="I153" s="2" t="s">
        <v>768</v>
      </c>
      <c r="J153" s="2" t="s">
        <v>30</v>
      </c>
      <c r="K153" s="2" t="s">
        <v>30</v>
      </c>
      <c r="L153" s="2" t="s">
        <v>340</v>
      </c>
      <c r="M153" s="2" t="s">
        <v>47</v>
      </c>
      <c r="N153" s="2" t="s">
        <v>475</v>
      </c>
      <c r="O153" s="2" t="s">
        <v>147</v>
      </c>
      <c r="P153" s="2" t="s">
        <v>1769</v>
      </c>
      <c r="Q153" s="2" t="s">
        <v>426</v>
      </c>
      <c r="R153" s="2" t="s">
        <v>420</v>
      </c>
      <c r="S153" s="2" t="s">
        <v>34</v>
      </c>
      <c r="T153" s="124">
        <v>1.3859999999999999</v>
      </c>
      <c r="U153" s="2" t="s">
        <v>1896</v>
      </c>
      <c r="V153" s="138">
        <v>2.0500000000000001E-2</v>
      </c>
      <c r="W153" s="140">
        <v>3.1309999999999998E-2</v>
      </c>
      <c r="X153" s="3" t="s">
        <v>425</v>
      </c>
      <c r="Y153" s="3" t="s">
        <v>147</v>
      </c>
      <c r="Z153" s="124">
        <v>49714.29</v>
      </c>
      <c r="AA153" s="134">
        <v>1</v>
      </c>
      <c r="AB153" s="151">
        <v>115.58</v>
      </c>
      <c r="AC153" s="2"/>
      <c r="AD153" s="124">
        <v>57.46</v>
      </c>
      <c r="AE153" s="2"/>
      <c r="AF153" s="2"/>
      <c r="AG153" s="2" t="s">
        <v>36</v>
      </c>
      <c r="AH153" s="140">
        <v>6.6000000000000005E-5</v>
      </c>
      <c r="AI153" s="140">
        <v>1.6825074996434999E-2</v>
      </c>
      <c r="AJ153" s="140">
        <v>3.0939204670551398E-3</v>
      </c>
    </row>
    <row r="154" spans="1:36">
      <c r="A154" s="2">
        <v>382</v>
      </c>
      <c r="B154" s="2">
        <v>7635</v>
      </c>
      <c r="C154" s="2" t="s">
        <v>1897</v>
      </c>
      <c r="D154" s="2" t="s">
        <v>1898</v>
      </c>
      <c r="E154" s="3" t="s">
        <v>1325</v>
      </c>
      <c r="F154" s="2" t="s">
        <v>2089</v>
      </c>
      <c r="G154" s="2" t="s">
        <v>2090</v>
      </c>
      <c r="H154" s="2" t="s">
        <v>187</v>
      </c>
      <c r="I154" s="2" t="s">
        <v>768</v>
      </c>
      <c r="J154" s="2" t="s">
        <v>30</v>
      </c>
      <c r="K154" s="2" t="s">
        <v>30</v>
      </c>
      <c r="L154" s="2" t="s">
        <v>340</v>
      </c>
      <c r="M154" s="2" t="s">
        <v>47</v>
      </c>
      <c r="N154" s="2" t="s">
        <v>459</v>
      </c>
      <c r="O154" s="2" t="s">
        <v>147</v>
      </c>
      <c r="P154" s="2" t="s">
        <v>1182</v>
      </c>
      <c r="Q154" s="2" t="s">
        <v>426</v>
      </c>
      <c r="R154" s="2" t="s">
        <v>420</v>
      </c>
      <c r="S154" s="2" t="s">
        <v>34</v>
      </c>
      <c r="T154" s="124">
        <v>2.456</v>
      </c>
      <c r="U154" s="2" t="s">
        <v>2091</v>
      </c>
      <c r="V154" s="138">
        <v>1.2200000000000001E-2</v>
      </c>
      <c r="W154" s="140">
        <v>2.4389999999999998E-2</v>
      </c>
      <c r="X154" s="3" t="s">
        <v>425</v>
      </c>
      <c r="Y154" s="3" t="s">
        <v>147</v>
      </c>
      <c r="Z154" s="124">
        <v>60000</v>
      </c>
      <c r="AA154" s="134">
        <v>1</v>
      </c>
      <c r="AB154" s="151">
        <v>114.03</v>
      </c>
      <c r="AC154" s="2"/>
      <c r="AD154" s="124">
        <v>68.418000000000006</v>
      </c>
      <c r="AE154" s="2"/>
      <c r="AF154" s="2"/>
      <c r="AG154" s="2" t="s">
        <v>36</v>
      </c>
      <c r="AH154" s="140">
        <v>2.0000000000000002E-5</v>
      </c>
      <c r="AI154" s="140">
        <v>2.0033805447713202E-2</v>
      </c>
      <c r="AJ154" s="140">
        <v>3.6839657903940302E-3</v>
      </c>
    </row>
    <row r="155" spans="1:36">
      <c r="A155" s="2">
        <v>382</v>
      </c>
      <c r="B155" s="2">
        <v>7635</v>
      </c>
      <c r="C155" s="2" t="s">
        <v>1897</v>
      </c>
      <c r="D155" s="2" t="s">
        <v>1898</v>
      </c>
      <c r="E155" s="3" t="s">
        <v>1325</v>
      </c>
      <c r="F155" s="2" t="s">
        <v>1899</v>
      </c>
      <c r="G155" s="2" t="s">
        <v>1900</v>
      </c>
      <c r="H155" s="2" t="s">
        <v>187</v>
      </c>
      <c r="I155" s="2" t="s">
        <v>768</v>
      </c>
      <c r="J155" s="2" t="s">
        <v>30</v>
      </c>
      <c r="K155" s="2" t="s">
        <v>30</v>
      </c>
      <c r="L155" s="2" t="s">
        <v>340</v>
      </c>
      <c r="M155" s="2" t="s">
        <v>47</v>
      </c>
      <c r="N155" s="2" t="s">
        <v>459</v>
      </c>
      <c r="O155" s="2" t="s">
        <v>147</v>
      </c>
      <c r="P155" s="2" t="s">
        <v>1182</v>
      </c>
      <c r="Q155" s="2" t="s">
        <v>426</v>
      </c>
      <c r="R155" s="2" t="s">
        <v>420</v>
      </c>
      <c r="S155" s="2" t="s">
        <v>34</v>
      </c>
      <c r="T155" s="124">
        <v>3.5550000000000002</v>
      </c>
      <c r="U155" s="2" t="s">
        <v>1901</v>
      </c>
      <c r="V155" s="138">
        <v>1E-3</v>
      </c>
      <c r="W155" s="140">
        <v>2.5600000000000001E-2</v>
      </c>
      <c r="X155" s="3" t="s">
        <v>425</v>
      </c>
      <c r="Y155" s="3" t="s">
        <v>147</v>
      </c>
      <c r="Z155" s="124">
        <v>57000</v>
      </c>
      <c r="AA155" s="134">
        <v>1</v>
      </c>
      <c r="AB155" s="151">
        <v>103.56</v>
      </c>
      <c r="AC155" s="2"/>
      <c r="AD155" s="124">
        <v>59.029000000000003</v>
      </c>
      <c r="AE155" s="2"/>
      <c r="AF155" s="2"/>
      <c r="AG155" s="2" t="s">
        <v>36</v>
      </c>
      <c r="AH155" s="140">
        <v>1.7E-5</v>
      </c>
      <c r="AI155" s="140">
        <v>1.72846255157144E-2</v>
      </c>
      <c r="AJ155" s="140">
        <v>3.1784260492023599E-3</v>
      </c>
    </row>
    <row r="156" spans="1:36">
      <c r="A156" s="2">
        <v>382</v>
      </c>
      <c r="B156" s="2">
        <v>7635</v>
      </c>
      <c r="C156" s="2" t="s">
        <v>1897</v>
      </c>
      <c r="D156" s="2" t="s">
        <v>1898</v>
      </c>
      <c r="E156" s="3" t="s">
        <v>1325</v>
      </c>
      <c r="F156" s="2" t="s">
        <v>2092</v>
      </c>
      <c r="G156" s="2" t="s">
        <v>2093</v>
      </c>
      <c r="H156" s="2" t="s">
        <v>187</v>
      </c>
      <c r="I156" s="2" t="s">
        <v>980</v>
      </c>
      <c r="J156" s="2" t="s">
        <v>30</v>
      </c>
      <c r="K156" s="2" t="s">
        <v>30</v>
      </c>
      <c r="L156" s="2" t="s">
        <v>340</v>
      </c>
      <c r="M156" s="2" t="s">
        <v>47</v>
      </c>
      <c r="N156" s="2" t="s">
        <v>459</v>
      </c>
      <c r="O156" s="2" t="s">
        <v>147</v>
      </c>
      <c r="P156" s="2" t="s">
        <v>1182</v>
      </c>
      <c r="Q156" s="2" t="s">
        <v>426</v>
      </c>
      <c r="R156" s="2" t="s">
        <v>420</v>
      </c>
      <c r="S156" s="2" t="s">
        <v>34</v>
      </c>
      <c r="T156" s="124">
        <v>2.7530000000000001</v>
      </c>
      <c r="U156" s="2" t="s">
        <v>1912</v>
      </c>
      <c r="V156" s="138">
        <v>2.7400000000000001E-2</v>
      </c>
      <c r="W156" s="140">
        <v>4.6640000000000001E-2</v>
      </c>
      <c r="X156" s="3" t="s">
        <v>425</v>
      </c>
      <c r="Y156" s="3" t="s">
        <v>147</v>
      </c>
      <c r="Z156" s="124">
        <v>55000</v>
      </c>
      <c r="AA156" s="134">
        <v>1</v>
      </c>
      <c r="AB156" s="151">
        <v>97.47</v>
      </c>
      <c r="AC156" s="2"/>
      <c r="AD156" s="124">
        <v>53.607999999999997</v>
      </c>
      <c r="AE156" s="2"/>
      <c r="AF156" s="2"/>
      <c r="AG156" s="2" t="s">
        <v>36</v>
      </c>
      <c r="AH156" s="140">
        <v>3.6999999999999998E-5</v>
      </c>
      <c r="AI156" s="140">
        <v>1.5697364134346699E-2</v>
      </c>
      <c r="AJ156" s="140">
        <v>2.8865485701765302E-3</v>
      </c>
    </row>
    <row r="157" spans="1:36">
      <c r="A157" s="2">
        <v>382</v>
      </c>
      <c r="B157" s="2">
        <v>7635</v>
      </c>
      <c r="C157" s="2" t="s">
        <v>1897</v>
      </c>
      <c r="D157" s="2" t="s">
        <v>1898</v>
      </c>
      <c r="E157" s="3" t="s">
        <v>1325</v>
      </c>
      <c r="F157" s="2" t="s">
        <v>1902</v>
      </c>
      <c r="G157" s="2" t="s">
        <v>1903</v>
      </c>
      <c r="H157" s="2" t="s">
        <v>187</v>
      </c>
      <c r="I157" s="2" t="s">
        <v>768</v>
      </c>
      <c r="J157" s="2" t="s">
        <v>30</v>
      </c>
      <c r="K157" s="2" t="s">
        <v>30</v>
      </c>
      <c r="L157" s="2" t="s">
        <v>340</v>
      </c>
      <c r="M157" s="2" t="s">
        <v>47</v>
      </c>
      <c r="N157" s="2" t="s">
        <v>459</v>
      </c>
      <c r="O157" s="2" t="s">
        <v>147</v>
      </c>
      <c r="P157" s="2" t="s">
        <v>1182</v>
      </c>
      <c r="Q157" s="2" t="s">
        <v>426</v>
      </c>
      <c r="R157" s="2" t="s">
        <v>420</v>
      </c>
      <c r="S157" s="2" t="s">
        <v>34</v>
      </c>
      <c r="T157" s="124">
        <v>3.9049999999999998</v>
      </c>
      <c r="U157" s="2" t="s">
        <v>1855</v>
      </c>
      <c r="V157" s="138">
        <v>2.06E-2</v>
      </c>
      <c r="W157" s="140">
        <v>2.597E-2</v>
      </c>
      <c r="X157" s="3" t="s">
        <v>425</v>
      </c>
      <c r="Y157" s="3" t="s">
        <v>147</v>
      </c>
      <c r="Z157" s="124">
        <v>65000</v>
      </c>
      <c r="AA157" s="134">
        <v>1</v>
      </c>
      <c r="AB157" s="151">
        <v>104.37</v>
      </c>
      <c r="AC157" s="2"/>
      <c r="AD157" s="124">
        <v>67.840999999999994</v>
      </c>
      <c r="AE157" s="2"/>
      <c r="AF157" s="2"/>
      <c r="AG157" s="2" t="s">
        <v>36</v>
      </c>
      <c r="AH157" s="140">
        <v>3.6000000000000001E-5</v>
      </c>
      <c r="AI157" s="140">
        <v>1.98647048799378E-2</v>
      </c>
      <c r="AJ157" s="140">
        <v>3.65287031487658E-3</v>
      </c>
    </row>
    <row r="158" spans="1:36">
      <c r="A158" s="2">
        <v>382</v>
      </c>
      <c r="B158" s="2">
        <v>7635</v>
      </c>
      <c r="C158" s="2" t="s">
        <v>1897</v>
      </c>
      <c r="D158" s="2" t="s">
        <v>1898</v>
      </c>
      <c r="E158" s="3" t="s">
        <v>1325</v>
      </c>
      <c r="F158" s="2" t="s">
        <v>1904</v>
      </c>
      <c r="G158" s="2" t="s">
        <v>1905</v>
      </c>
      <c r="H158" s="2" t="s">
        <v>187</v>
      </c>
      <c r="I158" s="2" t="s">
        <v>768</v>
      </c>
      <c r="J158" s="2" t="s">
        <v>30</v>
      </c>
      <c r="K158" s="2" t="s">
        <v>30</v>
      </c>
      <c r="L158" s="2" t="s">
        <v>340</v>
      </c>
      <c r="M158" s="2" t="s">
        <v>47</v>
      </c>
      <c r="N158" s="2" t="s">
        <v>459</v>
      </c>
      <c r="O158" s="2" t="s">
        <v>147</v>
      </c>
      <c r="P158" s="2" t="s">
        <v>1182</v>
      </c>
      <c r="Q158" s="2" t="s">
        <v>426</v>
      </c>
      <c r="R158" s="2" t="s">
        <v>420</v>
      </c>
      <c r="S158" s="2" t="s">
        <v>34</v>
      </c>
      <c r="T158" s="124">
        <v>4.45</v>
      </c>
      <c r="U158" s="2" t="s">
        <v>1906</v>
      </c>
      <c r="V158" s="138">
        <v>1.9900000000000001E-2</v>
      </c>
      <c r="W158" s="140">
        <v>2.5340000000000001E-2</v>
      </c>
      <c r="X158" s="3" t="s">
        <v>425</v>
      </c>
      <c r="Y158" s="3" t="s">
        <v>147</v>
      </c>
      <c r="Z158" s="124">
        <v>36000</v>
      </c>
      <c r="AA158" s="134">
        <v>1</v>
      </c>
      <c r="AB158" s="151">
        <v>101.81</v>
      </c>
      <c r="AC158" s="2"/>
      <c r="AD158" s="124">
        <v>36.652000000000001</v>
      </c>
      <c r="AE158" s="2"/>
      <c r="AF158" s="2"/>
      <c r="AG158" s="2" t="s">
        <v>36</v>
      </c>
      <c r="AH158" s="140">
        <v>1.5E-5</v>
      </c>
      <c r="AI158" s="140">
        <v>1.07321322422083E-2</v>
      </c>
      <c r="AJ158" s="140">
        <v>1.9735046415154701E-3</v>
      </c>
    </row>
    <row r="159" spans="1:36">
      <c r="A159" s="2">
        <v>382</v>
      </c>
      <c r="B159" s="2">
        <v>7635</v>
      </c>
      <c r="C159" s="2" t="s">
        <v>1897</v>
      </c>
      <c r="D159" s="2" t="s">
        <v>1898</v>
      </c>
      <c r="E159" s="3" t="s">
        <v>1325</v>
      </c>
      <c r="F159" s="2" t="s">
        <v>2094</v>
      </c>
      <c r="G159" s="2" t="s">
        <v>2095</v>
      </c>
      <c r="H159" s="2" t="s">
        <v>187</v>
      </c>
      <c r="I159" s="2" t="s">
        <v>980</v>
      </c>
      <c r="J159" s="2" t="s">
        <v>30</v>
      </c>
      <c r="K159" s="2" t="s">
        <v>30</v>
      </c>
      <c r="L159" s="2" t="s">
        <v>340</v>
      </c>
      <c r="M159" s="2" t="s">
        <v>47</v>
      </c>
      <c r="N159" s="2" t="s">
        <v>459</v>
      </c>
      <c r="O159" s="2" t="s">
        <v>147</v>
      </c>
      <c r="P159" s="2" t="s">
        <v>1182</v>
      </c>
      <c r="Q159" s="2" t="s">
        <v>426</v>
      </c>
      <c r="R159" s="2" t="s">
        <v>420</v>
      </c>
      <c r="S159" s="2" t="s">
        <v>34</v>
      </c>
      <c r="T159" s="124">
        <v>0.186</v>
      </c>
      <c r="U159" s="2" t="s">
        <v>2096</v>
      </c>
      <c r="V159" s="138">
        <v>2.98E-2</v>
      </c>
      <c r="W159" s="140">
        <v>4.4940000000000001E-2</v>
      </c>
      <c r="X159" s="3" t="s">
        <v>425</v>
      </c>
      <c r="Y159" s="3" t="s">
        <v>147</v>
      </c>
      <c r="Z159" s="124">
        <v>113500</v>
      </c>
      <c r="AA159" s="134">
        <v>1</v>
      </c>
      <c r="AB159" s="151">
        <v>102.14</v>
      </c>
      <c r="AC159" s="2"/>
      <c r="AD159" s="124">
        <v>115.929</v>
      </c>
      <c r="AE159" s="2"/>
      <c r="AF159" s="2"/>
      <c r="AG159" s="2" t="s">
        <v>36</v>
      </c>
      <c r="AH159" s="140">
        <v>4.5000000000000003E-5</v>
      </c>
      <c r="AI159" s="140">
        <v>3.3945701838220897E-2</v>
      </c>
      <c r="AJ159" s="140">
        <v>6.2421892150897398E-3</v>
      </c>
    </row>
    <row r="160" spans="1:36">
      <c r="A160" s="2">
        <v>382</v>
      </c>
      <c r="B160" s="2">
        <v>7635</v>
      </c>
      <c r="C160" s="2" t="s">
        <v>1897</v>
      </c>
      <c r="D160" s="2" t="s">
        <v>1898</v>
      </c>
      <c r="E160" s="3" t="s">
        <v>1325</v>
      </c>
      <c r="F160" s="2" t="s">
        <v>1907</v>
      </c>
      <c r="G160" s="2" t="s">
        <v>1908</v>
      </c>
      <c r="H160" s="2" t="s">
        <v>187</v>
      </c>
      <c r="I160" s="2" t="s">
        <v>768</v>
      </c>
      <c r="J160" s="2" t="s">
        <v>30</v>
      </c>
      <c r="K160" s="2" t="s">
        <v>30</v>
      </c>
      <c r="L160" s="2" t="s">
        <v>340</v>
      </c>
      <c r="M160" s="2" t="s">
        <v>47</v>
      </c>
      <c r="N160" s="2" t="s">
        <v>459</v>
      </c>
      <c r="O160" s="2" t="s">
        <v>147</v>
      </c>
      <c r="P160" s="2" t="s">
        <v>1182</v>
      </c>
      <c r="Q160" s="2" t="s">
        <v>426</v>
      </c>
      <c r="R160" s="2" t="s">
        <v>420</v>
      </c>
      <c r="S160" s="2" t="s">
        <v>34</v>
      </c>
      <c r="T160" s="124">
        <v>1.224</v>
      </c>
      <c r="U160" s="2" t="s">
        <v>1909</v>
      </c>
      <c r="V160" s="138">
        <v>3.8E-3</v>
      </c>
      <c r="W160" s="140">
        <v>2.3910000000000001E-2</v>
      </c>
      <c r="X160" s="3" t="s">
        <v>425</v>
      </c>
      <c r="Y160" s="3" t="s">
        <v>147</v>
      </c>
      <c r="Z160" s="124">
        <v>80000</v>
      </c>
      <c r="AA160" s="134">
        <v>1</v>
      </c>
      <c r="AB160" s="151">
        <v>111.45</v>
      </c>
      <c r="AC160" s="2"/>
      <c r="AD160" s="124">
        <v>89.16</v>
      </c>
      <c r="AE160" s="2"/>
      <c r="AF160" s="2"/>
      <c r="AG160" s="2" t="s">
        <v>36</v>
      </c>
      <c r="AH160" s="140">
        <v>2.6999999999999999E-5</v>
      </c>
      <c r="AI160" s="140">
        <v>2.6107370775499201E-2</v>
      </c>
      <c r="AJ160" s="140">
        <v>4.8008183500179999E-3</v>
      </c>
    </row>
    <row r="161" spans="1:36">
      <c r="A161" s="2">
        <v>382</v>
      </c>
      <c r="B161" s="2">
        <v>7635</v>
      </c>
      <c r="C161" s="2" t="s">
        <v>1897</v>
      </c>
      <c r="D161" s="2" t="s">
        <v>1898</v>
      </c>
      <c r="E161" s="3" t="s">
        <v>1325</v>
      </c>
      <c r="F161" s="2" t="s">
        <v>1910</v>
      </c>
      <c r="G161" s="2" t="s">
        <v>1911</v>
      </c>
      <c r="H161" s="2" t="s">
        <v>187</v>
      </c>
      <c r="I161" s="2" t="s">
        <v>768</v>
      </c>
      <c r="J161" s="2" t="s">
        <v>30</v>
      </c>
      <c r="K161" s="2" t="s">
        <v>30</v>
      </c>
      <c r="L161" s="2" t="s">
        <v>340</v>
      </c>
      <c r="M161" s="2" t="s">
        <v>47</v>
      </c>
      <c r="N161" s="2" t="s">
        <v>459</v>
      </c>
      <c r="O161" s="2" t="s">
        <v>147</v>
      </c>
      <c r="P161" s="2" t="s">
        <v>1182</v>
      </c>
      <c r="Q161" s="2" t="s">
        <v>426</v>
      </c>
      <c r="R161" s="2" t="s">
        <v>420</v>
      </c>
      <c r="S161" s="2" t="s">
        <v>34</v>
      </c>
      <c r="T161" s="124">
        <v>2.9279999999999999</v>
      </c>
      <c r="U161" s="2" t="s">
        <v>1912</v>
      </c>
      <c r="V161" s="138">
        <v>1E-3</v>
      </c>
      <c r="W161" s="140">
        <v>2.5739999999999999E-2</v>
      </c>
      <c r="X161" s="3" t="s">
        <v>425</v>
      </c>
      <c r="Y161" s="3" t="s">
        <v>147</v>
      </c>
      <c r="Z161" s="124">
        <v>88125.78</v>
      </c>
      <c r="AA161" s="134">
        <v>1</v>
      </c>
      <c r="AB161" s="151">
        <v>103.82</v>
      </c>
      <c r="AC161" s="2"/>
      <c r="AD161" s="124">
        <v>91.492000000000004</v>
      </c>
      <c r="AE161" s="2"/>
      <c r="AF161" s="2"/>
      <c r="AG161" s="2" t="s">
        <v>36</v>
      </c>
      <c r="AH161" s="140">
        <v>3.4E-5</v>
      </c>
      <c r="AI161" s="140">
        <v>2.6790269084002501E-2</v>
      </c>
      <c r="AJ161" s="140">
        <v>4.9263947919680803E-3</v>
      </c>
    </row>
    <row r="162" spans="1:36">
      <c r="A162" s="2">
        <v>382</v>
      </c>
      <c r="B162" s="2">
        <v>7635</v>
      </c>
      <c r="C162" s="2" t="s">
        <v>1913</v>
      </c>
      <c r="D162" s="2" t="s">
        <v>1914</v>
      </c>
      <c r="E162" s="3" t="s">
        <v>1325</v>
      </c>
      <c r="F162" s="2" t="s">
        <v>1915</v>
      </c>
      <c r="G162" s="2" t="s">
        <v>1916</v>
      </c>
      <c r="H162" s="2" t="s">
        <v>187</v>
      </c>
      <c r="I162" s="2" t="s">
        <v>768</v>
      </c>
      <c r="J162" s="2" t="s">
        <v>30</v>
      </c>
      <c r="K162" s="2" t="s">
        <v>30</v>
      </c>
      <c r="L162" s="2" t="s">
        <v>340</v>
      </c>
      <c r="M162" s="2" t="s">
        <v>47</v>
      </c>
      <c r="N162" s="2" t="s">
        <v>454</v>
      </c>
      <c r="O162" s="2" t="s">
        <v>147</v>
      </c>
      <c r="P162" s="2" t="s">
        <v>1887</v>
      </c>
      <c r="Q162" s="2" t="s">
        <v>428</v>
      </c>
      <c r="R162" s="2" t="s">
        <v>420</v>
      </c>
      <c r="S162" s="2" t="s">
        <v>34</v>
      </c>
      <c r="T162" s="124">
        <v>1.3089999999999999</v>
      </c>
      <c r="U162" s="2" t="s">
        <v>1917</v>
      </c>
      <c r="V162" s="138">
        <v>3.5400000000000001E-2</v>
      </c>
      <c r="W162" s="140">
        <v>3.0630000000000001E-2</v>
      </c>
      <c r="X162" s="3" t="s">
        <v>425</v>
      </c>
      <c r="Y162" s="3" t="s">
        <v>147</v>
      </c>
      <c r="Z162" s="124">
        <v>-2400</v>
      </c>
      <c r="AA162" s="134">
        <v>1</v>
      </c>
      <c r="AB162" s="151">
        <v>107.99</v>
      </c>
      <c r="AC162" s="2"/>
      <c r="AD162" s="124">
        <v>-2.5920000000000001</v>
      </c>
      <c r="AE162" s="2"/>
      <c r="AF162" s="2"/>
      <c r="AG162" s="2" t="s">
        <v>36</v>
      </c>
      <c r="AH162" s="140">
        <v>-1.9999999999999999E-6</v>
      </c>
      <c r="AI162" s="140">
        <v>-7.58905779285643E-4</v>
      </c>
      <c r="AJ162" s="140">
        <v>-1.39553263423538E-4</v>
      </c>
    </row>
    <row r="163" spans="1:36">
      <c r="A163" s="2">
        <v>382</v>
      </c>
      <c r="B163" s="2">
        <v>7635</v>
      </c>
      <c r="C163" s="2" t="s">
        <v>1913</v>
      </c>
      <c r="D163" s="2" t="s">
        <v>1914</v>
      </c>
      <c r="E163" s="3" t="s">
        <v>1325</v>
      </c>
      <c r="F163" s="2" t="s">
        <v>1918</v>
      </c>
      <c r="G163" s="2" t="s">
        <v>1916</v>
      </c>
      <c r="H163" s="2" t="s">
        <v>187</v>
      </c>
      <c r="I163" s="2" t="s">
        <v>768</v>
      </c>
      <c r="J163" s="2" t="s">
        <v>30</v>
      </c>
      <c r="K163" s="2" t="s">
        <v>30</v>
      </c>
      <c r="L163" s="2" t="s">
        <v>342</v>
      </c>
      <c r="M163" s="2" t="s">
        <v>47</v>
      </c>
      <c r="N163" s="2" t="s">
        <v>454</v>
      </c>
      <c r="O163" s="2" t="s">
        <v>147</v>
      </c>
      <c r="P163" s="2" t="s">
        <v>1887</v>
      </c>
      <c r="Q163" s="2" t="s">
        <v>428</v>
      </c>
      <c r="R163" s="2" t="s">
        <v>420</v>
      </c>
      <c r="S163" s="2" t="s">
        <v>34</v>
      </c>
      <c r="T163" s="124">
        <v>1.3109999999999999</v>
      </c>
      <c r="U163" s="2" t="s">
        <v>1917</v>
      </c>
      <c r="V163" s="138">
        <v>3.5400000000000001E-2</v>
      </c>
      <c r="W163" s="140">
        <v>3.2239999999999998E-2</v>
      </c>
      <c r="X163" s="3" t="s">
        <v>425</v>
      </c>
      <c r="Y163" s="3" t="s">
        <v>147</v>
      </c>
      <c r="Z163" s="124">
        <v>24000</v>
      </c>
      <c r="AA163" s="134">
        <v>1</v>
      </c>
      <c r="AB163" s="151">
        <v>107.99</v>
      </c>
      <c r="AC163" s="2"/>
      <c r="AD163" s="124">
        <v>25.917999999999999</v>
      </c>
      <c r="AE163" s="2"/>
      <c r="AF163" s="2"/>
      <c r="AG163" s="2" t="s">
        <v>36</v>
      </c>
      <c r="AH163" s="140">
        <v>0</v>
      </c>
      <c r="AI163" s="140">
        <v>7.5890577928564304E-3</v>
      </c>
      <c r="AJ163" s="140">
        <v>1.39553263423538E-3</v>
      </c>
    </row>
    <row r="164" spans="1:36">
      <c r="A164" s="2">
        <v>382</v>
      </c>
      <c r="B164" s="2">
        <v>7635</v>
      </c>
      <c r="C164" s="2" t="s">
        <v>1610</v>
      </c>
      <c r="D164" s="2" t="s">
        <v>1611</v>
      </c>
      <c r="E164" s="3" t="s">
        <v>1325</v>
      </c>
      <c r="F164" s="2" t="s">
        <v>1919</v>
      </c>
      <c r="G164" s="2" t="s">
        <v>1920</v>
      </c>
      <c r="H164" s="2" t="s">
        <v>187</v>
      </c>
      <c r="I164" s="2" t="s">
        <v>768</v>
      </c>
      <c r="J164" s="2" t="s">
        <v>30</v>
      </c>
      <c r="K164" s="2" t="s">
        <v>30</v>
      </c>
      <c r="L164" s="2" t="s">
        <v>340</v>
      </c>
      <c r="M164" s="2" t="s">
        <v>47</v>
      </c>
      <c r="N164" s="2" t="s">
        <v>475</v>
      </c>
      <c r="O164" s="2" t="s">
        <v>147</v>
      </c>
      <c r="P164" s="2" t="s">
        <v>1756</v>
      </c>
      <c r="Q164" s="2" t="s">
        <v>426</v>
      </c>
      <c r="R164" s="2" t="s">
        <v>420</v>
      </c>
      <c r="S164" s="2" t="s">
        <v>34</v>
      </c>
      <c r="T164" s="124">
        <v>3.0990000000000002</v>
      </c>
      <c r="U164" s="2" t="s">
        <v>1776</v>
      </c>
      <c r="V164" s="138">
        <v>6.4999999999999997E-3</v>
      </c>
      <c r="W164" s="140">
        <v>2.7089999999999999E-2</v>
      </c>
      <c r="X164" s="3" t="s">
        <v>425</v>
      </c>
      <c r="Y164" s="3" t="s">
        <v>147</v>
      </c>
      <c r="Z164" s="124">
        <v>19148.919999999998</v>
      </c>
      <c r="AA164" s="134">
        <v>1</v>
      </c>
      <c r="AB164" s="151">
        <v>108.48</v>
      </c>
      <c r="AC164" s="2"/>
      <c r="AD164" s="124">
        <v>20.773</v>
      </c>
      <c r="AE164" s="2"/>
      <c r="AF164" s="2"/>
      <c r="AG164" s="2" t="s">
        <v>36</v>
      </c>
      <c r="AH164" s="140">
        <v>3.4999999999999997E-5</v>
      </c>
      <c r="AI164" s="140">
        <v>6.0825689201735797E-3</v>
      </c>
      <c r="AJ164" s="140">
        <v>1.1185082074454901E-3</v>
      </c>
    </row>
    <row r="165" spans="1:36">
      <c r="A165" s="2">
        <v>382</v>
      </c>
      <c r="B165" s="2">
        <v>7635</v>
      </c>
      <c r="C165" s="2" t="s">
        <v>1610</v>
      </c>
      <c r="D165" s="2" t="s">
        <v>1611</v>
      </c>
      <c r="E165" s="3" t="s">
        <v>1325</v>
      </c>
      <c r="F165" s="2" t="s">
        <v>1921</v>
      </c>
      <c r="G165" s="2" t="s">
        <v>1922</v>
      </c>
      <c r="H165" s="2" t="s">
        <v>187</v>
      </c>
      <c r="I165" s="2" t="s">
        <v>768</v>
      </c>
      <c r="J165" s="2" t="s">
        <v>30</v>
      </c>
      <c r="K165" s="2" t="s">
        <v>30</v>
      </c>
      <c r="L165" s="2" t="s">
        <v>340</v>
      </c>
      <c r="M165" s="2" t="s">
        <v>47</v>
      </c>
      <c r="N165" s="2" t="s">
        <v>475</v>
      </c>
      <c r="O165" s="2" t="s">
        <v>147</v>
      </c>
      <c r="P165" s="2" t="s">
        <v>1756</v>
      </c>
      <c r="Q165" s="2" t="s">
        <v>426</v>
      </c>
      <c r="R165" s="2" t="s">
        <v>420</v>
      </c>
      <c r="S165" s="2" t="s">
        <v>34</v>
      </c>
      <c r="T165" s="124">
        <v>5.726</v>
      </c>
      <c r="U165" s="2" t="s">
        <v>1923</v>
      </c>
      <c r="V165" s="138">
        <v>3.61E-2</v>
      </c>
      <c r="W165" s="140">
        <v>3.0759999999999999E-2</v>
      </c>
      <c r="X165" s="3" t="s">
        <v>425</v>
      </c>
      <c r="Y165" s="3" t="s">
        <v>147</v>
      </c>
      <c r="Z165" s="124">
        <v>18572.5</v>
      </c>
      <c r="AA165" s="134">
        <v>1</v>
      </c>
      <c r="AB165" s="151">
        <v>110.37</v>
      </c>
      <c r="AC165" s="2"/>
      <c r="AD165" s="124">
        <v>20.498000000000001</v>
      </c>
      <c r="AE165" s="2"/>
      <c r="AF165" s="2"/>
      <c r="AG165" s="2" t="s">
        <v>36</v>
      </c>
      <c r="AH165" s="140">
        <v>1.2E-5</v>
      </c>
      <c r="AI165" s="140">
        <v>6.0022556183551897E-3</v>
      </c>
      <c r="AJ165" s="140">
        <v>1.10373959759826E-3</v>
      </c>
    </row>
    <row r="166" spans="1:36">
      <c r="A166" s="2">
        <v>382</v>
      </c>
      <c r="B166" s="2">
        <v>7635</v>
      </c>
      <c r="C166" s="2" t="s">
        <v>1610</v>
      </c>
      <c r="D166" s="2" t="s">
        <v>1611</v>
      </c>
      <c r="E166" s="3" t="s">
        <v>1325</v>
      </c>
      <c r="F166" s="2" t="s">
        <v>1924</v>
      </c>
      <c r="G166" s="2" t="s">
        <v>1925</v>
      </c>
      <c r="H166" s="2" t="s">
        <v>187</v>
      </c>
      <c r="I166" s="2" t="s">
        <v>768</v>
      </c>
      <c r="J166" s="2" t="s">
        <v>30</v>
      </c>
      <c r="K166" s="2" t="s">
        <v>30</v>
      </c>
      <c r="L166" s="2" t="s">
        <v>340</v>
      </c>
      <c r="M166" s="2" t="s">
        <v>47</v>
      </c>
      <c r="N166" s="2" t="s">
        <v>475</v>
      </c>
      <c r="O166" s="2" t="s">
        <v>147</v>
      </c>
      <c r="P166" s="2" t="s">
        <v>1756</v>
      </c>
      <c r="Q166" s="2" t="s">
        <v>426</v>
      </c>
      <c r="R166" s="2" t="s">
        <v>420</v>
      </c>
      <c r="S166" s="2" t="s">
        <v>34</v>
      </c>
      <c r="T166" s="124">
        <v>0.27400000000000002</v>
      </c>
      <c r="U166" s="2" t="s">
        <v>1926</v>
      </c>
      <c r="V166" s="138">
        <v>2.3E-2</v>
      </c>
      <c r="W166" s="140">
        <v>2.1250000000000002E-2</v>
      </c>
      <c r="X166" s="3" t="s">
        <v>425</v>
      </c>
      <c r="Y166" s="3" t="s">
        <v>147</v>
      </c>
      <c r="Z166" s="124">
        <v>41980.99</v>
      </c>
      <c r="AA166" s="134">
        <v>1</v>
      </c>
      <c r="AB166" s="151">
        <v>118.09</v>
      </c>
      <c r="AC166" s="2"/>
      <c r="AD166" s="124">
        <v>49.575000000000003</v>
      </c>
      <c r="AE166" s="2"/>
      <c r="AF166" s="2"/>
      <c r="AG166" s="2" t="s">
        <v>36</v>
      </c>
      <c r="AH166" s="140">
        <v>5.3000000000000001E-5</v>
      </c>
      <c r="AI166" s="140">
        <v>1.45163982980965E-2</v>
      </c>
      <c r="AJ166" s="140">
        <v>2.6693837508552898E-3</v>
      </c>
    </row>
    <row r="167" spans="1:36">
      <c r="A167" s="2">
        <v>382</v>
      </c>
      <c r="B167" s="2">
        <v>7635</v>
      </c>
      <c r="C167" s="2" t="s">
        <v>1610</v>
      </c>
      <c r="D167" s="2" t="s">
        <v>1611</v>
      </c>
      <c r="E167" s="3" t="s">
        <v>1325</v>
      </c>
      <c r="F167" s="2" t="s">
        <v>1930</v>
      </c>
      <c r="G167" s="2" t="s">
        <v>1931</v>
      </c>
      <c r="H167" s="2" t="s">
        <v>187</v>
      </c>
      <c r="I167" s="2" t="s">
        <v>768</v>
      </c>
      <c r="J167" s="2" t="s">
        <v>30</v>
      </c>
      <c r="K167" s="2" t="s">
        <v>30</v>
      </c>
      <c r="L167" s="2" t="s">
        <v>340</v>
      </c>
      <c r="M167" s="2" t="s">
        <v>47</v>
      </c>
      <c r="N167" s="2" t="s">
        <v>475</v>
      </c>
      <c r="O167" s="2" t="s">
        <v>147</v>
      </c>
      <c r="P167" s="2" t="s">
        <v>1756</v>
      </c>
      <c r="Q167" s="2" t="s">
        <v>426</v>
      </c>
      <c r="R167" s="2" t="s">
        <v>420</v>
      </c>
      <c r="S167" s="2" t="s">
        <v>34</v>
      </c>
      <c r="T167" s="124">
        <v>4.8760000000000003</v>
      </c>
      <c r="U167" s="2" t="s">
        <v>1932</v>
      </c>
      <c r="V167" s="138">
        <v>2.5000000000000001E-3</v>
      </c>
      <c r="W167" s="140">
        <v>2.7699999999999999E-2</v>
      </c>
      <c r="X167" s="3" t="s">
        <v>425</v>
      </c>
      <c r="Y167" s="3" t="s">
        <v>147</v>
      </c>
      <c r="Z167" s="124">
        <v>66831.820000000007</v>
      </c>
      <c r="AA167" s="134">
        <v>1</v>
      </c>
      <c r="AB167" s="151">
        <v>100.5</v>
      </c>
      <c r="AC167" s="2"/>
      <c r="AD167" s="124">
        <v>67.165999999999997</v>
      </c>
      <c r="AE167" s="2"/>
      <c r="AF167" s="2"/>
      <c r="AG167" s="2" t="s">
        <v>36</v>
      </c>
      <c r="AH167" s="140">
        <v>4.8999999999999998E-5</v>
      </c>
      <c r="AI167" s="140">
        <v>1.9667195153242899E-2</v>
      </c>
      <c r="AJ167" s="140">
        <v>3.6165507510117199E-3</v>
      </c>
    </row>
    <row r="168" spans="1:36">
      <c r="A168" s="2">
        <v>382</v>
      </c>
      <c r="B168" s="2">
        <v>7635</v>
      </c>
      <c r="C168" s="2" t="s">
        <v>2021</v>
      </c>
      <c r="D168" s="2" t="s">
        <v>2022</v>
      </c>
      <c r="E168" s="3" t="s">
        <v>1325</v>
      </c>
      <c r="F168" s="2" t="s">
        <v>2023</v>
      </c>
      <c r="G168" s="2" t="s">
        <v>2024</v>
      </c>
      <c r="H168" s="2" t="s">
        <v>187</v>
      </c>
      <c r="I168" s="2" t="s">
        <v>980</v>
      </c>
      <c r="J168" s="2" t="s">
        <v>30</v>
      </c>
      <c r="K168" s="2" t="s">
        <v>30</v>
      </c>
      <c r="L168" s="2" t="s">
        <v>340</v>
      </c>
      <c r="M168" s="2" t="s">
        <v>47</v>
      </c>
      <c r="N168" s="2" t="s">
        <v>456</v>
      </c>
      <c r="O168" s="2" t="s">
        <v>147</v>
      </c>
      <c r="P168" s="2" t="s">
        <v>1989</v>
      </c>
      <c r="Q168" s="2" t="s">
        <v>428</v>
      </c>
      <c r="R168" s="2" t="s">
        <v>420</v>
      </c>
      <c r="S168" s="2" t="s">
        <v>34</v>
      </c>
      <c r="T168" s="124">
        <v>3.95</v>
      </c>
      <c r="U168" s="2" t="s">
        <v>2006</v>
      </c>
      <c r="V168" s="138">
        <v>3.4299999999999997E-2</v>
      </c>
      <c r="W168" s="140">
        <v>4.8169999999999998E-2</v>
      </c>
      <c r="X168" s="3" t="s">
        <v>425</v>
      </c>
      <c r="Y168" s="3" t="s">
        <v>147</v>
      </c>
      <c r="Z168" s="124">
        <v>25000</v>
      </c>
      <c r="AA168" s="134">
        <v>1</v>
      </c>
      <c r="AB168" s="151">
        <v>95.78</v>
      </c>
      <c r="AC168" s="2"/>
      <c r="AD168" s="124">
        <v>23.945</v>
      </c>
      <c r="AE168" s="2"/>
      <c r="AF168" s="2"/>
      <c r="AG168" s="2" t="s">
        <v>36</v>
      </c>
      <c r="AH168" s="140">
        <v>8.2000000000000001E-5</v>
      </c>
      <c r="AI168" s="140">
        <v>7.0114512474128404E-3</v>
      </c>
      <c r="AJ168" s="140">
        <v>1.28931802816488E-3</v>
      </c>
    </row>
    <row r="169" spans="1:36">
      <c r="A169" s="2">
        <v>382</v>
      </c>
      <c r="B169" s="2">
        <v>7635</v>
      </c>
      <c r="C169" s="2" t="s">
        <v>2025</v>
      </c>
      <c r="D169" s="2" t="s">
        <v>2026</v>
      </c>
      <c r="E169" s="3" t="s">
        <v>1325</v>
      </c>
      <c r="F169" s="2" t="s">
        <v>2027</v>
      </c>
      <c r="G169" s="2" t="s">
        <v>2028</v>
      </c>
      <c r="H169" s="2" t="s">
        <v>187</v>
      </c>
      <c r="I169" s="2" t="s">
        <v>768</v>
      </c>
      <c r="J169" s="2" t="s">
        <v>30</v>
      </c>
      <c r="K169" s="2" t="s">
        <v>30</v>
      </c>
      <c r="L169" s="2" t="s">
        <v>340</v>
      </c>
      <c r="M169" s="2" t="s">
        <v>47</v>
      </c>
      <c r="N169" s="2" t="s">
        <v>475</v>
      </c>
      <c r="O169" s="2" t="s">
        <v>147</v>
      </c>
      <c r="P169" s="2" t="s">
        <v>1182</v>
      </c>
      <c r="Q169" s="2" t="s">
        <v>426</v>
      </c>
      <c r="R169" s="2" t="s">
        <v>420</v>
      </c>
      <c r="S169" s="2" t="s">
        <v>34</v>
      </c>
      <c r="T169" s="124">
        <v>4.5359999999999996</v>
      </c>
      <c r="U169" s="2" t="s">
        <v>2029</v>
      </c>
      <c r="V169" s="138">
        <v>1.6500000000000001E-2</v>
      </c>
      <c r="W169" s="140">
        <v>2.579E-2</v>
      </c>
      <c r="X169" s="3" t="s">
        <v>425</v>
      </c>
      <c r="Y169" s="3" t="s">
        <v>147</v>
      </c>
      <c r="Z169" s="124">
        <v>60000</v>
      </c>
      <c r="AA169" s="134">
        <v>1</v>
      </c>
      <c r="AB169" s="151">
        <v>112.36</v>
      </c>
      <c r="AC169" s="2"/>
      <c r="AD169" s="124">
        <v>67.415999999999997</v>
      </c>
      <c r="AE169" s="2"/>
      <c r="AF169" s="2"/>
      <c r="AG169" s="2" t="s">
        <v>36</v>
      </c>
      <c r="AH169" s="140">
        <v>2.8E-5</v>
      </c>
      <c r="AI169" s="140">
        <v>1.9740404982066601E-2</v>
      </c>
      <c r="AJ169" s="140">
        <v>3.6300131211845399E-3</v>
      </c>
    </row>
    <row r="170" spans="1:36">
      <c r="A170" s="2">
        <v>382</v>
      </c>
      <c r="B170" s="2">
        <v>7635</v>
      </c>
      <c r="C170" s="2" t="s">
        <v>2097</v>
      </c>
      <c r="D170" s="2" t="s">
        <v>2098</v>
      </c>
      <c r="E170" s="3" t="s">
        <v>1325</v>
      </c>
      <c r="F170" s="2" t="s">
        <v>2099</v>
      </c>
      <c r="G170" s="2" t="s">
        <v>2100</v>
      </c>
      <c r="H170" s="2" t="s">
        <v>187</v>
      </c>
      <c r="I170" s="2" t="s">
        <v>980</v>
      </c>
      <c r="J170" s="2" t="s">
        <v>30</v>
      </c>
      <c r="K170" s="2" t="s">
        <v>30</v>
      </c>
      <c r="L170" s="2" t="s">
        <v>340</v>
      </c>
      <c r="M170" s="2" t="s">
        <v>47</v>
      </c>
      <c r="N170" s="2" t="s">
        <v>496</v>
      </c>
      <c r="O170" s="2" t="s">
        <v>147</v>
      </c>
      <c r="P170" s="2" t="s">
        <v>1769</v>
      </c>
      <c r="Q170" s="2" t="s">
        <v>426</v>
      </c>
      <c r="R170" s="2" t="s">
        <v>420</v>
      </c>
      <c r="S170" s="2" t="s">
        <v>34</v>
      </c>
      <c r="T170" s="124">
        <v>0.26300000000000001</v>
      </c>
      <c r="U170" s="2" t="s">
        <v>2101</v>
      </c>
      <c r="V170" s="138">
        <v>4.1399999999999999E-2</v>
      </c>
      <c r="W170" s="140">
        <v>5.1529999999999999E-2</v>
      </c>
      <c r="X170" s="3" t="s">
        <v>425</v>
      </c>
      <c r="Y170" s="3" t="s">
        <v>147</v>
      </c>
      <c r="Z170" s="124">
        <v>8750</v>
      </c>
      <c r="AA170" s="134">
        <v>1</v>
      </c>
      <c r="AB170" s="151">
        <v>100.73</v>
      </c>
      <c r="AC170" s="2"/>
      <c r="AD170" s="124">
        <v>8.8140000000000001</v>
      </c>
      <c r="AE170" s="2"/>
      <c r="AF170" s="2"/>
      <c r="AG170" s="2" t="s">
        <v>36</v>
      </c>
      <c r="AH170" s="140">
        <v>7.7999999999999999E-5</v>
      </c>
      <c r="AI170" s="140">
        <v>2.58083336242601E-3</v>
      </c>
      <c r="AJ170" s="140">
        <v>4.7458291649579303E-4</v>
      </c>
    </row>
    <row r="171" spans="1:36">
      <c r="A171" s="2">
        <v>382</v>
      </c>
      <c r="B171" s="2">
        <v>7635</v>
      </c>
      <c r="C171" s="2" t="s">
        <v>1633</v>
      </c>
      <c r="D171" s="2" t="s">
        <v>1634</v>
      </c>
      <c r="E171" s="3" t="s">
        <v>1325</v>
      </c>
      <c r="F171" s="2" t="s">
        <v>1939</v>
      </c>
      <c r="G171" s="2" t="s">
        <v>1940</v>
      </c>
      <c r="H171" s="2" t="s">
        <v>187</v>
      </c>
      <c r="I171" s="2" t="s">
        <v>768</v>
      </c>
      <c r="J171" s="2" t="s">
        <v>30</v>
      </c>
      <c r="K171" s="2" t="s">
        <v>30</v>
      </c>
      <c r="L171" s="2" t="s">
        <v>340</v>
      </c>
      <c r="M171" s="2" t="s">
        <v>47</v>
      </c>
      <c r="N171" s="2" t="s">
        <v>475</v>
      </c>
      <c r="O171" s="2" t="s">
        <v>147</v>
      </c>
      <c r="P171" s="2" t="s">
        <v>104</v>
      </c>
      <c r="Q171" s="2" t="s">
        <v>426</v>
      </c>
      <c r="R171" s="2" t="s">
        <v>420</v>
      </c>
      <c r="S171" s="2" t="s">
        <v>34</v>
      </c>
      <c r="T171" s="124">
        <v>2.6619999999999999</v>
      </c>
      <c r="U171" s="2" t="s">
        <v>1941</v>
      </c>
      <c r="V171" s="138">
        <v>1.34E-2</v>
      </c>
      <c r="W171" s="140">
        <v>2.8070000000000001E-2</v>
      </c>
      <c r="X171" s="3" t="s">
        <v>425</v>
      </c>
      <c r="Y171" s="3" t="s">
        <v>147</v>
      </c>
      <c r="Z171" s="124">
        <v>56694.81</v>
      </c>
      <c r="AA171" s="134">
        <v>1</v>
      </c>
      <c r="AB171" s="151">
        <v>113.01</v>
      </c>
      <c r="AC171" s="2"/>
      <c r="AD171" s="124">
        <v>64.070999999999998</v>
      </c>
      <c r="AE171" s="2"/>
      <c r="AF171" s="2"/>
      <c r="AG171" s="2" t="s">
        <v>36</v>
      </c>
      <c r="AH171" s="140">
        <v>2.3E-5</v>
      </c>
      <c r="AI171" s="140">
        <v>1.8760882192711902E-2</v>
      </c>
      <c r="AJ171" s="140">
        <v>3.44989115402698E-3</v>
      </c>
    </row>
    <row r="172" spans="1:36">
      <c r="A172" s="2">
        <v>382</v>
      </c>
      <c r="B172" s="2">
        <v>7635</v>
      </c>
      <c r="C172" s="2" t="s">
        <v>1633</v>
      </c>
      <c r="D172" s="2" t="s">
        <v>1634</v>
      </c>
      <c r="E172" s="3" t="s">
        <v>1325</v>
      </c>
      <c r="F172" s="2" t="s">
        <v>2102</v>
      </c>
      <c r="G172" s="2" t="s">
        <v>2103</v>
      </c>
      <c r="H172" s="2" t="s">
        <v>187</v>
      </c>
      <c r="I172" s="2" t="s">
        <v>768</v>
      </c>
      <c r="J172" s="2" t="s">
        <v>30</v>
      </c>
      <c r="K172" s="2" t="s">
        <v>30</v>
      </c>
      <c r="L172" s="2" t="s">
        <v>340</v>
      </c>
      <c r="M172" s="2" t="s">
        <v>47</v>
      </c>
      <c r="N172" s="2" t="s">
        <v>475</v>
      </c>
      <c r="O172" s="2" t="s">
        <v>147</v>
      </c>
      <c r="P172" s="2" t="s">
        <v>2104</v>
      </c>
      <c r="Q172" s="2" t="s">
        <v>428</v>
      </c>
      <c r="R172" s="2" t="s">
        <v>420</v>
      </c>
      <c r="S172" s="2" t="s">
        <v>34</v>
      </c>
      <c r="T172" s="124">
        <v>2.0680000000000001</v>
      </c>
      <c r="U172" s="2" t="s">
        <v>1882</v>
      </c>
      <c r="V172" s="138">
        <v>1.77E-2</v>
      </c>
      <c r="W172" s="140">
        <v>2.751E-2</v>
      </c>
      <c r="X172" s="3" t="s">
        <v>425</v>
      </c>
      <c r="Y172" s="3" t="s">
        <v>147</v>
      </c>
      <c r="Z172" s="124">
        <v>24000</v>
      </c>
      <c r="AA172" s="134">
        <v>1</v>
      </c>
      <c r="AB172" s="151">
        <v>113.81</v>
      </c>
      <c r="AC172" s="2"/>
      <c r="AD172" s="124">
        <v>27.314</v>
      </c>
      <c r="AE172" s="2"/>
      <c r="AF172" s="2"/>
      <c r="AG172" s="2" t="s">
        <v>36</v>
      </c>
      <c r="AH172" s="140">
        <v>9.0000000000000002E-6</v>
      </c>
      <c r="AI172" s="140">
        <v>7.9980615557458095E-3</v>
      </c>
      <c r="AJ172" s="140">
        <v>1.4707433012531601E-3</v>
      </c>
    </row>
    <row r="173" spans="1:36">
      <c r="A173" s="2">
        <v>382</v>
      </c>
      <c r="B173" s="2">
        <v>7635</v>
      </c>
      <c r="C173" s="2" t="s">
        <v>1637</v>
      </c>
      <c r="D173" s="2" t="s">
        <v>1638</v>
      </c>
      <c r="E173" s="3" t="s">
        <v>1325</v>
      </c>
      <c r="F173" s="2" t="s">
        <v>2105</v>
      </c>
      <c r="G173" s="2" t="s">
        <v>2106</v>
      </c>
      <c r="H173" s="2" t="s">
        <v>187</v>
      </c>
      <c r="I173" s="2" t="s">
        <v>980</v>
      </c>
      <c r="J173" s="2" t="s">
        <v>30</v>
      </c>
      <c r="K173" s="2" t="s">
        <v>30</v>
      </c>
      <c r="L173" s="2" t="s">
        <v>340</v>
      </c>
      <c r="M173" s="2" t="s">
        <v>47</v>
      </c>
      <c r="N173" s="2" t="s">
        <v>459</v>
      </c>
      <c r="O173" s="2" t="s">
        <v>147</v>
      </c>
      <c r="P173" s="2" t="s">
        <v>1182</v>
      </c>
      <c r="Q173" s="2" t="s">
        <v>426</v>
      </c>
      <c r="R173" s="2" t="s">
        <v>420</v>
      </c>
      <c r="S173" s="2" t="s">
        <v>34</v>
      </c>
      <c r="T173" s="124">
        <v>3.419</v>
      </c>
      <c r="U173" s="2" t="s">
        <v>1947</v>
      </c>
      <c r="V173" s="138">
        <v>2.5000000000000001E-2</v>
      </c>
      <c r="W173" s="140">
        <v>4.6850000000000003E-2</v>
      </c>
      <c r="X173" s="3" t="s">
        <v>425</v>
      </c>
      <c r="Y173" s="3" t="s">
        <v>147</v>
      </c>
      <c r="Z173" s="124">
        <v>42000</v>
      </c>
      <c r="AA173" s="134">
        <v>1</v>
      </c>
      <c r="AB173" s="151">
        <v>93.67</v>
      </c>
      <c r="AC173" s="2"/>
      <c r="AD173" s="124">
        <v>39.341000000000001</v>
      </c>
      <c r="AE173" s="2"/>
      <c r="AF173" s="2"/>
      <c r="AG173" s="2" t="s">
        <v>36</v>
      </c>
      <c r="AH173" s="140">
        <v>2.0999999999999999E-5</v>
      </c>
      <c r="AI173" s="140">
        <v>1.15197455880129E-2</v>
      </c>
      <c r="AJ173" s="140">
        <v>2.1183368667047802E-3</v>
      </c>
    </row>
    <row r="174" spans="1:36">
      <c r="A174" s="2">
        <v>382</v>
      </c>
      <c r="B174" s="2">
        <v>7635</v>
      </c>
      <c r="C174" s="2" t="s">
        <v>1637</v>
      </c>
      <c r="D174" s="2" t="s">
        <v>1638</v>
      </c>
      <c r="E174" s="3" t="s">
        <v>1325</v>
      </c>
      <c r="F174" s="2" t="s">
        <v>1945</v>
      </c>
      <c r="G174" s="2" t="s">
        <v>1946</v>
      </c>
      <c r="H174" s="2" t="s">
        <v>187</v>
      </c>
      <c r="I174" s="2" t="s">
        <v>768</v>
      </c>
      <c r="J174" s="2" t="s">
        <v>30</v>
      </c>
      <c r="K174" s="2" t="s">
        <v>30</v>
      </c>
      <c r="L174" s="2" t="s">
        <v>340</v>
      </c>
      <c r="M174" s="2" t="s">
        <v>47</v>
      </c>
      <c r="N174" s="2" t="s">
        <v>459</v>
      </c>
      <c r="O174" s="2" t="s">
        <v>147</v>
      </c>
      <c r="P174" s="2" t="s">
        <v>1182</v>
      </c>
      <c r="Q174" s="2" t="s">
        <v>426</v>
      </c>
      <c r="R174" s="2" t="s">
        <v>420</v>
      </c>
      <c r="S174" s="2" t="s">
        <v>34</v>
      </c>
      <c r="T174" s="124">
        <v>3.5870000000000002</v>
      </c>
      <c r="U174" s="2" t="s">
        <v>1947</v>
      </c>
      <c r="V174" s="138">
        <v>1E-3</v>
      </c>
      <c r="W174" s="140">
        <v>2.5610000000000001E-2</v>
      </c>
      <c r="X174" s="3" t="s">
        <v>425</v>
      </c>
      <c r="Y174" s="3" t="s">
        <v>147</v>
      </c>
      <c r="Z174" s="124">
        <v>45500</v>
      </c>
      <c r="AA174" s="134">
        <v>1</v>
      </c>
      <c r="AB174" s="151">
        <v>103.24</v>
      </c>
      <c r="AC174" s="2"/>
      <c r="AD174" s="124">
        <v>46.973999999999997</v>
      </c>
      <c r="AE174" s="2"/>
      <c r="AF174" s="2"/>
      <c r="AG174" s="2" t="s">
        <v>36</v>
      </c>
      <c r="AH174" s="140">
        <v>4.6E-5</v>
      </c>
      <c r="AI174" s="140">
        <v>1.3754742668040099E-2</v>
      </c>
      <c r="AJ174" s="140">
        <v>2.52932482433171E-3</v>
      </c>
    </row>
    <row r="175" spans="1:36">
      <c r="A175" s="2">
        <v>382</v>
      </c>
      <c r="B175" s="2">
        <v>7635</v>
      </c>
      <c r="C175" s="2" t="s">
        <v>1637</v>
      </c>
      <c r="D175" s="2" t="s">
        <v>1638</v>
      </c>
      <c r="E175" s="3" t="s">
        <v>1325</v>
      </c>
      <c r="F175" s="2" t="s">
        <v>1948</v>
      </c>
      <c r="G175" s="2" t="s">
        <v>1949</v>
      </c>
      <c r="H175" s="2" t="s">
        <v>187</v>
      </c>
      <c r="I175" s="2" t="s">
        <v>768</v>
      </c>
      <c r="J175" s="2" t="s">
        <v>30</v>
      </c>
      <c r="K175" s="2" t="s">
        <v>30</v>
      </c>
      <c r="L175" s="2" t="s">
        <v>340</v>
      </c>
      <c r="M175" s="2" t="s">
        <v>47</v>
      </c>
      <c r="N175" s="2" t="s">
        <v>459</v>
      </c>
      <c r="O175" s="2" t="s">
        <v>147</v>
      </c>
      <c r="P175" s="2" t="s">
        <v>1182</v>
      </c>
      <c r="Q175" s="2" t="s">
        <v>426</v>
      </c>
      <c r="R175" s="2" t="s">
        <v>420</v>
      </c>
      <c r="S175" s="2" t="s">
        <v>34</v>
      </c>
      <c r="T175" s="124">
        <v>1.54</v>
      </c>
      <c r="U175" s="2" t="s">
        <v>1950</v>
      </c>
      <c r="V175" s="138">
        <v>6.0000000000000001E-3</v>
      </c>
      <c r="W175" s="140">
        <v>2.4459999999999999E-2</v>
      </c>
      <c r="X175" s="3" t="s">
        <v>425</v>
      </c>
      <c r="Y175" s="3" t="s">
        <v>147</v>
      </c>
      <c r="Z175" s="124">
        <v>61149.21</v>
      </c>
      <c r="AA175" s="134">
        <v>1</v>
      </c>
      <c r="AB175" s="151">
        <v>113.98</v>
      </c>
      <c r="AC175" s="2"/>
      <c r="AD175" s="124">
        <v>69.697999999999993</v>
      </c>
      <c r="AE175" s="2"/>
      <c r="AF175" s="2"/>
      <c r="AG175" s="2" t="s">
        <v>36</v>
      </c>
      <c r="AH175" s="140">
        <v>6.8999999999999997E-5</v>
      </c>
      <c r="AI175" s="140">
        <v>2.04085702424079E-2</v>
      </c>
      <c r="AJ175" s="140">
        <v>3.7528803401884999E-3</v>
      </c>
    </row>
    <row r="176" spans="1:36">
      <c r="A176" s="2">
        <v>382</v>
      </c>
      <c r="B176" s="2">
        <v>7635</v>
      </c>
      <c r="C176" s="2" t="s">
        <v>1637</v>
      </c>
      <c r="D176" s="2" t="s">
        <v>1638</v>
      </c>
      <c r="E176" s="3" t="s">
        <v>1325</v>
      </c>
      <c r="F176" s="2" t="s">
        <v>1951</v>
      </c>
      <c r="G176" s="2" t="s">
        <v>1952</v>
      </c>
      <c r="H176" s="2" t="s">
        <v>187</v>
      </c>
      <c r="I176" s="2" t="s">
        <v>768</v>
      </c>
      <c r="J176" s="2" t="s">
        <v>30</v>
      </c>
      <c r="K176" s="2" t="s">
        <v>30</v>
      </c>
      <c r="L176" s="2" t="s">
        <v>340</v>
      </c>
      <c r="M176" s="2" t="s">
        <v>47</v>
      </c>
      <c r="N176" s="2" t="s">
        <v>459</v>
      </c>
      <c r="O176" s="2" t="s">
        <v>147</v>
      </c>
      <c r="P176" s="2" t="s">
        <v>1182</v>
      </c>
      <c r="Q176" s="2" t="s">
        <v>426</v>
      </c>
      <c r="R176" s="2" t="s">
        <v>420</v>
      </c>
      <c r="S176" s="2" t="s">
        <v>34</v>
      </c>
      <c r="T176" s="124">
        <v>3.0529999999999999</v>
      </c>
      <c r="U176" s="2" t="s">
        <v>1953</v>
      </c>
      <c r="V176" s="138">
        <v>1.7500000000000002E-2</v>
      </c>
      <c r="W176" s="140">
        <v>2.554E-2</v>
      </c>
      <c r="X176" s="3" t="s">
        <v>425</v>
      </c>
      <c r="Y176" s="3" t="s">
        <v>147</v>
      </c>
      <c r="Z176" s="124">
        <v>78085.34</v>
      </c>
      <c r="AA176" s="134">
        <v>1</v>
      </c>
      <c r="AB176" s="151">
        <v>112.78</v>
      </c>
      <c r="AC176" s="2"/>
      <c r="AD176" s="124">
        <v>88.064999999999998</v>
      </c>
      <c r="AE176" s="2"/>
      <c r="AF176" s="2"/>
      <c r="AG176" s="2" t="s">
        <v>36</v>
      </c>
      <c r="AH176" s="140">
        <v>3.4999999999999997E-5</v>
      </c>
      <c r="AI176" s="140">
        <v>2.5786635006007402E-2</v>
      </c>
      <c r="AJ176" s="140">
        <v>4.7418390609534396E-3</v>
      </c>
    </row>
    <row r="177" spans="1:36">
      <c r="A177" s="2">
        <v>382</v>
      </c>
      <c r="B177" s="2">
        <v>7635</v>
      </c>
      <c r="C177" s="2" t="s">
        <v>1637</v>
      </c>
      <c r="D177" s="2" t="s">
        <v>1638</v>
      </c>
      <c r="E177" s="3" t="s">
        <v>1325</v>
      </c>
      <c r="F177" s="2" t="s">
        <v>1954</v>
      </c>
      <c r="G177" s="2" t="s">
        <v>1955</v>
      </c>
      <c r="H177" s="2" t="s">
        <v>187</v>
      </c>
      <c r="I177" s="2" t="s">
        <v>768</v>
      </c>
      <c r="J177" s="2" t="s">
        <v>30</v>
      </c>
      <c r="K177" s="2" t="s">
        <v>30</v>
      </c>
      <c r="L177" s="2" t="s">
        <v>340</v>
      </c>
      <c r="M177" s="2" t="s">
        <v>31</v>
      </c>
      <c r="N177" s="2" t="s">
        <v>459</v>
      </c>
      <c r="O177" s="2" t="s">
        <v>147</v>
      </c>
      <c r="P177" s="2" t="s">
        <v>1760</v>
      </c>
      <c r="Q177" s="2" t="s">
        <v>426</v>
      </c>
      <c r="R177" s="2" t="s">
        <v>420</v>
      </c>
      <c r="S177" s="2" t="s">
        <v>34</v>
      </c>
      <c r="T177" s="124">
        <v>6.8019999999999996</v>
      </c>
      <c r="U177" s="2" t="s">
        <v>1956</v>
      </c>
      <c r="V177" s="138">
        <v>3.4500000000000003E-2</v>
      </c>
      <c r="W177" s="140">
        <v>3.1910000000000001E-2</v>
      </c>
      <c r="X177" s="3" t="s">
        <v>425</v>
      </c>
      <c r="Y177" s="3" t="s">
        <v>147</v>
      </c>
      <c r="Z177" s="124">
        <v>70000</v>
      </c>
      <c r="AA177" s="134">
        <v>1</v>
      </c>
      <c r="AB177" s="151">
        <v>102.77</v>
      </c>
      <c r="AC177" s="2"/>
      <c r="AD177" s="124">
        <v>71.938999999999993</v>
      </c>
      <c r="AE177" s="2"/>
      <c r="AF177" s="2"/>
      <c r="AG177" s="2" t="s">
        <v>36</v>
      </c>
      <c r="AH177" s="140">
        <v>7.6000000000000004E-5</v>
      </c>
      <c r="AI177" s="140">
        <v>2.1064806485179902E-2</v>
      </c>
      <c r="AJ177" s="140">
        <v>3.8735539623367499E-3</v>
      </c>
    </row>
    <row r="178" spans="1:36">
      <c r="A178" s="2">
        <v>382</v>
      </c>
      <c r="B178" s="2">
        <v>7635</v>
      </c>
      <c r="C178" s="2" t="s">
        <v>1967</v>
      </c>
      <c r="D178" s="2" t="s">
        <v>1968</v>
      </c>
      <c r="E178" s="3" t="s">
        <v>1325</v>
      </c>
      <c r="F178" s="2" t="s">
        <v>1969</v>
      </c>
      <c r="G178" s="2" t="s">
        <v>1970</v>
      </c>
      <c r="H178" s="2" t="s">
        <v>187</v>
      </c>
      <c r="I178" s="2" t="s">
        <v>980</v>
      </c>
      <c r="J178" s="2" t="s">
        <v>30</v>
      </c>
      <c r="K178" s="2" t="s">
        <v>30</v>
      </c>
      <c r="L178" s="2" t="s">
        <v>340</v>
      </c>
      <c r="M178" s="2" t="s">
        <v>47</v>
      </c>
      <c r="N178" s="2" t="s">
        <v>456</v>
      </c>
      <c r="O178" s="2" t="s">
        <v>147</v>
      </c>
      <c r="P178" s="2" t="s">
        <v>1756</v>
      </c>
      <c r="Q178" s="2" t="s">
        <v>426</v>
      </c>
      <c r="R178" s="2" t="s">
        <v>420</v>
      </c>
      <c r="S178" s="2" t="s">
        <v>34</v>
      </c>
      <c r="T178" s="124">
        <v>4.6790000000000003</v>
      </c>
      <c r="U178" s="2" t="s">
        <v>1971</v>
      </c>
      <c r="V178" s="138">
        <v>4.6899999999999997E-2</v>
      </c>
      <c r="W178" s="140">
        <v>5.033E-2</v>
      </c>
      <c r="X178" s="3" t="s">
        <v>425</v>
      </c>
      <c r="Y178" s="3" t="s">
        <v>147</v>
      </c>
      <c r="Z178" s="124">
        <v>49995</v>
      </c>
      <c r="AA178" s="134">
        <v>1</v>
      </c>
      <c r="AB178" s="151">
        <v>98.85</v>
      </c>
      <c r="AC178" s="2"/>
      <c r="AD178" s="124">
        <v>49.42</v>
      </c>
      <c r="AE178" s="2"/>
      <c r="AF178" s="2"/>
      <c r="AG178" s="2" t="s">
        <v>36</v>
      </c>
      <c r="AH178" s="140">
        <v>1E-4</v>
      </c>
      <c r="AI178" s="140">
        <v>1.447092603072E-2</v>
      </c>
      <c r="AJ178" s="140">
        <v>2.6610219706700799E-3</v>
      </c>
    </row>
    <row r="179" spans="1:36">
      <c r="A179" s="2">
        <v>382</v>
      </c>
      <c r="B179" s="2">
        <v>7635</v>
      </c>
      <c r="C179" s="2" t="s">
        <v>1967</v>
      </c>
      <c r="D179" s="2" t="s">
        <v>1968</v>
      </c>
      <c r="E179" s="3" t="s">
        <v>1325</v>
      </c>
      <c r="F179" s="2" t="s">
        <v>2107</v>
      </c>
      <c r="G179" s="2" t="s">
        <v>2108</v>
      </c>
      <c r="H179" s="2" t="s">
        <v>187</v>
      </c>
      <c r="I179" s="2" t="s">
        <v>768</v>
      </c>
      <c r="J179" s="2" t="s">
        <v>30</v>
      </c>
      <c r="K179" s="2" t="s">
        <v>30</v>
      </c>
      <c r="L179" s="2" t="s">
        <v>340</v>
      </c>
      <c r="M179" s="2" t="s">
        <v>47</v>
      </c>
      <c r="N179" s="2" t="s">
        <v>456</v>
      </c>
      <c r="O179" s="2" t="s">
        <v>147</v>
      </c>
      <c r="P179" s="2" t="s">
        <v>1756</v>
      </c>
      <c r="Q179" s="2" t="s">
        <v>426</v>
      </c>
      <c r="R179" s="2" t="s">
        <v>420</v>
      </c>
      <c r="S179" s="2" t="s">
        <v>34</v>
      </c>
      <c r="T179" s="124">
        <v>4.649</v>
      </c>
      <c r="U179" s="2" t="s">
        <v>2109</v>
      </c>
      <c r="V179" s="138">
        <v>2.3099999999999999E-2</v>
      </c>
      <c r="W179" s="140">
        <v>2.6620000000000001E-2</v>
      </c>
      <c r="X179" s="3" t="s">
        <v>425</v>
      </c>
      <c r="Y179" s="3" t="s">
        <v>147</v>
      </c>
      <c r="Z179" s="124">
        <v>40000</v>
      </c>
      <c r="AA179" s="134">
        <v>1</v>
      </c>
      <c r="AB179" s="151">
        <v>102.37</v>
      </c>
      <c r="AC179" s="2"/>
      <c r="AD179" s="124">
        <v>40.948</v>
      </c>
      <c r="AE179" s="2"/>
      <c r="AF179" s="2"/>
      <c r="AG179" s="2" t="s">
        <v>36</v>
      </c>
      <c r="AH179" s="140">
        <v>1.3300000000000001E-4</v>
      </c>
      <c r="AI179" s="140">
        <v>1.1990181903489701E-2</v>
      </c>
      <c r="AJ179" s="140">
        <v>2.2048442103694099E-3</v>
      </c>
    </row>
    <row r="180" spans="1:36">
      <c r="A180" s="2">
        <v>382</v>
      </c>
      <c r="B180" s="2">
        <v>7635</v>
      </c>
      <c r="C180" s="2" t="s">
        <v>2110</v>
      </c>
      <c r="D180" s="2" t="s">
        <v>2111</v>
      </c>
      <c r="E180" s="3" t="s">
        <v>1325</v>
      </c>
      <c r="F180" s="2" t="s">
        <v>2112</v>
      </c>
      <c r="G180" s="2" t="s">
        <v>2113</v>
      </c>
      <c r="H180" s="2" t="s">
        <v>187</v>
      </c>
      <c r="I180" s="2" t="s">
        <v>980</v>
      </c>
      <c r="J180" s="2" t="s">
        <v>30</v>
      </c>
      <c r="K180" s="2" t="s">
        <v>30</v>
      </c>
      <c r="L180" s="2" t="s">
        <v>340</v>
      </c>
      <c r="M180" s="2" t="s">
        <v>47</v>
      </c>
      <c r="N180" s="2" t="s">
        <v>496</v>
      </c>
      <c r="O180" s="2" t="s">
        <v>147</v>
      </c>
      <c r="P180" s="2" t="s">
        <v>1760</v>
      </c>
      <c r="Q180" s="2" t="s">
        <v>426</v>
      </c>
      <c r="R180" s="2" t="s">
        <v>420</v>
      </c>
      <c r="S180" s="2" t="s">
        <v>34</v>
      </c>
      <c r="T180" s="124">
        <v>1.58</v>
      </c>
      <c r="U180" s="2" t="s">
        <v>2114</v>
      </c>
      <c r="V180" s="138">
        <v>0.04</v>
      </c>
      <c r="W180" s="140">
        <v>4.9320000000000003E-2</v>
      </c>
      <c r="X180" s="3" t="s">
        <v>425</v>
      </c>
      <c r="Y180" s="3" t="s">
        <v>147</v>
      </c>
      <c r="Z180" s="124">
        <v>31111.11</v>
      </c>
      <c r="AA180" s="134">
        <v>1</v>
      </c>
      <c r="AB180" s="151">
        <v>101.61</v>
      </c>
      <c r="AC180" s="2"/>
      <c r="AD180" s="124">
        <v>31.611999999999998</v>
      </c>
      <c r="AE180" s="2"/>
      <c r="AF180" s="2"/>
      <c r="AG180" s="2" t="s">
        <v>36</v>
      </c>
      <c r="AH180" s="140">
        <v>5.1999999999999997E-5</v>
      </c>
      <c r="AI180" s="140">
        <v>9.2564622642424908E-3</v>
      </c>
      <c r="AJ180" s="140">
        <v>1.70214742329122E-3</v>
      </c>
    </row>
    <row r="181" spans="1:36">
      <c r="A181" s="2">
        <v>382</v>
      </c>
      <c r="B181" s="2">
        <v>7635</v>
      </c>
      <c r="C181" s="2" t="s">
        <v>2035</v>
      </c>
      <c r="D181" s="2" t="s">
        <v>2036</v>
      </c>
      <c r="E181" s="3" t="s">
        <v>1325</v>
      </c>
      <c r="F181" s="2" t="s">
        <v>2037</v>
      </c>
      <c r="G181" s="2" t="s">
        <v>2038</v>
      </c>
      <c r="H181" s="2" t="s">
        <v>187</v>
      </c>
      <c r="I181" s="2" t="s">
        <v>980</v>
      </c>
      <c r="J181" s="2" t="s">
        <v>30</v>
      </c>
      <c r="K181" s="2" t="s">
        <v>30</v>
      </c>
      <c r="L181" s="2" t="s">
        <v>340</v>
      </c>
      <c r="M181" s="2" t="s">
        <v>47</v>
      </c>
      <c r="N181" s="2" t="s">
        <v>473</v>
      </c>
      <c r="O181" s="2" t="s">
        <v>147</v>
      </c>
      <c r="P181" s="2" t="s">
        <v>1760</v>
      </c>
      <c r="Q181" s="2" t="s">
        <v>426</v>
      </c>
      <c r="R181" s="2" t="s">
        <v>420</v>
      </c>
      <c r="S181" s="2" t="s">
        <v>34</v>
      </c>
      <c r="T181" s="124">
        <v>1.518</v>
      </c>
      <c r="U181" s="2" t="s">
        <v>2039</v>
      </c>
      <c r="V181" s="138">
        <v>2.3E-2</v>
      </c>
      <c r="W181" s="140">
        <v>5.1650000000000001E-2</v>
      </c>
      <c r="X181" s="3" t="s">
        <v>425</v>
      </c>
      <c r="Y181" s="3" t="s">
        <v>147</v>
      </c>
      <c r="Z181" s="124">
        <v>33089.33</v>
      </c>
      <c r="AA181" s="134">
        <v>1</v>
      </c>
      <c r="AB181" s="151">
        <v>96.07</v>
      </c>
      <c r="AC181" s="2"/>
      <c r="AD181" s="124">
        <v>31.789000000000001</v>
      </c>
      <c r="AE181" s="2"/>
      <c r="AF181" s="2"/>
      <c r="AG181" s="2" t="s">
        <v>36</v>
      </c>
      <c r="AH181" s="140">
        <v>3.1000000000000001E-5</v>
      </c>
      <c r="AI181" s="140">
        <v>9.3082671997179508E-3</v>
      </c>
      <c r="AJ181" s="140">
        <v>1.7116737017889899E-3</v>
      </c>
    </row>
    <row r="182" spans="1:36">
      <c r="A182" s="2">
        <v>382</v>
      </c>
      <c r="B182" s="2">
        <v>7635</v>
      </c>
      <c r="C182" s="2" t="s">
        <v>2040</v>
      </c>
      <c r="D182" s="2" t="s">
        <v>2041</v>
      </c>
      <c r="E182" s="3" t="s">
        <v>1325</v>
      </c>
      <c r="F182" s="2" t="s">
        <v>2042</v>
      </c>
      <c r="G182" s="2" t="s">
        <v>2043</v>
      </c>
      <c r="H182" s="2" t="s">
        <v>187</v>
      </c>
      <c r="I182" s="2" t="s">
        <v>768</v>
      </c>
      <c r="J182" s="2" t="s">
        <v>30</v>
      </c>
      <c r="K182" s="2" t="s">
        <v>30</v>
      </c>
      <c r="L182" s="2" t="s">
        <v>340</v>
      </c>
      <c r="M182" s="2" t="s">
        <v>47</v>
      </c>
      <c r="N182" s="2" t="s">
        <v>475</v>
      </c>
      <c r="O182" s="2" t="s">
        <v>147</v>
      </c>
      <c r="P182" s="2" t="s">
        <v>1760</v>
      </c>
      <c r="Q182" s="2" t="s">
        <v>426</v>
      </c>
      <c r="R182" s="2" t="s">
        <v>420</v>
      </c>
      <c r="S182" s="2" t="s">
        <v>34</v>
      </c>
      <c r="T182" s="124">
        <v>1.1459999999999999</v>
      </c>
      <c r="U182" s="2" t="s">
        <v>2044</v>
      </c>
      <c r="V182" s="138">
        <v>2.1499999999999998E-2</v>
      </c>
      <c r="W182" s="140">
        <v>2.8170000000000001E-2</v>
      </c>
      <c r="X182" s="3" t="s">
        <v>425</v>
      </c>
      <c r="Y182" s="3" t="s">
        <v>147</v>
      </c>
      <c r="Z182" s="124">
        <v>46428.57</v>
      </c>
      <c r="AA182" s="134">
        <v>1</v>
      </c>
      <c r="AB182" s="151">
        <v>117.16</v>
      </c>
      <c r="AC182" s="2"/>
      <c r="AD182" s="124">
        <v>54.396000000000001</v>
      </c>
      <c r="AE182" s="2"/>
      <c r="AF182" s="2"/>
      <c r="AG182" s="2" t="s">
        <v>36</v>
      </c>
      <c r="AH182" s="140">
        <v>3.3000000000000003E-5</v>
      </c>
      <c r="AI182" s="140">
        <v>1.59278716662066E-2</v>
      </c>
      <c r="AJ182" s="140">
        <v>2.92893601693579E-3</v>
      </c>
    </row>
    <row r="183" spans="1:36">
      <c r="A183" s="2">
        <v>382</v>
      </c>
      <c r="B183" s="2">
        <v>7635</v>
      </c>
      <c r="C183" s="2" t="s">
        <v>2115</v>
      </c>
      <c r="D183" s="2" t="s">
        <v>2116</v>
      </c>
      <c r="E183" s="3" t="s">
        <v>1325</v>
      </c>
      <c r="F183" s="2" t="s">
        <v>2117</v>
      </c>
      <c r="G183" s="2" t="s">
        <v>2118</v>
      </c>
      <c r="H183" s="2" t="s">
        <v>187</v>
      </c>
      <c r="I183" s="2" t="s">
        <v>768</v>
      </c>
      <c r="J183" s="2" t="s">
        <v>30</v>
      </c>
      <c r="K183" s="2" t="s">
        <v>30</v>
      </c>
      <c r="L183" s="2" t="s">
        <v>340</v>
      </c>
      <c r="M183" s="2" t="s">
        <v>47</v>
      </c>
      <c r="N183" s="2" t="s">
        <v>475</v>
      </c>
      <c r="O183" s="2" t="s">
        <v>147</v>
      </c>
      <c r="P183" s="2" t="s">
        <v>1756</v>
      </c>
      <c r="Q183" s="2" t="s">
        <v>426</v>
      </c>
      <c r="R183" s="2" t="s">
        <v>420</v>
      </c>
      <c r="S183" s="2" t="s">
        <v>34</v>
      </c>
      <c r="T183" s="124">
        <v>1.907</v>
      </c>
      <c r="U183" s="2" t="s">
        <v>2119</v>
      </c>
      <c r="V183" s="138">
        <v>0.04</v>
      </c>
      <c r="W183" s="140">
        <v>2.8070000000000001E-2</v>
      </c>
      <c r="X183" s="3" t="s">
        <v>425</v>
      </c>
      <c r="Y183" s="3" t="s">
        <v>147</v>
      </c>
      <c r="Z183" s="124">
        <v>29750</v>
      </c>
      <c r="AA183" s="134">
        <v>1</v>
      </c>
      <c r="AB183" s="151">
        <v>119.04</v>
      </c>
      <c r="AC183" s="2"/>
      <c r="AD183" s="124">
        <v>35.414000000000001</v>
      </c>
      <c r="AE183" s="2"/>
      <c r="AF183" s="2"/>
      <c r="AG183" s="2" t="s">
        <v>36</v>
      </c>
      <c r="AH183" s="140">
        <v>3.4999999999999997E-5</v>
      </c>
      <c r="AI183" s="140">
        <v>1.0369861727140399E-2</v>
      </c>
      <c r="AJ183" s="140">
        <v>1.9068876331861499E-3</v>
      </c>
    </row>
    <row r="184" spans="1:36">
      <c r="A184" s="2">
        <v>382</v>
      </c>
      <c r="B184" s="2">
        <v>7635</v>
      </c>
      <c r="C184" s="2" t="s">
        <v>1653</v>
      </c>
      <c r="D184" s="2" t="s">
        <v>1654</v>
      </c>
      <c r="E184" s="3" t="s">
        <v>1325</v>
      </c>
      <c r="F184" s="2" t="s">
        <v>2120</v>
      </c>
      <c r="G184" s="2" t="s">
        <v>2121</v>
      </c>
      <c r="H184" s="2" t="s">
        <v>187</v>
      </c>
      <c r="I184" s="2" t="s">
        <v>980</v>
      </c>
      <c r="J184" s="2" t="s">
        <v>30</v>
      </c>
      <c r="K184" s="2" t="s">
        <v>30</v>
      </c>
      <c r="L184" s="2" t="s">
        <v>340</v>
      </c>
      <c r="M184" s="2" t="s">
        <v>47</v>
      </c>
      <c r="N184" s="2" t="s">
        <v>487</v>
      </c>
      <c r="O184" s="2" t="s">
        <v>147</v>
      </c>
      <c r="P184" s="2" t="s">
        <v>1756</v>
      </c>
      <c r="Q184" s="2" t="s">
        <v>426</v>
      </c>
      <c r="R184" s="2" t="s">
        <v>420</v>
      </c>
      <c r="S184" s="2" t="s">
        <v>34</v>
      </c>
      <c r="T184" s="124">
        <v>2.3410000000000002</v>
      </c>
      <c r="U184" s="2" t="s">
        <v>2122</v>
      </c>
      <c r="V184" s="138">
        <v>5.0900000000000001E-2</v>
      </c>
      <c r="W184" s="140">
        <v>4.7509999999999997E-2</v>
      </c>
      <c r="X184" s="3" t="s">
        <v>425</v>
      </c>
      <c r="Y184" s="3" t="s">
        <v>147</v>
      </c>
      <c r="Z184" s="124">
        <v>54034.09</v>
      </c>
      <c r="AA184" s="134">
        <v>1</v>
      </c>
      <c r="AB184" s="151">
        <v>103.18</v>
      </c>
      <c r="AC184" s="2"/>
      <c r="AD184" s="124">
        <v>55.752000000000002</v>
      </c>
      <c r="AE184" s="2"/>
      <c r="AF184" s="2"/>
      <c r="AG184" s="2" t="s">
        <v>36</v>
      </c>
      <c r="AH184" s="140">
        <v>1.05E-4</v>
      </c>
      <c r="AI184" s="140">
        <v>1.63251222661615E-2</v>
      </c>
      <c r="AJ184" s="140">
        <v>3.0019854245616501E-3</v>
      </c>
    </row>
    <row r="185" spans="1:36">
      <c r="A185" s="2">
        <v>382</v>
      </c>
      <c r="B185" s="2">
        <v>7635</v>
      </c>
      <c r="C185" s="2" t="s">
        <v>1653</v>
      </c>
      <c r="D185" s="2" t="s">
        <v>1654</v>
      </c>
      <c r="E185" s="3" t="s">
        <v>1325</v>
      </c>
      <c r="F185" s="2" t="s">
        <v>1972</v>
      </c>
      <c r="G185" s="2" t="s">
        <v>1973</v>
      </c>
      <c r="H185" s="2" t="s">
        <v>187</v>
      </c>
      <c r="I185" s="2" t="s">
        <v>768</v>
      </c>
      <c r="J185" s="2" t="s">
        <v>30</v>
      </c>
      <c r="K185" s="2" t="s">
        <v>30</v>
      </c>
      <c r="L185" s="2" t="s">
        <v>340</v>
      </c>
      <c r="M185" s="2" t="s">
        <v>47</v>
      </c>
      <c r="N185" s="2" t="s">
        <v>487</v>
      </c>
      <c r="O185" s="2" t="s">
        <v>147</v>
      </c>
      <c r="P185" s="2" t="s">
        <v>1756</v>
      </c>
      <c r="Q185" s="2" t="s">
        <v>426</v>
      </c>
      <c r="R185" s="2" t="s">
        <v>420</v>
      </c>
      <c r="S185" s="2" t="s">
        <v>34</v>
      </c>
      <c r="T185" s="124">
        <v>1.9410000000000001</v>
      </c>
      <c r="U185" s="2" t="s">
        <v>1974</v>
      </c>
      <c r="V185" s="138">
        <v>4.2999999999999997E-2</v>
      </c>
      <c r="W185" s="140">
        <v>2.547E-2</v>
      </c>
      <c r="X185" s="3" t="s">
        <v>425</v>
      </c>
      <c r="Y185" s="3" t="s">
        <v>147</v>
      </c>
      <c r="Z185" s="124">
        <v>32222.22</v>
      </c>
      <c r="AA185" s="134">
        <v>1</v>
      </c>
      <c r="AB185" s="151">
        <v>121.82</v>
      </c>
      <c r="AC185" s="2"/>
      <c r="AD185" s="124">
        <v>39.253</v>
      </c>
      <c r="AE185" s="2"/>
      <c r="AF185" s="2"/>
      <c r="AG185" s="2" t="s">
        <v>36</v>
      </c>
      <c r="AH185" s="140">
        <v>7.8999999999999996E-5</v>
      </c>
      <c r="AI185" s="140">
        <v>1.14938924988122E-2</v>
      </c>
      <c r="AJ185" s="140">
        <v>2.1135828075501198E-3</v>
      </c>
    </row>
    <row r="186" spans="1:36">
      <c r="A186" s="2">
        <v>382</v>
      </c>
      <c r="B186" s="2">
        <v>7635</v>
      </c>
      <c r="C186" s="2" t="s">
        <v>2123</v>
      </c>
      <c r="D186" s="2" t="s">
        <v>2124</v>
      </c>
      <c r="E186" s="3" t="s">
        <v>1325</v>
      </c>
      <c r="F186" s="2" t="s">
        <v>2125</v>
      </c>
      <c r="G186" s="2" t="s">
        <v>2126</v>
      </c>
      <c r="H186" s="2" t="s">
        <v>187</v>
      </c>
      <c r="I186" s="2" t="s">
        <v>980</v>
      </c>
      <c r="J186" s="2" t="s">
        <v>30</v>
      </c>
      <c r="K186" s="2" t="s">
        <v>30</v>
      </c>
      <c r="L186" s="2" t="s">
        <v>340</v>
      </c>
      <c r="M186" s="2" t="s">
        <v>47</v>
      </c>
      <c r="N186" s="2" t="s">
        <v>470</v>
      </c>
      <c r="O186" s="2" t="s">
        <v>147</v>
      </c>
      <c r="P186" s="2" t="s">
        <v>104</v>
      </c>
      <c r="Q186" s="2" t="s">
        <v>426</v>
      </c>
      <c r="R186" s="2" t="s">
        <v>420</v>
      </c>
      <c r="S186" s="2" t="s">
        <v>34</v>
      </c>
      <c r="T186" s="124">
        <v>1.206</v>
      </c>
      <c r="U186" s="2" t="s">
        <v>1815</v>
      </c>
      <c r="V186" s="138">
        <v>2.6100000000000002E-2</v>
      </c>
      <c r="W186" s="140">
        <v>4.5830000000000003E-2</v>
      </c>
      <c r="X186" s="3" t="s">
        <v>425</v>
      </c>
      <c r="Y186" s="3" t="s">
        <v>147</v>
      </c>
      <c r="Z186" s="124">
        <v>37894.730000000003</v>
      </c>
      <c r="AA186" s="134">
        <v>1</v>
      </c>
      <c r="AB186" s="151">
        <v>98.38</v>
      </c>
      <c r="AC186" s="2"/>
      <c r="AD186" s="124">
        <v>37.280999999999999</v>
      </c>
      <c r="AE186" s="2"/>
      <c r="AF186" s="2"/>
      <c r="AG186" s="2" t="s">
        <v>36</v>
      </c>
      <c r="AH186" s="140">
        <v>1.05E-4</v>
      </c>
      <c r="AI186" s="140">
        <v>1.0916381695035501E-2</v>
      </c>
      <c r="AJ186" s="140">
        <v>2.0073858071724899E-3</v>
      </c>
    </row>
    <row r="187" spans="1:36">
      <c r="A187" s="2">
        <v>382</v>
      </c>
      <c r="B187" s="2">
        <v>7635</v>
      </c>
      <c r="C187" s="2" t="s">
        <v>1975</v>
      </c>
      <c r="D187" s="2" t="s">
        <v>1976</v>
      </c>
      <c r="E187" s="3" t="s">
        <v>1325</v>
      </c>
      <c r="F187" s="2" t="s">
        <v>2127</v>
      </c>
      <c r="G187" s="2" t="s">
        <v>2128</v>
      </c>
      <c r="H187" s="2" t="s">
        <v>187</v>
      </c>
      <c r="I187" s="2" t="s">
        <v>980</v>
      </c>
      <c r="J187" s="2" t="s">
        <v>30</v>
      </c>
      <c r="K187" s="2" t="s">
        <v>30</v>
      </c>
      <c r="L187" s="2" t="s">
        <v>340</v>
      </c>
      <c r="M187" s="2" t="s">
        <v>47</v>
      </c>
      <c r="N187" s="2" t="s">
        <v>458</v>
      </c>
      <c r="O187" s="2" t="s">
        <v>147</v>
      </c>
      <c r="P187" s="2" t="s">
        <v>1937</v>
      </c>
      <c r="Q187" s="2" t="s">
        <v>426</v>
      </c>
      <c r="R187" s="2" t="s">
        <v>420</v>
      </c>
      <c r="S187" s="2" t="s">
        <v>34</v>
      </c>
      <c r="T187" s="124">
        <v>3.0000000000000001E-3</v>
      </c>
      <c r="U187" s="2" t="s">
        <v>1979</v>
      </c>
      <c r="V187" s="138">
        <v>6.2300000000000001E-2</v>
      </c>
      <c r="W187" s="140">
        <v>0.50275000000000003</v>
      </c>
      <c r="X187" s="3" t="s">
        <v>425</v>
      </c>
      <c r="Y187" s="3" t="s">
        <v>147</v>
      </c>
      <c r="Z187" s="124">
        <v>0</v>
      </c>
      <c r="AA187" s="134">
        <v>1</v>
      </c>
      <c r="AB187" s="151">
        <v>0</v>
      </c>
      <c r="AC187" s="124">
        <v>10.311999999999999</v>
      </c>
      <c r="AD187" s="124">
        <v>10.311999999999999</v>
      </c>
      <c r="AE187" s="2"/>
      <c r="AF187" s="2"/>
      <c r="AG187" s="2" t="s">
        <v>36</v>
      </c>
      <c r="AH187" s="140">
        <v>0</v>
      </c>
      <c r="AI187" s="140">
        <v>3.01939824708122E-3</v>
      </c>
      <c r="AJ187" s="140">
        <v>5.5522950339385402E-4</v>
      </c>
    </row>
    <row r="188" spans="1:36">
      <c r="A188" s="2">
        <v>382</v>
      </c>
      <c r="B188" s="2">
        <v>7635</v>
      </c>
      <c r="C188" s="2" t="s">
        <v>1975</v>
      </c>
      <c r="D188" s="2" t="s">
        <v>1976</v>
      </c>
      <c r="E188" s="3" t="s">
        <v>1325</v>
      </c>
      <c r="F188" s="2" t="s">
        <v>2129</v>
      </c>
      <c r="G188" s="2" t="s">
        <v>2130</v>
      </c>
      <c r="H188" s="2" t="s">
        <v>187</v>
      </c>
      <c r="I188" s="2" t="s">
        <v>768</v>
      </c>
      <c r="J188" s="2" t="s">
        <v>30</v>
      </c>
      <c r="K188" s="2" t="s">
        <v>30</v>
      </c>
      <c r="L188" s="2" t="s">
        <v>340</v>
      </c>
      <c r="M188" s="2" t="s">
        <v>47</v>
      </c>
      <c r="N188" s="2" t="s">
        <v>458</v>
      </c>
      <c r="O188" s="2" t="s">
        <v>147</v>
      </c>
      <c r="P188" s="2" t="s">
        <v>1937</v>
      </c>
      <c r="Q188" s="2" t="s">
        <v>426</v>
      </c>
      <c r="R188" s="2" t="s">
        <v>420</v>
      </c>
      <c r="S188" s="2" t="s">
        <v>34</v>
      </c>
      <c r="T188" s="124">
        <v>2.3490000000000002</v>
      </c>
      <c r="U188" s="2" t="s">
        <v>2131</v>
      </c>
      <c r="V188" s="138">
        <v>3.9E-2</v>
      </c>
      <c r="W188" s="140">
        <v>3.8390000000000001E-2</v>
      </c>
      <c r="X188" s="3" t="s">
        <v>425</v>
      </c>
      <c r="Y188" s="3" t="s">
        <v>147</v>
      </c>
      <c r="Z188" s="124">
        <v>51235.29</v>
      </c>
      <c r="AA188" s="134">
        <v>1</v>
      </c>
      <c r="AB188" s="151">
        <v>118.27</v>
      </c>
      <c r="AC188" s="2"/>
      <c r="AD188" s="124">
        <v>60.595999999999997</v>
      </c>
      <c r="AE188" s="2"/>
      <c r="AF188" s="2"/>
      <c r="AG188" s="2" t="s">
        <v>36</v>
      </c>
      <c r="AH188" s="140">
        <v>3.6000000000000001E-5</v>
      </c>
      <c r="AI188" s="140">
        <v>1.7743401207407899E-2</v>
      </c>
      <c r="AJ188" s="140">
        <v>3.2627891502654098E-3</v>
      </c>
    </row>
    <row r="189" spans="1:36">
      <c r="A189" s="2">
        <v>382</v>
      </c>
      <c r="B189" s="2">
        <v>7635</v>
      </c>
      <c r="C189" s="2" t="s">
        <v>1980</v>
      </c>
      <c r="D189" s="2" t="s">
        <v>1981</v>
      </c>
      <c r="E189" s="3" t="s">
        <v>1325</v>
      </c>
      <c r="F189" s="2" t="s">
        <v>1982</v>
      </c>
      <c r="G189" s="2" t="s">
        <v>1983</v>
      </c>
      <c r="H189" s="2" t="s">
        <v>187</v>
      </c>
      <c r="I189" s="2" t="s">
        <v>980</v>
      </c>
      <c r="J189" s="2" t="s">
        <v>30</v>
      </c>
      <c r="K189" s="2" t="s">
        <v>30</v>
      </c>
      <c r="L189" s="2" t="s">
        <v>340</v>
      </c>
      <c r="M189" s="2" t="s">
        <v>47</v>
      </c>
      <c r="N189" s="2" t="s">
        <v>451</v>
      </c>
      <c r="O189" s="2" t="s">
        <v>147</v>
      </c>
      <c r="P189" s="2" t="s">
        <v>1803</v>
      </c>
      <c r="Q189" s="2" t="s">
        <v>428</v>
      </c>
      <c r="R189" s="2" t="s">
        <v>420</v>
      </c>
      <c r="S189" s="2" t="s">
        <v>34</v>
      </c>
      <c r="T189" s="124">
        <v>3.9580000000000002</v>
      </c>
      <c r="U189" s="2" t="s">
        <v>1984</v>
      </c>
      <c r="V189" s="138">
        <v>6.7699999999999996E-2</v>
      </c>
      <c r="W189" s="140">
        <v>5.6840000000000002E-2</v>
      </c>
      <c r="X189" s="3" t="s">
        <v>425</v>
      </c>
      <c r="Y189" s="3" t="s">
        <v>147</v>
      </c>
      <c r="Z189" s="124">
        <v>25000</v>
      </c>
      <c r="AA189" s="134">
        <v>1</v>
      </c>
      <c r="AB189" s="151">
        <v>106.28</v>
      </c>
      <c r="AC189" s="2"/>
      <c r="AD189" s="124">
        <v>26.57</v>
      </c>
      <c r="AE189" s="2"/>
      <c r="AF189" s="2"/>
      <c r="AG189" s="2" t="s">
        <v>36</v>
      </c>
      <c r="AH189" s="140">
        <v>3.3000000000000003E-5</v>
      </c>
      <c r="AI189" s="140">
        <v>7.7800901918462801E-3</v>
      </c>
      <c r="AJ189" s="140">
        <v>1.4306610986987199E-3</v>
      </c>
    </row>
    <row r="190" spans="1:36">
      <c r="A190" s="2">
        <v>382</v>
      </c>
      <c r="B190" s="2">
        <v>7635</v>
      </c>
      <c r="C190" s="2" t="s">
        <v>2045</v>
      </c>
      <c r="D190" s="2" t="s">
        <v>2046</v>
      </c>
      <c r="E190" s="3" t="s">
        <v>1325</v>
      </c>
      <c r="F190" s="2" t="s">
        <v>2132</v>
      </c>
      <c r="G190" s="2" t="s">
        <v>2133</v>
      </c>
      <c r="H190" s="2" t="s">
        <v>187</v>
      </c>
      <c r="I190" s="2" t="s">
        <v>980</v>
      </c>
      <c r="J190" s="2" t="s">
        <v>30</v>
      </c>
      <c r="K190" s="2" t="s">
        <v>30</v>
      </c>
      <c r="L190" s="2" t="s">
        <v>340</v>
      </c>
      <c r="M190" s="2" t="s">
        <v>47</v>
      </c>
      <c r="N190" s="2" t="s">
        <v>489</v>
      </c>
      <c r="O190" s="2" t="s">
        <v>147</v>
      </c>
      <c r="P190" s="2" t="s">
        <v>1756</v>
      </c>
      <c r="Q190" s="2" t="s">
        <v>426</v>
      </c>
      <c r="R190" s="2" t="s">
        <v>420</v>
      </c>
      <c r="S190" s="2" t="s">
        <v>34</v>
      </c>
      <c r="T190" s="124">
        <v>0.71099999999999997</v>
      </c>
      <c r="U190" s="2" t="s">
        <v>2134</v>
      </c>
      <c r="V190" s="138">
        <v>2.7E-2</v>
      </c>
      <c r="W190" s="140">
        <v>5.194E-2</v>
      </c>
      <c r="X190" s="3" t="s">
        <v>425</v>
      </c>
      <c r="Y190" s="3" t="s">
        <v>147</v>
      </c>
      <c r="Z190" s="124">
        <v>19109.53</v>
      </c>
      <c r="AA190" s="134">
        <v>1</v>
      </c>
      <c r="AB190" s="151">
        <v>98.4</v>
      </c>
      <c r="AC190" s="2"/>
      <c r="AD190" s="124">
        <v>18.803999999999998</v>
      </c>
      <c r="AE190" s="2"/>
      <c r="AF190" s="2"/>
      <c r="AG190" s="2" t="s">
        <v>36</v>
      </c>
      <c r="AH190" s="140">
        <v>2.4399999999999999E-4</v>
      </c>
      <c r="AI190" s="140">
        <v>5.5060250302224898E-3</v>
      </c>
      <c r="AJ190" s="140">
        <v>1.0124890104045701E-3</v>
      </c>
    </row>
    <row r="191" spans="1:36">
      <c r="A191" s="2">
        <v>382</v>
      </c>
      <c r="B191" s="2">
        <v>7635</v>
      </c>
      <c r="C191" s="2" t="s">
        <v>2045</v>
      </c>
      <c r="D191" s="2" t="s">
        <v>2046</v>
      </c>
      <c r="E191" s="3" t="s">
        <v>1325</v>
      </c>
      <c r="F191" s="2" t="s">
        <v>2135</v>
      </c>
      <c r="G191" s="2" t="s">
        <v>2136</v>
      </c>
      <c r="H191" s="2" t="s">
        <v>187</v>
      </c>
      <c r="I191" s="2" t="s">
        <v>768</v>
      </c>
      <c r="J191" s="2" t="s">
        <v>30</v>
      </c>
      <c r="K191" s="2" t="s">
        <v>30</v>
      </c>
      <c r="L191" s="2" t="s">
        <v>340</v>
      </c>
      <c r="M191" s="2" t="s">
        <v>47</v>
      </c>
      <c r="N191" s="2" t="s">
        <v>489</v>
      </c>
      <c r="O191" s="2" t="s">
        <v>147</v>
      </c>
      <c r="P191" s="2" t="s">
        <v>1756</v>
      </c>
      <c r="Q191" s="2" t="s">
        <v>426</v>
      </c>
      <c r="R191" s="2" t="s">
        <v>420</v>
      </c>
      <c r="S191" s="2" t="s">
        <v>34</v>
      </c>
      <c r="T191" s="124">
        <v>0.71599999999999997</v>
      </c>
      <c r="U191" s="2" t="s">
        <v>2134</v>
      </c>
      <c r="V191" s="138">
        <v>1.7999999999999999E-2</v>
      </c>
      <c r="W191" s="140">
        <v>2.5190000000000001E-2</v>
      </c>
      <c r="X191" s="3" t="s">
        <v>425</v>
      </c>
      <c r="Y191" s="3" t="s">
        <v>147</v>
      </c>
      <c r="Z191" s="124">
        <v>4825.29</v>
      </c>
      <c r="AA191" s="134">
        <v>1</v>
      </c>
      <c r="AB191" s="151">
        <v>115.62</v>
      </c>
      <c r="AC191" s="2"/>
      <c r="AD191" s="124">
        <v>5.5789999999999997</v>
      </c>
      <c r="AE191" s="2"/>
      <c r="AF191" s="2"/>
      <c r="AG191" s="2" t="s">
        <v>36</v>
      </c>
      <c r="AH191" s="140">
        <v>1.2E-5</v>
      </c>
      <c r="AI191" s="140">
        <v>1.6336140571613601E-3</v>
      </c>
      <c r="AJ191" s="140">
        <v>3.0040115528706001E-4</v>
      </c>
    </row>
    <row r="192" spans="1:36">
      <c r="A192" s="2">
        <v>382</v>
      </c>
      <c r="B192" s="2">
        <v>7635</v>
      </c>
      <c r="C192" s="2" t="s">
        <v>1991</v>
      </c>
      <c r="D192" s="2" t="s">
        <v>1992</v>
      </c>
      <c r="E192" s="3" t="s">
        <v>1325</v>
      </c>
      <c r="F192" s="2" t="s">
        <v>1993</v>
      </c>
      <c r="G192" s="2" t="s">
        <v>1994</v>
      </c>
      <c r="H192" s="2" t="s">
        <v>187</v>
      </c>
      <c r="I192" s="2" t="s">
        <v>769</v>
      </c>
      <c r="J192" s="2" t="s">
        <v>30</v>
      </c>
      <c r="K192" s="2" t="s">
        <v>30</v>
      </c>
      <c r="L192" s="2" t="s">
        <v>340</v>
      </c>
      <c r="M192" s="2" t="s">
        <v>47</v>
      </c>
      <c r="N192" s="2" t="s">
        <v>465</v>
      </c>
      <c r="O192" s="2" t="s">
        <v>147</v>
      </c>
      <c r="P192" s="2" t="s">
        <v>1887</v>
      </c>
      <c r="Q192" s="2" t="s">
        <v>428</v>
      </c>
      <c r="R192" s="2" t="s">
        <v>420</v>
      </c>
      <c r="S192" s="2" t="s">
        <v>34</v>
      </c>
      <c r="T192" s="124">
        <v>2.6720000000000002</v>
      </c>
      <c r="U192" s="2" t="s">
        <v>1990</v>
      </c>
      <c r="V192" s="138">
        <v>4.6899999999999997E-2</v>
      </c>
      <c r="W192" s="140">
        <v>6.7659999999999998E-2</v>
      </c>
      <c r="X192" s="3" t="s">
        <v>425</v>
      </c>
      <c r="Y192" s="3" t="s">
        <v>147</v>
      </c>
      <c r="Z192" s="124">
        <v>56434.95</v>
      </c>
      <c r="AA192" s="134">
        <v>1</v>
      </c>
      <c r="AB192" s="151">
        <v>101</v>
      </c>
      <c r="AC192" s="2"/>
      <c r="AD192" s="124">
        <v>56.999000000000002</v>
      </c>
      <c r="AE192" s="2"/>
      <c r="AF192" s="2"/>
      <c r="AG192" s="2" t="s">
        <v>36</v>
      </c>
      <c r="AH192" s="140">
        <v>4.1999999999999998E-5</v>
      </c>
      <c r="AI192" s="140">
        <v>1.6690240533762099E-2</v>
      </c>
      <c r="AJ192" s="140">
        <v>3.0691260988982899E-3</v>
      </c>
    </row>
    <row r="193" spans="1:36">
      <c r="A193" s="2">
        <v>382</v>
      </c>
      <c r="B193" s="2">
        <v>11414</v>
      </c>
      <c r="C193" s="2" t="s">
        <v>1765</v>
      </c>
      <c r="D193" s="2" t="s">
        <v>1766</v>
      </c>
      <c r="E193" s="3" t="s">
        <v>1325</v>
      </c>
      <c r="F193" s="2" t="s">
        <v>1771</v>
      </c>
      <c r="G193" s="2" t="s">
        <v>1772</v>
      </c>
      <c r="H193" s="2" t="s">
        <v>187</v>
      </c>
      <c r="I193" s="2" t="s">
        <v>980</v>
      </c>
      <c r="J193" s="2" t="s">
        <v>30</v>
      </c>
      <c r="K193" s="2" t="s">
        <v>30</v>
      </c>
      <c r="L193" s="2" t="s">
        <v>340</v>
      </c>
      <c r="M193" s="2" t="s">
        <v>47</v>
      </c>
      <c r="N193" s="2" t="s">
        <v>462</v>
      </c>
      <c r="O193" s="2" t="s">
        <v>147</v>
      </c>
      <c r="P193" s="2" t="s">
        <v>1769</v>
      </c>
      <c r="Q193" s="2" t="s">
        <v>426</v>
      </c>
      <c r="R193" s="2" t="s">
        <v>420</v>
      </c>
      <c r="S193" s="2" t="s">
        <v>34</v>
      </c>
      <c r="T193" s="124">
        <v>2.996</v>
      </c>
      <c r="U193" s="2" t="s">
        <v>1773</v>
      </c>
      <c r="V193" s="138">
        <v>0.04</v>
      </c>
      <c r="W193" s="140">
        <v>5.2400000000000002E-2</v>
      </c>
      <c r="X193" s="3" t="s">
        <v>425</v>
      </c>
      <c r="Y193" s="3" t="s">
        <v>147</v>
      </c>
      <c r="Z193" s="124">
        <v>117500.01</v>
      </c>
      <c r="AA193" s="134">
        <v>1</v>
      </c>
      <c r="AB193" s="151">
        <v>97.45</v>
      </c>
      <c r="AC193" s="2"/>
      <c r="AD193" s="124">
        <v>114.504</v>
      </c>
      <c r="AE193" s="2"/>
      <c r="AF193" s="2"/>
      <c r="AG193" s="2" t="s">
        <v>36</v>
      </c>
      <c r="AH193" s="140">
        <v>2.02E-4</v>
      </c>
      <c r="AI193" s="140">
        <v>7.6838845835431199E-2</v>
      </c>
      <c r="AJ193" s="140">
        <v>7.4307760149526199E-3</v>
      </c>
    </row>
    <row r="194" spans="1:36">
      <c r="A194" s="2">
        <v>382</v>
      </c>
      <c r="B194" s="2">
        <v>11414</v>
      </c>
      <c r="C194" s="2" t="s">
        <v>1550</v>
      </c>
      <c r="D194" s="2" t="s">
        <v>1551</v>
      </c>
      <c r="E194" s="3" t="s">
        <v>1325</v>
      </c>
      <c r="F194" s="2" t="s">
        <v>1774</v>
      </c>
      <c r="G194" s="2" t="s">
        <v>1775</v>
      </c>
      <c r="H194" s="2" t="s">
        <v>187</v>
      </c>
      <c r="I194" s="2" t="s">
        <v>768</v>
      </c>
      <c r="J194" s="2" t="s">
        <v>30</v>
      </c>
      <c r="K194" s="2" t="s">
        <v>30</v>
      </c>
      <c r="L194" s="2" t="s">
        <v>340</v>
      </c>
      <c r="M194" s="2" t="s">
        <v>47</v>
      </c>
      <c r="N194" s="2" t="s">
        <v>475</v>
      </c>
      <c r="O194" s="2" t="s">
        <v>147</v>
      </c>
      <c r="P194" s="2" t="s">
        <v>1756</v>
      </c>
      <c r="Q194" s="2" t="s">
        <v>426</v>
      </c>
      <c r="R194" s="2" t="s">
        <v>420</v>
      </c>
      <c r="S194" s="2" t="s">
        <v>34</v>
      </c>
      <c r="T194" s="124">
        <v>1.6819999999999999</v>
      </c>
      <c r="U194" s="2" t="s">
        <v>1776</v>
      </c>
      <c r="V194" s="138">
        <v>3.2000000000000001E-2</v>
      </c>
      <c r="W194" s="140">
        <v>2.7539999999999999E-2</v>
      </c>
      <c r="X194" s="3" t="s">
        <v>425</v>
      </c>
      <c r="Y194" s="3" t="s">
        <v>147</v>
      </c>
      <c r="Z194" s="124">
        <v>121250</v>
      </c>
      <c r="AA194" s="134">
        <v>1</v>
      </c>
      <c r="AB194" s="151">
        <v>118.93</v>
      </c>
      <c r="AC194" s="2"/>
      <c r="AD194" s="124">
        <v>144.203</v>
      </c>
      <c r="AE194" s="2"/>
      <c r="AF194" s="2"/>
      <c r="AG194" s="2" t="s">
        <v>36</v>
      </c>
      <c r="AH194" s="140">
        <v>2.2000000000000001E-4</v>
      </c>
      <c r="AI194" s="140">
        <v>9.6768554116611394E-2</v>
      </c>
      <c r="AJ194" s="140">
        <v>9.3580980181744502E-3</v>
      </c>
    </row>
    <row r="195" spans="1:36">
      <c r="A195" s="2">
        <v>382</v>
      </c>
      <c r="B195" s="2">
        <v>11414</v>
      </c>
      <c r="C195" s="2" t="s">
        <v>1554</v>
      </c>
      <c r="D195" s="2" t="s">
        <v>1555</v>
      </c>
      <c r="E195" s="3" t="s">
        <v>1325</v>
      </c>
      <c r="F195" s="2" t="s">
        <v>1777</v>
      </c>
      <c r="G195" s="2" t="s">
        <v>1778</v>
      </c>
      <c r="H195" s="2" t="s">
        <v>187</v>
      </c>
      <c r="I195" s="2" t="s">
        <v>980</v>
      </c>
      <c r="J195" s="2" t="s">
        <v>30</v>
      </c>
      <c r="K195" s="2" t="s">
        <v>103</v>
      </c>
      <c r="L195" s="2" t="s">
        <v>340</v>
      </c>
      <c r="M195" s="2" t="s">
        <v>47</v>
      </c>
      <c r="N195" s="2" t="s">
        <v>452</v>
      </c>
      <c r="O195" s="2" t="s">
        <v>147</v>
      </c>
      <c r="P195" s="2" t="s">
        <v>1779</v>
      </c>
      <c r="Q195" s="2" t="s">
        <v>428</v>
      </c>
      <c r="R195" s="2" t="s">
        <v>420</v>
      </c>
      <c r="S195" s="2" t="s">
        <v>34</v>
      </c>
      <c r="T195" s="124">
        <v>1.2609999999999999</v>
      </c>
      <c r="U195" s="2" t="s">
        <v>1780</v>
      </c>
      <c r="V195" s="138">
        <v>3.4500000000000003E-2</v>
      </c>
      <c r="W195" s="140">
        <v>5.4989999999999997E-2</v>
      </c>
      <c r="X195" s="3" t="s">
        <v>425</v>
      </c>
      <c r="Y195" s="3" t="s">
        <v>147</v>
      </c>
      <c r="Z195" s="124">
        <v>117857.14</v>
      </c>
      <c r="AA195" s="134">
        <v>1</v>
      </c>
      <c r="AB195" s="151">
        <v>97.86</v>
      </c>
      <c r="AC195" s="2"/>
      <c r="AD195" s="124">
        <v>115.33499999999999</v>
      </c>
      <c r="AE195" s="2"/>
      <c r="AF195" s="2"/>
      <c r="AG195" s="2" t="s">
        <v>36</v>
      </c>
      <c r="AH195" s="140">
        <v>1.83E-4</v>
      </c>
      <c r="AI195" s="140">
        <v>7.7396655702172495E-2</v>
      </c>
      <c r="AJ195" s="140">
        <v>7.4847195656868801E-3</v>
      </c>
    </row>
    <row r="196" spans="1:36">
      <c r="A196" s="2">
        <v>382</v>
      </c>
      <c r="B196" s="2">
        <v>11414</v>
      </c>
      <c r="C196" s="2" t="s">
        <v>1558</v>
      </c>
      <c r="D196" s="2" t="s">
        <v>1559</v>
      </c>
      <c r="E196" s="3" t="s">
        <v>1325</v>
      </c>
      <c r="F196" s="2" t="s">
        <v>2137</v>
      </c>
      <c r="G196" s="2" t="s">
        <v>2138</v>
      </c>
      <c r="H196" s="2" t="s">
        <v>187</v>
      </c>
      <c r="I196" s="2" t="s">
        <v>980</v>
      </c>
      <c r="J196" s="2" t="s">
        <v>30</v>
      </c>
      <c r="K196" s="2" t="s">
        <v>30</v>
      </c>
      <c r="L196" s="2" t="s">
        <v>340</v>
      </c>
      <c r="M196" s="2" t="s">
        <v>47</v>
      </c>
      <c r="N196" s="2" t="s">
        <v>452</v>
      </c>
      <c r="O196" s="2" t="s">
        <v>147</v>
      </c>
      <c r="P196" s="2" t="s">
        <v>1937</v>
      </c>
      <c r="Q196" s="2" t="s">
        <v>426</v>
      </c>
      <c r="R196" s="2" t="s">
        <v>420</v>
      </c>
      <c r="S196" s="2" t="s">
        <v>34</v>
      </c>
      <c r="T196" s="124">
        <v>2.6560000000000001</v>
      </c>
      <c r="U196" s="2" t="s">
        <v>2139</v>
      </c>
      <c r="V196" s="138">
        <v>2.0500000000000001E-2</v>
      </c>
      <c r="W196" s="140">
        <v>5.4919999999999997E-2</v>
      </c>
      <c r="X196" s="3" t="s">
        <v>425</v>
      </c>
      <c r="Y196" s="3" t="s">
        <v>147</v>
      </c>
      <c r="Z196" s="124">
        <v>50000</v>
      </c>
      <c r="AA196" s="134">
        <v>1</v>
      </c>
      <c r="AB196" s="151">
        <v>91.77</v>
      </c>
      <c r="AC196" s="2"/>
      <c r="AD196" s="124">
        <v>45.884999999999998</v>
      </c>
      <c r="AE196" s="2"/>
      <c r="AF196" s="2"/>
      <c r="AG196" s="2" t="s">
        <v>36</v>
      </c>
      <c r="AH196" s="140">
        <v>5.1999999999999997E-5</v>
      </c>
      <c r="AI196" s="140">
        <v>3.07915691939777E-2</v>
      </c>
      <c r="AJ196" s="140">
        <v>2.9777289252808999E-3</v>
      </c>
    </row>
    <row r="197" spans="1:36">
      <c r="A197" s="2">
        <v>382</v>
      </c>
      <c r="B197" s="2">
        <v>11414</v>
      </c>
      <c r="C197" s="2" t="s">
        <v>2140</v>
      </c>
      <c r="D197" s="2" t="s">
        <v>2141</v>
      </c>
      <c r="E197" s="3" t="s">
        <v>1325</v>
      </c>
      <c r="F197" s="2" t="s">
        <v>2142</v>
      </c>
      <c r="G197" s="2" t="s">
        <v>2143</v>
      </c>
      <c r="H197" s="2" t="s">
        <v>187</v>
      </c>
      <c r="I197" s="2" t="s">
        <v>980</v>
      </c>
      <c r="J197" s="2" t="s">
        <v>30</v>
      </c>
      <c r="K197" s="2" t="s">
        <v>30</v>
      </c>
      <c r="L197" s="2" t="s">
        <v>340</v>
      </c>
      <c r="M197" s="2" t="s">
        <v>47</v>
      </c>
      <c r="N197" s="2" t="s">
        <v>458</v>
      </c>
      <c r="O197" s="2" t="s">
        <v>147</v>
      </c>
      <c r="P197" s="2" t="s">
        <v>1937</v>
      </c>
      <c r="Q197" s="2" t="s">
        <v>426</v>
      </c>
      <c r="R197" s="2" t="s">
        <v>420</v>
      </c>
      <c r="S197" s="2" t="s">
        <v>34</v>
      </c>
      <c r="T197" s="124">
        <v>0.11</v>
      </c>
      <c r="U197" s="2" t="s">
        <v>1790</v>
      </c>
      <c r="V197" s="138">
        <v>4.2000000000000003E-2</v>
      </c>
      <c r="W197" s="140">
        <v>5.7149999999999999E-2</v>
      </c>
      <c r="X197" s="3" t="s">
        <v>425</v>
      </c>
      <c r="Y197" s="3" t="s">
        <v>147</v>
      </c>
      <c r="Z197" s="124">
        <v>110560</v>
      </c>
      <c r="AA197" s="134">
        <v>1</v>
      </c>
      <c r="AB197" s="151">
        <v>101.48</v>
      </c>
      <c r="AC197" s="2"/>
      <c r="AD197" s="124">
        <v>112.196</v>
      </c>
      <c r="AE197" s="2"/>
      <c r="AF197" s="2"/>
      <c r="AG197" s="2" t="s">
        <v>36</v>
      </c>
      <c r="AH197" s="140">
        <v>9.1600000000000004E-4</v>
      </c>
      <c r="AI197" s="140">
        <v>7.5290394796980395E-2</v>
      </c>
      <c r="AJ197" s="140">
        <v>7.2810315372506601E-3</v>
      </c>
    </row>
    <row r="198" spans="1:36">
      <c r="A198" s="2">
        <v>382</v>
      </c>
      <c r="B198" s="2">
        <v>11414</v>
      </c>
      <c r="C198" s="2" t="s">
        <v>1805</v>
      </c>
      <c r="D198" s="2" t="s">
        <v>1806</v>
      </c>
      <c r="E198" s="3" t="s">
        <v>1325</v>
      </c>
      <c r="F198" s="2" t="s">
        <v>1807</v>
      </c>
      <c r="G198" s="2" t="s">
        <v>1808</v>
      </c>
      <c r="H198" s="2" t="s">
        <v>187</v>
      </c>
      <c r="I198" s="2" t="s">
        <v>768</v>
      </c>
      <c r="J198" s="2" t="s">
        <v>30</v>
      </c>
      <c r="K198" s="2" t="s">
        <v>30</v>
      </c>
      <c r="L198" s="2" t="s">
        <v>340</v>
      </c>
      <c r="M198" s="2" t="s">
        <v>47</v>
      </c>
      <c r="N198" s="2" t="s">
        <v>475</v>
      </c>
      <c r="O198" s="2" t="s">
        <v>147</v>
      </c>
      <c r="P198" s="2" t="s">
        <v>1756</v>
      </c>
      <c r="Q198" s="2" t="s">
        <v>426</v>
      </c>
      <c r="R198" s="2" t="s">
        <v>420</v>
      </c>
      <c r="S198" s="2" t="s">
        <v>34</v>
      </c>
      <c r="T198" s="124">
        <v>4.673</v>
      </c>
      <c r="U198" s="2" t="s">
        <v>1809</v>
      </c>
      <c r="V198" s="138">
        <v>5.8999999999999999E-3</v>
      </c>
      <c r="W198" s="140">
        <v>3.0779999999999998E-2</v>
      </c>
      <c r="X198" s="3" t="s">
        <v>425</v>
      </c>
      <c r="Y198" s="3" t="s">
        <v>147</v>
      </c>
      <c r="Z198" s="124">
        <v>110000</v>
      </c>
      <c r="AA198" s="134">
        <v>1</v>
      </c>
      <c r="AB198" s="151">
        <v>100.11</v>
      </c>
      <c r="AC198" s="2"/>
      <c r="AD198" s="124">
        <v>110.121</v>
      </c>
      <c r="AE198" s="2"/>
      <c r="AF198" s="2"/>
      <c r="AG198" s="2" t="s">
        <v>36</v>
      </c>
      <c r="AH198" s="140">
        <v>7.8999999999999996E-5</v>
      </c>
      <c r="AI198" s="140">
        <v>7.3897752886782506E-2</v>
      </c>
      <c r="AJ198" s="140">
        <v>7.1463547342455703E-3</v>
      </c>
    </row>
    <row r="199" spans="1:36">
      <c r="A199" s="2">
        <v>382</v>
      </c>
      <c r="B199" s="2">
        <v>11414</v>
      </c>
      <c r="C199" s="2" t="s">
        <v>2144</v>
      </c>
      <c r="D199" s="2" t="s">
        <v>2145</v>
      </c>
      <c r="E199" s="3" t="s">
        <v>1325</v>
      </c>
      <c r="F199" s="2" t="s">
        <v>2146</v>
      </c>
      <c r="G199" s="2" t="s">
        <v>2147</v>
      </c>
      <c r="H199" s="2" t="s">
        <v>187</v>
      </c>
      <c r="I199" s="2" t="s">
        <v>980</v>
      </c>
      <c r="J199" s="2" t="s">
        <v>30</v>
      </c>
      <c r="K199" s="2" t="s">
        <v>30</v>
      </c>
      <c r="L199" s="2" t="s">
        <v>340</v>
      </c>
      <c r="M199" s="2" t="s">
        <v>47</v>
      </c>
      <c r="N199" s="2" t="s">
        <v>451</v>
      </c>
      <c r="O199" s="2" t="s">
        <v>147</v>
      </c>
      <c r="P199" s="2" t="s">
        <v>1779</v>
      </c>
      <c r="Q199" s="2" t="s">
        <v>428</v>
      </c>
      <c r="R199" s="2" t="s">
        <v>420</v>
      </c>
      <c r="S199" s="2" t="s">
        <v>34</v>
      </c>
      <c r="T199" s="124">
        <v>0.16700000000000001</v>
      </c>
      <c r="U199" s="2" t="s">
        <v>2148</v>
      </c>
      <c r="V199" s="138">
        <v>2.9499999999999998E-2</v>
      </c>
      <c r="W199" s="140">
        <v>6.3899999999999998E-2</v>
      </c>
      <c r="X199" s="3" t="s">
        <v>425</v>
      </c>
      <c r="Y199" s="3" t="s">
        <v>147</v>
      </c>
      <c r="Z199" s="124">
        <v>7300.01</v>
      </c>
      <c r="AA199" s="134">
        <v>1</v>
      </c>
      <c r="AB199" s="151">
        <v>100.43</v>
      </c>
      <c r="AC199" s="2"/>
      <c r="AD199" s="124">
        <v>7.3310000000000004</v>
      </c>
      <c r="AE199" s="2"/>
      <c r="AF199" s="2"/>
      <c r="AG199" s="2" t="s">
        <v>36</v>
      </c>
      <c r="AH199" s="140">
        <v>1.22E-4</v>
      </c>
      <c r="AI199" s="140">
        <v>4.9198062920946996E-3</v>
      </c>
      <c r="AJ199" s="140">
        <v>4.7577469697824399E-4</v>
      </c>
    </row>
    <row r="200" spans="1:36">
      <c r="A200" s="2">
        <v>382</v>
      </c>
      <c r="B200" s="2">
        <v>11414</v>
      </c>
      <c r="C200" s="2" t="s">
        <v>1830</v>
      </c>
      <c r="D200" s="2" t="s">
        <v>1831</v>
      </c>
      <c r="E200" s="3" t="s">
        <v>1325</v>
      </c>
      <c r="F200" s="2" t="s">
        <v>2149</v>
      </c>
      <c r="G200" s="2" t="s">
        <v>2150</v>
      </c>
      <c r="H200" s="2" t="s">
        <v>187</v>
      </c>
      <c r="I200" s="2" t="s">
        <v>768</v>
      </c>
      <c r="J200" s="2" t="s">
        <v>30</v>
      </c>
      <c r="K200" s="2" t="s">
        <v>30</v>
      </c>
      <c r="L200" s="2" t="s">
        <v>340</v>
      </c>
      <c r="M200" s="2" t="s">
        <v>47</v>
      </c>
      <c r="N200" s="2" t="s">
        <v>456</v>
      </c>
      <c r="O200" s="2" t="s">
        <v>147</v>
      </c>
      <c r="P200" s="2" t="s">
        <v>1760</v>
      </c>
      <c r="Q200" s="2" t="s">
        <v>426</v>
      </c>
      <c r="R200" s="2" t="s">
        <v>420</v>
      </c>
      <c r="S200" s="2" t="s">
        <v>34</v>
      </c>
      <c r="T200" s="124">
        <v>0.745</v>
      </c>
      <c r="U200" s="2" t="s">
        <v>1938</v>
      </c>
      <c r="V200" s="138">
        <v>2.4E-2</v>
      </c>
      <c r="W200" s="140">
        <v>2.8850000000000001E-2</v>
      </c>
      <c r="X200" s="3" t="s">
        <v>425</v>
      </c>
      <c r="Y200" s="3" t="s">
        <v>147</v>
      </c>
      <c r="Z200" s="124">
        <v>75000</v>
      </c>
      <c r="AA200" s="134">
        <v>1</v>
      </c>
      <c r="AB200" s="151">
        <v>115.84</v>
      </c>
      <c r="AC200" s="2"/>
      <c r="AD200" s="124">
        <v>86.88</v>
      </c>
      <c r="AE200" s="2"/>
      <c r="AF200" s="2"/>
      <c r="AG200" s="2" t="s">
        <v>36</v>
      </c>
      <c r="AH200" s="140">
        <v>2.5399999999999999E-4</v>
      </c>
      <c r="AI200" s="140">
        <v>5.83016570027848E-2</v>
      </c>
      <c r="AJ200" s="140">
        <v>5.6381189719604402E-3</v>
      </c>
    </row>
    <row r="201" spans="1:36">
      <c r="A201" s="2">
        <v>382</v>
      </c>
      <c r="B201" s="2">
        <v>11414</v>
      </c>
      <c r="C201" s="2" t="s">
        <v>1830</v>
      </c>
      <c r="D201" s="2" t="s">
        <v>1831</v>
      </c>
      <c r="E201" s="3" t="s">
        <v>1325</v>
      </c>
      <c r="F201" s="2" t="s">
        <v>2151</v>
      </c>
      <c r="G201" s="2" t="s">
        <v>2152</v>
      </c>
      <c r="H201" s="2" t="s">
        <v>187</v>
      </c>
      <c r="I201" s="2" t="s">
        <v>768</v>
      </c>
      <c r="J201" s="2" t="s">
        <v>30</v>
      </c>
      <c r="K201" s="2" t="s">
        <v>30</v>
      </c>
      <c r="L201" s="2" t="s">
        <v>340</v>
      </c>
      <c r="M201" s="2" t="s">
        <v>47</v>
      </c>
      <c r="N201" s="2" t="s">
        <v>456</v>
      </c>
      <c r="O201" s="2" t="s">
        <v>147</v>
      </c>
      <c r="P201" s="2" t="s">
        <v>1760</v>
      </c>
      <c r="Q201" s="2" t="s">
        <v>426</v>
      </c>
      <c r="R201" s="2" t="s">
        <v>420</v>
      </c>
      <c r="S201" s="2" t="s">
        <v>34</v>
      </c>
      <c r="T201" s="124">
        <v>1.7150000000000001</v>
      </c>
      <c r="U201" s="2" t="s">
        <v>2153</v>
      </c>
      <c r="V201" s="138">
        <v>2.4E-2</v>
      </c>
      <c r="W201" s="140">
        <v>2.5260000000000001E-2</v>
      </c>
      <c r="X201" s="3" t="s">
        <v>425</v>
      </c>
      <c r="Y201" s="3" t="s">
        <v>147</v>
      </c>
      <c r="Z201" s="124">
        <v>80000</v>
      </c>
      <c r="AA201" s="134">
        <v>1</v>
      </c>
      <c r="AB201" s="151">
        <v>116.02</v>
      </c>
      <c r="AC201" s="2"/>
      <c r="AD201" s="124">
        <v>92.816000000000003</v>
      </c>
      <c r="AE201" s="2"/>
      <c r="AF201" s="2"/>
      <c r="AG201" s="2" t="s">
        <v>36</v>
      </c>
      <c r="AH201" s="140">
        <v>2.7099999999999997E-4</v>
      </c>
      <c r="AI201" s="140">
        <v>6.2285066716971399E-2</v>
      </c>
      <c r="AJ201" s="140">
        <v>6.0233385186634399E-3</v>
      </c>
    </row>
    <row r="202" spans="1:36">
      <c r="A202" s="2">
        <v>382</v>
      </c>
      <c r="B202" s="2">
        <v>11414</v>
      </c>
      <c r="C202" s="2" t="s">
        <v>1834</v>
      </c>
      <c r="D202" s="2" t="s">
        <v>1835</v>
      </c>
      <c r="E202" s="3" t="s">
        <v>1325</v>
      </c>
      <c r="F202" s="2" t="s">
        <v>1836</v>
      </c>
      <c r="G202" s="2" t="s">
        <v>1837</v>
      </c>
      <c r="H202" s="2" t="s">
        <v>187</v>
      </c>
      <c r="I202" s="2" t="s">
        <v>980</v>
      </c>
      <c r="J202" s="2" t="s">
        <v>30</v>
      </c>
      <c r="K202" s="2" t="s">
        <v>30</v>
      </c>
      <c r="L202" s="2" t="s">
        <v>340</v>
      </c>
      <c r="M202" s="2" t="s">
        <v>47</v>
      </c>
      <c r="N202" s="2" t="s">
        <v>456</v>
      </c>
      <c r="O202" s="2" t="s">
        <v>147</v>
      </c>
      <c r="P202" s="2" t="s">
        <v>1838</v>
      </c>
      <c r="Q202" s="2" t="s">
        <v>428</v>
      </c>
      <c r="R202" s="2" t="s">
        <v>420</v>
      </c>
      <c r="S202" s="2" t="s">
        <v>34</v>
      </c>
      <c r="T202" s="124">
        <v>4.8419999999999996</v>
      </c>
      <c r="U202" s="2" t="s">
        <v>1839</v>
      </c>
      <c r="V202" s="138">
        <v>1.95E-2</v>
      </c>
      <c r="W202" s="140">
        <v>5.0009999999999999E-2</v>
      </c>
      <c r="X202" s="3" t="s">
        <v>425</v>
      </c>
      <c r="Y202" s="3" t="s">
        <v>147</v>
      </c>
      <c r="Z202" s="124">
        <v>175606.45</v>
      </c>
      <c r="AA202" s="134">
        <v>1</v>
      </c>
      <c r="AB202" s="151">
        <v>86.78</v>
      </c>
      <c r="AC202" s="2"/>
      <c r="AD202" s="124">
        <v>152.39099999999999</v>
      </c>
      <c r="AE202" s="2"/>
      <c r="AF202" s="2"/>
      <c r="AG202" s="2" t="s">
        <v>36</v>
      </c>
      <c r="AH202" s="140">
        <v>1.75E-4</v>
      </c>
      <c r="AI202" s="140">
        <v>0.10226362776178501</v>
      </c>
      <c r="AJ202" s="140">
        <v>9.8895045092402701E-3</v>
      </c>
    </row>
    <row r="203" spans="1:36">
      <c r="A203" s="2">
        <v>382</v>
      </c>
      <c r="B203" s="2">
        <v>11414</v>
      </c>
      <c r="C203" s="2" t="s">
        <v>1845</v>
      </c>
      <c r="D203" s="2" t="s">
        <v>1846</v>
      </c>
      <c r="E203" s="3" t="s">
        <v>1325</v>
      </c>
      <c r="F203" s="2" t="s">
        <v>2015</v>
      </c>
      <c r="G203" s="2" t="s">
        <v>2016</v>
      </c>
      <c r="H203" s="2" t="s">
        <v>187</v>
      </c>
      <c r="I203" s="2" t="s">
        <v>768</v>
      </c>
      <c r="J203" s="2" t="s">
        <v>30</v>
      </c>
      <c r="K203" s="2" t="s">
        <v>30</v>
      </c>
      <c r="L203" s="2" t="s">
        <v>340</v>
      </c>
      <c r="M203" s="2" t="s">
        <v>47</v>
      </c>
      <c r="N203" s="2" t="s">
        <v>451</v>
      </c>
      <c r="O203" s="2" t="s">
        <v>147</v>
      </c>
      <c r="P203" s="2" t="s">
        <v>1182</v>
      </c>
      <c r="Q203" s="2" t="s">
        <v>426</v>
      </c>
      <c r="R203" s="2" t="s">
        <v>420</v>
      </c>
      <c r="S203" s="2" t="s">
        <v>34</v>
      </c>
      <c r="T203" s="124">
        <v>0.90400000000000003</v>
      </c>
      <c r="U203" s="2" t="s">
        <v>2017</v>
      </c>
      <c r="V203" s="138">
        <v>4.4999999999999998E-2</v>
      </c>
      <c r="W203" s="140">
        <v>2.3970000000000002E-2</v>
      </c>
      <c r="X203" s="3" t="s">
        <v>425</v>
      </c>
      <c r="Y203" s="3" t="s">
        <v>147</v>
      </c>
      <c r="Z203" s="124">
        <v>77000</v>
      </c>
      <c r="AA203" s="134">
        <v>1</v>
      </c>
      <c r="AB203" s="151">
        <v>119.86</v>
      </c>
      <c r="AC203" s="2"/>
      <c r="AD203" s="124">
        <v>92.292000000000002</v>
      </c>
      <c r="AE203" s="2"/>
      <c r="AF203" s="2"/>
      <c r="AG203" s="2" t="s">
        <v>36</v>
      </c>
      <c r="AH203" s="140">
        <v>5.1999999999999997E-5</v>
      </c>
      <c r="AI203" s="140">
        <v>6.1933565704792998E-2</v>
      </c>
      <c r="AJ203" s="140">
        <v>5.9893462682316604E-3</v>
      </c>
    </row>
    <row r="204" spans="1:36">
      <c r="A204" s="2">
        <v>382</v>
      </c>
      <c r="B204" s="2">
        <v>11414</v>
      </c>
      <c r="C204" s="2" t="s">
        <v>1845</v>
      </c>
      <c r="D204" s="2" t="s">
        <v>1846</v>
      </c>
      <c r="E204" s="3" t="s">
        <v>1325</v>
      </c>
      <c r="F204" s="2" t="s">
        <v>1847</v>
      </c>
      <c r="G204" s="2" t="s">
        <v>1848</v>
      </c>
      <c r="H204" s="2" t="s">
        <v>187</v>
      </c>
      <c r="I204" s="2" t="s">
        <v>768</v>
      </c>
      <c r="J204" s="2" t="s">
        <v>30</v>
      </c>
      <c r="K204" s="2" t="s">
        <v>30</v>
      </c>
      <c r="L204" s="2" t="s">
        <v>340</v>
      </c>
      <c r="M204" s="2" t="s">
        <v>47</v>
      </c>
      <c r="N204" s="2" t="s">
        <v>451</v>
      </c>
      <c r="O204" s="2" t="s">
        <v>147</v>
      </c>
      <c r="P204" s="2" t="s">
        <v>1182</v>
      </c>
      <c r="Q204" s="2" t="s">
        <v>426</v>
      </c>
      <c r="R204" s="2" t="s">
        <v>420</v>
      </c>
      <c r="S204" s="2" t="s">
        <v>34</v>
      </c>
      <c r="T204" s="124">
        <v>3.0219999999999998</v>
      </c>
      <c r="U204" s="2" t="s">
        <v>1849</v>
      </c>
      <c r="V204" s="138">
        <v>3.85E-2</v>
      </c>
      <c r="W204" s="140">
        <v>2.5659999999999999E-2</v>
      </c>
      <c r="X204" s="3" t="s">
        <v>425</v>
      </c>
      <c r="Y204" s="3" t="s">
        <v>147</v>
      </c>
      <c r="Z204" s="124">
        <v>81468.460000000006</v>
      </c>
      <c r="AA204" s="134">
        <v>1</v>
      </c>
      <c r="AB204" s="151">
        <v>120.79</v>
      </c>
      <c r="AC204" s="124">
        <v>2.867</v>
      </c>
      <c r="AD204" s="124">
        <v>101.273</v>
      </c>
      <c r="AE204" s="2"/>
      <c r="AF204" s="2"/>
      <c r="AG204" s="2" t="s">
        <v>36</v>
      </c>
      <c r="AH204" s="140">
        <v>3.1999999999999999E-5</v>
      </c>
      <c r="AI204" s="140">
        <v>6.7960105474081794E-2</v>
      </c>
      <c r="AJ204" s="140">
        <v>6.5721487125409003E-3</v>
      </c>
    </row>
    <row r="205" spans="1:36">
      <c r="A205" s="2">
        <v>382</v>
      </c>
      <c r="B205" s="2">
        <v>11414</v>
      </c>
      <c r="C205" s="2" t="s">
        <v>1180</v>
      </c>
      <c r="D205" s="2" t="s">
        <v>1599</v>
      </c>
      <c r="E205" s="3" t="s">
        <v>1325</v>
      </c>
      <c r="F205" s="2" t="s">
        <v>1866</v>
      </c>
      <c r="G205" s="2" t="s">
        <v>1867</v>
      </c>
      <c r="H205" s="2" t="s">
        <v>187</v>
      </c>
      <c r="I205" s="2" t="s">
        <v>768</v>
      </c>
      <c r="J205" s="2" t="s">
        <v>30</v>
      </c>
      <c r="K205" s="2" t="s">
        <v>30</v>
      </c>
      <c r="L205" s="2" t="s">
        <v>340</v>
      </c>
      <c r="M205" s="2" t="s">
        <v>47</v>
      </c>
      <c r="N205" s="2" t="s">
        <v>459</v>
      </c>
      <c r="O205" s="2" t="s">
        <v>147</v>
      </c>
      <c r="P205" s="2" t="s">
        <v>1182</v>
      </c>
      <c r="Q205" s="2" t="s">
        <v>426</v>
      </c>
      <c r="R205" s="2" t="s">
        <v>420</v>
      </c>
      <c r="S205" s="2" t="s">
        <v>34</v>
      </c>
      <c r="T205" s="124">
        <v>4.5970000000000004</v>
      </c>
      <c r="U205" s="2" t="s">
        <v>1868</v>
      </c>
      <c r="V205" s="138">
        <v>2.0199999999999999E-2</v>
      </c>
      <c r="W205" s="140">
        <v>2.5819999999999999E-2</v>
      </c>
      <c r="X205" s="3" t="s">
        <v>425</v>
      </c>
      <c r="Y205" s="3" t="s">
        <v>147</v>
      </c>
      <c r="Z205" s="124">
        <v>50000</v>
      </c>
      <c r="AA205" s="134">
        <v>1</v>
      </c>
      <c r="AB205" s="151">
        <v>101.85</v>
      </c>
      <c r="AC205" s="2"/>
      <c r="AD205" s="124">
        <v>50.924999999999997</v>
      </c>
      <c r="AE205" s="2"/>
      <c r="AF205" s="2"/>
      <c r="AG205" s="2" t="s">
        <v>36</v>
      </c>
      <c r="AH205" s="140">
        <v>1.4E-5</v>
      </c>
      <c r="AI205" s="140">
        <v>3.4173709517343602E-2</v>
      </c>
      <c r="AJ205" s="140">
        <v>3.30480212531175E-3</v>
      </c>
    </row>
    <row r="206" spans="1:36">
      <c r="A206" s="2">
        <v>382</v>
      </c>
      <c r="B206" s="2">
        <v>11414</v>
      </c>
      <c r="C206" s="2" t="s">
        <v>1875</v>
      </c>
      <c r="D206" s="2" t="s">
        <v>1876</v>
      </c>
      <c r="E206" s="3" t="s">
        <v>1325</v>
      </c>
      <c r="F206" s="2" t="s">
        <v>1880</v>
      </c>
      <c r="G206" s="2" t="s">
        <v>1881</v>
      </c>
      <c r="H206" s="2" t="s">
        <v>187</v>
      </c>
      <c r="I206" s="2" t="s">
        <v>768</v>
      </c>
      <c r="J206" s="2" t="s">
        <v>30</v>
      </c>
      <c r="K206" s="2" t="s">
        <v>30</v>
      </c>
      <c r="L206" s="2" t="s">
        <v>340</v>
      </c>
      <c r="M206" s="2" t="s">
        <v>47</v>
      </c>
      <c r="N206" s="2" t="s">
        <v>475</v>
      </c>
      <c r="O206" s="2" t="s">
        <v>147</v>
      </c>
      <c r="P206" s="2" t="s">
        <v>1756</v>
      </c>
      <c r="Q206" s="2" t="s">
        <v>426</v>
      </c>
      <c r="R206" s="2" t="s">
        <v>420</v>
      </c>
      <c r="S206" s="2" t="s">
        <v>34</v>
      </c>
      <c r="T206" s="124">
        <v>1.6830000000000001</v>
      </c>
      <c r="U206" s="2" t="s">
        <v>1882</v>
      </c>
      <c r="V206" s="138">
        <v>3.6999999999999998E-2</v>
      </c>
      <c r="W206" s="140">
        <v>2.8479999999999998E-2</v>
      </c>
      <c r="X206" s="3" t="s">
        <v>425</v>
      </c>
      <c r="Y206" s="3" t="s">
        <v>147</v>
      </c>
      <c r="Z206" s="124">
        <v>100554.62</v>
      </c>
      <c r="AA206" s="134">
        <v>1</v>
      </c>
      <c r="AB206" s="151">
        <v>118.43</v>
      </c>
      <c r="AC206" s="2"/>
      <c r="AD206" s="124">
        <v>119.087</v>
      </c>
      <c r="AE206" s="2"/>
      <c r="AF206" s="2"/>
      <c r="AG206" s="2" t="s">
        <v>36</v>
      </c>
      <c r="AH206" s="140">
        <v>3.3399999999999999E-4</v>
      </c>
      <c r="AI206" s="140">
        <v>7.9914363411457801E-2</v>
      </c>
      <c r="AJ206" s="140">
        <v>7.7281969612074597E-3</v>
      </c>
    </row>
    <row r="207" spans="1:36">
      <c r="A207" s="2">
        <v>382</v>
      </c>
      <c r="B207" s="2">
        <v>11414</v>
      </c>
      <c r="C207" s="2" t="s">
        <v>2154</v>
      </c>
      <c r="D207" s="2" t="s">
        <v>2155</v>
      </c>
      <c r="E207" s="3" t="s">
        <v>1325</v>
      </c>
      <c r="F207" s="2" t="s">
        <v>2156</v>
      </c>
      <c r="G207" s="2" t="s">
        <v>2157</v>
      </c>
      <c r="H207" s="2" t="s">
        <v>187</v>
      </c>
      <c r="I207" s="2" t="s">
        <v>980</v>
      </c>
      <c r="J207" s="2" t="s">
        <v>30</v>
      </c>
      <c r="K207" s="2" t="s">
        <v>30</v>
      </c>
      <c r="L207" s="2" t="s">
        <v>340</v>
      </c>
      <c r="M207" s="2" t="s">
        <v>47</v>
      </c>
      <c r="N207" s="2" t="s">
        <v>475</v>
      </c>
      <c r="O207" s="2" t="s">
        <v>147</v>
      </c>
      <c r="P207" s="2" t="s">
        <v>1182</v>
      </c>
      <c r="Q207" s="2" t="s">
        <v>426</v>
      </c>
      <c r="R207" s="2" t="s">
        <v>420</v>
      </c>
      <c r="S207" s="2" t="s">
        <v>34</v>
      </c>
      <c r="T207" s="124">
        <v>1.7050000000000001</v>
      </c>
      <c r="U207" s="2" t="s">
        <v>2158</v>
      </c>
      <c r="V207" s="138">
        <v>1.44E-2</v>
      </c>
      <c r="W207" s="140">
        <v>4.6460000000000001E-2</v>
      </c>
      <c r="X207" s="3" t="s">
        <v>425</v>
      </c>
      <c r="Y207" s="3" t="s">
        <v>147</v>
      </c>
      <c r="Z207" s="124">
        <v>138486.82</v>
      </c>
      <c r="AA207" s="134">
        <v>1</v>
      </c>
      <c r="AB207" s="151">
        <v>94.81</v>
      </c>
      <c r="AC207" s="2"/>
      <c r="AD207" s="124">
        <v>131.29900000000001</v>
      </c>
      <c r="AE207" s="2"/>
      <c r="AF207" s="2"/>
      <c r="AG207" s="2" t="s">
        <v>36</v>
      </c>
      <c r="AH207" s="140">
        <v>4.6200000000000001E-4</v>
      </c>
      <c r="AI207" s="140">
        <v>8.8109690424077902E-2</v>
      </c>
      <c r="AJ207" s="140">
        <v>8.5207341048613092E-3</v>
      </c>
    </row>
    <row r="208" spans="1:36">
      <c r="A208" s="2">
        <v>382</v>
      </c>
      <c r="B208" s="2">
        <v>11414</v>
      </c>
      <c r="C208" s="2" t="s">
        <v>1975</v>
      </c>
      <c r="D208" s="2" t="s">
        <v>1976</v>
      </c>
      <c r="E208" s="3" t="s">
        <v>1325</v>
      </c>
      <c r="F208" s="2" t="s">
        <v>1977</v>
      </c>
      <c r="G208" s="2" t="s">
        <v>1978</v>
      </c>
      <c r="H208" s="2" t="s">
        <v>187</v>
      </c>
      <c r="I208" s="2" t="s">
        <v>768</v>
      </c>
      <c r="J208" s="2" t="s">
        <v>30</v>
      </c>
      <c r="K208" s="2" t="s">
        <v>30</v>
      </c>
      <c r="L208" s="2" t="s">
        <v>340</v>
      </c>
      <c r="M208" s="2" t="s">
        <v>47</v>
      </c>
      <c r="N208" s="2" t="s">
        <v>458</v>
      </c>
      <c r="O208" s="2" t="s">
        <v>147</v>
      </c>
      <c r="P208" s="2" t="s">
        <v>1937</v>
      </c>
      <c r="Q208" s="2" t="s">
        <v>426</v>
      </c>
      <c r="R208" s="2" t="s">
        <v>420</v>
      </c>
      <c r="S208" s="2" t="s">
        <v>34</v>
      </c>
      <c r="T208" s="124">
        <v>3.0000000000000001E-3</v>
      </c>
      <c r="U208" s="2" t="s">
        <v>1979</v>
      </c>
      <c r="V208" s="138">
        <v>4.3400000000000001E-2</v>
      </c>
      <c r="W208" s="140">
        <v>0.29882999999999998</v>
      </c>
      <c r="X208" s="3" t="s">
        <v>425</v>
      </c>
      <c r="Y208" s="3" t="s">
        <v>147</v>
      </c>
      <c r="Z208" s="124">
        <v>0</v>
      </c>
      <c r="AA208" s="134">
        <v>1</v>
      </c>
      <c r="AB208" s="151">
        <v>0</v>
      </c>
      <c r="AC208" s="124">
        <v>13.641999999999999</v>
      </c>
      <c r="AD208" s="124">
        <v>13.641999999999999</v>
      </c>
      <c r="AE208" s="2"/>
      <c r="AF208" s="2"/>
      <c r="AG208" s="2" t="s">
        <v>36</v>
      </c>
      <c r="AH208" s="140">
        <v>0</v>
      </c>
      <c r="AI208" s="140">
        <v>9.1546351626543496E-3</v>
      </c>
      <c r="AJ208" s="140">
        <v>8.8530798000256196E-4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22"/>
  <sheetViews>
    <sheetView rightToLeft="1" zoomScale="70" zoomScaleNormal="70" workbookViewId="0"/>
  </sheetViews>
  <sheetFormatPr defaultColWidth="0" defaultRowHeight="14.25" zeroHeight="1"/>
  <cols>
    <col min="1" max="24" width="11.625" customWidth="1"/>
    <col min="25" max="26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339</v>
      </c>
      <c r="M1" s="12" t="s">
        <v>8</v>
      </c>
      <c r="N1" s="12" t="s">
        <v>157</v>
      </c>
      <c r="O1" s="12" t="s">
        <v>133</v>
      </c>
      <c r="P1" s="12" t="s">
        <v>11</v>
      </c>
      <c r="Q1" s="12" t="s">
        <v>17</v>
      </c>
      <c r="R1" s="133" t="s">
        <v>18</v>
      </c>
      <c r="S1" s="144" t="s">
        <v>19</v>
      </c>
      <c r="T1" s="12" t="s">
        <v>16</v>
      </c>
      <c r="U1" s="12" t="s">
        <v>20</v>
      </c>
      <c r="V1" s="139" t="s">
        <v>23</v>
      </c>
      <c r="W1" s="139" t="s">
        <v>24</v>
      </c>
      <c r="X1" s="139" t="s">
        <v>25</v>
      </c>
    </row>
    <row r="2" spans="1:24">
      <c r="A2" s="11">
        <v>382</v>
      </c>
      <c r="B2" s="11">
        <v>382</v>
      </c>
      <c r="C2" s="11" t="s">
        <v>1542</v>
      </c>
      <c r="D2" s="11" t="s">
        <v>1543</v>
      </c>
      <c r="E2" s="11" t="s">
        <v>1325</v>
      </c>
      <c r="F2" s="11" t="s">
        <v>1544</v>
      </c>
      <c r="G2" s="11" t="s">
        <v>1545</v>
      </c>
      <c r="H2" s="11" t="s">
        <v>187</v>
      </c>
      <c r="I2" s="11" t="s">
        <v>944</v>
      </c>
      <c r="J2" s="11" t="s">
        <v>30</v>
      </c>
      <c r="K2" s="11" t="s">
        <v>30</v>
      </c>
      <c r="L2" s="13" t="s">
        <v>340</v>
      </c>
      <c r="M2" s="11" t="s">
        <v>47</v>
      </c>
      <c r="N2" s="13" t="s">
        <v>457</v>
      </c>
      <c r="O2" s="13" t="s">
        <v>147</v>
      </c>
      <c r="P2" s="11" t="s">
        <v>34</v>
      </c>
      <c r="Q2" s="127">
        <v>7450.37</v>
      </c>
      <c r="R2" s="152">
        <v>1</v>
      </c>
      <c r="S2" s="153">
        <v>142500</v>
      </c>
      <c r="T2" s="13"/>
      <c r="U2" s="127">
        <v>10616.777</v>
      </c>
      <c r="V2" s="154">
        <v>1.6699999999999999E-4</v>
      </c>
      <c r="W2" s="154">
        <v>2.5993309741220601E-2</v>
      </c>
      <c r="X2" s="154">
        <v>3.67212662250403E-3</v>
      </c>
    </row>
    <row r="3" spans="1:24">
      <c r="A3" s="11">
        <v>382</v>
      </c>
      <c r="B3" s="11">
        <v>382</v>
      </c>
      <c r="C3" s="11" t="s">
        <v>1546</v>
      </c>
      <c r="D3" s="11" t="s">
        <v>1547</v>
      </c>
      <c r="E3" s="11" t="s">
        <v>1325</v>
      </c>
      <c r="F3" s="11" t="s">
        <v>1548</v>
      </c>
      <c r="G3" s="11" t="s">
        <v>1549</v>
      </c>
      <c r="H3" s="11" t="s">
        <v>187</v>
      </c>
      <c r="I3" s="11" t="s">
        <v>944</v>
      </c>
      <c r="J3" s="11" t="s">
        <v>30</v>
      </c>
      <c r="K3" s="11" t="s">
        <v>30</v>
      </c>
      <c r="L3" s="13" t="s">
        <v>340</v>
      </c>
      <c r="M3" s="11" t="s">
        <v>47</v>
      </c>
      <c r="N3" s="13" t="s">
        <v>475</v>
      </c>
      <c r="O3" s="13" t="s">
        <v>147</v>
      </c>
      <c r="P3" s="11" t="s">
        <v>34</v>
      </c>
      <c r="Q3" s="127">
        <v>267700</v>
      </c>
      <c r="R3" s="152">
        <v>1</v>
      </c>
      <c r="S3" s="153">
        <v>2900</v>
      </c>
      <c r="T3" s="126">
        <v>64.183999999999997</v>
      </c>
      <c r="U3" s="127">
        <v>7827.4840000000004</v>
      </c>
      <c r="V3" s="154">
        <v>1.2440000000000001E-3</v>
      </c>
      <c r="W3" s="154">
        <v>1.9164215732991999E-2</v>
      </c>
      <c r="X3" s="154">
        <v>2.7073669145307499E-3</v>
      </c>
    </row>
    <row r="4" spans="1:24">
      <c r="A4" s="11">
        <v>382</v>
      </c>
      <c r="B4" s="11">
        <v>382</v>
      </c>
      <c r="C4" s="11" t="s">
        <v>1550</v>
      </c>
      <c r="D4" s="11" t="s">
        <v>1551</v>
      </c>
      <c r="E4" s="11" t="s">
        <v>1325</v>
      </c>
      <c r="F4" s="11" t="s">
        <v>1552</v>
      </c>
      <c r="G4" s="11" t="s">
        <v>1553</v>
      </c>
      <c r="H4" s="11" t="s">
        <v>187</v>
      </c>
      <c r="I4" s="11" t="s">
        <v>944</v>
      </c>
      <c r="J4" s="11" t="s">
        <v>30</v>
      </c>
      <c r="K4" s="11" t="s">
        <v>30</v>
      </c>
      <c r="L4" s="13" t="s">
        <v>340</v>
      </c>
      <c r="M4" s="11" t="s">
        <v>47</v>
      </c>
      <c r="N4" s="13" t="s">
        <v>475</v>
      </c>
      <c r="O4" s="13" t="s">
        <v>147</v>
      </c>
      <c r="P4" s="11" t="s">
        <v>34</v>
      </c>
      <c r="Q4" s="127">
        <v>396470</v>
      </c>
      <c r="R4" s="152">
        <v>1</v>
      </c>
      <c r="S4" s="153">
        <v>1796</v>
      </c>
      <c r="T4" s="13"/>
      <c r="U4" s="127">
        <v>7120.6009999999997</v>
      </c>
      <c r="V4" s="154">
        <v>8.4099999999999995E-4</v>
      </c>
      <c r="W4" s="154">
        <v>1.7433538274084798E-2</v>
      </c>
      <c r="X4" s="154">
        <v>2.46287066395352E-3</v>
      </c>
    </row>
    <row r="5" spans="1:24">
      <c r="A5" s="11">
        <v>382</v>
      </c>
      <c r="B5" s="11">
        <v>382</v>
      </c>
      <c r="C5" s="11" t="s">
        <v>1554</v>
      </c>
      <c r="D5" s="11" t="s">
        <v>1555</v>
      </c>
      <c r="E5" s="11" t="s">
        <v>1325</v>
      </c>
      <c r="F5" s="11" t="s">
        <v>1556</v>
      </c>
      <c r="G5" s="11" t="s">
        <v>1557</v>
      </c>
      <c r="H5" s="11" t="s">
        <v>187</v>
      </c>
      <c r="I5" s="11" t="s">
        <v>944</v>
      </c>
      <c r="J5" s="11" t="s">
        <v>30</v>
      </c>
      <c r="K5" s="11" t="s">
        <v>103</v>
      </c>
      <c r="L5" s="13" t="s">
        <v>340</v>
      </c>
      <c r="M5" s="11" t="s">
        <v>47</v>
      </c>
      <c r="N5" s="13" t="s">
        <v>452</v>
      </c>
      <c r="O5" s="13" t="s">
        <v>147</v>
      </c>
      <c r="P5" s="11" t="s">
        <v>34</v>
      </c>
      <c r="Q5" s="127">
        <v>138367.9</v>
      </c>
      <c r="R5" s="152">
        <v>1</v>
      </c>
      <c r="S5" s="153">
        <v>5941</v>
      </c>
      <c r="T5" s="13"/>
      <c r="U5" s="127">
        <v>8220.4369999999999</v>
      </c>
      <c r="V5" s="154">
        <v>1.1620000000000001E-3</v>
      </c>
      <c r="W5" s="154">
        <v>2.01262924267907E-2</v>
      </c>
      <c r="X5" s="154">
        <v>2.8432814046576598E-3</v>
      </c>
    </row>
    <row r="6" spans="1:24">
      <c r="A6" s="11">
        <v>382</v>
      </c>
      <c r="B6" s="11">
        <v>382</v>
      </c>
      <c r="C6" s="11" t="s">
        <v>1558</v>
      </c>
      <c r="D6" s="11" t="s">
        <v>1559</v>
      </c>
      <c r="E6" s="11" t="s">
        <v>1325</v>
      </c>
      <c r="F6" s="11" t="s">
        <v>1560</v>
      </c>
      <c r="G6" s="11" t="s">
        <v>1561</v>
      </c>
      <c r="H6" s="11" t="s">
        <v>187</v>
      </c>
      <c r="I6" s="11" t="s">
        <v>944</v>
      </c>
      <c r="J6" s="11" t="s">
        <v>30</v>
      </c>
      <c r="K6" s="11" t="s">
        <v>30</v>
      </c>
      <c r="L6" s="13" t="s">
        <v>340</v>
      </c>
      <c r="M6" s="11" t="s">
        <v>47</v>
      </c>
      <c r="N6" s="13" t="s">
        <v>452</v>
      </c>
      <c r="O6" s="13" t="s">
        <v>147</v>
      </c>
      <c r="P6" s="11" t="s">
        <v>34</v>
      </c>
      <c r="Q6" s="127">
        <v>885500</v>
      </c>
      <c r="R6" s="152">
        <v>1</v>
      </c>
      <c r="S6" s="153">
        <v>1013</v>
      </c>
      <c r="T6" s="126">
        <v>88.460999999999999</v>
      </c>
      <c r="U6" s="127">
        <v>9058.5759999999991</v>
      </c>
      <c r="V6" s="154">
        <v>1.611E-3</v>
      </c>
      <c r="W6" s="154">
        <v>2.2178329443558499E-2</v>
      </c>
      <c r="X6" s="154">
        <v>3.1331767598338799E-3</v>
      </c>
    </row>
    <row r="7" spans="1:24">
      <c r="A7" s="11">
        <v>382</v>
      </c>
      <c r="B7" s="11">
        <v>382</v>
      </c>
      <c r="C7" s="11" t="s">
        <v>1562</v>
      </c>
      <c r="D7" s="11" t="s">
        <v>1563</v>
      </c>
      <c r="E7" s="11" t="s">
        <v>1325</v>
      </c>
      <c r="F7" s="11" t="s">
        <v>1564</v>
      </c>
      <c r="G7" s="11" t="s">
        <v>1565</v>
      </c>
      <c r="H7" s="11" t="s">
        <v>187</v>
      </c>
      <c r="I7" s="11" t="s">
        <v>944</v>
      </c>
      <c r="J7" s="11" t="s">
        <v>30</v>
      </c>
      <c r="K7" s="11" t="s">
        <v>30</v>
      </c>
      <c r="L7" s="13" t="s">
        <v>340</v>
      </c>
      <c r="M7" s="11" t="s">
        <v>47</v>
      </c>
      <c r="N7" s="13" t="s">
        <v>496</v>
      </c>
      <c r="O7" s="13" t="s">
        <v>147</v>
      </c>
      <c r="P7" s="11" t="s">
        <v>34</v>
      </c>
      <c r="Q7" s="127">
        <v>2201567</v>
      </c>
      <c r="R7" s="152">
        <v>1</v>
      </c>
      <c r="S7" s="153">
        <v>546.6</v>
      </c>
      <c r="T7" s="13"/>
      <c r="U7" s="127">
        <v>12033.764999999999</v>
      </c>
      <c r="V7" s="154">
        <v>7.9500000000000003E-4</v>
      </c>
      <c r="W7" s="154">
        <v>2.9462555293657999E-2</v>
      </c>
      <c r="X7" s="154">
        <v>4.1622338493227202E-3</v>
      </c>
    </row>
    <row r="8" spans="1:24">
      <c r="A8" s="11">
        <v>382</v>
      </c>
      <c r="B8" s="11">
        <v>382</v>
      </c>
      <c r="C8" s="11" t="s">
        <v>1566</v>
      </c>
      <c r="D8" s="11" t="s">
        <v>1567</v>
      </c>
      <c r="E8" s="11" t="s">
        <v>1325</v>
      </c>
      <c r="F8" s="11" t="s">
        <v>1568</v>
      </c>
      <c r="G8" s="11" t="s">
        <v>1569</v>
      </c>
      <c r="H8" s="11" t="s">
        <v>187</v>
      </c>
      <c r="I8" s="11" t="s">
        <v>944</v>
      </c>
      <c r="J8" s="11" t="s">
        <v>30</v>
      </c>
      <c r="K8" s="11" t="s">
        <v>30</v>
      </c>
      <c r="L8" s="13" t="s">
        <v>340</v>
      </c>
      <c r="M8" s="11" t="s">
        <v>47</v>
      </c>
      <c r="N8" s="13" t="s">
        <v>458</v>
      </c>
      <c r="O8" s="13" t="s">
        <v>147</v>
      </c>
      <c r="P8" s="11" t="s">
        <v>34</v>
      </c>
      <c r="Q8" s="127">
        <v>285800</v>
      </c>
      <c r="R8" s="152">
        <v>1</v>
      </c>
      <c r="S8" s="153">
        <v>809.9</v>
      </c>
      <c r="T8" s="13"/>
      <c r="U8" s="127">
        <v>2314.694</v>
      </c>
      <c r="V8" s="154">
        <v>5.1939999999999998E-3</v>
      </c>
      <c r="W8" s="154">
        <v>5.6671211875342804E-3</v>
      </c>
      <c r="X8" s="154">
        <v>8.0060549398601E-4</v>
      </c>
    </row>
    <row r="9" spans="1:24">
      <c r="A9" s="11">
        <v>382</v>
      </c>
      <c r="B9" s="11">
        <v>382</v>
      </c>
      <c r="C9" s="11" t="s">
        <v>1332</v>
      </c>
      <c r="D9" s="11" t="s">
        <v>1333</v>
      </c>
      <c r="E9" s="11" t="s">
        <v>1325</v>
      </c>
      <c r="F9" s="11" t="s">
        <v>1570</v>
      </c>
      <c r="G9" s="11" t="s">
        <v>1336</v>
      </c>
      <c r="H9" s="11" t="s">
        <v>187</v>
      </c>
      <c r="I9" s="11" t="s">
        <v>944</v>
      </c>
      <c r="J9" s="11" t="s">
        <v>30</v>
      </c>
      <c r="K9" s="11" t="s">
        <v>30</v>
      </c>
      <c r="L9" s="13" t="s">
        <v>340</v>
      </c>
      <c r="M9" s="11" t="s">
        <v>47</v>
      </c>
      <c r="N9" s="13" t="s">
        <v>458</v>
      </c>
      <c r="O9" s="13" t="s">
        <v>147</v>
      </c>
      <c r="P9" s="11" t="s">
        <v>34</v>
      </c>
      <c r="Q9" s="127">
        <v>5776</v>
      </c>
      <c r="R9" s="152">
        <v>1</v>
      </c>
      <c r="S9" s="153">
        <v>20100</v>
      </c>
      <c r="T9" s="13"/>
      <c r="U9" s="127">
        <v>1160.9760000000001</v>
      </c>
      <c r="V9" s="154">
        <v>6.4000000000000005E-4</v>
      </c>
      <c r="W9" s="154">
        <v>2.8424453164564E-3</v>
      </c>
      <c r="X9" s="154">
        <v>4.0155790945771598E-4</v>
      </c>
    </row>
    <row r="10" spans="1:24">
      <c r="A10" s="11">
        <v>382</v>
      </c>
      <c r="B10" s="11">
        <v>382</v>
      </c>
      <c r="C10" s="11" t="s">
        <v>1571</v>
      </c>
      <c r="D10" s="11" t="s">
        <v>1572</v>
      </c>
      <c r="E10" s="11" t="s">
        <v>1325</v>
      </c>
      <c r="F10" s="11" t="s">
        <v>1573</v>
      </c>
      <c r="G10" s="11" t="s">
        <v>1574</v>
      </c>
      <c r="H10" s="11" t="s">
        <v>187</v>
      </c>
      <c r="I10" s="11" t="s">
        <v>944</v>
      </c>
      <c r="J10" s="11" t="s">
        <v>30</v>
      </c>
      <c r="K10" s="11" t="s">
        <v>30</v>
      </c>
      <c r="L10" s="13" t="s">
        <v>340</v>
      </c>
      <c r="M10" s="11" t="s">
        <v>47</v>
      </c>
      <c r="N10" s="13" t="s">
        <v>459</v>
      </c>
      <c r="O10" s="13" t="s">
        <v>147</v>
      </c>
      <c r="P10" s="11" t="s">
        <v>34</v>
      </c>
      <c r="Q10" s="127">
        <v>1067459.8</v>
      </c>
      <c r="R10" s="152">
        <v>1</v>
      </c>
      <c r="S10" s="153">
        <v>2572</v>
      </c>
      <c r="T10" s="126">
        <v>272.577</v>
      </c>
      <c r="U10" s="127">
        <v>27727.643</v>
      </c>
      <c r="V10" s="154">
        <v>8.6300000000000005E-4</v>
      </c>
      <c r="W10" s="154">
        <v>6.7886251934730302E-2</v>
      </c>
      <c r="X10" s="154">
        <v>9.59042597935174E-3</v>
      </c>
    </row>
    <row r="11" spans="1:24">
      <c r="A11" s="11">
        <v>382</v>
      </c>
      <c r="B11" s="11">
        <v>382</v>
      </c>
      <c r="C11" s="11" t="s">
        <v>1575</v>
      </c>
      <c r="D11" s="11" t="s">
        <v>1576</v>
      </c>
      <c r="E11" s="11" t="s">
        <v>1325</v>
      </c>
      <c r="F11" s="11" t="s">
        <v>1577</v>
      </c>
      <c r="G11" s="11" t="s">
        <v>1578</v>
      </c>
      <c r="H11" s="11" t="s">
        <v>187</v>
      </c>
      <c r="I11" s="11" t="s">
        <v>944</v>
      </c>
      <c r="J11" s="11" t="s">
        <v>30</v>
      </c>
      <c r="K11" s="11" t="s">
        <v>30</v>
      </c>
      <c r="L11" s="13" t="s">
        <v>340</v>
      </c>
      <c r="M11" s="11" t="s">
        <v>47</v>
      </c>
      <c r="N11" s="13" t="s">
        <v>458</v>
      </c>
      <c r="O11" s="13" t="s">
        <v>147</v>
      </c>
      <c r="P11" s="11" t="s">
        <v>34</v>
      </c>
      <c r="Q11" s="127">
        <v>31550</v>
      </c>
      <c r="R11" s="152">
        <v>1</v>
      </c>
      <c r="S11" s="153">
        <v>30010</v>
      </c>
      <c r="T11" s="13"/>
      <c r="U11" s="127">
        <v>9468.1550000000007</v>
      </c>
      <c r="V11" s="154">
        <v>1.5100000000000001E-3</v>
      </c>
      <c r="W11" s="154">
        <v>2.3181110406445299E-2</v>
      </c>
      <c r="X11" s="154">
        <v>3.2748416231012799E-3</v>
      </c>
    </row>
    <row r="12" spans="1:24">
      <c r="A12" s="11">
        <v>382</v>
      </c>
      <c r="B12" s="11">
        <v>382</v>
      </c>
      <c r="C12" s="11" t="s">
        <v>1579</v>
      </c>
      <c r="D12" s="11" t="s">
        <v>1580</v>
      </c>
      <c r="E12" s="11" t="s">
        <v>1325</v>
      </c>
      <c r="F12" s="11" t="s">
        <v>1581</v>
      </c>
      <c r="G12" s="11" t="s">
        <v>1582</v>
      </c>
      <c r="H12" s="11" t="s">
        <v>187</v>
      </c>
      <c r="I12" s="11" t="s">
        <v>944</v>
      </c>
      <c r="J12" s="11" t="s">
        <v>30</v>
      </c>
      <c r="K12" s="11" t="s">
        <v>30</v>
      </c>
      <c r="L12" s="13" t="s">
        <v>340</v>
      </c>
      <c r="M12" s="11" t="s">
        <v>47</v>
      </c>
      <c r="N12" s="13" t="s">
        <v>456</v>
      </c>
      <c r="O12" s="13" t="s">
        <v>147</v>
      </c>
      <c r="P12" s="11" t="s">
        <v>34</v>
      </c>
      <c r="Q12" s="127">
        <v>132998</v>
      </c>
      <c r="R12" s="152">
        <v>1</v>
      </c>
      <c r="S12" s="153">
        <v>6881</v>
      </c>
      <c r="T12" s="13"/>
      <c r="U12" s="127">
        <v>9151.5920000000006</v>
      </c>
      <c r="V12" s="154">
        <v>5.0699999999999996E-4</v>
      </c>
      <c r="W12" s="154">
        <v>2.2406062570328001E-2</v>
      </c>
      <c r="X12" s="154">
        <v>3.1653490720927602E-3</v>
      </c>
    </row>
    <row r="13" spans="1:24">
      <c r="A13" s="11">
        <v>382</v>
      </c>
      <c r="B13" s="11">
        <v>382</v>
      </c>
      <c r="C13" s="11" t="s">
        <v>1583</v>
      </c>
      <c r="D13" s="11" t="s">
        <v>1584</v>
      </c>
      <c r="E13" s="11" t="s">
        <v>1325</v>
      </c>
      <c r="F13" s="11" t="s">
        <v>1585</v>
      </c>
      <c r="G13" s="11" t="s">
        <v>1586</v>
      </c>
      <c r="H13" s="11" t="s">
        <v>187</v>
      </c>
      <c r="I13" s="11" t="s">
        <v>944</v>
      </c>
      <c r="J13" s="11" t="s">
        <v>30</v>
      </c>
      <c r="K13" s="11" t="s">
        <v>103</v>
      </c>
      <c r="L13" s="13" t="s">
        <v>340</v>
      </c>
      <c r="M13" s="11" t="s">
        <v>47</v>
      </c>
      <c r="N13" s="13" t="s">
        <v>478</v>
      </c>
      <c r="O13" s="13" t="s">
        <v>147</v>
      </c>
      <c r="P13" s="11" t="s">
        <v>34</v>
      </c>
      <c r="Q13" s="127">
        <v>220830</v>
      </c>
      <c r="R13" s="152">
        <v>1</v>
      </c>
      <c r="S13" s="153">
        <v>5587</v>
      </c>
      <c r="T13" s="13"/>
      <c r="U13" s="127">
        <v>12337.772000000001</v>
      </c>
      <c r="V13" s="154">
        <v>1.76E-4</v>
      </c>
      <c r="W13" s="154">
        <v>3.0206862606248101E-2</v>
      </c>
      <c r="X13" s="154">
        <v>4.2673836253649903E-3</v>
      </c>
    </row>
    <row r="14" spans="1:24">
      <c r="A14" s="11">
        <v>382</v>
      </c>
      <c r="B14" s="11">
        <v>382</v>
      </c>
      <c r="C14" s="11" t="s">
        <v>1587</v>
      </c>
      <c r="D14" s="11" t="s">
        <v>1588</v>
      </c>
      <c r="E14" s="11" t="s">
        <v>1325</v>
      </c>
      <c r="F14" s="11" t="s">
        <v>1589</v>
      </c>
      <c r="G14" s="11" t="s">
        <v>1590</v>
      </c>
      <c r="H14" s="11" t="s">
        <v>187</v>
      </c>
      <c r="I14" s="11" t="s">
        <v>944</v>
      </c>
      <c r="J14" s="11" t="s">
        <v>30</v>
      </c>
      <c r="K14" s="11" t="s">
        <v>30</v>
      </c>
      <c r="L14" s="13" t="s">
        <v>340</v>
      </c>
      <c r="M14" s="11" t="s">
        <v>47</v>
      </c>
      <c r="N14" s="13" t="s">
        <v>487</v>
      </c>
      <c r="O14" s="13" t="s">
        <v>147</v>
      </c>
      <c r="P14" s="11" t="s">
        <v>34</v>
      </c>
      <c r="Q14" s="127">
        <v>170543</v>
      </c>
      <c r="R14" s="152">
        <v>1</v>
      </c>
      <c r="S14" s="153">
        <v>443.7</v>
      </c>
      <c r="T14" s="13"/>
      <c r="U14" s="127">
        <v>756.69899999999996</v>
      </c>
      <c r="V14" s="154">
        <v>1.3450000000000001E-3</v>
      </c>
      <c r="W14" s="154">
        <v>1.8526449777332399E-3</v>
      </c>
      <c r="X14" s="154">
        <v>2.6172684481169E-4</v>
      </c>
    </row>
    <row r="15" spans="1:24">
      <c r="A15" s="11">
        <v>382</v>
      </c>
      <c r="B15" s="11">
        <v>382</v>
      </c>
      <c r="C15" s="11" t="s">
        <v>1591</v>
      </c>
      <c r="D15" s="11" t="s">
        <v>1592</v>
      </c>
      <c r="E15" s="11" t="s">
        <v>1325</v>
      </c>
      <c r="F15" s="11" t="s">
        <v>1593</v>
      </c>
      <c r="G15" s="11" t="s">
        <v>1594</v>
      </c>
      <c r="H15" s="11" t="s">
        <v>187</v>
      </c>
      <c r="I15" s="11" t="s">
        <v>944</v>
      </c>
      <c r="J15" s="11" t="s">
        <v>30</v>
      </c>
      <c r="K15" s="11" t="s">
        <v>30</v>
      </c>
      <c r="L15" s="13" t="s">
        <v>340</v>
      </c>
      <c r="M15" s="11" t="s">
        <v>47</v>
      </c>
      <c r="N15" s="13" t="s">
        <v>458</v>
      </c>
      <c r="O15" s="13" t="s">
        <v>147</v>
      </c>
      <c r="P15" s="11" t="s">
        <v>34</v>
      </c>
      <c r="Q15" s="127">
        <v>356000</v>
      </c>
      <c r="R15" s="152">
        <v>1</v>
      </c>
      <c r="S15" s="153">
        <v>1157</v>
      </c>
      <c r="T15" s="13"/>
      <c r="U15" s="127">
        <v>4118.92</v>
      </c>
      <c r="V15" s="154">
        <v>1.0759999999999999E-3</v>
      </c>
      <c r="W15" s="154">
        <v>1.00844503786974E-2</v>
      </c>
      <c r="X15" s="154">
        <v>1.42465038417984E-3</v>
      </c>
    </row>
    <row r="16" spans="1:24">
      <c r="A16" s="11">
        <v>382</v>
      </c>
      <c r="B16" s="11">
        <v>382</v>
      </c>
      <c r="C16" s="11" t="s">
        <v>1595</v>
      </c>
      <c r="D16" s="11" t="s">
        <v>1596</v>
      </c>
      <c r="E16" s="11" t="s">
        <v>1325</v>
      </c>
      <c r="F16" s="11" t="s">
        <v>1597</v>
      </c>
      <c r="G16" s="11" t="s">
        <v>1598</v>
      </c>
      <c r="H16" s="11" t="s">
        <v>187</v>
      </c>
      <c r="I16" s="11" t="s">
        <v>944</v>
      </c>
      <c r="J16" s="11" t="s">
        <v>30</v>
      </c>
      <c r="K16" s="11" t="s">
        <v>30</v>
      </c>
      <c r="L16" s="13" t="s">
        <v>340</v>
      </c>
      <c r="M16" s="11" t="s">
        <v>47</v>
      </c>
      <c r="N16" s="13" t="s">
        <v>456</v>
      </c>
      <c r="O16" s="13" t="s">
        <v>147</v>
      </c>
      <c r="P16" s="11" t="s">
        <v>34</v>
      </c>
      <c r="Q16" s="127">
        <v>98550</v>
      </c>
      <c r="R16" s="152">
        <v>1</v>
      </c>
      <c r="S16" s="153">
        <v>9094</v>
      </c>
      <c r="T16" s="13"/>
      <c r="U16" s="127">
        <v>8962.1370000000006</v>
      </c>
      <c r="V16" s="154">
        <v>1.24E-3</v>
      </c>
      <c r="W16" s="154">
        <v>2.1942214430867302E-2</v>
      </c>
      <c r="X16" s="154">
        <v>3.0998203218616498E-3</v>
      </c>
    </row>
    <row r="17" spans="1:24">
      <c r="A17" s="11">
        <v>382</v>
      </c>
      <c r="B17" s="11">
        <v>382</v>
      </c>
      <c r="C17" s="11" t="s">
        <v>1180</v>
      </c>
      <c r="D17" s="11" t="s">
        <v>1599</v>
      </c>
      <c r="E17" s="11" t="s">
        <v>1325</v>
      </c>
      <c r="F17" s="11" t="s">
        <v>1600</v>
      </c>
      <c r="G17" s="11" t="s">
        <v>1601</v>
      </c>
      <c r="H17" s="11" t="s">
        <v>187</v>
      </c>
      <c r="I17" s="11" t="s">
        <v>944</v>
      </c>
      <c r="J17" s="11" t="s">
        <v>30</v>
      </c>
      <c r="K17" s="11" t="s">
        <v>30</v>
      </c>
      <c r="L17" s="13" t="s">
        <v>340</v>
      </c>
      <c r="M17" s="11" t="s">
        <v>47</v>
      </c>
      <c r="N17" s="13" t="s">
        <v>459</v>
      </c>
      <c r="O17" s="13" t="s">
        <v>147</v>
      </c>
      <c r="P17" s="11" t="s">
        <v>34</v>
      </c>
      <c r="Q17" s="127">
        <v>840606</v>
      </c>
      <c r="R17" s="152">
        <v>1</v>
      </c>
      <c r="S17" s="153">
        <v>4982</v>
      </c>
      <c r="T17" s="13"/>
      <c r="U17" s="127">
        <v>41878.991000000002</v>
      </c>
      <c r="V17" s="154">
        <v>5.1999999999999995E-4</v>
      </c>
      <c r="W17" s="154">
        <v>0.102533335399245</v>
      </c>
      <c r="X17" s="154">
        <v>1.4485088446302001E-2</v>
      </c>
    </row>
    <row r="18" spans="1:24">
      <c r="A18" s="11">
        <v>382</v>
      </c>
      <c r="B18" s="11">
        <v>382</v>
      </c>
      <c r="C18" s="11" t="s">
        <v>1602</v>
      </c>
      <c r="D18" s="11" t="s">
        <v>1603</v>
      </c>
      <c r="E18" s="11" t="s">
        <v>1325</v>
      </c>
      <c r="F18" s="11" t="s">
        <v>1604</v>
      </c>
      <c r="G18" s="11" t="s">
        <v>1605</v>
      </c>
      <c r="H18" s="11" t="s">
        <v>187</v>
      </c>
      <c r="I18" s="11" t="s">
        <v>944</v>
      </c>
      <c r="J18" s="11" t="s">
        <v>30</v>
      </c>
      <c r="K18" s="11" t="s">
        <v>30</v>
      </c>
      <c r="L18" s="13" t="s">
        <v>340</v>
      </c>
      <c r="M18" s="11" t="s">
        <v>47</v>
      </c>
      <c r="N18" s="13" t="s">
        <v>490</v>
      </c>
      <c r="O18" s="13" t="s">
        <v>147</v>
      </c>
      <c r="P18" s="11" t="s">
        <v>34</v>
      </c>
      <c r="Q18" s="127">
        <v>350000</v>
      </c>
      <c r="R18" s="152">
        <v>1</v>
      </c>
      <c r="S18" s="153">
        <v>1483</v>
      </c>
      <c r="T18" s="13"/>
      <c r="U18" s="127">
        <v>5190.5</v>
      </c>
      <c r="V18" s="154">
        <v>4.9040000000000004E-3</v>
      </c>
      <c r="W18" s="154">
        <v>1.2708025329608E-2</v>
      </c>
      <c r="X18" s="154">
        <v>1.79528804130342E-3</v>
      </c>
    </row>
    <row r="19" spans="1:24">
      <c r="A19" s="11">
        <v>382</v>
      </c>
      <c r="B19" s="11">
        <v>382</v>
      </c>
      <c r="C19" s="11" t="s">
        <v>1606</v>
      </c>
      <c r="D19" s="11" t="s">
        <v>1607</v>
      </c>
      <c r="E19" s="11" t="s">
        <v>1325</v>
      </c>
      <c r="F19" s="11" t="s">
        <v>1608</v>
      </c>
      <c r="G19" s="11" t="s">
        <v>1609</v>
      </c>
      <c r="H19" s="11" t="s">
        <v>187</v>
      </c>
      <c r="I19" s="11" t="s">
        <v>944</v>
      </c>
      <c r="J19" s="11" t="s">
        <v>30</v>
      </c>
      <c r="K19" s="11" t="s">
        <v>30</v>
      </c>
      <c r="L19" s="13" t="s">
        <v>340</v>
      </c>
      <c r="M19" s="11" t="s">
        <v>47</v>
      </c>
      <c r="N19" s="13" t="s">
        <v>459</v>
      </c>
      <c r="O19" s="13" t="s">
        <v>147</v>
      </c>
      <c r="P19" s="11" t="s">
        <v>34</v>
      </c>
      <c r="Q19" s="127">
        <v>76569</v>
      </c>
      <c r="R19" s="152">
        <v>1</v>
      </c>
      <c r="S19" s="153">
        <v>16650</v>
      </c>
      <c r="T19" s="13"/>
      <c r="U19" s="127">
        <v>12748.737999999999</v>
      </c>
      <c r="V19" s="154">
        <v>2.9500000000000001E-4</v>
      </c>
      <c r="W19" s="154">
        <v>3.1213041475493399E-2</v>
      </c>
      <c r="X19" s="154">
        <v>4.4095285176292201E-3</v>
      </c>
    </row>
    <row r="20" spans="1:24">
      <c r="A20" s="3">
        <v>382</v>
      </c>
      <c r="B20" s="3">
        <v>382</v>
      </c>
      <c r="C20" s="3" t="s">
        <v>1610</v>
      </c>
      <c r="D20" s="3" t="s">
        <v>1611</v>
      </c>
      <c r="E20" s="11" t="s">
        <v>1325</v>
      </c>
      <c r="F20" s="3" t="s">
        <v>1612</v>
      </c>
      <c r="G20" s="3" t="s">
        <v>1613</v>
      </c>
      <c r="H20" s="11" t="s">
        <v>187</v>
      </c>
      <c r="I20" s="3" t="s">
        <v>944</v>
      </c>
      <c r="J20" s="3" t="s">
        <v>30</v>
      </c>
      <c r="K20" s="11" t="s">
        <v>30</v>
      </c>
      <c r="L20" s="13" t="s">
        <v>340</v>
      </c>
      <c r="M20" s="11" t="s">
        <v>47</v>
      </c>
      <c r="N20" s="13" t="s">
        <v>475</v>
      </c>
      <c r="O20" s="3" t="s">
        <v>147</v>
      </c>
      <c r="P20" s="3" t="s">
        <v>34</v>
      </c>
      <c r="Q20" s="125">
        <v>26850</v>
      </c>
      <c r="R20" s="143">
        <v>1</v>
      </c>
      <c r="S20" s="145">
        <v>28940</v>
      </c>
      <c r="T20" s="124">
        <v>50.732999999999997</v>
      </c>
      <c r="U20" s="125">
        <v>7821.1229999999996</v>
      </c>
      <c r="V20" s="142">
        <v>5.6400000000000005E-4</v>
      </c>
      <c r="W20" s="142">
        <v>1.91486432176373E-2</v>
      </c>
      <c r="X20" s="142">
        <v>2.7051669542801E-3</v>
      </c>
    </row>
    <row r="21" spans="1:24">
      <c r="A21" s="3">
        <v>382</v>
      </c>
      <c r="B21" s="3">
        <v>382</v>
      </c>
      <c r="C21" s="3" t="s">
        <v>1614</v>
      </c>
      <c r="D21" s="3" t="s">
        <v>1615</v>
      </c>
      <c r="E21" s="3" t="s">
        <v>1325</v>
      </c>
      <c r="F21" s="3" t="s">
        <v>1616</v>
      </c>
      <c r="G21" s="3" t="s">
        <v>1617</v>
      </c>
      <c r="H21" s="3" t="s">
        <v>187</v>
      </c>
      <c r="I21" s="3" t="s">
        <v>944</v>
      </c>
      <c r="J21" s="3" t="s">
        <v>30</v>
      </c>
      <c r="K21" s="3" t="s">
        <v>30</v>
      </c>
      <c r="L21" s="2" t="s">
        <v>340</v>
      </c>
      <c r="M21" s="3" t="s">
        <v>47</v>
      </c>
      <c r="N21" s="13" t="s">
        <v>475</v>
      </c>
      <c r="O21" s="3" t="s">
        <v>147</v>
      </c>
      <c r="P21" s="3" t="s">
        <v>34</v>
      </c>
      <c r="Q21" s="125">
        <v>1349479</v>
      </c>
      <c r="R21" s="143">
        <v>1</v>
      </c>
      <c r="S21" s="145">
        <v>184</v>
      </c>
      <c r="T21" s="2"/>
      <c r="U21" s="125">
        <v>2483.0410000000002</v>
      </c>
      <c r="V21" s="142">
        <v>1.776E-3</v>
      </c>
      <c r="W21" s="142">
        <v>6.0792895669673896E-3</v>
      </c>
      <c r="X21" s="142">
        <v>8.5883334161829803E-4</v>
      </c>
    </row>
    <row r="22" spans="1:24">
      <c r="A22" s="3">
        <v>382</v>
      </c>
      <c r="B22" s="3">
        <v>382</v>
      </c>
      <c r="C22" s="3" t="s">
        <v>1618</v>
      </c>
      <c r="D22" s="3" t="s">
        <v>1619</v>
      </c>
      <c r="E22" s="3" t="s">
        <v>327</v>
      </c>
      <c r="F22" s="3" t="s">
        <v>1620</v>
      </c>
      <c r="G22" s="3" t="s">
        <v>1621</v>
      </c>
      <c r="H22" s="3" t="s">
        <v>187</v>
      </c>
      <c r="I22" s="3" t="s">
        <v>944</v>
      </c>
      <c r="J22" s="3" t="s">
        <v>30</v>
      </c>
      <c r="K22" s="3" t="s">
        <v>103</v>
      </c>
      <c r="L22" s="2" t="s">
        <v>340</v>
      </c>
      <c r="M22" s="3" t="s">
        <v>47</v>
      </c>
      <c r="N22" s="3" t="s">
        <v>465</v>
      </c>
      <c r="O22" s="3" t="s">
        <v>147</v>
      </c>
      <c r="P22" s="3" t="s">
        <v>34</v>
      </c>
      <c r="Q22" s="125">
        <v>85130</v>
      </c>
      <c r="R22" s="143">
        <v>1</v>
      </c>
      <c r="S22" s="145">
        <v>8700</v>
      </c>
      <c r="T22" s="2"/>
      <c r="U22" s="125">
        <v>7406.31</v>
      </c>
      <c r="V22" s="142">
        <v>8.3500000000000002E-4</v>
      </c>
      <c r="W22" s="142">
        <v>1.8133045964536899E-2</v>
      </c>
      <c r="X22" s="142">
        <v>2.56169150817569E-3</v>
      </c>
    </row>
    <row r="23" spans="1:24">
      <c r="A23" s="3">
        <v>382</v>
      </c>
      <c r="B23" s="3">
        <v>382</v>
      </c>
      <c r="C23" s="3" t="s">
        <v>1622</v>
      </c>
      <c r="D23" s="3" t="s">
        <v>1623</v>
      </c>
      <c r="E23" s="3" t="s">
        <v>327</v>
      </c>
      <c r="F23" s="3" t="s">
        <v>1624</v>
      </c>
      <c r="G23" s="3" t="s">
        <v>1625</v>
      </c>
      <c r="H23" s="3" t="s">
        <v>187</v>
      </c>
      <c r="I23" s="3" t="s">
        <v>944</v>
      </c>
      <c r="J23" s="3" t="s">
        <v>30</v>
      </c>
      <c r="K23" s="3" t="s">
        <v>30</v>
      </c>
      <c r="L23" s="2" t="s">
        <v>340</v>
      </c>
      <c r="M23" s="2" t="s">
        <v>47</v>
      </c>
      <c r="N23" s="3" t="s">
        <v>465</v>
      </c>
      <c r="O23" s="3" t="s">
        <v>147</v>
      </c>
      <c r="P23" s="3" t="s">
        <v>34</v>
      </c>
      <c r="Q23" s="125">
        <v>200000</v>
      </c>
      <c r="R23" s="143">
        <v>1</v>
      </c>
      <c r="S23" s="145">
        <v>1249</v>
      </c>
      <c r="T23" s="124">
        <v>37.841999999999999</v>
      </c>
      <c r="U23" s="125">
        <v>2535.8420000000001</v>
      </c>
      <c r="V23" s="142">
        <v>1.7000000000000001E-4</v>
      </c>
      <c r="W23" s="142">
        <v>6.2085627595193198E-3</v>
      </c>
      <c r="X23" s="142">
        <v>8.7709602292637397E-4</v>
      </c>
    </row>
    <row r="24" spans="1:24">
      <c r="A24" s="3">
        <v>382</v>
      </c>
      <c r="B24" s="3">
        <v>382</v>
      </c>
      <c r="C24" s="3" t="s">
        <v>1626</v>
      </c>
      <c r="D24" s="3" t="s">
        <v>1627</v>
      </c>
      <c r="E24" s="3" t="s">
        <v>1325</v>
      </c>
      <c r="F24" s="3" t="s">
        <v>1628</v>
      </c>
      <c r="G24" s="3" t="s">
        <v>1629</v>
      </c>
      <c r="H24" s="3" t="s">
        <v>187</v>
      </c>
      <c r="I24" s="3" t="s">
        <v>944</v>
      </c>
      <c r="J24" s="3" t="s">
        <v>30</v>
      </c>
      <c r="K24" s="3" t="s">
        <v>103</v>
      </c>
      <c r="L24" s="2" t="s">
        <v>340</v>
      </c>
      <c r="M24" s="2" t="s">
        <v>47</v>
      </c>
      <c r="N24" s="3" t="s">
        <v>492</v>
      </c>
      <c r="O24" s="3" t="s">
        <v>147</v>
      </c>
      <c r="P24" s="3" t="s">
        <v>34</v>
      </c>
      <c r="Q24" s="125">
        <v>17198</v>
      </c>
      <c r="R24" s="143">
        <v>1</v>
      </c>
      <c r="S24" s="145">
        <v>56600</v>
      </c>
      <c r="T24" s="2"/>
      <c r="U24" s="125">
        <v>9734.0679999999993</v>
      </c>
      <c r="V24" s="142">
        <v>2.3000000000000001E-4</v>
      </c>
      <c r="W24" s="142">
        <v>2.3832151566154799E-2</v>
      </c>
      <c r="X24" s="142">
        <v>3.3668155040235599E-3</v>
      </c>
    </row>
    <row r="25" spans="1:24">
      <c r="A25" s="3">
        <v>382</v>
      </c>
      <c r="B25" s="3">
        <v>382</v>
      </c>
      <c r="C25" s="3" t="s">
        <v>1630</v>
      </c>
      <c r="D25" s="3" t="s">
        <v>1631</v>
      </c>
      <c r="E25" s="3" t="s">
        <v>1325</v>
      </c>
      <c r="F25" s="3" t="s">
        <v>1630</v>
      </c>
      <c r="G25" s="3" t="s">
        <v>1632</v>
      </c>
      <c r="H25" s="3" t="s">
        <v>187</v>
      </c>
      <c r="I25" s="3" t="s">
        <v>944</v>
      </c>
      <c r="J25" s="3" t="s">
        <v>30</v>
      </c>
      <c r="K25" s="3" t="s">
        <v>30</v>
      </c>
      <c r="L25" s="2" t="s">
        <v>340</v>
      </c>
      <c r="M25" s="2" t="s">
        <v>47</v>
      </c>
      <c r="N25" s="3" t="s">
        <v>450</v>
      </c>
      <c r="O25" s="3" t="s">
        <v>147</v>
      </c>
      <c r="P25" s="3" t="s">
        <v>34</v>
      </c>
      <c r="Q25" s="125">
        <v>106000</v>
      </c>
      <c r="R25" s="143">
        <v>1</v>
      </c>
      <c r="S25" s="145">
        <v>8478</v>
      </c>
      <c r="T25" s="2"/>
      <c r="U25" s="125">
        <v>8986.68</v>
      </c>
      <c r="V25" s="142">
        <v>1.3179999999999999E-3</v>
      </c>
      <c r="W25" s="142">
        <v>2.2002303644943901E-2</v>
      </c>
      <c r="X25" s="142">
        <v>3.1083092447780798E-3</v>
      </c>
    </row>
    <row r="26" spans="1:24">
      <c r="A26" s="3">
        <v>382</v>
      </c>
      <c r="B26" s="3">
        <v>382</v>
      </c>
      <c r="C26" s="3" t="s">
        <v>1633</v>
      </c>
      <c r="D26" s="3" t="s">
        <v>1634</v>
      </c>
      <c r="E26" s="3" t="s">
        <v>1325</v>
      </c>
      <c r="F26" s="3" t="s">
        <v>1635</v>
      </c>
      <c r="G26" s="3" t="s">
        <v>1636</v>
      </c>
      <c r="H26" s="3" t="s">
        <v>187</v>
      </c>
      <c r="I26" s="3" t="s">
        <v>944</v>
      </c>
      <c r="J26" s="3" t="s">
        <v>30</v>
      </c>
      <c r="K26" s="3" t="s">
        <v>30</v>
      </c>
      <c r="L26" s="2" t="s">
        <v>340</v>
      </c>
      <c r="M26" s="2" t="s">
        <v>47</v>
      </c>
      <c r="N26" s="3" t="s">
        <v>475</v>
      </c>
      <c r="O26" s="3" t="s">
        <v>147</v>
      </c>
      <c r="P26" s="3" t="s">
        <v>34</v>
      </c>
      <c r="Q26" s="125">
        <v>29250</v>
      </c>
      <c r="R26" s="143">
        <v>1</v>
      </c>
      <c r="S26" s="145">
        <v>24920</v>
      </c>
      <c r="T26" s="2"/>
      <c r="U26" s="125">
        <v>7289.1</v>
      </c>
      <c r="V26" s="142">
        <v>2.41E-4</v>
      </c>
      <c r="W26" s="142">
        <v>1.7846077917357799E-2</v>
      </c>
      <c r="X26" s="142">
        <v>2.5211509607677E-3</v>
      </c>
    </row>
    <row r="27" spans="1:24">
      <c r="A27" s="3">
        <v>382</v>
      </c>
      <c r="B27" s="3">
        <v>382</v>
      </c>
      <c r="C27" s="3" t="s">
        <v>1637</v>
      </c>
      <c r="D27" s="3" t="s">
        <v>1638</v>
      </c>
      <c r="E27" s="3" t="s">
        <v>1325</v>
      </c>
      <c r="F27" s="3" t="s">
        <v>1639</v>
      </c>
      <c r="G27" s="3" t="s">
        <v>1640</v>
      </c>
      <c r="H27" s="3" t="s">
        <v>187</v>
      </c>
      <c r="I27" s="3" t="s">
        <v>944</v>
      </c>
      <c r="J27" s="3" t="s">
        <v>30</v>
      </c>
      <c r="K27" s="3" t="s">
        <v>30</v>
      </c>
      <c r="L27" s="2" t="s">
        <v>340</v>
      </c>
      <c r="M27" s="2" t="s">
        <v>47</v>
      </c>
      <c r="N27" s="3" t="s">
        <v>459</v>
      </c>
      <c r="O27" s="3" t="s">
        <v>147</v>
      </c>
      <c r="P27" s="3" t="s">
        <v>34</v>
      </c>
      <c r="Q27" s="125">
        <v>692368</v>
      </c>
      <c r="R27" s="143">
        <v>1</v>
      </c>
      <c r="S27" s="145">
        <v>5008</v>
      </c>
      <c r="T27" s="2"/>
      <c r="U27" s="125">
        <v>34673.788999999997</v>
      </c>
      <c r="V27" s="142">
        <v>5.1800000000000001E-4</v>
      </c>
      <c r="W27" s="142">
        <v>8.4892668235625399E-2</v>
      </c>
      <c r="X27" s="142">
        <v>1.19929562717088E-2</v>
      </c>
    </row>
    <row r="28" spans="1:24">
      <c r="A28" s="3">
        <v>382</v>
      </c>
      <c r="B28" s="3">
        <v>382</v>
      </c>
      <c r="C28" s="3" t="s">
        <v>1641</v>
      </c>
      <c r="D28" s="3" t="s">
        <v>1642</v>
      </c>
      <c r="E28" s="3" t="s">
        <v>1325</v>
      </c>
      <c r="F28" s="3" t="s">
        <v>1643</v>
      </c>
      <c r="G28" s="3" t="s">
        <v>1644</v>
      </c>
      <c r="H28" s="3" t="s">
        <v>187</v>
      </c>
      <c r="I28" s="3" t="s">
        <v>944</v>
      </c>
      <c r="J28" s="3" t="s">
        <v>30</v>
      </c>
      <c r="K28" s="3" t="s">
        <v>30</v>
      </c>
      <c r="L28" s="2" t="s">
        <v>340</v>
      </c>
      <c r="M28" s="2" t="s">
        <v>47</v>
      </c>
      <c r="N28" s="3" t="s">
        <v>487</v>
      </c>
      <c r="O28" s="3" t="s">
        <v>147</v>
      </c>
      <c r="P28" s="3" t="s">
        <v>34</v>
      </c>
      <c r="Q28" s="125">
        <v>14950</v>
      </c>
      <c r="R28" s="143">
        <v>1</v>
      </c>
      <c r="S28" s="145">
        <v>30240</v>
      </c>
      <c r="T28" s="2"/>
      <c r="U28" s="125">
        <v>4520.88</v>
      </c>
      <c r="V28" s="142">
        <v>1.08E-3</v>
      </c>
      <c r="W28" s="142">
        <v>1.1068578663350001E-2</v>
      </c>
      <c r="X28" s="142">
        <v>1.56368014645367E-3</v>
      </c>
    </row>
    <row r="29" spans="1:24">
      <c r="A29" s="3">
        <v>382</v>
      </c>
      <c r="B29" s="3">
        <v>382</v>
      </c>
      <c r="C29" s="3" t="s">
        <v>1645</v>
      </c>
      <c r="D29" s="3" t="s">
        <v>1646</v>
      </c>
      <c r="E29" s="3" t="s">
        <v>1325</v>
      </c>
      <c r="F29" s="3" t="s">
        <v>1647</v>
      </c>
      <c r="G29" s="3" t="s">
        <v>1648</v>
      </c>
      <c r="H29" s="3" t="s">
        <v>187</v>
      </c>
      <c r="I29" s="3" t="s">
        <v>944</v>
      </c>
      <c r="J29" s="3" t="s">
        <v>30</v>
      </c>
      <c r="K29" s="3" t="s">
        <v>30</v>
      </c>
      <c r="L29" s="2" t="s">
        <v>340</v>
      </c>
      <c r="M29" s="2" t="s">
        <v>47</v>
      </c>
      <c r="N29" s="3" t="s">
        <v>488</v>
      </c>
      <c r="O29" s="3" t="s">
        <v>147</v>
      </c>
      <c r="P29" s="3" t="s">
        <v>34</v>
      </c>
      <c r="Q29" s="125">
        <v>16800</v>
      </c>
      <c r="R29" s="143">
        <v>1</v>
      </c>
      <c r="S29" s="145">
        <v>32170</v>
      </c>
      <c r="T29" s="2"/>
      <c r="U29" s="125">
        <v>5404.56</v>
      </c>
      <c r="V29" s="142">
        <v>1.057E-3</v>
      </c>
      <c r="W29" s="142">
        <v>1.32321135488654E-2</v>
      </c>
      <c r="X29" s="142">
        <v>1.8693270275516401E-3</v>
      </c>
    </row>
    <row r="30" spans="1:24">
      <c r="A30" s="3">
        <v>382</v>
      </c>
      <c r="B30" s="3">
        <v>382</v>
      </c>
      <c r="C30" s="3" t="s">
        <v>1649</v>
      </c>
      <c r="D30" s="3" t="s">
        <v>1650</v>
      </c>
      <c r="E30" s="3" t="s">
        <v>1325</v>
      </c>
      <c r="F30" s="3" t="s">
        <v>1651</v>
      </c>
      <c r="G30" s="3" t="s">
        <v>1652</v>
      </c>
      <c r="H30" s="3" t="s">
        <v>187</v>
      </c>
      <c r="I30" s="3" t="s">
        <v>944</v>
      </c>
      <c r="J30" s="3" t="s">
        <v>30</v>
      </c>
      <c r="K30" s="3" t="s">
        <v>30</v>
      </c>
      <c r="L30" s="2" t="s">
        <v>340</v>
      </c>
      <c r="M30" s="2" t="s">
        <v>47</v>
      </c>
      <c r="N30" s="3" t="s">
        <v>474</v>
      </c>
      <c r="O30" s="3" t="s">
        <v>147</v>
      </c>
      <c r="P30" s="3" t="s">
        <v>34</v>
      </c>
      <c r="Q30" s="125">
        <v>612206</v>
      </c>
      <c r="R30" s="143">
        <v>1</v>
      </c>
      <c r="S30" s="145">
        <v>682.4</v>
      </c>
      <c r="T30" s="124">
        <v>106.157</v>
      </c>
      <c r="U30" s="125">
        <v>4283.8509999999997</v>
      </c>
      <c r="V30" s="142">
        <v>2.1250000000000002E-3</v>
      </c>
      <c r="W30" s="142">
        <v>1.0488254485451201E-2</v>
      </c>
      <c r="X30" s="142">
        <v>1.48169659435659E-3</v>
      </c>
    </row>
    <row r="31" spans="1:24">
      <c r="A31" s="3">
        <v>382</v>
      </c>
      <c r="B31" s="3">
        <v>382</v>
      </c>
      <c r="C31" s="3" t="s">
        <v>1653</v>
      </c>
      <c r="D31" s="3" t="s">
        <v>1654</v>
      </c>
      <c r="E31" s="3" t="s">
        <v>1325</v>
      </c>
      <c r="F31" s="3" t="s">
        <v>1655</v>
      </c>
      <c r="G31" s="3" t="s">
        <v>1656</v>
      </c>
      <c r="H31" s="3" t="s">
        <v>187</v>
      </c>
      <c r="I31" s="3" t="s">
        <v>944</v>
      </c>
      <c r="J31" s="3" t="s">
        <v>30</v>
      </c>
      <c r="K31" s="3" t="s">
        <v>30</v>
      </c>
      <c r="L31" s="2" t="s">
        <v>340</v>
      </c>
      <c r="M31" s="2" t="s">
        <v>47</v>
      </c>
      <c r="N31" s="3" t="s">
        <v>487</v>
      </c>
      <c r="O31" s="3" t="s">
        <v>147</v>
      </c>
      <c r="P31" s="3" t="s">
        <v>34</v>
      </c>
      <c r="Q31" s="125">
        <v>107000</v>
      </c>
      <c r="R31" s="143">
        <v>1</v>
      </c>
      <c r="S31" s="145">
        <v>3511</v>
      </c>
      <c r="T31" s="2"/>
      <c r="U31" s="125">
        <v>3756.77</v>
      </c>
      <c r="V31" s="142">
        <v>3.8900000000000002E-4</v>
      </c>
      <c r="W31" s="142">
        <v>9.1977898694752605E-3</v>
      </c>
      <c r="X31" s="142">
        <v>1.2993900886094699E-3</v>
      </c>
    </row>
    <row r="32" spans="1:24">
      <c r="A32" s="3">
        <v>382</v>
      </c>
      <c r="B32" s="3">
        <v>382</v>
      </c>
      <c r="C32" s="3" t="s">
        <v>1657</v>
      </c>
      <c r="D32" s="3" t="s">
        <v>1658</v>
      </c>
      <c r="E32" s="3" t="s">
        <v>184</v>
      </c>
      <c r="F32" s="3" t="s">
        <v>1659</v>
      </c>
      <c r="G32" s="3" t="s">
        <v>1660</v>
      </c>
      <c r="H32" s="3" t="s">
        <v>187</v>
      </c>
      <c r="I32" s="3" t="s">
        <v>944</v>
      </c>
      <c r="J32" s="3" t="s">
        <v>94</v>
      </c>
      <c r="K32" s="3" t="s">
        <v>306</v>
      </c>
      <c r="L32" s="2" t="s">
        <v>340</v>
      </c>
      <c r="M32" s="2" t="s">
        <v>359</v>
      </c>
      <c r="N32" s="3" t="s">
        <v>560</v>
      </c>
      <c r="O32" s="3" t="s">
        <v>147</v>
      </c>
      <c r="P32" s="3" t="s">
        <v>98</v>
      </c>
      <c r="Q32" s="125">
        <v>9225</v>
      </c>
      <c r="R32" s="143">
        <v>3.718</v>
      </c>
      <c r="S32" s="145">
        <v>10274</v>
      </c>
      <c r="T32" s="2"/>
      <c r="U32" s="125">
        <v>3523.8330000000001</v>
      </c>
      <c r="V32" s="142">
        <v>6.0000000000000002E-6</v>
      </c>
      <c r="W32" s="142">
        <v>8.6274847056016096E-3</v>
      </c>
      <c r="X32" s="142">
        <v>1.2188219425726099E-3</v>
      </c>
    </row>
    <row r="33" spans="1:24">
      <c r="A33" s="3">
        <v>382</v>
      </c>
      <c r="B33" s="3">
        <v>382</v>
      </c>
      <c r="C33" s="3" t="s">
        <v>1661</v>
      </c>
      <c r="D33" s="3" t="s">
        <v>1662</v>
      </c>
      <c r="E33" s="3" t="s">
        <v>184</v>
      </c>
      <c r="F33" s="3" t="s">
        <v>1663</v>
      </c>
      <c r="G33" s="3" t="s">
        <v>1664</v>
      </c>
      <c r="H33" s="3" t="s">
        <v>187</v>
      </c>
      <c r="I33" s="3" t="s">
        <v>944</v>
      </c>
      <c r="J33" s="3" t="s">
        <v>94</v>
      </c>
      <c r="K33" s="3" t="s">
        <v>103</v>
      </c>
      <c r="L33" s="2" t="s">
        <v>340</v>
      </c>
      <c r="M33" s="2" t="s">
        <v>359</v>
      </c>
      <c r="N33" s="3" t="s">
        <v>556</v>
      </c>
      <c r="O33" s="3" t="s">
        <v>147</v>
      </c>
      <c r="P33" s="3" t="s">
        <v>98</v>
      </c>
      <c r="Q33" s="125">
        <v>23200</v>
      </c>
      <c r="R33" s="143">
        <v>3.718</v>
      </c>
      <c r="S33" s="145">
        <v>15464</v>
      </c>
      <c r="T33" s="2"/>
      <c r="U33" s="125">
        <v>13338.875</v>
      </c>
      <c r="V33" s="142">
        <v>3.9999999999999998E-6</v>
      </c>
      <c r="W33" s="142">
        <v>3.2657887433463699E-2</v>
      </c>
      <c r="X33" s="142">
        <v>4.6136447829490702E-3</v>
      </c>
    </row>
    <row r="34" spans="1:24">
      <c r="A34" s="3">
        <v>382</v>
      </c>
      <c r="B34" s="3">
        <v>382</v>
      </c>
      <c r="C34" s="3" t="s">
        <v>1665</v>
      </c>
      <c r="D34" s="3" t="s">
        <v>1666</v>
      </c>
      <c r="E34" s="3" t="s">
        <v>184</v>
      </c>
      <c r="F34" s="3" t="s">
        <v>1667</v>
      </c>
      <c r="G34" s="3" t="s">
        <v>1668</v>
      </c>
      <c r="H34" s="3" t="s">
        <v>187</v>
      </c>
      <c r="I34" s="3" t="s">
        <v>944</v>
      </c>
      <c r="J34" s="3" t="s">
        <v>94</v>
      </c>
      <c r="K34" s="3" t="s">
        <v>103</v>
      </c>
      <c r="L34" s="2" t="s">
        <v>340</v>
      </c>
      <c r="M34" s="2" t="s">
        <v>359</v>
      </c>
      <c r="N34" s="3" t="s">
        <v>512</v>
      </c>
      <c r="O34" s="3" t="s">
        <v>147</v>
      </c>
      <c r="P34" s="3" t="s">
        <v>98</v>
      </c>
      <c r="Q34" s="125">
        <v>9950</v>
      </c>
      <c r="R34" s="143">
        <v>3.718</v>
      </c>
      <c r="S34" s="145">
        <v>19026</v>
      </c>
      <c r="T34" s="2"/>
      <c r="U34" s="125">
        <v>7038.4970000000003</v>
      </c>
      <c r="V34" s="142">
        <v>9.9999999999999995E-7</v>
      </c>
      <c r="W34" s="142">
        <v>1.7232521737849799E-2</v>
      </c>
      <c r="X34" s="142">
        <v>2.43447265763495E-3</v>
      </c>
    </row>
    <row r="35" spans="1:24">
      <c r="A35" s="3">
        <v>382</v>
      </c>
      <c r="B35" s="3">
        <v>382</v>
      </c>
      <c r="C35" s="3" t="s">
        <v>1669</v>
      </c>
      <c r="D35" s="3" t="s">
        <v>1670</v>
      </c>
      <c r="E35" s="3" t="s">
        <v>184</v>
      </c>
      <c r="F35" s="3" t="s">
        <v>1671</v>
      </c>
      <c r="G35" s="3" t="s">
        <v>1672</v>
      </c>
      <c r="H35" s="3" t="s">
        <v>187</v>
      </c>
      <c r="I35" s="3" t="s">
        <v>944</v>
      </c>
      <c r="J35" s="3" t="s">
        <v>94</v>
      </c>
      <c r="K35" s="3" t="s">
        <v>103</v>
      </c>
      <c r="L35" s="2" t="s">
        <v>340</v>
      </c>
      <c r="M35" s="2" t="s">
        <v>359</v>
      </c>
      <c r="N35" s="3" t="s">
        <v>560</v>
      </c>
      <c r="O35" s="3" t="s">
        <v>147</v>
      </c>
      <c r="P35" s="3" t="s">
        <v>98</v>
      </c>
      <c r="Q35" s="125">
        <v>4677</v>
      </c>
      <c r="R35" s="143">
        <v>3.718</v>
      </c>
      <c r="S35" s="145">
        <v>66263</v>
      </c>
      <c r="T35" s="2"/>
      <c r="U35" s="125">
        <v>11522.53</v>
      </c>
      <c r="V35" s="142">
        <v>1.2E-5</v>
      </c>
      <c r="W35" s="142">
        <v>2.82108860061853E-2</v>
      </c>
      <c r="X35" s="142">
        <v>3.9854080368787502E-3</v>
      </c>
    </row>
    <row r="36" spans="1:24">
      <c r="A36" s="3">
        <v>382</v>
      </c>
      <c r="B36" s="3">
        <v>382</v>
      </c>
      <c r="C36" s="3" t="s">
        <v>1673</v>
      </c>
      <c r="D36" s="3" t="s">
        <v>1674</v>
      </c>
      <c r="E36" s="3" t="s">
        <v>184</v>
      </c>
      <c r="F36" s="3" t="s">
        <v>1675</v>
      </c>
      <c r="G36" s="3" t="s">
        <v>1676</v>
      </c>
      <c r="H36" s="3" t="s">
        <v>187</v>
      </c>
      <c r="I36" s="3" t="s">
        <v>944</v>
      </c>
      <c r="J36" s="3" t="s">
        <v>94</v>
      </c>
      <c r="K36" s="3" t="s">
        <v>103</v>
      </c>
      <c r="L36" s="2" t="s">
        <v>340</v>
      </c>
      <c r="M36" s="2" t="s">
        <v>359</v>
      </c>
      <c r="N36" s="3" t="s">
        <v>560</v>
      </c>
      <c r="O36" s="3" t="s">
        <v>147</v>
      </c>
      <c r="P36" s="3" t="s">
        <v>98</v>
      </c>
      <c r="Q36" s="125">
        <v>7750</v>
      </c>
      <c r="R36" s="143">
        <v>3.718</v>
      </c>
      <c r="S36" s="145">
        <v>16743</v>
      </c>
      <c r="T36" s="124">
        <v>4.5720000000000001</v>
      </c>
      <c r="U36" s="125">
        <v>4841.4120000000003</v>
      </c>
      <c r="V36" s="142">
        <v>1.7E-5</v>
      </c>
      <c r="W36" s="142">
        <v>1.1853345537500301E-2</v>
      </c>
      <c r="X36" s="142">
        <v>1.6745457253167101E-3</v>
      </c>
    </row>
    <row r="37" spans="1:24">
      <c r="A37" s="3">
        <v>382</v>
      </c>
      <c r="B37" s="3">
        <v>382</v>
      </c>
      <c r="C37" s="3" t="s">
        <v>1677</v>
      </c>
      <c r="D37" s="3" t="s">
        <v>1678</v>
      </c>
      <c r="E37" s="3" t="s">
        <v>1325</v>
      </c>
      <c r="F37" s="3" t="s">
        <v>1679</v>
      </c>
      <c r="G37" s="3" t="s">
        <v>1680</v>
      </c>
      <c r="H37" s="3" t="s">
        <v>187</v>
      </c>
      <c r="I37" s="3" t="s">
        <v>944</v>
      </c>
      <c r="J37" s="3" t="s">
        <v>94</v>
      </c>
      <c r="K37" s="3" t="s">
        <v>313</v>
      </c>
      <c r="L37" s="2" t="s">
        <v>340</v>
      </c>
      <c r="M37" s="2" t="s">
        <v>359</v>
      </c>
      <c r="N37" s="3" t="s">
        <v>560</v>
      </c>
      <c r="O37" s="3" t="s">
        <v>147</v>
      </c>
      <c r="P37" s="3" t="s">
        <v>98</v>
      </c>
      <c r="Q37" s="125">
        <v>28700</v>
      </c>
      <c r="R37" s="143">
        <v>3.718</v>
      </c>
      <c r="S37" s="145">
        <v>5863</v>
      </c>
      <c r="T37" s="2"/>
      <c r="U37" s="125">
        <v>6256.2079999999996</v>
      </c>
      <c r="V37" s="142">
        <v>6.6299999999999996E-4</v>
      </c>
      <c r="W37" s="142">
        <v>1.53172236196049E-2</v>
      </c>
      <c r="X37" s="142">
        <v>2.1638946789143002E-3</v>
      </c>
    </row>
    <row r="38" spans="1:24">
      <c r="A38" s="3">
        <v>382</v>
      </c>
      <c r="B38" s="3">
        <v>382</v>
      </c>
      <c r="C38" s="3" t="s">
        <v>1681</v>
      </c>
      <c r="D38" s="3" t="s">
        <v>1682</v>
      </c>
      <c r="E38" s="3" t="s">
        <v>184</v>
      </c>
      <c r="F38" s="3" t="s">
        <v>1683</v>
      </c>
      <c r="G38" s="3" t="s">
        <v>1684</v>
      </c>
      <c r="H38" s="3" t="s">
        <v>187</v>
      </c>
      <c r="I38" s="3" t="s">
        <v>944</v>
      </c>
      <c r="J38" s="3" t="s">
        <v>94</v>
      </c>
      <c r="K38" s="3" t="s">
        <v>103</v>
      </c>
      <c r="L38" s="2" t="s">
        <v>340</v>
      </c>
      <c r="M38" s="2" t="s">
        <v>359</v>
      </c>
      <c r="N38" s="3" t="s">
        <v>1685</v>
      </c>
      <c r="O38" s="3" t="s">
        <v>147</v>
      </c>
      <c r="P38" s="3" t="s">
        <v>98</v>
      </c>
      <c r="Q38" s="125">
        <v>2180</v>
      </c>
      <c r="R38" s="143">
        <v>3.718</v>
      </c>
      <c r="S38" s="145">
        <v>94578</v>
      </c>
      <c r="T38" s="2"/>
      <c r="U38" s="125">
        <v>7665.7740000000003</v>
      </c>
      <c r="V38" s="142">
        <v>5.0000000000000004E-6</v>
      </c>
      <c r="W38" s="142">
        <v>1.8768297607086998E-2</v>
      </c>
      <c r="X38" s="142">
        <v>2.6514347725703101E-3</v>
      </c>
    </row>
    <row r="39" spans="1:24">
      <c r="A39" s="3">
        <v>382</v>
      </c>
      <c r="B39" s="3">
        <v>382</v>
      </c>
      <c r="C39" s="3" t="s">
        <v>1686</v>
      </c>
      <c r="D39" s="3" t="s">
        <v>1687</v>
      </c>
      <c r="E39" s="3" t="s">
        <v>1325</v>
      </c>
      <c r="F39" s="3" t="s">
        <v>1688</v>
      </c>
      <c r="G39" s="3" t="s">
        <v>1689</v>
      </c>
      <c r="H39" s="3" t="s">
        <v>187</v>
      </c>
      <c r="I39" s="3" t="s">
        <v>944</v>
      </c>
      <c r="J39" s="3" t="s">
        <v>94</v>
      </c>
      <c r="K39" s="3" t="s">
        <v>103</v>
      </c>
      <c r="L39" s="2" t="s">
        <v>340</v>
      </c>
      <c r="M39" s="2" t="s">
        <v>357</v>
      </c>
      <c r="N39" s="3" t="s">
        <v>512</v>
      </c>
      <c r="O39" s="3" t="s">
        <v>147</v>
      </c>
      <c r="P39" s="3" t="s">
        <v>98</v>
      </c>
      <c r="Q39" s="125">
        <v>3797</v>
      </c>
      <c r="R39" s="143">
        <v>3.718</v>
      </c>
      <c r="S39" s="145">
        <v>2368</v>
      </c>
      <c r="T39" s="2"/>
      <c r="U39" s="125">
        <v>334.29599999999999</v>
      </c>
      <c r="V39" s="142">
        <v>9.7999999999999997E-5</v>
      </c>
      <c r="W39" s="142">
        <v>8.1846583792209401E-4</v>
      </c>
      <c r="X39" s="142">
        <v>1.1562629857319E-4</v>
      </c>
    </row>
    <row r="40" spans="1:24">
      <c r="A40" s="3">
        <v>382</v>
      </c>
      <c r="B40" s="3">
        <v>382</v>
      </c>
      <c r="C40" s="3" t="s">
        <v>1690</v>
      </c>
      <c r="D40" s="3" t="s">
        <v>1691</v>
      </c>
      <c r="E40" s="3" t="s">
        <v>184</v>
      </c>
      <c r="F40" s="3" t="s">
        <v>1692</v>
      </c>
      <c r="G40" s="3" t="s">
        <v>1693</v>
      </c>
      <c r="H40" s="3" t="s">
        <v>187</v>
      </c>
      <c r="I40" s="3" t="s">
        <v>944</v>
      </c>
      <c r="J40" s="3" t="s">
        <v>94</v>
      </c>
      <c r="K40" s="3" t="s">
        <v>285</v>
      </c>
      <c r="L40" s="2" t="s">
        <v>340</v>
      </c>
      <c r="M40" s="2" t="s">
        <v>383</v>
      </c>
      <c r="N40" s="3" t="s">
        <v>527</v>
      </c>
      <c r="O40" s="3" t="s">
        <v>147</v>
      </c>
      <c r="P40" s="3" t="s">
        <v>1431</v>
      </c>
      <c r="Q40" s="125">
        <v>1964</v>
      </c>
      <c r="R40" s="143">
        <v>0.47760000000000002</v>
      </c>
      <c r="S40" s="145">
        <v>16080</v>
      </c>
      <c r="T40" s="2"/>
      <c r="U40" s="125">
        <v>150.83099999999999</v>
      </c>
      <c r="V40" s="142">
        <v>9.9999999999999995E-7</v>
      </c>
      <c r="W40" s="142">
        <v>3.6928419646622301E-4</v>
      </c>
      <c r="X40" s="142">
        <v>5.2169513717722802E-5</v>
      </c>
    </row>
    <row r="41" spans="1:24">
      <c r="A41" s="3">
        <v>382</v>
      </c>
      <c r="B41" s="3">
        <v>382</v>
      </c>
      <c r="C41" s="3" t="s">
        <v>1694</v>
      </c>
      <c r="D41" s="3" t="s">
        <v>1695</v>
      </c>
      <c r="E41" s="3" t="s">
        <v>184</v>
      </c>
      <c r="F41" s="3" t="s">
        <v>1696</v>
      </c>
      <c r="G41" s="3" t="s">
        <v>1697</v>
      </c>
      <c r="H41" s="3" t="s">
        <v>187</v>
      </c>
      <c r="I41" s="3" t="s">
        <v>944</v>
      </c>
      <c r="J41" s="3" t="s">
        <v>94</v>
      </c>
      <c r="K41" s="3" t="s">
        <v>103</v>
      </c>
      <c r="L41" s="2" t="s">
        <v>340</v>
      </c>
      <c r="M41" s="2" t="s">
        <v>357</v>
      </c>
      <c r="N41" s="3" t="s">
        <v>1698</v>
      </c>
      <c r="O41" s="3" t="s">
        <v>147</v>
      </c>
      <c r="P41" s="3" t="s">
        <v>98</v>
      </c>
      <c r="Q41" s="125">
        <v>4727</v>
      </c>
      <c r="R41" s="143">
        <v>3.718</v>
      </c>
      <c r="S41" s="145">
        <v>54812</v>
      </c>
      <c r="T41" s="2"/>
      <c r="U41" s="125">
        <v>9633.2009999999991</v>
      </c>
      <c r="V41" s="142">
        <v>3.0000000000000001E-6</v>
      </c>
      <c r="W41" s="142">
        <v>2.3585197275809201E-2</v>
      </c>
      <c r="X41" s="142">
        <v>3.3319277797149599E-3</v>
      </c>
    </row>
    <row r="42" spans="1:24">
      <c r="A42" s="3">
        <v>382</v>
      </c>
      <c r="B42" s="3">
        <v>382</v>
      </c>
      <c r="C42" s="3" t="s">
        <v>1699</v>
      </c>
      <c r="D42" s="3" t="s">
        <v>1700</v>
      </c>
      <c r="E42" s="3" t="s">
        <v>184</v>
      </c>
      <c r="F42" s="3" t="s">
        <v>1701</v>
      </c>
      <c r="G42" s="3" t="s">
        <v>1702</v>
      </c>
      <c r="H42" s="3" t="s">
        <v>187</v>
      </c>
      <c r="I42" s="3" t="s">
        <v>944</v>
      </c>
      <c r="J42" s="3" t="s">
        <v>94</v>
      </c>
      <c r="K42" s="3" t="s">
        <v>103</v>
      </c>
      <c r="L42" s="2" t="s">
        <v>340</v>
      </c>
      <c r="M42" s="2" t="s">
        <v>359</v>
      </c>
      <c r="N42" s="3" t="s">
        <v>556</v>
      </c>
      <c r="O42" s="3" t="s">
        <v>147</v>
      </c>
      <c r="P42" s="3" t="s">
        <v>98</v>
      </c>
      <c r="Q42" s="125">
        <v>5540</v>
      </c>
      <c r="R42" s="143">
        <v>3.718</v>
      </c>
      <c r="S42" s="145">
        <v>37539</v>
      </c>
      <c r="T42" s="2"/>
      <c r="U42" s="125">
        <v>7732.1779999999999</v>
      </c>
      <c r="V42" s="142">
        <v>9.9999999999999995E-7</v>
      </c>
      <c r="W42" s="142">
        <v>1.8930876656408201E-2</v>
      </c>
      <c r="X42" s="142">
        <v>2.67440263857958E-3</v>
      </c>
    </row>
    <row r="43" spans="1:24">
      <c r="A43" s="3">
        <v>382</v>
      </c>
      <c r="B43" s="3">
        <v>382</v>
      </c>
      <c r="C43" s="3" t="s">
        <v>1703</v>
      </c>
      <c r="D43" s="3" t="s">
        <v>1704</v>
      </c>
      <c r="E43" s="3" t="s">
        <v>1325</v>
      </c>
      <c r="F43" s="3" t="s">
        <v>1705</v>
      </c>
      <c r="G43" s="3" t="s">
        <v>1706</v>
      </c>
      <c r="H43" s="3" t="s">
        <v>187</v>
      </c>
      <c r="I43" s="3" t="s">
        <v>944</v>
      </c>
      <c r="J43" s="3" t="s">
        <v>94</v>
      </c>
      <c r="K43" s="3" t="s">
        <v>313</v>
      </c>
      <c r="L43" s="2" t="s">
        <v>340</v>
      </c>
      <c r="M43" s="2" t="s">
        <v>359</v>
      </c>
      <c r="N43" s="3" t="s">
        <v>469</v>
      </c>
      <c r="O43" s="3" t="s">
        <v>147</v>
      </c>
      <c r="P43" s="3" t="s">
        <v>98</v>
      </c>
      <c r="Q43" s="125">
        <v>10228</v>
      </c>
      <c r="R43" s="143">
        <v>3.718</v>
      </c>
      <c r="S43" s="145">
        <v>18433</v>
      </c>
      <c r="T43" s="2"/>
      <c r="U43" s="125">
        <v>7009.6469999999999</v>
      </c>
      <c r="V43" s="142">
        <v>3.5199999999999999E-4</v>
      </c>
      <c r="W43" s="142">
        <v>1.7161885664135099E-2</v>
      </c>
      <c r="X43" s="142">
        <v>2.4244937588575499E-3</v>
      </c>
    </row>
    <row r="44" spans="1:24">
      <c r="A44" s="3">
        <v>382</v>
      </c>
      <c r="B44" s="3">
        <v>382</v>
      </c>
      <c r="C44" s="3" t="s">
        <v>1707</v>
      </c>
      <c r="D44" s="3" t="s">
        <v>1708</v>
      </c>
      <c r="E44" s="3" t="s">
        <v>184</v>
      </c>
      <c r="F44" s="3" t="s">
        <v>1709</v>
      </c>
      <c r="G44" s="3" t="s">
        <v>1710</v>
      </c>
      <c r="H44" s="3" t="s">
        <v>187</v>
      </c>
      <c r="I44" s="3" t="s">
        <v>944</v>
      </c>
      <c r="J44" s="3" t="s">
        <v>94</v>
      </c>
      <c r="K44" s="3" t="s">
        <v>103</v>
      </c>
      <c r="L44" s="2" t="s">
        <v>340</v>
      </c>
      <c r="M44" s="2" t="s">
        <v>359</v>
      </c>
      <c r="N44" s="3" t="s">
        <v>560</v>
      </c>
      <c r="O44" s="3" t="s">
        <v>147</v>
      </c>
      <c r="P44" s="3" t="s">
        <v>98</v>
      </c>
      <c r="Q44" s="125">
        <v>22110</v>
      </c>
      <c r="R44" s="143">
        <v>3.718</v>
      </c>
      <c r="S44" s="145">
        <v>10838</v>
      </c>
      <c r="T44" s="124">
        <v>0.16400000000000001</v>
      </c>
      <c r="U44" s="125">
        <v>8909.9860000000008</v>
      </c>
      <c r="V44" s="142">
        <v>9.9999999999999995E-7</v>
      </c>
      <c r="W44" s="142">
        <v>2.1814532175017599E-2</v>
      </c>
      <c r="X44" s="142">
        <v>3.0817823953492199E-3</v>
      </c>
    </row>
    <row r="45" spans="1:24">
      <c r="A45" s="3">
        <v>382</v>
      </c>
      <c r="B45" s="3">
        <v>382</v>
      </c>
      <c r="C45" s="3" t="s">
        <v>1711</v>
      </c>
      <c r="D45" s="3" t="s">
        <v>1712</v>
      </c>
      <c r="E45" s="3" t="s">
        <v>184</v>
      </c>
      <c r="F45" s="3" t="s">
        <v>1713</v>
      </c>
      <c r="G45" s="3" t="s">
        <v>1714</v>
      </c>
      <c r="H45" s="3" t="s">
        <v>187</v>
      </c>
      <c r="I45" s="3" t="s">
        <v>944</v>
      </c>
      <c r="J45" s="3" t="s">
        <v>94</v>
      </c>
      <c r="K45" s="3" t="s">
        <v>103</v>
      </c>
      <c r="L45" s="2" t="s">
        <v>340</v>
      </c>
      <c r="M45" s="2" t="s">
        <v>357</v>
      </c>
      <c r="N45" s="3" t="s">
        <v>569</v>
      </c>
      <c r="O45" s="3" t="s">
        <v>147</v>
      </c>
      <c r="P45" s="3" t="s">
        <v>98</v>
      </c>
      <c r="Q45" s="125">
        <v>41250</v>
      </c>
      <c r="R45" s="143">
        <v>3.718</v>
      </c>
      <c r="S45" s="145">
        <v>7077</v>
      </c>
      <c r="T45" s="2"/>
      <c r="U45" s="125">
        <v>10853.817999999999</v>
      </c>
      <c r="V45" s="142">
        <v>6.8000000000000005E-4</v>
      </c>
      <c r="W45" s="142">
        <v>2.6573662219295701E-2</v>
      </c>
      <c r="X45" s="142">
        <v>3.7541141726233698E-3</v>
      </c>
    </row>
    <row r="46" spans="1:24">
      <c r="A46" s="3">
        <v>382</v>
      </c>
      <c r="B46" s="3">
        <v>382</v>
      </c>
      <c r="C46" s="3" t="s">
        <v>1715</v>
      </c>
      <c r="D46" s="3" t="s">
        <v>1716</v>
      </c>
      <c r="E46" s="3" t="s">
        <v>184</v>
      </c>
      <c r="F46" s="3" t="s">
        <v>1717</v>
      </c>
      <c r="G46" s="3" t="s">
        <v>1718</v>
      </c>
      <c r="H46" s="3" t="s">
        <v>187</v>
      </c>
      <c r="I46" s="3" t="s">
        <v>944</v>
      </c>
      <c r="J46" s="3" t="s">
        <v>94</v>
      </c>
      <c r="K46" s="3" t="s">
        <v>306</v>
      </c>
      <c r="L46" s="2" t="s">
        <v>340</v>
      </c>
      <c r="M46" s="2" t="s">
        <v>393</v>
      </c>
      <c r="N46" s="3" t="s">
        <v>558</v>
      </c>
      <c r="O46" s="3" t="s">
        <v>147</v>
      </c>
      <c r="P46" s="3" t="s">
        <v>98</v>
      </c>
      <c r="Q46" s="125">
        <v>0</v>
      </c>
      <c r="R46" s="143">
        <v>3.718</v>
      </c>
      <c r="S46" s="145">
        <v>0</v>
      </c>
      <c r="T46" s="124">
        <v>7.0000000000000001E-3</v>
      </c>
      <c r="U46" s="125">
        <v>2.8000000000000001E-2</v>
      </c>
      <c r="V46" s="142">
        <v>0</v>
      </c>
      <c r="W46" s="142">
        <v>6.8089455264927995E-8</v>
      </c>
      <c r="X46" s="142">
        <v>9.6191329184075704E-9</v>
      </c>
    </row>
    <row r="47" spans="1:24">
      <c r="A47" s="3">
        <v>382</v>
      </c>
      <c r="B47" s="3">
        <v>382</v>
      </c>
      <c r="C47" s="3" t="s">
        <v>1719</v>
      </c>
      <c r="D47" s="3" t="s">
        <v>1720</v>
      </c>
      <c r="E47" s="3" t="s">
        <v>184</v>
      </c>
      <c r="F47" s="3" t="s">
        <v>1721</v>
      </c>
      <c r="G47" s="3" t="s">
        <v>1722</v>
      </c>
      <c r="H47" s="3" t="s">
        <v>187</v>
      </c>
      <c r="I47" s="3" t="s">
        <v>944</v>
      </c>
      <c r="J47" s="3" t="s">
        <v>94</v>
      </c>
      <c r="K47" s="3" t="s">
        <v>1723</v>
      </c>
      <c r="L47" s="2" t="s">
        <v>340</v>
      </c>
      <c r="M47" s="2" t="s">
        <v>357</v>
      </c>
      <c r="N47" s="3" t="s">
        <v>560</v>
      </c>
      <c r="O47" s="3" t="s">
        <v>147</v>
      </c>
      <c r="P47" s="3" t="s">
        <v>98</v>
      </c>
      <c r="Q47" s="125">
        <v>11300</v>
      </c>
      <c r="R47" s="143">
        <v>3.718</v>
      </c>
      <c r="S47" s="145">
        <v>16600</v>
      </c>
      <c r="T47" s="124">
        <v>6.1890000000000001</v>
      </c>
      <c r="U47" s="125">
        <v>6997.2349999999997</v>
      </c>
      <c r="V47" s="142">
        <v>1.9999999999999999E-6</v>
      </c>
      <c r="W47" s="142">
        <v>1.71314981959199E-2</v>
      </c>
      <c r="X47" s="142">
        <v>2.4202008607182202E-3</v>
      </c>
    </row>
    <row r="48" spans="1:24">
      <c r="A48" s="3">
        <v>382</v>
      </c>
      <c r="B48" s="3">
        <v>382</v>
      </c>
      <c r="C48" s="3" t="s">
        <v>1724</v>
      </c>
      <c r="D48" s="3" t="s">
        <v>1725</v>
      </c>
      <c r="E48" s="3" t="s">
        <v>184</v>
      </c>
      <c r="F48" s="3" t="s">
        <v>1724</v>
      </c>
      <c r="G48" s="3" t="s">
        <v>1726</v>
      </c>
      <c r="H48" s="3" t="s">
        <v>187</v>
      </c>
      <c r="I48" s="3" t="s">
        <v>944</v>
      </c>
      <c r="J48" s="3" t="s">
        <v>94</v>
      </c>
      <c r="K48" s="3" t="s">
        <v>103</v>
      </c>
      <c r="L48" s="2" t="s">
        <v>340</v>
      </c>
      <c r="M48" s="2" t="s">
        <v>359</v>
      </c>
      <c r="N48" s="3" t="s">
        <v>524</v>
      </c>
      <c r="O48" s="3" t="s">
        <v>147</v>
      </c>
      <c r="P48" s="3" t="s">
        <v>98</v>
      </c>
      <c r="Q48" s="125">
        <v>2800</v>
      </c>
      <c r="R48" s="143">
        <v>3.718</v>
      </c>
      <c r="S48" s="145">
        <v>25916</v>
      </c>
      <c r="T48" s="2"/>
      <c r="U48" s="125">
        <v>2697.9589999999998</v>
      </c>
      <c r="V48" s="142">
        <v>9.9999999999999995E-7</v>
      </c>
      <c r="W48" s="142">
        <v>6.6054782131129003E-3</v>
      </c>
      <c r="X48" s="142">
        <v>9.3316905935516301E-4</v>
      </c>
    </row>
    <row r="49" spans="1:24">
      <c r="A49" s="3">
        <v>382</v>
      </c>
      <c r="B49" s="3">
        <v>382</v>
      </c>
      <c r="C49" s="3" t="s">
        <v>1727</v>
      </c>
      <c r="D49" s="3" t="s">
        <v>1728</v>
      </c>
      <c r="E49" s="3" t="s">
        <v>184</v>
      </c>
      <c r="F49" s="3" t="s">
        <v>1729</v>
      </c>
      <c r="G49" s="3" t="s">
        <v>1730</v>
      </c>
      <c r="H49" s="3" t="s">
        <v>187</v>
      </c>
      <c r="I49" s="3" t="s">
        <v>944</v>
      </c>
      <c r="J49" s="3" t="s">
        <v>94</v>
      </c>
      <c r="K49" s="3" t="s">
        <v>103</v>
      </c>
      <c r="L49" s="2" t="s">
        <v>340</v>
      </c>
      <c r="M49" s="2" t="s">
        <v>357</v>
      </c>
      <c r="N49" s="3" t="s">
        <v>1698</v>
      </c>
      <c r="O49" s="3" t="s">
        <v>147</v>
      </c>
      <c r="P49" s="3" t="s">
        <v>98</v>
      </c>
      <c r="Q49" s="125">
        <v>7940</v>
      </c>
      <c r="R49" s="143">
        <v>3.718</v>
      </c>
      <c r="S49" s="145">
        <v>35046</v>
      </c>
      <c r="T49" s="2"/>
      <c r="U49" s="125">
        <v>10345.902</v>
      </c>
      <c r="V49" s="142">
        <v>5.0000000000000004E-6</v>
      </c>
      <c r="W49" s="142">
        <v>2.5330118463588801E-2</v>
      </c>
      <c r="X49" s="142">
        <v>3.5784362702307301E-3</v>
      </c>
    </row>
    <row r="50" spans="1:24">
      <c r="A50" s="3">
        <v>382</v>
      </c>
      <c r="B50" s="3">
        <v>7635</v>
      </c>
      <c r="C50" s="3" t="s">
        <v>1542</v>
      </c>
      <c r="D50" s="3" t="s">
        <v>1543</v>
      </c>
      <c r="E50" s="3" t="s">
        <v>1325</v>
      </c>
      <c r="F50" s="3" t="s">
        <v>1544</v>
      </c>
      <c r="G50" s="3" t="s">
        <v>1545</v>
      </c>
      <c r="H50" s="3" t="s">
        <v>187</v>
      </c>
      <c r="I50" s="3" t="s">
        <v>944</v>
      </c>
      <c r="J50" s="3" t="s">
        <v>30</v>
      </c>
      <c r="K50" s="3" t="s">
        <v>30</v>
      </c>
      <c r="L50" s="2" t="s">
        <v>340</v>
      </c>
      <c r="M50" s="2" t="s">
        <v>47</v>
      </c>
      <c r="N50" s="3" t="s">
        <v>457</v>
      </c>
      <c r="O50" s="3" t="s">
        <v>147</v>
      </c>
      <c r="P50" s="3" t="s">
        <v>34</v>
      </c>
      <c r="Q50" s="125">
        <v>15</v>
      </c>
      <c r="R50" s="143">
        <v>1</v>
      </c>
      <c r="S50" s="145">
        <v>142500</v>
      </c>
      <c r="T50" s="2"/>
      <c r="U50" s="125">
        <v>21.375</v>
      </c>
      <c r="V50" s="142">
        <v>0</v>
      </c>
      <c r="W50" s="142">
        <v>4.4103142422805199E-2</v>
      </c>
      <c r="X50" s="142">
        <v>1.1509364314898499E-3</v>
      </c>
    </row>
    <row r="51" spans="1:24">
      <c r="A51" s="3">
        <v>382</v>
      </c>
      <c r="B51" s="3">
        <v>7635</v>
      </c>
      <c r="C51" s="3" t="s">
        <v>1546</v>
      </c>
      <c r="D51" s="3" t="s">
        <v>1547</v>
      </c>
      <c r="E51" s="3" t="s">
        <v>1325</v>
      </c>
      <c r="F51" s="3" t="s">
        <v>1548</v>
      </c>
      <c r="G51" s="3" t="s">
        <v>1549</v>
      </c>
      <c r="H51" s="3" t="s">
        <v>187</v>
      </c>
      <c r="I51" s="3" t="s">
        <v>944</v>
      </c>
      <c r="J51" s="3" t="s">
        <v>30</v>
      </c>
      <c r="K51" s="3" t="s">
        <v>30</v>
      </c>
      <c r="L51" s="2" t="s">
        <v>340</v>
      </c>
      <c r="M51" s="2" t="s">
        <v>47</v>
      </c>
      <c r="N51" s="3" t="s">
        <v>475</v>
      </c>
      <c r="O51" s="3" t="s">
        <v>147</v>
      </c>
      <c r="P51" s="3" t="s">
        <v>34</v>
      </c>
      <c r="Q51" s="125">
        <v>440</v>
      </c>
      <c r="R51" s="143">
        <v>1</v>
      </c>
      <c r="S51" s="145">
        <v>2900</v>
      </c>
      <c r="T51" s="124">
        <v>9.7000000000000003E-2</v>
      </c>
      <c r="U51" s="125">
        <v>12.856999999999999</v>
      </c>
      <c r="V51" s="142">
        <v>1.9999999999999999E-6</v>
      </c>
      <c r="W51" s="142">
        <v>2.6528117541251402E-2</v>
      </c>
      <c r="X51" s="142">
        <v>6.9229028272786404E-4</v>
      </c>
    </row>
    <row r="52" spans="1:24">
      <c r="A52" s="3">
        <v>382</v>
      </c>
      <c r="B52" s="3">
        <v>7635</v>
      </c>
      <c r="C52" s="3" t="s">
        <v>1554</v>
      </c>
      <c r="D52" s="3" t="s">
        <v>1555</v>
      </c>
      <c r="E52" s="3" t="s">
        <v>1325</v>
      </c>
      <c r="F52" s="3" t="s">
        <v>1556</v>
      </c>
      <c r="G52" s="3" t="s">
        <v>1557</v>
      </c>
      <c r="H52" s="3" t="s">
        <v>187</v>
      </c>
      <c r="I52" s="3" t="s">
        <v>944</v>
      </c>
      <c r="J52" s="3" t="s">
        <v>30</v>
      </c>
      <c r="K52" s="3" t="s">
        <v>103</v>
      </c>
      <c r="L52" s="2" t="s">
        <v>340</v>
      </c>
      <c r="M52" s="2" t="s">
        <v>47</v>
      </c>
      <c r="N52" s="3" t="s">
        <v>452</v>
      </c>
      <c r="O52" s="3" t="s">
        <v>147</v>
      </c>
      <c r="P52" s="3" t="s">
        <v>34</v>
      </c>
      <c r="Q52" s="125">
        <v>96.9</v>
      </c>
      <c r="R52" s="143">
        <v>1</v>
      </c>
      <c r="S52" s="145">
        <v>5941</v>
      </c>
      <c r="T52" s="2"/>
      <c r="U52" s="125">
        <v>5.7569999999999997</v>
      </c>
      <c r="V52" s="142">
        <v>9.9999999999999995E-7</v>
      </c>
      <c r="W52" s="142">
        <v>1.18780935340695E-2</v>
      </c>
      <c r="X52" s="142">
        <v>3.0997633805648E-4</v>
      </c>
    </row>
    <row r="53" spans="1:24">
      <c r="A53" s="3">
        <v>382</v>
      </c>
      <c r="B53" s="3">
        <v>7635</v>
      </c>
      <c r="C53" s="3" t="s">
        <v>1558</v>
      </c>
      <c r="D53" s="3" t="s">
        <v>1559</v>
      </c>
      <c r="E53" s="3" t="s">
        <v>1325</v>
      </c>
      <c r="F53" s="3" t="s">
        <v>1560</v>
      </c>
      <c r="G53" s="3" t="s">
        <v>1561</v>
      </c>
      <c r="H53" s="3" t="s">
        <v>187</v>
      </c>
      <c r="I53" s="3" t="s">
        <v>944</v>
      </c>
      <c r="J53" s="3" t="s">
        <v>30</v>
      </c>
      <c r="K53" s="3" t="s">
        <v>30</v>
      </c>
      <c r="L53" s="2" t="s">
        <v>340</v>
      </c>
      <c r="M53" s="2" t="s">
        <v>47</v>
      </c>
      <c r="N53" s="3" t="s">
        <v>452</v>
      </c>
      <c r="O53" s="3" t="s">
        <v>147</v>
      </c>
      <c r="P53" s="3" t="s">
        <v>34</v>
      </c>
      <c r="Q53" s="125">
        <v>900</v>
      </c>
      <c r="R53" s="143">
        <v>1</v>
      </c>
      <c r="S53" s="145">
        <v>1013</v>
      </c>
      <c r="T53" s="124">
        <v>8.2000000000000003E-2</v>
      </c>
      <c r="U53" s="125">
        <v>9.1980000000000004</v>
      </c>
      <c r="V53" s="142">
        <v>1.9999999999999999E-6</v>
      </c>
      <c r="W53" s="142">
        <v>1.8979310202394101E-2</v>
      </c>
      <c r="X53" s="142">
        <v>4.9529304164020295E-4</v>
      </c>
    </row>
    <row r="54" spans="1:24">
      <c r="A54" s="3">
        <v>382</v>
      </c>
      <c r="B54" s="3">
        <v>7635</v>
      </c>
      <c r="C54" s="3" t="s">
        <v>1332</v>
      </c>
      <c r="D54" s="3" t="s">
        <v>1333</v>
      </c>
      <c r="E54" s="3" t="s">
        <v>1325</v>
      </c>
      <c r="F54" s="3" t="s">
        <v>1570</v>
      </c>
      <c r="G54" s="3" t="s">
        <v>1336</v>
      </c>
      <c r="H54" s="3" t="s">
        <v>187</v>
      </c>
      <c r="I54" s="3" t="s">
        <v>944</v>
      </c>
      <c r="J54" s="3" t="s">
        <v>30</v>
      </c>
      <c r="K54" s="3" t="s">
        <v>30</v>
      </c>
      <c r="L54" s="2" t="s">
        <v>340</v>
      </c>
      <c r="M54" s="2" t="s">
        <v>47</v>
      </c>
      <c r="N54" s="3" t="s">
        <v>458</v>
      </c>
      <c r="O54" s="3" t="s">
        <v>147</v>
      </c>
      <c r="P54" s="3" t="s">
        <v>34</v>
      </c>
      <c r="Q54" s="125">
        <v>28</v>
      </c>
      <c r="R54" s="143">
        <v>1</v>
      </c>
      <c r="S54" s="145">
        <v>20100</v>
      </c>
      <c r="T54" s="2"/>
      <c r="U54" s="125">
        <v>5.6280000000000001</v>
      </c>
      <c r="V54" s="142">
        <v>3.0000000000000001E-6</v>
      </c>
      <c r="W54" s="142">
        <v>1.1612280025990501E-2</v>
      </c>
      <c r="X54" s="142">
        <v>3.0303954322455498E-4</v>
      </c>
    </row>
    <row r="55" spans="1:24">
      <c r="A55" s="3">
        <v>382</v>
      </c>
      <c r="B55" s="3">
        <v>7635</v>
      </c>
      <c r="C55" s="3" t="s">
        <v>1571</v>
      </c>
      <c r="D55" s="3" t="s">
        <v>1572</v>
      </c>
      <c r="E55" s="3" t="s">
        <v>1325</v>
      </c>
      <c r="F55" s="3" t="s">
        <v>1573</v>
      </c>
      <c r="G55" s="3" t="s">
        <v>1574</v>
      </c>
      <c r="H55" s="3" t="s">
        <v>187</v>
      </c>
      <c r="I55" s="3" t="s">
        <v>944</v>
      </c>
      <c r="J55" s="3" t="s">
        <v>30</v>
      </c>
      <c r="K55" s="3" t="s">
        <v>30</v>
      </c>
      <c r="L55" s="2" t="s">
        <v>340</v>
      </c>
      <c r="M55" s="2" t="s">
        <v>47</v>
      </c>
      <c r="N55" s="3" t="s">
        <v>459</v>
      </c>
      <c r="O55" s="3" t="s">
        <v>147</v>
      </c>
      <c r="P55" s="3" t="s">
        <v>34</v>
      </c>
      <c r="Q55" s="125">
        <v>1730</v>
      </c>
      <c r="R55" s="143">
        <v>1</v>
      </c>
      <c r="S55" s="145">
        <v>2572</v>
      </c>
      <c r="T55" s="124">
        <v>0.434</v>
      </c>
      <c r="U55" s="125">
        <v>44.929000000000002</v>
      </c>
      <c r="V55" s="142">
        <v>9.9999999999999995E-7</v>
      </c>
      <c r="W55" s="142">
        <v>9.2702845233073303E-2</v>
      </c>
      <c r="X55" s="142">
        <v>2.4192172262613699E-3</v>
      </c>
    </row>
    <row r="56" spans="1:24">
      <c r="A56" s="3">
        <v>382</v>
      </c>
      <c r="B56" s="3">
        <v>7635</v>
      </c>
      <c r="C56" s="3" t="s">
        <v>1579</v>
      </c>
      <c r="D56" s="3" t="s">
        <v>1580</v>
      </c>
      <c r="E56" s="3" t="s">
        <v>1325</v>
      </c>
      <c r="F56" s="3" t="s">
        <v>1581</v>
      </c>
      <c r="G56" s="3" t="s">
        <v>1582</v>
      </c>
      <c r="H56" s="3" t="s">
        <v>187</v>
      </c>
      <c r="I56" s="3" t="s">
        <v>944</v>
      </c>
      <c r="J56" s="3" t="s">
        <v>30</v>
      </c>
      <c r="K56" s="3" t="s">
        <v>30</v>
      </c>
      <c r="L56" s="2" t="s">
        <v>340</v>
      </c>
      <c r="M56" s="2" t="s">
        <v>47</v>
      </c>
      <c r="N56" s="3" t="s">
        <v>456</v>
      </c>
      <c r="O56" s="3" t="s">
        <v>147</v>
      </c>
      <c r="P56" s="3" t="s">
        <v>34</v>
      </c>
      <c r="Q56" s="125">
        <v>340</v>
      </c>
      <c r="R56" s="143">
        <v>1</v>
      </c>
      <c r="S56" s="145">
        <v>6881</v>
      </c>
      <c r="T56" s="2"/>
      <c r="U56" s="125">
        <v>23.395</v>
      </c>
      <c r="V56" s="142">
        <v>9.9999999999999995E-7</v>
      </c>
      <c r="W56" s="142">
        <v>4.8271843660280603E-2</v>
      </c>
      <c r="X56" s="142">
        <v>1.25972482756854E-3</v>
      </c>
    </row>
    <row r="57" spans="1:24">
      <c r="A57" s="3">
        <v>382</v>
      </c>
      <c r="B57" s="3">
        <v>7635</v>
      </c>
      <c r="C57" s="3" t="s">
        <v>1583</v>
      </c>
      <c r="D57" s="3" t="s">
        <v>1584</v>
      </c>
      <c r="E57" s="3" t="s">
        <v>1325</v>
      </c>
      <c r="F57" s="3" t="s">
        <v>1585</v>
      </c>
      <c r="G57" s="3" t="s">
        <v>1586</v>
      </c>
      <c r="H57" s="3" t="s">
        <v>187</v>
      </c>
      <c r="I57" s="3" t="s">
        <v>944</v>
      </c>
      <c r="J57" s="3" t="s">
        <v>30</v>
      </c>
      <c r="K57" s="3" t="s">
        <v>103</v>
      </c>
      <c r="L57" s="2" t="s">
        <v>340</v>
      </c>
      <c r="M57" s="2" t="s">
        <v>47</v>
      </c>
      <c r="N57" s="3" t="s">
        <v>478</v>
      </c>
      <c r="O57" s="3" t="s">
        <v>147</v>
      </c>
      <c r="P57" s="3" t="s">
        <v>34</v>
      </c>
      <c r="Q57" s="125">
        <v>870</v>
      </c>
      <c r="R57" s="143">
        <v>1</v>
      </c>
      <c r="S57" s="145">
        <v>5587</v>
      </c>
      <c r="T57" s="2"/>
      <c r="U57" s="125">
        <v>48.606999999999999</v>
      </c>
      <c r="V57" s="142">
        <v>9.9999999999999995E-7</v>
      </c>
      <c r="W57" s="142">
        <v>0.100290855365195</v>
      </c>
      <c r="X57" s="142">
        <v>2.6172375219547998E-3</v>
      </c>
    </row>
    <row r="58" spans="1:24">
      <c r="A58" s="3">
        <v>382</v>
      </c>
      <c r="B58" s="3">
        <v>7635</v>
      </c>
      <c r="C58" s="3" t="s">
        <v>1595</v>
      </c>
      <c r="D58" s="3" t="s">
        <v>1596</v>
      </c>
      <c r="E58" s="3" t="s">
        <v>1325</v>
      </c>
      <c r="F58" s="3" t="s">
        <v>1597</v>
      </c>
      <c r="G58" s="3" t="s">
        <v>1598</v>
      </c>
      <c r="H58" s="3" t="s">
        <v>187</v>
      </c>
      <c r="I58" s="3" t="s">
        <v>944</v>
      </c>
      <c r="J58" s="3" t="s">
        <v>30</v>
      </c>
      <c r="K58" s="3" t="s">
        <v>30</v>
      </c>
      <c r="L58" s="2" t="s">
        <v>340</v>
      </c>
      <c r="M58" s="2" t="s">
        <v>47</v>
      </c>
      <c r="N58" s="3" t="s">
        <v>456</v>
      </c>
      <c r="O58" s="3" t="s">
        <v>147</v>
      </c>
      <c r="P58" s="3" t="s">
        <v>34</v>
      </c>
      <c r="Q58" s="125">
        <v>150</v>
      </c>
      <c r="R58" s="143">
        <v>1</v>
      </c>
      <c r="S58" s="145">
        <v>9094</v>
      </c>
      <c r="T58" s="2"/>
      <c r="U58" s="125">
        <v>13.641</v>
      </c>
      <c r="V58" s="142">
        <v>1.9999999999999999E-6</v>
      </c>
      <c r="W58" s="142">
        <v>2.8145542259157202E-2</v>
      </c>
      <c r="X58" s="142">
        <v>7.3449936196271295E-4</v>
      </c>
    </row>
    <row r="59" spans="1:24">
      <c r="A59" s="3">
        <v>382</v>
      </c>
      <c r="B59" s="3">
        <v>7635</v>
      </c>
      <c r="C59" s="3" t="s">
        <v>1180</v>
      </c>
      <c r="D59" s="3" t="s">
        <v>1599</v>
      </c>
      <c r="E59" s="3" t="s">
        <v>1325</v>
      </c>
      <c r="F59" s="3" t="s">
        <v>1600</v>
      </c>
      <c r="G59" s="3" t="s">
        <v>1601</v>
      </c>
      <c r="H59" s="3" t="s">
        <v>187</v>
      </c>
      <c r="I59" s="3" t="s">
        <v>944</v>
      </c>
      <c r="J59" s="3" t="s">
        <v>30</v>
      </c>
      <c r="K59" s="3" t="s">
        <v>30</v>
      </c>
      <c r="L59" s="2" t="s">
        <v>340</v>
      </c>
      <c r="M59" s="2" t="s">
        <v>47</v>
      </c>
      <c r="N59" s="3" t="s">
        <v>459</v>
      </c>
      <c r="O59" s="3" t="s">
        <v>147</v>
      </c>
      <c r="P59" s="3" t="s">
        <v>34</v>
      </c>
      <c r="Q59" s="125">
        <v>1124</v>
      </c>
      <c r="R59" s="143">
        <v>1</v>
      </c>
      <c r="S59" s="145">
        <v>4982</v>
      </c>
      <c r="T59" s="2"/>
      <c r="U59" s="125">
        <v>55.997999999999998</v>
      </c>
      <c r="V59" s="142">
        <v>9.9999999999999995E-7</v>
      </c>
      <c r="W59" s="142">
        <v>0.11554028801809001</v>
      </c>
      <c r="X59" s="142">
        <v>3.01519391770341E-3</v>
      </c>
    </row>
    <row r="60" spans="1:24">
      <c r="A60" s="3">
        <v>382</v>
      </c>
      <c r="B60" s="3">
        <v>7635</v>
      </c>
      <c r="C60" s="3" t="s">
        <v>1606</v>
      </c>
      <c r="D60" s="3" t="s">
        <v>1607</v>
      </c>
      <c r="E60" s="3" t="s">
        <v>1325</v>
      </c>
      <c r="F60" s="3" t="s">
        <v>1608</v>
      </c>
      <c r="G60" s="3" t="s">
        <v>1609</v>
      </c>
      <c r="H60" s="3" t="s">
        <v>187</v>
      </c>
      <c r="I60" s="3" t="s">
        <v>944</v>
      </c>
      <c r="J60" s="3" t="s">
        <v>30</v>
      </c>
      <c r="K60" s="3" t="s">
        <v>30</v>
      </c>
      <c r="L60" s="2" t="s">
        <v>340</v>
      </c>
      <c r="M60" s="2" t="s">
        <v>47</v>
      </c>
      <c r="N60" s="3" t="s">
        <v>459</v>
      </c>
      <c r="O60" s="3" t="s">
        <v>147</v>
      </c>
      <c r="P60" s="3" t="s">
        <v>34</v>
      </c>
      <c r="Q60" s="125">
        <v>124</v>
      </c>
      <c r="R60" s="143">
        <v>1</v>
      </c>
      <c r="S60" s="145">
        <v>16650</v>
      </c>
      <c r="T60" s="2"/>
      <c r="U60" s="125">
        <v>20.646000000000001</v>
      </c>
      <c r="V60" s="142">
        <v>0</v>
      </c>
      <c r="W60" s="142">
        <v>4.2598993144385297E-2</v>
      </c>
      <c r="X60" s="142">
        <v>1.11168344161588E-3</v>
      </c>
    </row>
    <row r="61" spans="1:24">
      <c r="A61" s="3">
        <v>382</v>
      </c>
      <c r="B61" s="3">
        <v>7635</v>
      </c>
      <c r="C61" s="3" t="s">
        <v>1610</v>
      </c>
      <c r="D61" s="3" t="s">
        <v>1611</v>
      </c>
      <c r="E61" s="3" t="s">
        <v>1325</v>
      </c>
      <c r="F61" s="3" t="s">
        <v>1612</v>
      </c>
      <c r="G61" s="3" t="s">
        <v>1613</v>
      </c>
      <c r="H61" s="3" t="s">
        <v>187</v>
      </c>
      <c r="I61" s="3" t="s">
        <v>944</v>
      </c>
      <c r="J61" s="3" t="s">
        <v>30</v>
      </c>
      <c r="K61" s="3" t="s">
        <v>30</v>
      </c>
      <c r="L61" s="2" t="s">
        <v>340</v>
      </c>
      <c r="M61" s="2" t="s">
        <v>47</v>
      </c>
      <c r="N61" s="3" t="s">
        <v>475</v>
      </c>
      <c r="O61" s="3" t="s">
        <v>147</v>
      </c>
      <c r="P61" s="3" t="s">
        <v>34</v>
      </c>
      <c r="Q61" s="125">
        <v>150</v>
      </c>
      <c r="R61" s="143">
        <v>1</v>
      </c>
      <c r="S61" s="145">
        <v>28940</v>
      </c>
      <c r="T61" s="124">
        <v>0.27500000000000002</v>
      </c>
      <c r="U61" s="125">
        <v>43.685000000000002</v>
      </c>
      <c r="V61" s="142">
        <v>3.0000000000000001E-6</v>
      </c>
      <c r="W61" s="142">
        <v>9.0135908229246997E-2</v>
      </c>
      <c r="X61" s="142">
        <v>2.3522292260250099E-3</v>
      </c>
    </row>
    <row r="62" spans="1:24">
      <c r="A62" s="3">
        <v>382</v>
      </c>
      <c r="B62" s="3">
        <v>7635</v>
      </c>
      <c r="C62" s="3" t="s">
        <v>1618</v>
      </c>
      <c r="D62" s="3" t="s">
        <v>1619</v>
      </c>
      <c r="E62" s="3" t="s">
        <v>327</v>
      </c>
      <c r="F62" s="3" t="s">
        <v>1620</v>
      </c>
      <c r="G62" s="3" t="s">
        <v>1621</v>
      </c>
      <c r="H62" s="3" t="s">
        <v>187</v>
      </c>
      <c r="I62" s="3" t="s">
        <v>944</v>
      </c>
      <c r="J62" s="3" t="s">
        <v>30</v>
      </c>
      <c r="K62" s="3" t="s">
        <v>103</v>
      </c>
      <c r="L62" s="2" t="s">
        <v>340</v>
      </c>
      <c r="M62" s="2" t="s">
        <v>47</v>
      </c>
      <c r="N62" s="3" t="s">
        <v>465</v>
      </c>
      <c r="O62" s="3" t="s">
        <v>147</v>
      </c>
      <c r="P62" s="3" t="s">
        <v>34</v>
      </c>
      <c r="Q62" s="125">
        <v>275</v>
      </c>
      <c r="R62" s="143">
        <v>1</v>
      </c>
      <c r="S62" s="145">
        <v>8700</v>
      </c>
      <c r="T62" s="2"/>
      <c r="U62" s="125">
        <v>23.925000000000001</v>
      </c>
      <c r="V62" s="142">
        <v>3.0000000000000001E-6</v>
      </c>
      <c r="W62" s="142">
        <v>4.9364569939911798E-2</v>
      </c>
      <c r="X62" s="142">
        <v>1.2882411285798599E-3</v>
      </c>
    </row>
    <row r="63" spans="1:24">
      <c r="A63" s="3">
        <v>382</v>
      </c>
      <c r="B63" s="3">
        <v>7635</v>
      </c>
      <c r="C63" s="3" t="s">
        <v>1633</v>
      </c>
      <c r="D63" s="3" t="s">
        <v>1634</v>
      </c>
      <c r="E63" s="3" t="s">
        <v>1325</v>
      </c>
      <c r="F63" s="3" t="s">
        <v>1635</v>
      </c>
      <c r="G63" s="3" t="s">
        <v>1636</v>
      </c>
      <c r="H63" s="3" t="s">
        <v>187</v>
      </c>
      <c r="I63" s="3" t="s">
        <v>944</v>
      </c>
      <c r="J63" s="3" t="s">
        <v>30</v>
      </c>
      <c r="K63" s="3" t="s">
        <v>30</v>
      </c>
      <c r="L63" s="2" t="s">
        <v>340</v>
      </c>
      <c r="M63" s="2" t="s">
        <v>47</v>
      </c>
      <c r="N63" s="3" t="s">
        <v>475</v>
      </c>
      <c r="O63" s="3" t="s">
        <v>147</v>
      </c>
      <c r="P63" s="3" t="s">
        <v>34</v>
      </c>
      <c r="Q63" s="125">
        <v>70</v>
      </c>
      <c r="R63" s="143">
        <v>1</v>
      </c>
      <c r="S63" s="145">
        <v>24920</v>
      </c>
      <c r="T63" s="2"/>
      <c r="U63" s="125">
        <v>17.443999999999999</v>
      </c>
      <c r="V63" s="142">
        <v>9.9999999999999995E-7</v>
      </c>
      <c r="W63" s="142">
        <v>3.5992290826826402E-2</v>
      </c>
      <c r="X63" s="142">
        <v>9.3927181805421604E-4</v>
      </c>
    </row>
    <row r="64" spans="1:24">
      <c r="A64" s="3">
        <v>382</v>
      </c>
      <c r="B64" s="3">
        <v>7635</v>
      </c>
      <c r="C64" s="3" t="s">
        <v>1637</v>
      </c>
      <c r="D64" s="3" t="s">
        <v>1638</v>
      </c>
      <c r="E64" s="3" t="s">
        <v>1325</v>
      </c>
      <c r="F64" s="3" t="s">
        <v>1639</v>
      </c>
      <c r="G64" s="3" t="s">
        <v>1640</v>
      </c>
      <c r="H64" s="3" t="s">
        <v>187</v>
      </c>
      <c r="I64" s="3" t="s">
        <v>944</v>
      </c>
      <c r="J64" s="3" t="s">
        <v>30</v>
      </c>
      <c r="K64" s="3" t="s">
        <v>30</v>
      </c>
      <c r="L64" s="2" t="s">
        <v>340</v>
      </c>
      <c r="M64" s="2" t="s">
        <v>47</v>
      </c>
      <c r="N64" s="3" t="s">
        <v>459</v>
      </c>
      <c r="O64" s="3" t="s">
        <v>147</v>
      </c>
      <c r="P64" s="3" t="s">
        <v>34</v>
      </c>
      <c r="Q64" s="125">
        <v>905</v>
      </c>
      <c r="R64" s="143">
        <v>1</v>
      </c>
      <c r="S64" s="145">
        <v>5008</v>
      </c>
      <c r="T64" s="2"/>
      <c r="U64" s="125">
        <v>45.322000000000003</v>
      </c>
      <c r="V64" s="142">
        <v>9.9999999999999995E-7</v>
      </c>
      <c r="W64" s="142">
        <v>9.3513930392671196E-2</v>
      </c>
      <c r="X64" s="142">
        <v>2.44038368760493E-3</v>
      </c>
    </row>
    <row r="65" spans="1:24">
      <c r="A65" s="3">
        <v>382</v>
      </c>
      <c r="B65" s="3">
        <v>7635</v>
      </c>
      <c r="C65" s="3" t="s">
        <v>1641</v>
      </c>
      <c r="D65" s="3" t="s">
        <v>1642</v>
      </c>
      <c r="E65" s="3" t="s">
        <v>1325</v>
      </c>
      <c r="F65" s="3" t="s">
        <v>1643</v>
      </c>
      <c r="G65" s="3" t="s">
        <v>1644</v>
      </c>
      <c r="H65" s="3" t="s">
        <v>187</v>
      </c>
      <c r="I65" s="3" t="s">
        <v>944</v>
      </c>
      <c r="J65" s="3" t="s">
        <v>30</v>
      </c>
      <c r="K65" s="3" t="s">
        <v>30</v>
      </c>
      <c r="L65" s="2" t="s">
        <v>340</v>
      </c>
      <c r="M65" s="2" t="s">
        <v>47</v>
      </c>
      <c r="N65" s="3" t="s">
        <v>487</v>
      </c>
      <c r="O65" s="3" t="s">
        <v>147</v>
      </c>
      <c r="P65" s="3" t="s">
        <v>34</v>
      </c>
      <c r="Q65" s="125">
        <v>45</v>
      </c>
      <c r="R65" s="143">
        <v>1</v>
      </c>
      <c r="S65" s="145">
        <v>30240</v>
      </c>
      <c r="T65" s="2"/>
      <c r="U65" s="125">
        <v>13.608000000000001</v>
      </c>
      <c r="V65" s="142">
        <v>3.0000000000000001E-6</v>
      </c>
      <c r="W65" s="142">
        <v>2.8077453197171101E-2</v>
      </c>
      <c r="X65" s="142">
        <v>7.3272247764742996E-4</v>
      </c>
    </row>
    <row r="66" spans="1:24">
      <c r="A66" s="3">
        <v>382</v>
      </c>
      <c r="B66" s="3">
        <v>7635</v>
      </c>
      <c r="C66" s="3" t="s">
        <v>1645</v>
      </c>
      <c r="D66" s="3" t="s">
        <v>1646</v>
      </c>
      <c r="E66" s="3" t="s">
        <v>1325</v>
      </c>
      <c r="F66" s="3" t="s">
        <v>1647</v>
      </c>
      <c r="G66" s="3" t="s">
        <v>1648</v>
      </c>
      <c r="H66" s="3" t="s">
        <v>187</v>
      </c>
      <c r="I66" s="3" t="s">
        <v>944</v>
      </c>
      <c r="J66" s="3" t="s">
        <v>30</v>
      </c>
      <c r="K66" s="3" t="s">
        <v>30</v>
      </c>
      <c r="L66" s="2" t="s">
        <v>340</v>
      </c>
      <c r="M66" s="2" t="s">
        <v>47</v>
      </c>
      <c r="N66" s="3" t="s">
        <v>488</v>
      </c>
      <c r="O66" s="3" t="s">
        <v>147</v>
      </c>
      <c r="P66" s="3" t="s">
        <v>34</v>
      </c>
      <c r="Q66" s="125">
        <v>35</v>
      </c>
      <c r="R66" s="143">
        <v>1</v>
      </c>
      <c r="S66" s="145">
        <v>32170</v>
      </c>
      <c r="T66" s="2"/>
      <c r="U66" s="125">
        <v>11.259</v>
      </c>
      <c r="V66" s="142">
        <v>1.9999999999999999E-6</v>
      </c>
      <c r="W66" s="142">
        <v>2.3231781619161399E-2</v>
      </c>
      <c r="X66" s="142">
        <v>6.0626754387648797E-4</v>
      </c>
    </row>
    <row r="67" spans="1:24">
      <c r="A67" s="3">
        <v>382</v>
      </c>
      <c r="B67" s="3">
        <v>7635</v>
      </c>
      <c r="C67" s="3" t="s">
        <v>1649</v>
      </c>
      <c r="D67" s="3" t="s">
        <v>1650</v>
      </c>
      <c r="E67" s="3" t="s">
        <v>1325</v>
      </c>
      <c r="F67" s="3" t="s">
        <v>1651</v>
      </c>
      <c r="G67" s="3" t="s">
        <v>1652</v>
      </c>
      <c r="H67" s="3" t="s">
        <v>187</v>
      </c>
      <c r="I67" s="3" t="s">
        <v>944</v>
      </c>
      <c r="J67" s="3" t="s">
        <v>30</v>
      </c>
      <c r="K67" s="3" t="s">
        <v>30</v>
      </c>
      <c r="L67" s="2" t="s">
        <v>340</v>
      </c>
      <c r="M67" s="2" t="s">
        <v>47</v>
      </c>
      <c r="N67" s="3" t="s">
        <v>474</v>
      </c>
      <c r="O67" s="3" t="s">
        <v>147</v>
      </c>
      <c r="P67" s="3" t="s">
        <v>34</v>
      </c>
      <c r="Q67" s="125">
        <v>1924</v>
      </c>
      <c r="R67" s="143">
        <v>1</v>
      </c>
      <c r="S67" s="145">
        <v>682.4</v>
      </c>
      <c r="T67" s="124">
        <v>0.32500000000000001</v>
      </c>
      <c r="U67" s="125">
        <v>13.455</v>
      </c>
      <c r="V67" s="142">
        <v>6.9999999999999999E-6</v>
      </c>
      <c r="W67" s="142">
        <v>2.7761429164139699E-2</v>
      </c>
      <c r="X67" s="142">
        <v>7.2447536524543202E-4</v>
      </c>
    </row>
    <row r="68" spans="1:24">
      <c r="A68" s="3">
        <v>382</v>
      </c>
      <c r="B68" s="3">
        <v>7635</v>
      </c>
      <c r="C68" s="3" t="s">
        <v>1653</v>
      </c>
      <c r="D68" s="3" t="s">
        <v>1654</v>
      </c>
      <c r="E68" s="3" t="s">
        <v>1325</v>
      </c>
      <c r="F68" s="3" t="s">
        <v>1655</v>
      </c>
      <c r="G68" s="3" t="s">
        <v>1656</v>
      </c>
      <c r="H68" s="3" t="s">
        <v>187</v>
      </c>
      <c r="I68" s="3" t="s">
        <v>944</v>
      </c>
      <c r="J68" s="3" t="s">
        <v>30</v>
      </c>
      <c r="K68" s="3" t="s">
        <v>30</v>
      </c>
      <c r="L68" s="2" t="s">
        <v>340</v>
      </c>
      <c r="M68" s="2" t="s">
        <v>47</v>
      </c>
      <c r="N68" s="3" t="s">
        <v>487</v>
      </c>
      <c r="O68" s="3" t="s">
        <v>147</v>
      </c>
      <c r="P68" s="3" t="s">
        <v>34</v>
      </c>
      <c r="Q68" s="125">
        <v>310</v>
      </c>
      <c r="R68" s="143">
        <v>1</v>
      </c>
      <c r="S68" s="145">
        <v>3511</v>
      </c>
      <c r="T68" s="2"/>
      <c r="U68" s="125">
        <v>10.884</v>
      </c>
      <c r="V68" s="142">
        <v>9.9999999999999995E-7</v>
      </c>
      <c r="W68" s="142">
        <v>2.2457216956447E-2</v>
      </c>
      <c r="X68" s="142">
        <v>5.8605413866566697E-4</v>
      </c>
    </row>
    <row r="69" spans="1:24">
      <c r="A69" s="3">
        <v>382</v>
      </c>
      <c r="B69" s="3">
        <v>7635</v>
      </c>
      <c r="C69" s="3" t="s">
        <v>1707</v>
      </c>
      <c r="D69" s="3" t="s">
        <v>1708</v>
      </c>
      <c r="E69" s="3" t="s">
        <v>184</v>
      </c>
      <c r="F69" s="3" t="s">
        <v>1709</v>
      </c>
      <c r="G69" s="3" t="s">
        <v>1710</v>
      </c>
      <c r="H69" s="3" t="s">
        <v>187</v>
      </c>
      <c r="I69" s="3" t="s">
        <v>944</v>
      </c>
      <c r="J69" s="3" t="s">
        <v>94</v>
      </c>
      <c r="K69" s="3" t="s">
        <v>103</v>
      </c>
      <c r="L69" s="2" t="s">
        <v>340</v>
      </c>
      <c r="M69" s="2" t="s">
        <v>359</v>
      </c>
      <c r="N69" s="3" t="s">
        <v>560</v>
      </c>
      <c r="O69" s="3" t="s">
        <v>147</v>
      </c>
      <c r="P69" s="3" t="s">
        <v>98</v>
      </c>
      <c r="Q69" s="125">
        <v>30</v>
      </c>
      <c r="R69" s="143">
        <v>3.718</v>
      </c>
      <c r="S69" s="145">
        <v>10838</v>
      </c>
      <c r="T69" s="124">
        <v>0</v>
      </c>
      <c r="U69" s="125">
        <v>12.089</v>
      </c>
      <c r="V69" s="142">
        <v>0</v>
      </c>
      <c r="W69" s="142">
        <v>2.4943988911115999E-2</v>
      </c>
      <c r="X69" s="142">
        <v>6.5095011392288303E-4</v>
      </c>
    </row>
    <row r="70" spans="1:24">
      <c r="A70" s="3">
        <v>382</v>
      </c>
      <c r="B70" s="3">
        <v>7635</v>
      </c>
      <c r="C70" s="3" t="s">
        <v>1719</v>
      </c>
      <c r="D70" s="3" t="s">
        <v>1720</v>
      </c>
      <c r="E70" s="3" t="s">
        <v>184</v>
      </c>
      <c r="F70" s="3" t="s">
        <v>1721</v>
      </c>
      <c r="G70" s="3" t="s">
        <v>1722</v>
      </c>
      <c r="H70" s="3" t="s">
        <v>187</v>
      </c>
      <c r="I70" s="3" t="s">
        <v>944</v>
      </c>
      <c r="J70" s="3" t="s">
        <v>94</v>
      </c>
      <c r="K70" s="3" t="s">
        <v>1723</v>
      </c>
      <c r="L70" s="2" t="s">
        <v>340</v>
      </c>
      <c r="M70" s="2" t="s">
        <v>357</v>
      </c>
      <c r="N70" s="3" t="s">
        <v>560</v>
      </c>
      <c r="O70" s="3" t="s">
        <v>147</v>
      </c>
      <c r="P70" s="3" t="s">
        <v>98</v>
      </c>
      <c r="Q70" s="125">
        <v>50</v>
      </c>
      <c r="R70" s="143">
        <v>3.718</v>
      </c>
      <c r="S70" s="145">
        <v>16600</v>
      </c>
      <c r="T70" s="124">
        <v>2.5999999999999999E-2</v>
      </c>
      <c r="U70" s="125">
        <v>30.954999999999998</v>
      </c>
      <c r="V70" s="142">
        <v>0</v>
      </c>
      <c r="W70" s="142">
        <v>6.3870119356616004E-2</v>
      </c>
      <c r="X70" s="142">
        <v>1.6667847961129099E-3</v>
      </c>
    </row>
    <row r="71" spans="1:24">
      <c r="A71" s="3">
        <v>382</v>
      </c>
      <c r="B71" s="3">
        <v>9479</v>
      </c>
      <c r="C71" s="3" t="s">
        <v>1542</v>
      </c>
      <c r="D71" s="3" t="s">
        <v>1543</v>
      </c>
      <c r="E71" s="3" t="s">
        <v>1325</v>
      </c>
      <c r="F71" s="3" t="s">
        <v>1544</v>
      </c>
      <c r="G71" s="3" t="s">
        <v>1545</v>
      </c>
      <c r="H71" s="3" t="s">
        <v>187</v>
      </c>
      <c r="I71" s="3" t="s">
        <v>944</v>
      </c>
      <c r="J71" s="3" t="s">
        <v>30</v>
      </c>
      <c r="K71" s="3" t="s">
        <v>30</v>
      </c>
      <c r="L71" s="2" t="s">
        <v>340</v>
      </c>
      <c r="M71" s="2" t="s">
        <v>47</v>
      </c>
      <c r="N71" s="3" t="s">
        <v>457</v>
      </c>
      <c r="O71" s="3" t="s">
        <v>147</v>
      </c>
      <c r="P71" s="3" t="s">
        <v>34</v>
      </c>
      <c r="Q71" s="125">
        <v>355</v>
      </c>
      <c r="R71" s="143">
        <v>1</v>
      </c>
      <c r="S71" s="145">
        <v>142500</v>
      </c>
      <c r="T71" s="2"/>
      <c r="U71" s="125">
        <v>505.875</v>
      </c>
      <c r="V71" s="142">
        <v>7.9999999999999996E-6</v>
      </c>
      <c r="W71" s="142">
        <v>4.45296787479421E-2</v>
      </c>
      <c r="X71" s="142">
        <v>7.07451745227765E-3</v>
      </c>
    </row>
    <row r="72" spans="1:24">
      <c r="A72" s="3">
        <v>382</v>
      </c>
      <c r="B72" s="3">
        <v>9479</v>
      </c>
      <c r="C72" s="3" t="s">
        <v>1546</v>
      </c>
      <c r="D72" s="3" t="s">
        <v>1547</v>
      </c>
      <c r="E72" s="3" t="s">
        <v>1325</v>
      </c>
      <c r="F72" s="3" t="s">
        <v>1548</v>
      </c>
      <c r="G72" s="3" t="s">
        <v>1549</v>
      </c>
      <c r="H72" s="3" t="s">
        <v>187</v>
      </c>
      <c r="I72" s="3" t="s">
        <v>944</v>
      </c>
      <c r="J72" s="3" t="s">
        <v>30</v>
      </c>
      <c r="K72" s="3" t="s">
        <v>30</v>
      </c>
      <c r="L72" s="2" t="s">
        <v>340</v>
      </c>
      <c r="M72" s="2" t="s">
        <v>47</v>
      </c>
      <c r="N72" s="3" t="s">
        <v>475</v>
      </c>
      <c r="O72" s="3" t="s">
        <v>147</v>
      </c>
      <c r="P72" s="3" t="s">
        <v>34</v>
      </c>
      <c r="Q72" s="125">
        <v>9200</v>
      </c>
      <c r="R72" s="143">
        <v>1</v>
      </c>
      <c r="S72" s="145">
        <v>2900</v>
      </c>
      <c r="T72" s="124">
        <v>2.2000000000000002</v>
      </c>
      <c r="U72" s="125">
        <v>269</v>
      </c>
      <c r="V72" s="142">
        <v>4.3000000000000002E-5</v>
      </c>
      <c r="W72" s="142">
        <v>2.3678697935966501E-2</v>
      </c>
      <c r="X72" s="142">
        <v>3.76188121058357E-3</v>
      </c>
    </row>
    <row r="73" spans="1:24">
      <c r="A73" s="3">
        <v>382</v>
      </c>
      <c r="B73" s="3">
        <v>9479</v>
      </c>
      <c r="C73" s="3" t="s">
        <v>1550</v>
      </c>
      <c r="D73" s="3" t="s">
        <v>1551</v>
      </c>
      <c r="E73" s="3" t="s">
        <v>1325</v>
      </c>
      <c r="F73" s="3" t="s">
        <v>1552</v>
      </c>
      <c r="G73" s="3" t="s">
        <v>1553</v>
      </c>
      <c r="H73" s="3" t="s">
        <v>187</v>
      </c>
      <c r="I73" s="3" t="s">
        <v>944</v>
      </c>
      <c r="J73" s="3" t="s">
        <v>30</v>
      </c>
      <c r="K73" s="3" t="s">
        <v>30</v>
      </c>
      <c r="L73" s="2" t="s">
        <v>340</v>
      </c>
      <c r="M73" s="2" t="s">
        <v>47</v>
      </c>
      <c r="N73" s="3" t="s">
        <v>475</v>
      </c>
      <c r="O73" s="3" t="s">
        <v>147</v>
      </c>
      <c r="P73" s="3" t="s">
        <v>34</v>
      </c>
      <c r="Q73" s="125">
        <v>8400</v>
      </c>
      <c r="R73" s="143">
        <v>1</v>
      </c>
      <c r="S73" s="145">
        <v>1796</v>
      </c>
      <c r="T73" s="2"/>
      <c r="U73" s="125">
        <v>150.864</v>
      </c>
      <c r="V73" s="142">
        <v>1.8E-5</v>
      </c>
      <c r="W73" s="142">
        <v>1.32798131052721E-2</v>
      </c>
      <c r="X73" s="142">
        <v>2.10978996969689E-3</v>
      </c>
    </row>
    <row r="74" spans="1:24">
      <c r="A74" s="3">
        <v>382</v>
      </c>
      <c r="B74" s="3">
        <v>9479</v>
      </c>
      <c r="C74" s="3" t="s">
        <v>1554</v>
      </c>
      <c r="D74" s="3" t="s">
        <v>1555</v>
      </c>
      <c r="E74" s="3" t="s">
        <v>1325</v>
      </c>
      <c r="F74" s="3" t="s">
        <v>1556</v>
      </c>
      <c r="G74" s="3" t="s">
        <v>1557</v>
      </c>
      <c r="H74" s="3" t="s">
        <v>187</v>
      </c>
      <c r="I74" s="3" t="s">
        <v>944</v>
      </c>
      <c r="J74" s="3" t="s">
        <v>30</v>
      </c>
      <c r="K74" s="3" t="s">
        <v>103</v>
      </c>
      <c r="L74" s="2" t="s">
        <v>340</v>
      </c>
      <c r="M74" s="2" t="s">
        <v>47</v>
      </c>
      <c r="N74" s="3" t="s">
        <v>452</v>
      </c>
      <c r="O74" s="3" t="s">
        <v>147</v>
      </c>
      <c r="P74" s="3" t="s">
        <v>34</v>
      </c>
      <c r="Q74" s="125">
        <v>3794.1</v>
      </c>
      <c r="R74" s="143">
        <v>1</v>
      </c>
      <c r="S74" s="145">
        <v>5941</v>
      </c>
      <c r="T74" s="2"/>
      <c r="U74" s="125">
        <v>225.40700000000001</v>
      </c>
      <c r="V74" s="142">
        <v>3.1999999999999999E-5</v>
      </c>
      <c r="W74" s="142">
        <v>1.98415077169516E-2</v>
      </c>
      <c r="X74" s="142">
        <v>3.1522592699944501E-3</v>
      </c>
    </row>
    <row r="75" spans="1:24">
      <c r="A75" s="3">
        <v>382</v>
      </c>
      <c r="B75" s="3">
        <v>9479</v>
      </c>
      <c r="C75" s="3" t="s">
        <v>1558</v>
      </c>
      <c r="D75" s="3" t="s">
        <v>1559</v>
      </c>
      <c r="E75" s="3" t="s">
        <v>1325</v>
      </c>
      <c r="F75" s="3" t="s">
        <v>1560</v>
      </c>
      <c r="G75" s="3" t="s">
        <v>1561</v>
      </c>
      <c r="H75" s="3" t="s">
        <v>187</v>
      </c>
      <c r="I75" s="3" t="s">
        <v>944</v>
      </c>
      <c r="J75" s="3" t="s">
        <v>30</v>
      </c>
      <c r="K75" s="3" t="s">
        <v>30</v>
      </c>
      <c r="L75" s="2" t="s">
        <v>340</v>
      </c>
      <c r="M75" s="2" t="s">
        <v>47</v>
      </c>
      <c r="N75" s="3" t="s">
        <v>452</v>
      </c>
      <c r="O75" s="3" t="s">
        <v>147</v>
      </c>
      <c r="P75" s="3" t="s">
        <v>34</v>
      </c>
      <c r="Q75" s="125">
        <v>20520</v>
      </c>
      <c r="R75" s="143">
        <v>1</v>
      </c>
      <c r="S75" s="145">
        <v>1013</v>
      </c>
      <c r="T75" s="124">
        <v>2.0430000000000001</v>
      </c>
      <c r="U75" s="125">
        <v>209.911</v>
      </c>
      <c r="V75" s="142">
        <v>3.6999999999999998E-5</v>
      </c>
      <c r="W75" s="142">
        <v>1.8477437803068299E-2</v>
      </c>
      <c r="X75" s="142">
        <v>2.9355468057856199E-3</v>
      </c>
    </row>
    <row r="76" spans="1:24">
      <c r="A76" s="3">
        <v>382</v>
      </c>
      <c r="B76" s="3">
        <v>9479</v>
      </c>
      <c r="C76" s="3" t="s">
        <v>1562</v>
      </c>
      <c r="D76" s="3" t="s">
        <v>1563</v>
      </c>
      <c r="E76" s="3" t="s">
        <v>1325</v>
      </c>
      <c r="F76" s="3" t="s">
        <v>1564</v>
      </c>
      <c r="G76" s="3" t="s">
        <v>1565</v>
      </c>
      <c r="H76" s="3" t="s">
        <v>187</v>
      </c>
      <c r="I76" s="3" t="s">
        <v>944</v>
      </c>
      <c r="J76" s="3" t="s">
        <v>30</v>
      </c>
      <c r="K76" s="3" t="s">
        <v>30</v>
      </c>
      <c r="L76" s="2" t="s">
        <v>340</v>
      </c>
      <c r="M76" s="2" t="s">
        <v>47</v>
      </c>
      <c r="N76" s="3" t="s">
        <v>496</v>
      </c>
      <c r="O76" s="3" t="s">
        <v>147</v>
      </c>
      <c r="P76" s="3" t="s">
        <v>34</v>
      </c>
      <c r="Q76" s="125">
        <v>69325</v>
      </c>
      <c r="R76" s="143">
        <v>1</v>
      </c>
      <c r="S76" s="145">
        <v>546.6</v>
      </c>
      <c r="T76" s="2"/>
      <c r="U76" s="125">
        <v>378.93</v>
      </c>
      <c r="V76" s="142">
        <v>2.5000000000000001E-5</v>
      </c>
      <c r="W76" s="142">
        <v>3.3355376735978597E-2</v>
      </c>
      <c r="X76" s="142">
        <v>5.2992341620448202E-3</v>
      </c>
    </row>
    <row r="77" spans="1:24">
      <c r="A77" s="3">
        <v>382</v>
      </c>
      <c r="B77" s="3">
        <v>9479</v>
      </c>
      <c r="C77" s="3" t="s">
        <v>1332</v>
      </c>
      <c r="D77" s="3" t="s">
        <v>1333</v>
      </c>
      <c r="E77" s="3" t="s">
        <v>1325</v>
      </c>
      <c r="F77" s="3" t="s">
        <v>1570</v>
      </c>
      <c r="G77" s="3" t="s">
        <v>1336</v>
      </c>
      <c r="H77" s="3" t="s">
        <v>187</v>
      </c>
      <c r="I77" s="3" t="s">
        <v>944</v>
      </c>
      <c r="J77" s="3" t="s">
        <v>30</v>
      </c>
      <c r="K77" s="3" t="s">
        <v>30</v>
      </c>
      <c r="L77" s="2" t="s">
        <v>340</v>
      </c>
      <c r="M77" s="2" t="s">
        <v>47</v>
      </c>
      <c r="N77" s="3" t="s">
        <v>458</v>
      </c>
      <c r="O77" s="3" t="s">
        <v>147</v>
      </c>
      <c r="P77" s="3" t="s">
        <v>34</v>
      </c>
      <c r="Q77" s="125">
        <v>296</v>
      </c>
      <c r="R77" s="143">
        <v>1</v>
      </c>
      <c r="S77" s="145">
        <v>20100</v>
      </c>
      <c r="T77" s="2"/>
      <c r="U77" s="125">
        <v>59.496000000000002</v>
      </c>
      <c r="V77" s="142">
        <v>3.3000000000000003E-5</v>
      </c>
      <c r="W77" s="142">
        <v>5.2371391485793199E-3</v>
      </c>
      <c r="X77" s="142">
        <v>8.3203457443184795E-4</v>
      </c>
    </row>
    <row r="78" spans="1:24">
      <c r="A78" s="3">
        <v>382</v>
      </c>
      <c r="B78" s="3">
        <v>9479</v>
      </c>
      <c r="C78" s="3" t="s">
        <v>1571</v>
      </c>
      <c r="D78" s="3" t="s">
        <v>1572</v>
      </c>
      <c r="E78" s="3" t="s">
        <v>1325</v>
      </c>
      <c r="F78" s="3" t="s">
        <v>1573</v>
      </c>
      <c r="G78" s="3" t="s">
        <v>1574</v>
      </c>
      <c r="H78" s="3" t="s">
        <v>187</v>
      </c>
      <c r="I78" s="3" t="s">
        <v>944</v>
      </c>
      <c r="J78" s="3" t="s">
        <v>30</v>
      </c>
      <c r="K78" s="3" t="s">
        <v>30</v>
      </c>
      <c r="L78" s="2" t="s">
        <v>340</v>
      </c>
      <c r="M78" s="2" t="s">
        <v>47</v>
      </c>
      <c r="N78" s="3" t="s">
        <v>459</v>
      </c>
      <c r="O78" s="3" t="s">
        <v>147</v>
      </c>
      <c r="P78" s="3" t="s">
        <v>34</v>
      </c>
      <c r="Q78" s="125">
        <v>21834</v>
      </c>
      <c r="R78" s="143">
        <v>1</v>
      </c>
      <c r="S78" s="145">
        <v>2572</v>
      </c>
      <c r="T78" s="124">
        <v>5.5720000000000001</v>
      </c>
      <c r="U78" s="125">
        <v>567.14300000000003</v>
      </c>
      <c r="V78" s="142">
        <v>1.8E-5</v>
      </c>
      <c r="W78" s="142">
        <v>4.9922789505661001E-2</v>
      </c>
      <c r="X78" s="142">
        <v>7.9313315423481297E-3</v>
      </c>
    </row>
    <row r="79" spans="1:24">
      <c r="A79" s="3">
        <v>382</v>
      </c>
      <c r="B79" s="3">
        <v>9479</v>
      </c>
      <c r="C79" s="3" t="s">
        <v>1575</v>
      </c>
      <c r="D79" s="3" t="s">
        <v>1576</v>
      </c>
      <c r="E79" s="3" t="s">
        <v>1325</v>
      </c>
      <c r="F79" s="3" t="s">
        <v>1577</v>
      </c>
      <c r="G79" s="3" t="s">
        <v>1578</v>
      </c>
      <c r="H79" s="3" t="s">
        <v>187</v>
      </c>
      <c r="I79" s="3" t="s">
        <v>944</v>
      </c>
      <c r="J79" s="3" t="s">
        <v>30</v>
      </c>
      <c r="K79" s="3" t="s">
        <v>30</v>
      </c>
      <c r="L79" s="2" t="s">
        <v>340</v>
      </c>
      <c r="M79" s="2" t="s">
        <v>47</v>
      </c>
      <c r="N79" s="3" t="s">
        <v>458</v>
      </c>
      <c r="O79" s="3" t="s">
        <v>147</v>
      </c>
      <c r="P79" s="3" t="s">
        <v>34</v>
      </c>
      <c r="Q79" s="125">
        <v>553</v>
      </c>
      <c r="R79" s="143">
        <v>1</v>
      </c>
      <c r="S79" s="145">
        <v>30010</v>
      </c>
      <c r="T79" s="2"/>
      <c r="U79" s="125">
        <v>165.95500000000001</v>
      </c>
      <c r="V79" s="142">
        <v>2.5999999999999998E-5</v>
      </c>
      <c r="W79" s="142">
        <v>1.4608225738608101E-2</v>
      </c>
      <c r="X79" s="142">
        <v>2.32083749176768E-3</v>
      </c>
    </row>
    <row r="80" spans="1:24">
      <c r="A80" s="3">
        <v>382</v>
      </c>
      <c r="B80" s="3">
        <v>9479</v>
      </c>
      <c r="C80" s="3" t="s">
        <v>1579</v>
      </c>
      <c r="D80" s="3" t="s">
        <v>1580</v>
      </c>
      <c r="E80" s="3" t="s">
        <v>1325</v>
      </c>
      <c r="F80" s="3" t="s">
        <v>1581</v>
      </c>
      <c r="G80" s="3" t="s">
        <v>1582</v>
      </c>
      <c r="H80" s="3" t="s">
        <v>187</v>
      </c>
      <c r="I80" s="3" t="s">
        <v>944</v>
      </c>
      <c r="J80" s="3" t="s">
        <v>30</v>
      </c>
      <c r="K80" s="3" t="s">
        <v>30</v>
      </c>
      <c r="L80" s="2" t="s">
        <v>340</v>
      </c>
      <c r="M80" s="2" t="s">
        <v>47</v>
      </c>
      <c r="N80" s="3" t="s">
        <v>456</v>
      </c>
      <c r="O80" s="3" t="s">
        <v>147</v>
      </c>
      <c r="P80" s="3" t="s">
        <v>34</v>
      </c>
      <c r="Q80" s="125">
        <v>2895</v>
      </c>
      <c r="R80" s="143">
        <v>1</v>
      </c>
      <c r="S80" s="145">
        <v>6881</v>
      </c>
      <c r="T80" s="2"/>
      <c r="U80" s="125">
        <v>199.20500000000001</v>
      </c>
      <c r="V80" s="142">
        <v>1.1E-5</v>
      </c>
      <c r="W80" s="142">
        <v>1.75350282747712E-2</v>
      </c>
      <c r="X80" s="142">
        <v>2.7858243545442998E-3</v>
      </c>
    </row>
    <row r="81" spans="1:24">
      <c r="A81" s="3">
        <v>382</v>
      </c>
      <c r="B81" s="3">
        <v>9479</v>
      </c>
      <c r="C81" s="3" t="s">
        <v>1731</v>
      </c>
      <c r="D81" s="3" t="s">
        <v>1732</v>
      </c>
      <c r="E81" s="3" t="s">
        <v>1325</v>
      </c>
      <c r="F81" s="3" t="s">
        <v>1733</v>
      </c>
      <c r="G81" s="3" t="s">
        <v>1734</v>
      </c>
      <c r="H81" s="3" t="s">
        <v>187</v>
      </c>
      <c r="I81" s="3" t="s">
        <v>944</v>
      </c>
      <c r="J81" s="3" t="s">
        <v>30</v>
      </c>
      <c r="K81" s="3" t="s">
        <v>30</v>
      </c>
      <c r="L81" s="2" t="s">
        <v>340</v>
      </c>
      <c r="M81" s="2" t="s">
        <v>47</v>
      </c>
      <c r="N81" s="3" t="s">
        <v>458</v>
      </c>
      <c r="O81" s="3" t="s">
        <v>147</v>
      </c>
      <c r="P81" s="3" t="s">
        <v>34</v>
      </c>
      <c r="Q81" s="125">
        <v>11500</v>
      </c>
      <c r="R81" s="143">
        <v>1</v>
      </c>
      <c r="S81" s="145">
        <v>1708</v>
      </c>
      <c r="T81" s="2"/>
      <c r="U81" s="125">
        <v>196.42</v>
      </c>
      <c r="V81" s="142">
        <v>1.85E-4</v>
      </c>
      <c r="W81" s="142">
        <v>1.7289882875553799E-2</v>
      </c>
      <c r="X81" s="142">
        <v>2.7468776238722499E-3</v>
      </c>
    </row>
    <row r="82" spans="1:24">
      <c r="A82" s="3">
        <v>382</v>
      </c>
      <c r="B82" s="3">
        <v>9479</v>
      </c>
      <c r="C82" s="3" t="s">
        <v>1583</v>
      </c>
      <c r="D82" s="3" t="s">
        <v>1584</v>
      </c>
      <c r="E82" s="3" t="s">
        <v>1325</v>
      </c>
      <c r="F82" s="3" t="s">
        <v>1585</v>
      </c>
      <c r="G82" s="3" t="s">
        <v>1586</v>
      </c>
      <c r="H82" s="3" t="s">
        <v>187</v>
      </c>
      <c r="I82" s="3" t="s">
        <v>944</v>
      </c>
      <c r="J82" s="3" t="s">
        <v>30</v>
      </c>
      <c r="K82" s="3" t="s">
        <v>103</v>
      </c>
      <c r="L82" s="2" t="s">
        <v>340</v>
      </c>
      <c r="M82" s="2" t="s">
        <v>47</v>
      </c>
      <c r="N82" s="3" t="s">
        <v>478</v>
      </c>
      <c r="O82" s="3" t="s">
        <v>147</v>
      </c>
      <c r="P82" s="3" t="s">
        <v>34</v>
      </c>
      <c r="Q82" s="125">
        <v>6905</v>
      </c>
      <c r="R82" s="143">
        <v>1</v>
      </c>
      <c r="S82" s="145">
        <v>5587</v>
      </c>
      <c r="T82" s="2"/>
      <c r="U82" s="125">
        <v>385.78199999999998</v>
      </c>
      <c r="V82" s="142">
        <v>6.0000000000000002E-6</v>
      </c>
      <c r="W82" s="142">
        <v>3.3958515665186401E-2</v>
      </c>
      <c r="X82" s="142">
        <v>5.3950560273895399E-3</v>
      </c>
    </row>
    <row r="83" spans="1:24">
      <c r="A83" s="3">
        <v>382</v>
      </c>
      <c r="B83" s="3">
        <v>9479</v>
      </c>
      <c r="C83" s="3" t="s">
        <v>1587</v>
      </c>
      <c r="D83" s="3" t="s">
        <v>1588</v>
      </c>
      <c r="E83" s="3" t="s">
        <v>1325</v>
      </c>
      <c r="F83" s="3" t="s">
        <v>1589</v>
      </c>
      <c r="G83" s="3" t="s">
        <v>1590</v>
      </c>
      <c r="H83" s="3" t="s">
        <v>187</v>
      </c>
      <c r="I83" s="3" t="s">
        <v>944</v>
      </c>
      <c r="J83" s="3" t="s">
        <v>30</v>
      </c>
      <c r="K83" s="3" t="s">
        <v>30</v>
      </c>
      <c r="L83" s="2" t="s">
        <v>340</v>
      </c>
      <c r="M83" s="2" t="s">
        <v>47</v>
      </c>
      <c r="N83" s="3" t="s">
        <v>487</v>
      </c>
      <c r="O83" s="3" t="s">
        <v>147</v>
      </c>
      <c r="P83" s="3" t="s">
        <v>34</v>
      </c>
      <c r="Q83" s="125">
        <v>3750</v>
      </c>
      <c r="R83" s="143">
        <v>1</v>
      </c>
      <c r="S83" s="145">
        <v>443.7</v>
      </c>
      <c r="T83" s="2"/>
      <c r="U83" s="125">
        <v>16.638999999999999</v>
      </c>
      <c r="V83" s="142">
        <v>3.0000000000000001E-5</v>
      </c>
      <c r="W83" s="142">
        <v>1.4646270170839101E-3</v>
      </c>
      <c r="X83" s="142">
        <v>2.3268816853785001E-4</v>
      </c>
    </row>
    <row r="84" spans="1:24">
      <c r="A84" s="3">
        <v>382</v>
      </c>
      <c r="B84" s="3">
        <v>9479</v>
      </c>
      <c r="C84" s="3" t="s">
        <v>1591</v>
      </c>
      <c r="D84" s="3" t="s">
        <v>1592</v>
      </c>
      <c r="E84" s="3" t="s">
        <v>1325</v>
      </c>
      <c r="F84" s="3" t="s">
        <v>1593</v>
      </c>
      <c r="G84" s="3" t="s">
        <v>1594</v>
      </c>
      <c r="H84" s="3" t="s">
        <v>187</v>
      </c>
      <c r="I84" s="3" t="s">
        <v>944</v>
      </c>
      <c r="J84" s="3" t="s">
        <v>30</v>
      </c>
      <c r="K84" s="3" t="s">
        <v>30</v>
      </c>
      <c r="L84" s="2" t="s">
        <v>340</v>
      </c>
      <c r="M84" s="2" t="s">
        <v>47</v>
      </c>
      <c r="N84" s="3" t="s">
        <v>458</v>
      </c>
      <c r="O84" s="3" t="s">
        <v>147</v>
      </c>
      <c r="P84" s="3" t="s">
        <v>34</v>
      </c>
      <c r="Q84" s="125">
        <v>10800</v>
      </c>
      <c r="R84" s="143">
        <v>1</v>
      </c>
      <c r="S84" s="145">
        <v>1157</v>
      </c>
      <c r="T84" s="2"/>
      <c r="U84" s="125">
        <v>124.956</v>
      </c>
      <c r="V84" s="142">
        <v>3.3000000000000003E-5</v>
      </c>
      <c r="W84" s="142">
        <v>1.0999259772923899E-2</v>
      </c>
      <c r="X84" s="142">
        <v>1.7474739861958099E-3</v>
      </c>
    </row>
    <row r="85" spans="1:24">
      <c r="A85" s="3">
        <v>382</v>
      </c>
      <c r="B85" s="3">
        <v>9479</v>
      </c>
      <c r="C85" s="3" t="s">
        <v>1595</v>
      </c>
      <c r="D85" s="3" t="s">
        <v>1596</v>
      </c>
      <c r="E85" s="3" t="s">
        <v>1325</v>
      </c>
      <c r="F85" s="3" t="s">
        <v>1597</v>
      </c>
      <c r="G85" s="3" t="s">
        <v>1598</v>
      </c>
      <c r="H85" s="3" t="s">
        <v>187</v>
      </c>
      <c r="I85" s="3" t="s">
        <v>944</v>
      </c>
      <c r="J85" s="3" t="s">
        <v>30</v>
      </c>
      <c r="K85" s="3" t="s">
        <v>30</v>
      </c>
      <c r="L85" s="2" t="s">
        <v>340</v>
      </c>
      <c r="M85" s="2" t="s">
        <v>47</v>
      </c>
      <c r="N85" s="3" t="s">
        <v>456</v>
      </c>
      <c r="O85" s="3" t="s">
        <v>147</v>
      </c>
      <c r="P85" s="3" t="s">
        <v>34</v>
      </c>
      <c r="Q85" s="125">
        <v>3600</v>
      </c>
      <c r="R85" s="143">
        <v>1</v>
      </c>
      <c r="S85" s="145">
        <v>9094</v>
      </c>
      <c r="T85" s="2"/>
      <c r="U85" s="125">
        <v>327.38400000000001</v>
      </c>
      <c r="V85" s="142">
        <v>4.5000000000000003E-5</v>
      </c>
      <c r="W85" s="142">
        <v>2.88179972270152E-2</v>
      </c>
      <c r="X85" s="142">
        <v>4.5783717748385799E-3</v>
      </c>
    </row>
    <row r="86" spans="1:24">
      <c r="A86" s="3">
        <v>382</v>
      </c>
      <c r="B86" s="3">
        <v>9479</v>
      </c>
      <c r="C86" s="3" t="s">
        <v>1180</v>
      </c>
      <c r="D86" s="3" t="s">
        <v>1599</v>
      </c>
      <c r="E86" s="3" t="s">
        <v>1325</v>
      </c>
      <c r="F86" s="3" t="s">
        <v>1600</v>
      </c>
      <c r="G86" s="3" t="s">
        <v>1601</v>
      </c>
      <c r="H86" s="3" t="s">
        <v>187</v>
      </c>
      <c r="I86" s="3" t="s">
        <v>944</v>
      </c>
      <c r="J86" s="3" t="s">
        <v>30</v>
      </c>
      <c r="K86" s="3" t="s">
        <v>30</v>
      </c>
      <c r="L86" s="2" t="s">
        <v>340</v>
      </c>
      <c r="M86" s="2" t="s">
        <v>47</v>
      </c>
      <c r="N86" s="3" t="s">
        <v>459</v>
      </c>
      <c r="O86" s="3" t="s">
        <v>147</v>
      </c>
      <c r="P86" s="3" t="s">
        <v>34</v>
      </c>
      <c r="Q86" s="125">
        <v>17810</v>
      </c>
      <c r="R86" s="143">
        <v>1</v>
      </c>
      <c r="S86" s="145">
        <v>4982</v>
      </c>
      <c r="T86" s="2"/>
      <c r="U86" s="125">
        <v>887.29399999999998</v>
      </c>
      <c r="V86" s="142">
        <v>1.1E-5</v>
      </c>
      <c r="W86" s="142">
        <v>7.8104127859475805E-2</v>
      </c>
      <c r="X86" s="142">
        <v>1.2408556072556901E-2</v>
      </c>
    </row>
    <row r="87" spans="1:24">
      <c r="A87" s="3">
        <v>382</v>
      </c>
      <c r="B87" s="3">
        <v>9479</v>
      </c>
      <c r="C87" s="3" t="s">
        <v>1602</v>
      </c>
      <c r="D87" s="3" t="s">
        <v>1603</v>
      </c>
      <c r="E87" s="3" t="s">
        <v>1325</v>
      </c>
      <c r="F87" s="3" t="s">
        <v>1604</v>
      </c>
      <c r="G87" s="3" t="s">
        <v>1605</v>
      </c>
      <c r="H87" s="3" t="s">
        <v>187</v>
      </c>
      <c r="I87" s="3" t="s">
        <v>944</v>
      </c>
      <c r="J87" s="3" t="s">
        <v>30</v>
      </c>
      <c r="K87" s="3" t="s">
        <v>30</v>
      </c>
      <c r="L87" s="2" t="s">
        <v>340</v>
      </c>
      <c r="M87" s="2" t="s">
        <v>47</v>
      </c>
      <c r="N87" s="3" t="s">
        <v>490</v>
      </c>
      <c r="O87" s="3" t="s">
        <v>147</v>
      </c>
      <c r="P87" s="3" t="s">
        <v>34</v>
      </c>
      <c r="Q87" s="125">
        <v>3000</v>
      </c>
      <c r="R87" s="143">
        <v>1</v>
      </c>
      <c r="S87" s="145">
        <v>1483</v>
      </c>
      <c r="T87" s="2"/>
      <c r="U87" s="125">
        <v>44.49</v>
      </c>
      <c r="V87" s="142">
        <v>4.1999999999999998E-5</v>
      </c>
      <c r="W87" s="142">
        <v>3.9162350531177599E-3</v>
      </c>
      <c r="X87" s="142">
        <v>6.2217994850868798E-4</v>
      </c>
    </row>
    <row r="88" spans="1:24">
      <c r="A88" s="3">
        <v>382</v>
      </c>
      <c r="B88" s="3">
        <v>9479</v>
      </c>
      <c r="C88" s="3" t="s">
        <v>1606</v>
      </c>
      <c r="D88" s="3" t="s">
        <v>1607</v>
      </c>
      <c r="E88" s="3" t="s">
        <v>1325</v>
      </c>
      <c r="F88" s="3" t="s">
        <v>1608</v>
      </c>
      <c r="G88" s="3" t="s">
        <v>1609</v>
      </c>
      <c r="H88" s="3" t="s">
        <v>187</v>
      </c>
      <c r="I88" s="3" t="s">
        <v>944</v>
      </c>
      <c r="J88" s="3" t="s">
        <v>30</v>
      </c>
      <c r="K88" s="3" t="s">
        <v>30</v>
      </c>
      <c r="L88" s="2" t="s">
        <v>340</v>
      </c>
      <c r="M88" s="2" t="s">
        <v>47</v>
      </c>
      <c r="N88" s="3" t="s">
        <v>459</v>
      </c>
      <c r="O88" s="3" t="s">
        <v>147</v>
      </c>
      <c r="P88" s="3" t="s">
        <v>34</v>
      </c>
      <c r="Q88" s="125">
        <v>1972</v>
      </c>
      <c r="R88" s="143">
        <v>1</v>
      </c>
      <c r="S88" s="145">
        <v>16650</v>
      </c>
      <c r="T88" s="2"/>
      <c r="U88" s="125">
        <v>328.33800000000002</v>
      </c>
      <c r="V88" s="142">
        <v>7.9999999999999996E-6</v>
      </c>
      <c r="W88" s="142">
        <v>2.8901973137122498E-2</v>
      </c>
      <c r="X88" s="142">
        <v>4.59171319248024E-3</v>
      </c>
    </row>
    <row r="89" spans="1:24">
      <c r="A89" s="3">
        <v>382</v>
      </c>
      <c r="B89" s="3">
        <v>9479</v>
      </c>
      <c r="C89" s="3" t="s">
        <v>1610</v>
      </c>
      <c r="D89" s="3" t="s">
        <v>1611</v>
      </c>
      <c r="E89" s="3" t="s">
        <v>1325</v>
      </c>
      <c r="F89" s="3" t="s">
        <v>1612</v>
      </c>
      <c r="G89" s="3" t="s">
        <v>1613</v>
      </c>
      <c r="H89" s="3" t="s">
        <v>187</v>
      </c>
      <c r="I89" s="3" t="s">
        <v>944</v>
      </c>
      <c r="J89" s="3" t="s">
        <v>30</v>
      </c>
      <c r="K89" s="3" t="s">
        <v>30</v>
      </c>
      <c r="L89" s="2" t="s">
        <v>340</v>
      </c>
      <c r="M89" s="2" t="s">
        <v>47</v>
      </c>
      <c r="N89" s="3" t="s">
        <v>475</v>
      </c>
      <c r="O89" s="3" t="s">
        <v>147</v>
      </c>
      <c r="P89" s="3" t="s">
        <v>34</v>
      </c>
      <c r="Q89" s="125">
        <v>1225</v>
      </c>
      <c r="R89" s="143">
        <v>1</v>
      </c>
      <c r="S89" s="145">
        <v>28940</v>
      </c>
      <c r="T89" s="124">
        <v>2.3079999999999998</v>
      </c>
      <c r="U89" s="125">
        <v>356.82299999999998</v>
      </c>
      <c r="V89" s="142">
        <v>2.5999999999999998E-5</v>
      </c>
      <c r="W89" s="142">
        <v>3.1409407548365097E-2</v>
      </c>
      <c r="X89" s="142">
        <v>4.9900742182398799E-3</v>
      </c>
    </row>
    <row r="90" spans="1:24">
      <c r="A90" s="3">
        <v>382</v>
      </c>
      <c r="B90" s="3">
        <v>9479</v>
      </c>
      <c r="C90" s="3" t="s">
        <v>1614</v>
      </c>
      <c r="D90" s="3" t="s">
        <v>1615</v>
      </c>
      <c r="E90" s="3" t="s">
        <v>1325</v>
      </c>
      <c r="F90" s="3" t="s">
        <v>1616</v>
      </c>
      <c r="G90" s="3" t="s">
        <v>1617</v>
      </c>
      <c r="H90" s="3" t="s">
        <v>187</v>
      </c>
      <c r="I90" s="3" t="s">
        <v>944</v>
      </c>
      <c r="J90" s="3" t="s">
        <v>30</v>
      </c>
      <c r="K90" s="3" t="s">
        <v>30</v>
      </c>
      <c r="L90" s="2" t="s">
        <v>340</v>
      </c>
      <c r="M90" s="2" t="s">
        <v>47</v>
      </c>
      <c r="N90" s="3" t="s">
        <v>475</v>
      </c>
      <c r="O90" s="3" t="s">
        <v>147</v>
      </c>
      <c r="P90" s="3" t="s">
        <v>34</v>
      </c>
      <c r="Q90" s="125">
        <v>23600</v>
      </c>
      <c r="R90" s="143">
        <v>1</v>
      </c>
      <c r="S90" s="145">
        <v>184</v>
      </c>
      <c r="T90" s="2"/>
      <c r="U90" s="125">
        <v>43.423999999999999</v>
      </c>
      <c r="V90" s="142">
        <v>3.1000000000000001E-5</v>
      </c>
      <c r="W90" s="142">
        <v>3.82240033595382E-3</v>
      </c>
      <c r="X90" s="142">
        <v>6.0727224284201598E-4</v>
      </c>
    </row>
    <row r="91" spans="1:24">
      <c r="A91" s="3">
        <v>382</v>
      </c>
      <c r="B91" s="3">
        <v>9479</v>
      </c>
      <c r="C91" s="3" t="s">
        <v>1618</v>
      </c>
      <c r="D91" s="3" t="s">
        <v>1619</v>
      </c>
      <c r="E91" s="3" t="s">
        <v>327</v>
      </c>
      <c r="F91" s="3" t="s">
        <v>1620</v>
      </c>
      <c r="G91" s="3" t="s">
        <v>1621</v>
      </c>
      <c r="H91" s="3" t="s">
        <v>187</v>
      </c>
      <c r="I91" s="3" t="s">
        <v>944</v>
      </c>
      <c r="J91" s="3" t="s">
        <v>30</v>
      </c>
      <c r="K91" s="3" t="s">
        <v>103</v>
      </c>
      <c r="L91" s="2" t="s">
        <v>340</v>
      </c>
      <c r="M91" s="2" t="s">
        <v>47</v>
      </c>
      <c r="N91" s="3" t="s">
        <v>465</v>
      </c>
      <c r="O91" s="3" t="s">
        <v>147</v>
      </c>
      <c r="P91" s="3" t="s">
        <v>34</v>
      </c>
      <c r="Q91" s="125">
        <v>3993</v>
      </c>
      <c r="R91" s="143">
        <v>1</v>
      </c>
      <c r="S91" s="145">
        <v>8700</v>
      </c>
      <c r="T91" s="2"/>
      <c r="U91" s="125">
        <v>347.39100000000002</v>
      </c>
      <c r="V91" s="142">
        <v>3.8999999999999999E-5</v>
      </c>
      <c r="W91" s="142">
        <v>3.0579114662567599E-2</v>
      </c>
      <c r="X91" s="142">
        <v>4.8581639580216199E-3</v>
      </c>
    </row>
    <row r="92" spans="1:24">
      <c r="A92" s="3">
        <v>382</v>
      </c>
      <c r="B92" s="3">
        <v>9479</v>
      </c>
      <c r="C92" s="3" t="s">
        <v>1703</v>
      </c>
      <c r="D92" s="3" t="s">
        <v>1704</v>
      </c>
      <c r="E92" s="3" t="s">
        <v>1325</v>
      </c>
      <c r="F92" s="3" t="s">
        <v>1735</v>
      </c>
      <c r="G92" s="3" t="s">
        <v>1706</v>
      </c>
      <c r="H92" s="3" t="s">
        <v>187</v>
      </c>
      <c r="I92" s="3" t="s">
        <v>944</v>
      </c>
      <c r="J92" s="3" t="s">
        <v>30</v>
      </c>
      <c r="K92" s="3" t="s">
        <v>313</v>
      </c>
      <c r="L92" s="2" t="s">
        <v>340</v>
      </c>
      <c r="M92" s="2" t="s">
        <v>47</v>
      </c>
      <c r="N92" s="3" t="s">
        <v>469</v>
      </c>
      <c r="O92" s="3" t="s">
        <v>147</v>
      </c>
      <c r="P92" s="3" t="s">
        <v>34</v>
      </c>
      <c r="Q92" s="125">
        <v>70</v>
      </c>
      <c r="R92" s="143">
        <v>1</v>
      </c>
      <c r="S92" s="145">
        <v>68020</v>
      </c>
      <c r="T92" s="2"/>
      <c r="U92" s="125">
        <v>47.613999999999997</v>
      </c>
      <c r="V92" s="142">
        <v>1.9999999999999999E-6</v>
      </c>
      <c r="W92" s="142">
        <v>4.1912253499471501E-3</v>
      </c>
      <c r="X92" s="142">
        <v>6.6586819663503498E-4</v>
      </c>
    </row>
    <row r="93" spans="1:24">
      <c r="A93" s="3">
        <v>382</v>
      </c>
      <c r="B93" s="3">
        <v>9479</v>
      </c>
      <c r="C93" s="3" t="s">
        <v>1622</v>
      </c>
      <c r="D93" s="3" t="s">
        <v>1623</v>
      </c>
      <c r="E93" s="3" t="s">
        <v>327</v>
      </c>
      <c r="F93" s="3" t="s">
        <v>1624</v>
      </c>
      <c r="G93" s="3" t="s">
        <v>1625</v>
      </c>
      <c r="H93" s="3" t="s">
        <v>187</v>
      </c>
      <c r="I93" s="3" t="s">
        <v>944</v>
      </c>
      <c r="J93" s="3" t="s">
        <v>30</v>
      </c>
      <c r="K93" s="3" t="s">
        <v>30</v>
      </c>
      <c r="L93" s="2" t="s">
        <v>340</v>
      </c>
      <c r="M93" s="2" t="s">
        <v>47</v>
      </c>
      <c r="N93" s="3" t="s">
        <v>465</v>
      </c>
      <c r="O93" s="3" t="s">
        <v>147</v>
      </c>
      <c r="P93" s="3" t="s">
        <v>34</v>
      </c>
      <c r="Q93" s="125">
        <v>7300</v>
      </c>
      <c r="R93" s="143">
        <v>1</v>
      </c>
      <c r="S93" s="145">
        <v>1249</v>
      </c>
      <c r="T93" s="124">
        <v>1.3740000000000001</v>
      </c>
      <c r="U93" s="125">
        <v>92.551000000000002</v>
      </c>
      <c r="V93" s="142">
        <v>6.0000000000000002E-6</v>
      </c>
      <c r="W93" s="142">
        <v>8.1468102469802895E-3</v>
      </c>
      <c r="X93" s="142">
        <v>1.2942997320707101E-3</v>
      </c>
    </row>
    <row r="94" spans="1:24">
      <c r="A94" s="3">
        <v>382</v>
      </c>
      <c r="B94" s="3">
        <v>9479</v>
      </c>
      <c r="C94" s="3" t="s">
        <v>1626</v>
      </c>
      <c r="D94" s="3" t="s">
        <v>1627</v>
      </c>
      <c r="E94" s="3" t="s">
        <v>1325</v>
      </c>
      <c r="F94" s="3" t="s">
        <v>1628</v>
      </c>
      <c r="G94" s="3" t="s">
        <v>1629</v>
      </c>
      <c r="H94" s="3" t="s">
        <v>187</v>
      </c>
      <c r="I94" s="3" t="s">
        <v>944</v>
      </c>
      <c r="J94" s="3" t="s">
        <v>30</v>
      </c>
      <c r="K94" s="3" t="s">
        <v>103</v>
      </c>
      <c r="L94" s="2" t="s">
        <v>340</v>
      </c>
      <c r="M94" s="2" t="s">
        <v>47</v>
      </c>
      <c r="N94" s="3" t="s">
        <v>492</v>
      </c>
      <c r="O94" s="3" t="s">
        <v>147</v>
      </c>
      <c r="P94" s="3" t="s">
        <v>34</v>
      </c>
      <c r="Q94" s="125">
        <v>543</v>
      </c>
      <c r="R94" s="143">
        <v>1</v>
      </c>
      <c r="S94" s="145">
        <v>56600</v>
      </c>
      <c r="T94" s="2"/>
      <c r="U94" s="125">
        <v>307.33800000000002</v>
      </c>
      <c r="V94" s="142">
        <v>6.9999999999999999E-6</v>
      </c>
      <c r="W94" s="142">
        <v>2.70534468140055E-2</v>
      </c>
      <c r="X94" s="142">
        <v>4.2980341877896901E-3</v>
      </c>
    </row>
    <row r="95" spans="1:24">
      <c r="A95" s="3">
        <v>382</v>
      </c>
      <c r="B95" s="3">
        <v>9479</v>
      </c>
      <c r="C95" s="3" t="s">
        <v>1630</v>
      </c>
      <c r="D95" s="3" t="s">
        <v>1631</v>
      </c>
      <c r="E95" s="3" t="s">
        <v>1325</v>
      </c>
      <c r="F95" s="3" t="s">
        <v>1630</v>
      </c>
      <c r="G95" s="3" t="s">
        <v>1632</v>
      </c>
      <c r="H95" s="3" t="s">
        <v>187</v>
      </c>
      <c r="I95" s="3" t="s">
        <v>944</v>
      </c>
      <c r="J95" s="3" t="s">
        <v>30</v>
      </c>
      <c r="K95" s="3" t="s">
        <v>30</v>
      </c>
      <c r="L95" s="2" t="s">
        <v>340</v>
      </c>
      <c r="M95" s="2" t="s">
        <v>47</v>
      </c>
      <c r="N95" s="3" t="s">
        <v>450</v>
      </c>
      <c r="O95" s="3" t="s">
        <v>147</v>
      </c>
      <c r="P95" s="3" t="s">
        <v>34</v>
      </c>
      <c r="Q95" s="125">
        <v>4500</v>
      </c>
      <c r="R95" s="143">
        <v>1</v>
      </c>
      <c r="S95" s="145">
        <v>8478</v>
      </c>
      <c r="T95" s="2"/>
      <c r="U95" s="125">
        <v>381.51</v>
      </c>
      <c r="V95" s="142">
        <v>5.5999999999999999E-5</v>
      </c>
      <c r="W95" s="142">
        <v>3.3582441787254599E-2</v>
      </c>
      <c r="X95" s="142">
        <v>5.3353084323567003E-3</v>
      </c>
    </row>
    <row r="96" spans="1:24">
      <c r="A96" s="3">
        <v>382</v>
      </c>
      <c r="B96" s="3">
        <v>9479</v>
      </c>
      <c r="C96" s="3" t="s">
        <v>1633</v>
      </c>
      <c r="D96" s="3" t="s">
        <v>1634</v>
      </c>
      <c r="E96" s="3" t="s">
        <v>1325</v>
      </c>
      <c r="F96" s="3" t="s">
        <v>1635</v>
      </c>
      <c r="G96" s="3" t="s">
        <v>1636</v>
      </c>
      <c r="H96" s="3" t="s">
        <v>187</v>
      </c>
      <c r="I96" s="3" t="s">
        <v>944</v>
      </c>
      <c r="J96" s="3" t="s">
        <v>30</v>
      </c>
      <c r="K96" s="3" t="s">
        <v>30</v>
      </c>
      <c r="L96" s="2" t="s">
        <v>340</v>
      </c>
      <c r="M96" s="2" t="s">
        <v>47</v>
      </c>
      <c r="N96" s="3" t="s">
        <v>475</v>
      </c>
      <c r="O96" s="3" t="s">
        <v>147</v>
      </c>
      <c r="P96" s="3" t="s">
        <v>34</v>
      </c>
      <c r="Q96" s="125">
        <v>665</v>
      </c>
      <c r="R96" s="143">
        <v>1</v>
      </c>
      <c r="S96" s="145">
        <v>24920</v>
      </c>
      <c r="T96" s="2"/>
      <c r="U96" s="125">
        <v>165.71799999999999</v>
      </c>
      <c r="V96" s="142">
        <v>5.0000000000000004E-6</v>
      </c>
      <c r="W96" s="142">
        <v>1.4587337391156901E-2</v>
      </c>
      <c r="X96" s="142">
        <v>2.3175189190146701E-3</v>
      </c>
    </row>
    <row r="97" spans="1:24">
      <c r="A97" s="3">
        <v>382</v>
      </c>
      <c r="B97" s="3">
        <v>9479</v>
      </c>
      <c r="C97" s="3" t="s">
        <v>1637</v>
      </c>
      <c r="D97" s="3" t="s">
        <v>1638</v>
      </c>
      <c r="E97" s="3" t="s">
        <v>1325</v>
      </c>
      <c r="F97" s="3" t="s">
        <v>1639</v>
      </c>
      <c r="G97" s="3" t="s">
        <v>1640</v>
      </c>
      <c r="H97" s="3" t="s">
        <v>187</v>
      </c>
      <c r="I97" s="3" t="s">
        <v>944</v>
      </c>
      <c r="J97" s="3" t="s">
        <v>30</v>
      </c>
      <c r="K97" s="3" t="s">
        <v>30</v>
      </c>
      <c r="L97" s="2" t="s">
        <v>340</v>
      </c>
      <c r="M97" s="2" t="s">
        <v>47</v>
      </c>
      <c r="N97" s="3" t="s">
        <v>459</v>
      </c>
      <c r="O97" s="3" t="s">
        <v>147</v>
      </c>
      <c r="P97" s="3" t="s">
        <v>34</v>
      </c>
      <c r="Q97" s="125">
        <v>18238</v>
      </c>
      <c r="R97" s="143">
        <v>1</v>
      </c>
      <c r="S97" s="145">
        <v>5008</v>
      </c>
      <c r="T97" s="2"/>
      <c r="U97" s="125">
        <v>913.35900000000004</v>
      </c>
      <c r="V97" s="142">
        <v>1.4E-5</v>
      </c>
      <c r="W97" s="142">
        <v>8.0398487042705899E-2</v>
      </c>
      <c r="X97" s="142">
        <v>1.27730654186816E-2</v>
      </c>
    </row>
    <row r="98" spans="1:24">
      <c r="A98" s="3">
        <v>382</v>
      </c>
      <c r="B98" s="3">
        <v>9479</v>
      </c>
      <c r="C98" s="3" t="s">
        <v>1641</v>
      </c>
      <c r="D98" s="3" t="s">
        <v>1642</v>
      </c>
      <c r="E98" s="3" t="s">
        <v>1325</v>
      </c>
      <c r="F98" s="3" t="s">
        <v>1643</v>
      </c>
      <c r="G98" s="3" t="s">
        <v>1644</v>
      </c>
      <c r="H98" s="3" t="s">
        <v>187</v>
      </c>
      <c r="I98" s="3" t="s">
        <v>944</v>
      </c>
      <c r="J98" s="3" t="s">
        <v>30</v>
      </c>
      <c r="K98" s="3" t="s">
        <v>30</v>
      </c>
      <c r="L98" s="2" t="s">
        <v>340</v>
      </c>
      <c r="M98" s="2" t="s">
        <v>47</v>
      </c>
      <c r="N98" s="3" t="s">
        <v>487</v>
      </c>
      <c r="O98" s="3" t="s">
        <v>147</v>
      </c>
      <c r="P98" s="3" t="s">
        <v>34</v>
      </c>
      <c r="Q98" s="125">
        <v>387</v>
      </c>
      <c r="R98" s="143">
        <v>1</v>
      </c>
      <c r="S98" s="145">
        <v>30240</v>
      </c>
      <c r="T98" s="2"/>
      <c r="U98" s="125">
        <v>117.029</v>
      </c>
      <c r="V98" s="142">
        <v>2.8E-5</v>
      </c>
      <c r="W98" s="142">
        <v>1.0301467493466099E-2</v>
      </c>
      <c r="X98" s="142">
        <v>1.63661435733948E-3</v>
      </c>
    </row>
    <row r="99" spans="1:24">
      <c r="A99" s="3">
        <v>382</v>
      </c>
      <c r="B99" s="3">
        <v>9479</v>
      </c>
      <c r="C99" s="3" t="s">
        <v>1645</v>
      </c>
      <c r="D99" s="3" t="s">
        <v>1646</v>
      </c>
      <c r="E99" s="3" t="s">
        <v>1325</v>
      </c>
      <c r="F99" s="3" t="s">
        <v>1647</v>
      </c>
      <c r="G99" s="3" t="s">
        <v>1648</v>
      </c>
      <c r="H99" s="3" t="s">
        <v>187</v>
      </c>
      <c r="I99" s="3" t="s">
        <v>944</v>
      </c>
      <c r="J99" s="3" t="s">
        <v>30</v>
      </c>
      <c r="K99" s="3" t="s">
        <v>30</v>
      </c>
      <c r="L99" s="2" t="s">
        <v>340</v>
      </c>
      <c r="M99" s="2" t="s">
        <v>47</v>
      </c>
      <c r="N99" s="3" t="s">
        <v>488</v>
      </c>
      <c r="O99" s="3" t="s">
        <v>147</v>
      </c>
      <c r="P99" s="3" t="s">
        <v>34</v>
      </c>
      <c r="Q99" s="125">
        <v>355</v>
      </c>
      <c r="R99" s="143">
        <v>1</v>
      </c>
      <c r="S99" s="145">
        <v>32170</v>
      </c>
      <c r="T99" s="2"/>
      <c r="U99" s="125">
        <v>114.20399999999999</v>
      </c>
      <c r="V99" s="142">
        <v>2.1999999999999999E-5</v>
      </c>
      <c r="W99" s="142">
        <v>1.0052770282956499E-2</v>
      </c>
      <c r="X99" s="142">
        <v>1.5971033434370001E-3</v>
      </c>
    </row>
    <row r="100" spans="1:24">
      <c r="A100" s="3">
        <v>382</v>
      </c>
      <c r="B100" s="3">
        <v>9479</v>
      </c>
      <c r="C100" s="3" t="s">
        <v>1649</v>
      </c>
      <c r="D100" s="3" t="s">
        <v>1650</v>
      </c>
      <c r="E100" s="3" t="s">
        <v>1325</v>
      </c>
      <c r="F100" s="3" t="s">
        <v>1651</v>
      </c>
      <c r="G100" s="3" t="s">
        <v>1652</v>
      </c>
      <c r="H100" s="3" t="s">
        <v>187</v>
      </c>
      <c r="I100" s="3" t="s">
        <v>944</v>
      </c>
      <c r="J100" s="3" t="s">
        <v>30</v>
      </c>
      <c r="K100" s="3" t="s">
        <v>30</v>
      </c>
      <c r="L100" s="2" t="s">
        <v>340</v>
      </c>
      <c r="M100" s="2" t="s">
        <v>47</v>
      </c>
      <c r="N100" s="3" t="s">
        <v>474</v>
      </c>
      <c r="O100" s="3" t="s">
        <v>147</v>
      </c>
      <c r="P100" s="3" t="s">
        <v>34</v>
      </c>
      <c r="Q100" s="125">
        <v>30610</v>
      </c>
      <c r="R100" s="143">
        <v>1</v>
      </c>
      <c r="S100" s="145">
        <v>682.4</v>
      </c>
      <c r="T100" s="124">
        <v>5.3049999999999997</v>
      </c>
      <c r="U100" s="125">
        <v>214.18700000000001</v>
      </c>
      <c r="V100" s="142">
        <v>1.06E-4</v>
      </c>
      <c r="W100" s="142">
        <v>1.8853847056490201E-2</v>
      </c>
      <c r="X100" s="142">
        <v>2.99534768258074E-3</v>
      </c>
    </row>
    <row r="101" spans="1:24">
      <c r="A101" s="3">
        <v>382</v>
      </c>
      <c r="B101" s="3">
        <v>9479</v>
      </c>
      <c r="C101" s="3" t="s">
        <v>1653</v>
      </c>
      <c r="D101" s="3" t="s">
        <v>1654</v>
      </c>
      <c r="E101" s="3" t="s">
        <v>1325</v>
      </c>
      <c r="F101" s="3" t="s">
        <v>1655</v>
      </c>
      <c r="G101" s="3" t="s">
        <v>1656</v>
      </c>
      <c r="H101" s="3" t="s">
        <v>187</v>
      </c>
      <c r="I101" s="3" t="s">
        <v>944</v>
      </c>
      <c r="J101" s="3" t="s">
        <v>30</v>
      </c>
      <c r="K101" s="3" t="s">
        <v>30</v>
      </c>
      <c r="L101" s="2" t="s">
        <v>340</v>
      </c>
      <c r="M101" s="2" t="s">
        <v>47</v>
      </c>
      <c r="N101" s="3" t="s">
        <v>487</v>
      </c>
      <c r="O101" s="3" t="s">
        <v>147</v>
      </c>
      <c r="P101" s="3" t="s">
        <v>34</v>
      </c>
      <c r="Q101" s="125">
        <v>5100</v>
      </c>
      <c r="R101" s="143">
        <v>1</v>
      </c>
      <c r="S101" s="145">
        <v>3511</v>
      </c>
      <c r="T101" s="2"/>
      <c r="U101" s="125">
        <v>179.06100000000001</v>
      </c>
      <c r="V101" s="142">
        <v>1.9000000000000001E-5</v>
      </c>
      <c r="W101" s="142">
        <v>1.5761855806840201E-2</v>
      </c>
      <c r="X101" s="142">
        <v>2.5041169647092398E-3</v>
      </c>
    </row>
    <row r="102" spans="1:24">
      <c r="A102" s="3">
        <v>382</v>
      </c>
      <c r="B102" s="3">
        <v>9479</v>
      </c>
      <c r="C102" s="3" t="s">
        <v>1657</v>
      </c>
      <c r="D102" s="3" t="s">
        <v>1658</v>
      </c>
      <c r="E102" s="3" t="s">
        <v>184</v>
      </c>
      <c r="F102" s="3" t="s">
        <v>1659</v>
      </c>
      <c r="G102" s="3" t="s">
        <v>1660</v>
      </c>
      <c r="H102" s="3" t="s">
        <v>187</v>
      </c>
      <c r="I102" s="3" t="s">
        <v>944</v>
      </c>
      <c r="J102" s="3" t="s">
        <v>94</v>
      </c>
      <c r="K102" s="3" t="s">
        <v>306</v>
      </c>
      <c r="L102" s="2" t="s">
        <v>340</v>
      </c>
      <c r="M102" s="2" t="s">
        <v>359</v>
      </c>
      <c r="N102" s="3" t="s">
        <v>560</v>
      </c>
      <c r="O102" s="3" t="s">
        <v>147</v>
      </c>
      <c r="P102" s="3" t="s">
        <v>98</v>
      </c>
      <c r="Q102" s="125">
        <v>193</v>
      </c>
      <c r="R102" s="143">
        <v>3.718</v>
      </c>
      <c r="S102" s="145">
        <v>10274</v>
      </c>
      <c r="T102" s="2"/>
      <c r="U102" s="125">
        <v>73.724000000000004</v>
      </c>
      <c r="V102" s="142">
        <v>0</v>
      </c>
      <c r="W102" s="142">
        <v>6.48952037669338E-3</v>
      </c>
      <c r="X102" s="142">
        <v>1.03100283794323E-3</v>
      </c>
    </row>
    <row r="103" spans="1:24">
      <c r="A103" s="3">
        <v>382</v>
      </c>
      <c r="B103" s="3">
        <v>9479</v>
      </c>
      <c r="C103" s="3" t="s">
        <v>1661</v>
      </c>
      <c r="D103" s="3" t="s">
        <v>1662</v>
      </c>
      <c r="E103" s="3" t="s">
        <v>184</v>
      </c>
      <c r="F103" s="3" t="s">
        <v>1663</v>
      </c>
      <c r="G103" s="3" t="s">
        <v>1664</v>
      </c>
      <c r="H103" s="3" t="s">
        <v>187</v>
      </c>
      <c r="I103" s="3" t="s">
        <v>944</v>
      </c>
      <c r="J103" s="3" t="s">
        <v>94</v>
      </c>
      <c r="K103" s="3" t="s">
        <v>103</v>
      </c>
      <c r="L103" s="2" t="s">
        <v>340</v>
      </c>
      <c r="M103" s="2" t="s">
        <v>359</v>
      </c>
      <c r="N103" s="3" t="s">
        <v>556</v>
      </c>
      <c r="O103" s="3" t="s">
        <v>147</v>
      </c>
      <c r="P103" s="3" t="s">
        <v>98</v>
      </c>
      <c r="Q103" s="125">
        <v>240</v>
      </c>
      <c r="R103" s="143">
        <v>3.718</v>
      </c>
      <c r="S103" s="145">
        <v>15464</v>
      </c>
      <c r="T103" s="2"/>
      <c r="U103" s="125">
        <v>137.988</v>
      </c>
      <c r="V103" s="142">
        <v>0</v>
      </c>
      <c r="W103" s="142">
        <v>1.2146434505555401E-2</v>
      </c>
      <c r="X103" s="142">
        <v>1.9297278873019099E-3</v>
      </c>
    </row>
    <row r="104" spans="1:24">
      <c r="A104" s="3">
        <v>382</v>
      </c>
      <c r="B104" s="3">
        <v>9479</v>
      </c>
      <c r="C104" s="3" t="s">
        <v>1665</v>
      </c>
      <c r="D104" s="3" t="s">
        <v>1666</v>
      </c>
      <c r="E104" s="3" t="s">
        <v>184</v>
      </c>
      <c r="F104" s="3" t="s">
        <v>1667</v>
      </c>
      <c r="G104" s="3" t="s">
        <v>1668</v>
      </c>
      <c r="H104" s="3" t="s">
        <v>187</v>
      </c>
      <c r="I104" s="3" t="s">
        <v>944</v>
      </c>
      <c r="J104" s="3" t="s">
        <v>94</v>
      </c>
      <c r="K104" s="3" t="s">
        <v>103</v>
      </c>
      <c r="L104" s="2" t="s">
        <v>340</v>
      </c>
      <c r="M104" s="2" t="s">
        <v>359</v>
      </c>
      <c r="N104" s="3" t="s">
        <v>512</v>
      </c>
      <c r="O104" s="3" t="s">
        <v>147</v>
      </c>
      <c r="P104" s="3" t="s">
        <v>98</v>
      </c>
      <c r="Q104" s="125">
        <v>180</v>
      </c>
      <c r="R104" s="143">
        <v>3.718</v>
      </c>
      <c r="S104" s="145">
        <v>19026</v>
      </c>
      <c r="T104" s="2"/>
      <c r="U104" s="125">
        <v>127.33</v>
      </c>
      <c r="V104" s="142">
        <v>0</v>
      </c>
      <c r="W104" s="142">
        <v>1.1208196273733999E-2</v>
      </c>
      <c r="X104" s="142">
        <v>1.78066813811786E-3</v>
      </c>
    </row>
    <row r="105" spans="1:24">
      <c r="A105" s="3">
        <v>382</v>
      </c>
      <c r="B105" s="3">
        <v>9479</v>
      </c>
      <c r="C105" s="3" t="s">
        <v>1669</v>
      </c>
      <c r="D105" s="3" t="s">
        <v>1670</v>
      </c>
      <c r="E105" s="3" t="s">
        <v>184</v>
      </c>
      <c r="F105" s="3" t="s">
        <v>1671</v>
      </c>
      <c r="G105" s="3" t="s">
        <v>1672</v>
      </c>
      <c r="H105" s="3" t="s">
        <v>187</v>
      </c>
      <c r="I105" s="3" t="s">
        <v>944</v>
      </c>
      <c r="J105" s="3" t="s">
        <v>94</v>
      </c>
      <c r="K105" s="3" t="s">
        <v>103</v>
      </c>
      <c r="L105" s="2" t="s">
        <v>340</v>
      </c>
      <c r="M105" s="2" t="s">
        <v>359</v>
      </c>
      <c r="N105" s="3" t="s">
        <v>560</v>
      </c>
      <c r="O105" s="3" t="s">
        <v>147</v>
      </c>
      <c r="P105" s="3" t="s">
        <v>98</v>
      </c>
      <c r="Q105" s="125">
        <v>262</v>
      </c>
      <c r="R105" s="143">
        <v>3.718</v>
      </c>
      <c r="S105" s="145">
        <v>66263</v>
      </c>
      <c r="T105" s="2"/>
      <c r="U105" s="125">
        <v>645.47799999999995</v>
      </c>
      <c r="V105" s="142">
        <v>9.9999999999999995E-7</v>
      </c>
      <c r="W105" s="142">
        <v>5.6818284317906101E-2</v>
      </c>
      <c r="X105" s="142">
        <v>9.0268323355931802E-3</v>
      </c>
    </row>
    <row r="106" spans="1:24">
      <c r="A106" s="3">
        <v>382</v>
      </c>
      <c r="B106" s="3">
        <v>9479</v>
      </c>
      <c r="C106" s="3" t="s">
        <v>1736</v>
      </c>
      <c r="D106" s="3" t="s">
        <v>1737</v>
      </c>
      <c r="E106" s="3" t="s">
        <v>184</v>
      </c>
      <c r="F106" s="3" t="s">
        <v>1738</v>
      </c>
      <c r="G106" s="3" t="s">
        <v>1739</v>
      </c>
      <c r="H106" s="3" t="s">
        <v>187</v>
      </c>
      <c r="I106" s="3" t="s">
        <v>944</v>
      </c>
      <c r="J106" s="3" t="s">
        <v>94</v>
      </c>
      <c r="K106" s="3" t="s">
        <v>103</v>
      </c>
      <c r="L106" s="2" t="s">
        <v>340</v>
      </c>
      <c r="M106" s="2" t="s">
        <v>357</v>
      </c>
      <c r="N106" s="3" t="s">
        <v>548</v>
      </c>
      <c r="O106" s="3" t="s">
        <v>147</v>
      </c>
      <c r="P106" s="3" t="s">
        <v>98</v>
      </c>
      <c r="Q106" s="125">
        <v>230</v>
      </c>
      <c r="R106" s="143">
        <v>3.718</v>
      </c>
      <c r="S106" s="145">
        <v>4173</v>
      </c>
      <c r="T106" s="2"/>
      <c r="U106" s="125">
        <v>35.685000000000002</v>
      </c>
      <c r="V106" s="142">
        <v>0</v>
      </c>
      <c r="W106" s="142">
        <v>3.1411736867582299E-3</v>
      </c>
      <c r="X106" s="142">
        <v>4.9904442817552198E-4</v>
      </c>
    </row>
    <row r="107" spans="1:24">
      <c r="A107" s="3">
        <v>382</v>
      </c>
      <c r="B107" s="3">
        <v>9479</v>
      </c>
      <c r="C107" s="3" t="s">
        <v>1673</v>
      </c>
      <c r="D107" s="3" t="s">
        <v>1674</v>
      </c>
      <c r="E107" s="3" t="s">
        <v>184</v>
      </c>
      <c r="F107" s="3" t="s">
        <v>1675</v>
      </c>
      <c r="G107" s="3" t="s">
        <v>1676</v>
      </c>
      <c r="H107" s="3" t="s">
        <v>187</v>
      </c>
      <c r="I107" s="3" t="s">
        <v>944</v>
      </c>
      <c r="J107" s="3" t="s">
        <v>94</v>
      </c>
      <c r="K107" s="3" t="s">
        <v>103</v>
      </c>
      <c r="L107" s="2" t="s">
        <v>340</v>
      </c>
      <c r="M107" s="2" t="s">
        <v>359</v>
      </c>
      <c r="N107" s="3" t="s">
        <v>560</v>
      </c>
      <c r="O107" s="3" t="s">
        <v>147</v>
      </c>
      <c r="P107" s="3" t="s">
        <v>98</v>
      </c>
      <c r="Q107" s="125">
        <v>160</v>
      </c>
      <c r="R107" s="143">
        <v>3.718</v>
      </c>
      <c r="S107" s="145">
        <v>16743</v>
      </c>
      <c r="T107" s="124">
        <v>9.4E-2</v>
      </c>
      <c r="U107" s="125">
        <v>99.951999999999998</v>
      </c>
      <c r="V107" s="142">
        <v>0</v>
      </c>
      <c r="W107" s="142">
        <v>8.7982579997560803E-3</v>
      </c>
      <c r="X107" s="142">
        <v>1.39779651502185E-3</v>
      </c>
    </row>
    <row r="108" spans="1:24">
      <c r="A108" s="3">
        <v>382</v>
      </c>
      <c r="B108" s="3">
        <v>9479</v>
      </c>
      <c r="C108" s="3" t="s">
        <v>1677</v>
      </c>
      <c r="D108" s="3" t="s">
        <v>1678</v>
      </c>
      <c r="E108" s="3" t="s">
        <v>1325</v>
      </c>
      <c r="F108" s="3" t="s">
        <v>1679</v>
      </c>
      <c r="G108" s="3" t="s">
        <v>1680</v>
      </c>
      <c r="H108" s="3" t="s">
        <v>187</v>
      </c>
      <c r="I108" s="3" t="s">
        <v>944</v>
      </c>
      <c r="J108" s="3" t="s">
        <v>94</v>
      </c>
      <c r="K108" s="3" t="s">
        <v>313</v>
      </c>
      <c r="L108" s="2" t="s">
        <v>340</v>
      </c>
      <c r="M108" s="2" t="s">
        <v>359</v>
      </c>
      <c r="N108" s="3" t="s">
        <v>560</v>
      </c>
      <c r="O108" s="3" t="s">
        <v>147</v>
      </c>
      <c r="P108" s="3" t="s">
        <v>98</v>
      </c>
      <c r="Q108" s="125">
        <v>1013</v>
      </c>
      <c r="R108" s="143">
        <v>3.718</v>
      </c>
      <c r="S108" s="145">
        <v>5863</v>
      </c>
      <c r="T108" s="2"/>
      <c r="U108" s="125">
        <v>220.82</v>
      </c>
      <c r="V108" s="142">
        <v>2.3E-5</v>
      </c>
      <c r="W108" s="142">
        <v>1.9437708709920402E-2</v>
      </c>
      <c r="X108" s="142">
        <v>3.0881069292909799E-3</v>
      </c>
    </row>
    <row r="109" spans="1:24">
      <c r="A109" s="3">
        <v>382</v>
      </c>
      <c r="B109" s="3">
        <v>9479</v>
      </c>
      <c r="C109" s="3" t="s">
        <v>1681</v>
      </c>
      <c r="D109" s="3" t="s">
        <v>1682</v>
      </c>
      <c r="E109" s="3" t="s">
        <v>184</v>
      </c>
      <c r="F109" s="3" t="s">
        <v>1683</v>
      </c>
      <c r="G109" s="3" t="s">
        <v>1684</v>
      </c>
      <c r="H109" s="3" t="s">
        <v>187</v>
      </c>
      <c r="I109" s="3" t="s">
        <v>944</v>
      </c>
      <c r="J109" s="3" t="s">
        <v>94</v>
      </c>
      <c r="K109" s="3" t="s">
        <v>103</v>
      </c>
      <c r="L109" s="2" t="s">
        <v>340</v>
      </c>
      <c r="M109" s="2" t="s">
        <v>359</v>
      </c>
      <c r="N109" s="3" t="s">
        <v>1685</v>
      </c>
      <c r="O109" s="3" t="s">
        <v>147</v>
      </c>
      <c r="P109" s="3" t="s">
        <v>98</v>
      </c>
      <c r="Q109" s="125">
        <v>34</v>
      </c>
      <c r="R109" s="143">
        <v>3.718</v>
      </c>
      <c r="S109" s="145">
        <v>94578</v>
      </c>
      <c r="T109" s="2"/>
      <c r="U109" s="125">
        <v>119.55800000000001</v>
      </c>
      <c r="V109" s="142">
        <v>0</v>
      </c>
      <c r="W109" s="142">
        <v>1.0524095321030101E-2</v>
      </c>
      <c r="X109" s="142">
        <v>1.67198367721217E-3</v>
      </c>
    </row>
    <row r="110" spans="1:24">
      <c r="A110" s="3">
        <v>382</v>
      </c>
      <c r="B110" s="3">
        <v>9479</v>
      </c>
      <c r="C110" s="3" t="s">
        <v>1686</v>
      </c>
      <c r="D110" s="3" t="s">
        <v>1687</v>
      </c>
      <c r="E110" s="3" t="s">
        <v>1325</v>
      </c>
      <c r="F110" s="3" t="s">
        <v>1688</v>
      </c>
      <c r="G110" s="3" t="s">
        <v>1689</v>
      </c>
      <c r="H110" s="3" t="s">
        <v>187</v>
      </c>
      <c r="I110" s="3" t="s">
        <v>944</v>
      </c>
      <c r="J110" s="3" t="s">
        <v>94</v>
      </c>
      <c r="K110" s="3" t="s">
        <v>103</v>
      </c>
      <c r="L110" s="2" t="s">
        <v>340</v>
      </c>
      <c r="M110" s="2" t="s">
        <v>357</v>
      </c>
      <c r="N110" s="3" t="s">
        <v>512</v>
      </c>
      <c r="O110" s="3" t="s">
        <v>147</v>
      </c>
      <c r="P110" s="3" t="s">
        <v>98</v>
      </c>
      <c r="Q110" s="125">
        <v>47</v>
      </c>
      <c r="R110" s="143">
        <v>3.718</v>
      </c>
      <c r="S110" s="145">
        <v>2368</v>
      </c>
      <c r="T110" s="2"/>
      <c r="U110" s="125">
        <v>4.1379999999999999</v>
      </c>
      <c r="V110" s="142">
        <v>9.9999999999999995E-7</v>
      </c>
      <c r="W110" s="142">
        <v>3.6424641498811601E-4</v>
      </c>
      <c r="X110" s="142">
        <v>5.7868542783549398E-5</v>
      </c>
    </row>
    <row r="111" spans="1:24">
      <c r="A111" s="3">
        <v>382</v>
      </c>
      <c r="B111" s="3">
        <v>9479</v>
      </c>
      <c r="C111" s="3" t="s">
        <v>1690</v>
      </c>
      <c r="D111" s="3" t="s">
        <v>1691</v>
      </c>
      <c r="E111" s="3" t="s">
        <v>184</v>
      </c>
      <c r="F111" s="3" t="s">
        <v>1692</v>
      </c>
      <c r="G111" s="3" t="s">
        <v>1693</v>
      </c>
      <c r="H111" s="3" t="s">
        <v>187</v>
      </c>
      <c r="I111" s="3" t="s">
        <v>944</v>
      </c>
      <c r="J111" s="3" t="s">
        <v>94</v>
      </c>
      <c r="K111" s="3" t="s">
        <v>285</v>
      </c>
      <c r="L111" s="2" t="s">
        <v>340</v>
      </c>
      <c r="M111" s="2" t="s">
        <v>383</v>
      </c>
      <c r="N111" s="3" t="s">
        <v>527</v>
      </c>
      <c r="O111" s="3" t="s">
        <v>147</v>
      </c>
      <c r="P111" s="3" t="s">
        <v>1431</v>
      </c>
      <c r="Q111" s="125">
        <v>16</v>
      </c>
      <c r="R111" s="143">
        <v>0.47760000000000002</v>
      </c>
      <c r="S111" s="145">
        <v>16080</v>
      </c>
      <c r="T111" s="2"/>
      <c r="U111" s="125">
        <v>1.2290000000000001</v>
      </c>
      <c r="V111" s="142">
        <v>0</v>
      </c>
      <c r="W111" s="142">
        <v>1.08162493291307E-4</v>
      </c>
      <c r="X111" s="142">
        <v>1.7183987578319999E-5</v>
      </c>
    </row>
    <row r="112" spans="1:24">
      <c r="A112" s="3">
        <v>382</v>
      </c>
      <c r="B112" s="3">
        <v>9479</v>
      </c>
      <c r="C112" s="3" t="s">
        <v>1740</v>
      </c>
      <c r="D112" s="3" t="s">
        <v>1741</v>
      </c>
      <c r="E112" s="3" t="s">
        <v>184</v>
      </c>
      <c r="F112" s="3" t="s">
        <v>1742</v>
      </c>
      <c r="G112" s="3" t="s">
        <v>1743</v>
      </c>
      <c r="H112" s="3" t="s">
        <v>187</v>
      </c>
      <c r="I112" s="3" t="s">
        <v>944</v>
      </c>
      <c r="J112" s="3" t="s">
        <v>94</v>
      </c>
      <c r="K112" s="3" t="s">
        <v>103</v>
      </c>
      <c r="L112" s="2" t="s">
        <v>340</v>
      </c>
      <c r="M112" s="2" t="s">
        <v>357</v>
      </c>
      <c r="N112" s="3" t="s">
        <v>548</v>
      </c>
      <c r="O112" s="3" t="s">
        <v>147</v>
      </c>
      <c r="P112" s="3" t="s">
        <v>98</v>
      </c>
      <c r="Q112" s="125">
        <v>60</v>
      </c>
      <c r="R112" s="143">
        <v>3.718</v>
      </c>
      <c r="S112" s="145">
        <v>24530</v>
      </c>
      <c r="T112" s="2"/>
      <c r="U112" s="125">
        <v>54.722000000000001</v>
      </c>
      <c r="V112" s="142">
        <v>0</v>
      </c>
      <c r="W112" s="142">
        <v>4.8168655978607497E-3</v>
      </c>
      <c r="X112" s="142">
        <v>7.6526489064142398E-4</v>
      </c>
    </row>
    <row r="113" spans="1:24">
      <c r="A113" s="3">
        <v>382</v>
      </c>
      <c r="B113" s="3">
        <v>9479</v>
      </c>
      <c r="C113" s="3" t="s">
        <v>1744</v>
      </c>
      <c r="D113" s="3" t="s">
        <v>1745</v>
      </c>
      <c r="E113" s="3" t="s">
        <v>184</v>
      </c>
      <c r="F113" s="3" t="s">
        <v>1746</v>
      </c>
      <c r="G113" s="3" t="s">
        <v>1747</v>
      </c>
      <c r="H113" s="3" t="s">
        <v>187</v>
      </c>
      <c r="I113" s="3" t="s">
        <v>944</v>
      </c>
      <c r="J113" s="3" t="s">
        <v>94</v>
      </c>
      <c r="K113" s="3" t="s">
        <v>103</v>
      </c>
      <c r="L113" s="2" t="s">
        <v>340</v>
      </c>
      <c r="M113" s="2" t="s">
        <v>357</v>
      </c>
      <c r="N113" s="3" t="s">
        <v>1685</v>
      </c>
      <c r="O113" s="3" t="s">
        <v>147</v>
      </c>
      <c r="P113" s="3" t="s">
        <v>98</v>
      </c>
      <c r="Q113" s="125">
        <v>35</v>
      </c>
      <c r="R113" s="143">
        <v>3.718</v>
      </c>
      <c r="S113" s="145">
        <v>44671</v>
      </c>
      <c r="T113" s="2"/>
      <c r="U113" s="125">
        <v>58.13</v>
      </c>
      <c r="V113" s="142">
        <v>0</v>
      </c>
      <c r="W113" s="142">
        <v>5.1169296842446697E-3</v>
      </c>
      <c r="X113" s="142">
        <v>8.1293666092166505E-4</v>
      </c>
    </row>
    <row r="114" spans="1:24">
      <c r="A114" s="3">
        <v>382</v>
      </c>
      <c r="B114" s="3">
        <v>9479</v>
      </c>
      <c r="C114" s="3" t="s">
        <v>1694</v>
      </c>
      <c r="D114" s="3" t="s">
        <v>1695</v>
      </c>
      <c r="E114" s="3" t="s">
        <v>184</v>
      </c>
      <c r="F114" s="3" t="s">
        <v>1696</v>
      </c>
      <c r="G114" s="3" t="s">
        <v>1697</v>
      </c>
      <c r="H114" s="3" t="s">
        <v>187</v>
      </c>
      <c r="I114" s="3" t="s">
        <v>944</v>
      </c>
      <c r="J114" s="3" t="s">
        <v>94</v>
      </c>
      <c r="K114" s="3" t="s">
        <v>103</v>
      </c>
      <c r="L114" s="2" t="s">
        <v>340</v>
      </c>
      <c r="M114" s="2" t="s">
        <v>357</v>
      </c>
      <c r="N114" s="3" t="s">
        <v>1698</v>
      </c>
      <c r="O114" s="3" t="s">
        <v>147</v>
      </c>
      <c r="P114" s="3" t="s">
        <v>98</v>
      </c>
      <c r="Q114" s="125">
        <v>66</v>
      </c>
      <c r="R114" s="143">
        <v>3.718</v>
      </c>
      <c r="S114" s="145">
        <v>54812</v>
      </c>
      <c r="T114" s="2"/>
      <c r="U114" s="125">
        <v>134.50200000000001</v>
      </c>
      <c r="V114" s="142">
        <v>0</v>
      </c>
      <c r="W114" s="142">
        <v>1.1839553235423499E-2</v>
      </c>
      <c r="X114" s="142">
        <v>1.8809730576608899E-3</v>
      </c>
    </row>
    <row r="115" spans="1:24">
      <c r="A115" s="3">
        <v>382</v>
      </c>
      <c r="B115" s="3">
        <v>9479</v>
      </c>
      <c r="C115" s="3" t="s">
        <v>1699</v>
      </c>
      <c r="D115" s="3" t="s">
        <v>1700</v>
      </c>
      <c r="E115" s="3" t="s">
        <v>184</v>
      </c>
      <c r="F115" s="3" t="s">
        <v>1701</v>
      </c>
      <c r="G115" s="3" t="s">
        <v>1702</v>
      </c>
      <c r="H115" s="3" t="s">
        <v>187</v>
      </c>
      <c r="I115" s="3" t="s">
        <v>944</v>
      </c>
      <c r="J115" s="3" t="s">
        <v>94</v>
      </c>
      <c r="K115" s="3" t="s">
        <v>103</v>
      </c>
      <c r="L115" s="2" t="s">
        <v>340</v>
      </c>
      <c r="M115" s="2" t="s">
        <v>359</v>
      </c>
      <c r="N115" s="3" t="s">
        <v>556</v>
      </c>
      <c r="O115" s="3" t="s">
        <v>147</v>
      </c>
      <c r="P115" s="3" t="s">
        <v>98</v>
      </c>
      <c r="Q115" s="125">
        <v>67</v>
      </c>
      <c r="R115" s="143">
        <v>3.718</v>
      </c>
      <c r="S115" s="145">
        <v>37539</v>
      </c>
      <c r="T115" s="2"/>
      <c r="U115" s="125">
        <v>93.512</v>
      </c>
      <c r="V115" s="142">
        <v>0</v>
      </c>
      <c r="W115" s="142">
        <v>8.2313910072240402E-3</v>
      </c>
      <c r="X115" s="142">
        <v>1.30773724344057E-3</v>
      </c>
    </row>
    <row r="116" spans="1:24">
      <c r="A116" s="3">
        <v>382</v>
      </c>
      <c r="B116" s="3">
        <v>9479</v>
      </c>
      <c r="C116" s="3" t="s">
        <v>1703</v>
      </c>
      <c r="D116" s="3" t="s">
        <v>1704</v>
      </c>
      <c r="E116" s="3" t="s">
        <v>1325</v>
      </c>
      <c r="F116" s="3" t="s">
        <v>1705</v>
      </c>
      <c r="G116" s="3" t="s">
        <v>1706</v>
      </c>
      <c r="H116" s="3" t="s">
        <v>187</v>
      </c>
      <c r="I116" s="3" t="s">
        <v>944</v>
      </c>
      <c r="J116" s="3" t="s">
        <v>94</v>
      </c>
      <c r="K116" s="3" t="s">
        <v>313</v>
      </c>
      <c r="L116" s="2" t="s">
        <v>340</v>
      </c>
      <c r="M116" s="2" t="s">
        <v>359</v>
      </c>
      <c r="N116" s="3" t="s">
        <v>469</v>
      </c>
      <c r="O116" s="3" t="s">
        <v>147</v>
      </c>
      <c r="P116" s="3" t="s">
        <v>98</v>
      </c>
      <c r="Q116" s="125">
        <v>200</v>
      </c>
      <c r="R116" s="143">
        <v>3.718</v>
      </c>
      <c r="S116" s="145">
        <v>18433</v>
      </c>
      <c r="T116" s="2"/>
      <c r="U116" s="125">
        <v>137.06800000000001</v>
      </c>
      <c r="V116" s="142">
        <v>6.9999999999999999E-6</v>
      </c>
      <c r="W116" s="142">
        <v>1.2065400674734E-2</v>
      </c>
      <c r="X116" s="142">
        <v>1.91685388357024E-3</v>
      </c>
    </row>
    <row r="117" spans="1:24">
      <c r="A117" s="3">
        <v>382</v>
      </c>
      <c r="B117" s="3">
        <v>9479</v>
      </c>
      <c r="C117" s="3" t="s">
        <v>1707</v>
      </c>
      <c r="D117" s="3" t="s">
        <v>1708</v>
      </c>
      <c r="E117" s="3" t="s">
        <v>184</v>
      </c>
      <c r="F117" s="3" t="s">
        <v>1709</v>
      </c>
      <c r="G117" s="3" t="s">
        <v>1710</v>
      </c>
      <c r="H117" s="3" t="s">
        <v>187</v>
      </c>
      <c r="I117" s="3" t="s">
        <v>944</v>
      </c>
      <c r="J117" s="3" t="s">
        <v>94</v>
      </c>
      <c r="K117" s="3" t="s">
        <v>103</v>
      </c>
      <c r="L117" s="2" t="s">
        <v>340</v>
      </c>
      <c r="M117" s="2" t="s">
        <v>359</v>
      </c>
      <c r="N117" s="3" t="s">
        <v>560</v>
      </c>
      <c r="O117" s="3" t="s">
        <v>147</v>
      </c>
      <c r="P117" s="3" t="s">
        <v>98</v>
      </c>
      <c r="Q117" s="125">
        <v>620</v>
      </c>
      <c r="R117" s="143">
        <v>3.718</v>
      </c>
      <c r="S117" s="145">
        <v>10838</v>
      </c>
      <c r="T117" s="124">
        <v>4.0000000000000001E-3</v>
      </c>
      <c r="U117" s="125">
        <v>249.84700000000001</v>
      </c>
      <c r="V117" s="142">
        <v>0</v>
      </c>
      <c r="W117" s="142">
        <v>2.1992804233430901E-2</v>
      </c>
      <c r="X117" s="142">
        <v>3.4940399694916502E-3</v>
      </c>
    </row>
    <row r="118" spans="1:24">
      <c r="A118" s="3">
        <v>382</v>
      </c>
      <c r="B118" s="3">
        <v>9479</v>
      </c>
      <c r="C118" s="3" t="s">
        <v>1711</v>
      </c>
      <c r="D118" s="3" t="s">
        <v>1712</v>
      </c>
      <c r="E118" s="3" t="s">
        <v>184</v>
      </c>
      <c r="F118" s="3" t="s">
        <v>1713</v>
      </c>
      <c r="G118" s="3" t="s">
        <v>1714</v>
      </c>
      <c r="H118" s="3" t="s">
        <v>187</v>
      </c>
      <c r="I118" s="3" t="s">
        <v>944</v>
      </c>
      <c r="J118" s="3" t="s">
        <v>94</v>
      </c>
      <c r="K118" s="3" t="s">
        <v>103</v>
      </c>
      <c r="L118" s="2" t="s">
        <v>340</v>
      </c>
      <c r="M118" s="2" t="s">
        <v>357</v>
      </c>
      <c r="N118" s="3" t="s">
        <v>569</v>
      </c>
      <c r="O118" s="3" t="s">
        <v>147</v>
      </c>
      <c r="P118" s="3" t="s">
        <v>98</v>
      </c>
      <c r="Q118" s="125">
        <v>870</v>
      </c>
      <c r="R118" s="143">
        <v>3.718</v>
      </c>
      <c r="S118" s="145">
        <v>7077</v>
      </c>
      <c r="T118" s="2"/>
      <c r="U118" s="125">
        <v>228.917</v>
      </c>
      <c r="V118" s="142">
        <v>1.4E-5</v>
      </c>
      <c r="W118" s="142">
        <v>2.01504235068438E-2</v>
      </c>
      <c r="X118" s="142">
        <v>3.2013373277825401E-3</v>
      </c>
    </row>
    <row r="119" spans="1:24">
      <c r="A119" s="3">
        <v>382</v>
      </c>
      <c r="B119" s="3">
        <v>9479</v>
      </c>
      <c r="C119" s="3" t="s">
        <v>1719</v>
      </c>
      <c r="D119" s="3" t="s">
        <v>1720</v>
      </c>
      <c r="E119" s="3" t="s">
        <v>184</v>
      </c>
      <c r="F119" s="3" t="s">
        <v>1721</v>
      </c>
      <c r="G119" s="3" t="s">
        <v>1722</v>
      </c>
      <c r="H119" s="3" t="s">
        <v>187</v>
      </c>
      <c r="I119" s="3" t="s">
        <v>944</v>
      </c>
      <c r="J119" s="3" t="s">
        <v>94</v>
      </c>
      <c r="K119" s="3" t="s">
        <v>1723</v>
      </c>
      <c r="L119" s="2" t="s">
        <v>340</v>
      </c>
      <c r="M119" s="2" t="s">
        <v>357</v>
      </c>
      <c r="N119" s="3" t="s">
        <v>560</v>
      </c>
      <c r="O119" s="3" t="s">
        <v>147</v>
      </c>
      <c r="P119" s="3" t="s">
        <v>98</v>
      </c>
      <c r="Q119" s="125">
        <v>572</v>
      </c>
      <c r="R119" s="143">
        <v>3.718</v>
      </c>
      <c r="S119" s="145">
        <v>16600</v>
      </c>
      <c r="T119" s="124">
        <v>0.312</v>
      </c>
      <c r="U119" s="125">
        <v>354.19200000000001</v>
      </c>
      <c r="V119" s="142">
        <v>0</v>
      </c>
      <c r="W119" s="142">
        <v>3.1177750044699401E-2</v>
      </c>
      <c r="X119" s="142">
        <v>4.9532703360041603E-3</v>
      </c>
    </row>
    <row r="120" spans="1:24">
      <c r="A120" s="3">
        <v>382</v>
      </c>
      <c r="B120" s="3">
        <v>9479</v>
      </c>
      <c r="C120" s="3" t="s">
        <v>1724</v>
      </c>
      <c r="D120" s="3" t="s">
        <v>1725</v>
      </c>
      <c r="E120" s="3" t="s">
        <v>184</v>
      </c>
      <c r="F120" s="3" t="s">
        <v>1724</v>
      </c>
      <c r="G120" s="3" t="s">
        <v>1726</v>
      </c>
      <c r="H120" s="3" t="s">
        <v>187</v>
      </c>
      <c r="I120" s="3" t="s">
        <v>944</v>
      </c>
      <c r="J120" s="3" t="s">
        <v>94</v>
      </c>
      <c r="K120" s="3" t="s">
        <v>103</v>
      </c>
      <c r="L120" s="2" t="s">
        <v>340</v>
      </c>
      <c r="M120" s="2" t="s">
        <v>359</v>
      </c>
      <c r="N120" s="3" t="s">
        <v>524</v>
      </c>
      <c r="O120" s="3" t="s">
        <v>147</v>
      </c>
      <c r="P120" s="3" t="s">
        <v>98</v>
      </c>
      <c r="Q120" s="125">
        <v>50</v>
      </c>
      <c r="R120" s="143">
        <v>3.718</v>
      </c>
      <c r="S120" s="145">
        <v>25916</v>
      </c>
      <c r="T120" s="2"/>
      <c r="U120" s="125">
        <v>48.177999999999997</v>
      </c>
      <c r="V120" s="142">
        <v>0</v>
      </c>
      <c r="W120" s="142">
        <v>4.2408577535724698E-3</v>
      </c>
      <c r="X120" s="142">
        <v>6.7375339400268901E-4</v>
      </c>
    </row>
    <row r="121" spans="1:24">
      <c r="A121" s="3">
        <v>382</v>
      </c>
      <c r="B121" s="3">
        <v>9479</v>
      </c>
      <c r="C121" s="3" t="s">
        <v>1727</v>
      </c>
      <c r="D121" s="3" t="s">
        <v>1728</v>
      </c>
      <c r="E121" s="3" t="s">
        <v>184</v>
      </c>
      <c r="F121" s="3" t="s">
        <v>1729</v>
      </c>
      <c r="G121" s="3" t="s">
        <v>1730</v>
      </c>
      <c r="H121" s="3" t="s">
        <v>187</v>
      </c>
      <c r="I121" s="3" t="s">
        <v>944</v>
      </c>
      <c r="J121" s="3" t="s">
        <v>94</v>
      </c>
      <c r="K121" s="3" t="s">
        <v>103</v>
      </c>
      <c r="L121" s="2" t="s">
        <v>340</v>
      </c>
      <c r="M121" s="2" t="s">
        <v>357</v>
      </c>
      <c r="N121" s="3" t="s">
        <v>1698</v>
      </c>
      <c r="O121" s="3" t="s">
        <v>147</v>
      </c>
      <c r="P121" s="3" t="s">
        <v>98</v>
      </c>
      <c r="Q121" s="125">
        <v>86</v>
      </c>
      <c r="R121" s="143">
        <v>3.718</v>
      </c>
      <c r="S121" s="145">
        <v>35046</v>
      </c>
      <c r="T121" s="2"/>
      <c r="U121" s="125">
        <v>112.059</v>
      </c>
      <c r="V121" s="142">
        <v>0</v>
      </c>
      <c r="W121" s="142">
        <v>9.8639903314757301E-3</v>
      </c>
      <c r="X121" s="142">
        <v>1.5671115020641801E-3</v>
      </c>
    </row>
    <row r="122" spans="1:24">
      <c r="A122" s="3">
        <v>382</v>
      </c>
      <c r="B122" s="3">
        <v>9479</v>
      </c>
      <c r="C122" s="3" t="s">
        <v>1748</v>
      </c>
      <c r="D122" s="3" t="s">
        <v>1749</v>
      </c>
      <c r="E122" s="3" t="s">
        <v>184</v>
      </c>
      <c r="F122" s="3" t="s">
        <v>1750</v>
      </c>
      <c r="G122" s="3" t="s">
        <v>1751</v>
      </c>
      <c r="H122" s="3" t="s">
        <v>187</v>
      </c>
      <c r="I122" s="3" t="s">
        <v>944</v>
      </c>
      <c r="J122" s="3" t="s">
        <v>94</v>
      </c>
      <c r="K122" s="3" t="s">
        <v>103</v>
      </c>
      <c r="L122" s="2" t="s">
        <v>340</v>
      </c>
      <c r="M122" s="2" t="s">
        <v>357</v>
      </c>
      <c r="N122" s="3" t="s">
        <v>1685</v>
      </c>
      <c r="O122" s="3" t="s">
        <v>147</v>
      </c>
      <c r="P122" s="3" t="s">
        <v>98</v>
      </c>
      <c r="Q122" s="125">
        <v>306</v>
      </c>
      <c r="R122" s="143">
        <v>3.718</v>
      </c>
      <c r="S122" s="145">
        <v>8779</v>
      </c>
      <c r="T122" s="124">
        <v>5.1999999999999998E-2</v>
      </c>
      <c r="U122" s="125">
        <v>100.074</v>
      </c>
      <c r="V122" s="142">
        <v>0</v>
      </c>
      <c r="W122" s="142">
        <v>8.8090057824870092E-3</v>
      </c>
      <c r="X122" s="142">
        <v>1.39950403635686E-3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33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582</v>
      </c>
      <c r="N1" s="12" t="s">
        <v>133</v>
      </c>
      <c r="O1" s="12" t="s">
        <v>11</v>
      </c>
      <c r="P1" s="12" t="s">
        <v>17</v>
      </c>
      <c r="Q1" s="133" t="s">
        <v>18</v>
      </c>
      <c r="R1" s="144" t="s">
        <v>19</v>
      </c>
      <c r="S1" s="12" t="s">
        <v>16</v>
      </c>
      <c r="T1" s="12" t="s">
        <v>20</v>
      </c>
      <c r="U1" s="139" t="s">
        <v>23</v>
      </c>
      <c r="V1" s="139" t="s">
        <v>24</v>
      </c>
      <c r="W1" s="139" t="s">
        <v>25</v>
      </c>
    </row>
    <row r="2" spans="1:23">
      <c r="A2" s="13">
        <v>382</v>
      </c>
      <c r="B2" s="13">
        <v>382</v>
      </c>
      <c r="C2" s="13" t="s">
        <v>1372</v>
      </c>
      <c r="D2" s="13" t="s">
        <v>1373</v>
      </c>
      <c r="E2" s="11" t="s">
        <v>1325</v>
      </c>
      <c r="F2" s="13" t="s">
        <v>1374</v>
      </c>
      <c r="G2" s="13" t="s">
        <v>1375</v>
      </c>
      <c r="H2" s="11" t="s">
        <v>187</v>
      </c>
      <c r="I2" s="13" t="s">
        <v>995</v>
      </c>
      <c r="J2" s="11" t="s">
        <v>30</v>
      </c>
      <c r="K2" s="11" t="s">
        <v>103</v>
      </c>
      <c r="L2" s="11" t="s">
        <v>47</v>
      </c>
      <c r="M2" s="13" t="s">
        <v>1376</v>
      </c>
      <c r="N2" s="13" t="s">
        <v>147</v>
      </c>
      <c r="O2" s="11" t="s">
        <v>34</v>
      </c>
      <c r="P2" s="127">
        <v>92333.33</v>
      </c>
      <c r="Q2" s="149">
        <v>1</v>
      </c>
      <c r="R2" s="150">
        <v>9860</v>
      </c>
      <c r="S2" s="114"/>
      <c r="T2" s="126">
        <v>9104.0660000000007</v>
      </c>
      <c r="U2" s="148">
        <v>9.2329999999999999E-3</v>
      </c>
      <c r="V2" s="148">
        <v>1.0832848018490999E-2</v>
      </c>
      <c r="W2" s="148">
        <v>3.1489107839022101E-3</v>
      </c>
    </row>
    <row r="3" spans="1:23">
      <c r="A3" s="13">
        <v>382</v>
      </c>
      <c r="B3" s="13">
        <v>382</v>
      </c>
      <c r="C3" s="13" t="s">
        <v>1372</v>
      </c>
      <c r="D3" s="13" t="s">
        <v>1373</v>
      </c>
      <c r="E3" s="11" t="s">
        <v>1325</v>
      </c>
      <c r="F3" s="13" t="s">
        <v>1377</v>
      </c>
      <c r="G3" s="13" t="s">
        <v>1378</v>
      </c>
      <c r="H3" s="11" t="s">
        <v>187</v>
      </c>
      <c r="I3" s="13" t="s">
        <v>994</v>
      </c>
      <c r="J3" s="11" t="s">
        <v>30</v>
      </c>
      <c r="K3" s="11" t="s">
        <v>30</v>
      </c>
      <c r="L3" s="11" t="s">
        <v>47</v>
      </c>
      <c r="M3" s="13" t="s">
        <v>1355</v>
      </c>
      <c r="N3" s="13" t="s">
        <v>147</v>
      </c>
      <c r="O3" s="11" t="s">
        <v>34</v>
      </c>
      <c r="P3" s="127">
        <v>789763</v>
      </c>
      <c r="Q3" s="149">
        <v>1</v>
      </c>
      <c r="R3" s="150">
        <v>3763</v>
      </c>
      <c r="S3" s="114"/>
      <c r="T3" s="126">
        <v>29718.781999999999</v>
      </c>
      <c r="U3" s="148">
        <v>9.2910000000000006E-3</v>
      </c>
      <c r="V3" s="148">
        <v>3.5362115497634697E-2</v>
      </c>
      <c r="W3" s="148">
        <v>1.0279120194617899E-2</v>
      </c>
    </row>
    <row r="4" spans="1:23">
      <c r="A4" s="13">
        <v>382</v>
      </c>
      <c r="B4" s="13">
        <v>382</v>
      </c>
      <c r="C4" s="13" t="s">
        <v>1372</v>
      </c>
      <c r="D4" s="13" t="s">
        <v>1373</v>
      </c>
      <c r="E4" s="11" t="s">
        <v>1325</v>
      </c>
      <c r="F4" s="13" t="s">
        <v>1379</v>
      </c>
      <c r="G4" s="13" t="s">
        <v>1380</v>
      </c>
      <c r="H4" s="11" t="s">
        <v>187</v>
      </c>
      <c r="I4" s="13" t="s">
        <v>994</v>
      </c>
      <c r="J4" s="11" t="s">
        <v>30</v>
      </c>
      <c r="K4" s="11" t="s">
        <v>30</v>
      </c>
      <c r="L4" s="11" t="s">
        <v>47</v>
      </c>
      <c r="M4" s="13" t="s">
        <v>1355</v>
      </c>
      <c r="N4" s="13" t="s">
        <v>147</v>
      </c>
      <c r="O4" s="11" t="s">
        <v>34</v>
      </c>
      <c r="P4" s="127">
        <v>625000</v>
      </c>
      <c r="Q4" s="149">
        <v>1</v>
      </c>
      <c r="R4" s="150">
        <v>3593</v>
      </c>
      <c r="S4" s="114"/>
      <c r="T4" s="126">
        <v>22456.25</v>
      </c>
      <c r="U4" s="148">
        <v>1.0416999999999999E-2</v>
      </c>
      <c r="V4" s="148">
        <v>2.6720493270118301E-2</v>
      </c>
      <c r="W4" s="148">
        <v>7.7671586701704796E-3</v>
      </c>
    </row>
    <row r="5" spans="1:23">
      <c r="A5" s="13">
        <v>382</v>
      </c>
      <c r="B5" s="13">
        <v>382</v>
      </c>
      <c r="C5" s="13" t="s">
        <v>1381</v>
      </c>
      <c r="D5" s="13" t="s">
        <v>1382</v>
      </c>
      <c r="E5" s="11" t="s">
        <v>1325</v>
      </c>
      <c r="F5" s="13" t="s">
        <v>1383</v>
      </c>
      <c r="G5" s="13" t="s">
        <v>1384</v>
      </c>
      <c r="H5" s="11" t="s">
        <v>187</v>
      </c>
      <c r="I5" s="13" t="s">
        <v>994</v>
      </c>
      <c r="J5" s="11" t="s">
        <v>30</v>
      </c>
      <c r="K5" s="11" t="s">
        <v>30</v>
      </c>
      <c r="L5" s="11" t="s">
        <v>47</v>
      </c>
      <c r="M5" s="13" t="s">
        <v>1355</v>
      </c>
      <c r="N5" s="13" t="s">
        <v>147</v>
      </c>
      <c r="O5" s="11" t="s">
        <v>34</v>
      </c>
      <c r="P5" s="127">
        <v>398500</v>
      </c>
      <c r="Q5" s="149">
        <v>1</v>
      </c>
      <c r="R5" s="150">
        <v>2395</v>
      </c>
      <c r="S5" s="114"/>
      <c r="T5" s="126">
        <v>9544.0750000000007</v>
      </c>
      <c r="U5" s="148">
        <v>1.593E-3</v>
      </c>
      <c r="V5" s="148">
        <v>1.13564104339328E-2</v>
      </c>
      <c r="W5" s="148">
        <v>3.3011008020042199E-3</v>
      </c>
    </row>
    <row r="6" spans="1:23">
      <c r="A6" s="13">
        <v>382</v>
      </c>
      <c r="B6" s="13">
        <v>382</v>
      </c>
      <c r="C6" s="13" t="s">
        <v>1381</v>
      </c>
      <c r="D6" s="13" t="s">
        <v>1382</v>
      </c>
      <c r="E6" s="11" t="s">
        <v>1325</v>
      </c>
      <c r="F6" s="13" t="s">
        <v>1385</v>
      </c>
      <c r="G6" s="13" t="s">
        <v>1386</v>
      </c>
      <c r="H6" s="11" t="s">
        <v>187</v>
      </c>
      <c r="I6" s="13" t="s">
        <v>996</v>
      </c>
      <c r="J6" s="11" t="s">
        <v>30</v>
      </c>
      <c r="K6" s="11" t="s">
        <v>30</v>
      </c>
      <c r="L6" s="11" t="s">
        <v>47</v>
      </c>
      <c r="M6" s="13" t="s">
        <v>1387</v>
      </c>
      <c r="N6" s="13" t="s">
        <v>147</v>
      </c>
      <c r="O6" s="11" t="s">
        <v>34</v>
      </c>
      <c r="P6" s="127">
        <v>7220000</v>
      </c>
      <c r="Q6" s="149">
        <v>1</v>
      </c>
      <c r="R6" s="150">
        <v>404.49</v>
      </c>
      <c r="S6" s="114"/>
      <c r="T6" s="126">
        <v>29204.178</v>
      </c>
      <c r="U6" s="148">
        <v>2.6452E-2</v>
      </c>
      <c r="V6" s="148">
        <v>3.4749793118100197E-2</v>
      </c>
      <c r="W6" s="148">
        <v>1.01011292783925E-2</v>
      </c>
    </row>
    <row r="7" spans="1:23">
      <c r="A7" s="13">
        <v>382</v>
      </c>
      <c r="B7" s="13">
        <v>382</v>
      </c>
      <c r="C7" s="13" t="s">
        <v>1381</v>
      </c>
      <c r="D7" s="13" t="s">
        <v>1382</v>
      </c>
      <c r="E7" s="11" t="s">
        <v>1325</v>
      </c>
      <c r="F7" s="13" t="s">
        <v>1388</v>
      </c>
      <c r="G7" s="13" t="s">
        <v>1389</v>
      </c>
      <c r="H7" s="11" t="s">
        <v>187</v>
      </c>
      <c r="I7" s="13" t="s">
        <v>994</v>
      </c>
      <c r="J7" s="11" t="s">
        <v>30</v>
      </c>
      <c r="K7" s="11" t="s">
        <v>30</v>
      </c>
      <c r="L7" s="11" t="s">
        <v>47</v>
      </c>
      <c r="M7" s="13" t="s">
        <v>1355</v>
      </c>
      <c r="N7" s="13" t="s">
        <v>147</v>
      </c>
      <c r="O7" s="11" t="s">
        <v>34</v>
      </c>
      <c r="P7" s="127">
        <v>477000</v>
      </c>
      <c r="Q7" s="149">
        <v>1</v>
      </c>
      <c r="R7" s="150">
        <v>2397</v>
      </c>
      <c r="S7" s="114"/>
      <c r="T7" s="126">
        <v>11433.69</v>
      </c>
      <c r="U7" s="148">
        <v>2.31E-3</v>
      </c>
      <c r="V7" s="148">
        <v>1.36048466105258E-2</v>
      </c>
      <c r="W7" s="148">
        <v>3.9546800741682804E-3</v>
      </c>
    </row>
    <row r="8" spans="1:23">
      <c r="A8" s="13">
        <v>382</v>
      </c>
      <c r="B8" s="13">
        <v>382</v>
      </c>
      <c r="C8" s="13" t="s">
        <v>1390</v>
      </c>
      <c r="D8" s="13" t="s">
        <v>1391</v>
      </c>
      <c r="E8" s="11" t="s">
        <v>1325</v>
      </c>
      <c r="F8" s="13" t="s">
        <v>1392</v>
      </c>
      <c r="G8" s="13" t="s">
        <v>1393</v>
      </c>
      <c r="H8" s="11" t="s">
        <v>187</v>
      </c>
      <c r="I8" s="13" t="s">
        <v>994</v>
      </c>
      <c r="J8" s="11" t="s">
        <v>30</v>
      </c>
      <c r="K8" s="11" t="s">
        <v>30</v>
      </c>
      <c r="L8" s="11" t="s">
        <v>47</v>
      </c>
      <c r="M8" s="13" t="s">
        <v>1355</v>
      </c>
      <c r="N8" s="13" t="s">
        <v>147</v>
      </c>
      <c r="O8" s="11" t="s">
        <v>34</v>
      </c>
      <c r="P8" s="127">
        <v>411000</v>
      </c>
      <c r="Q8" s="149">
        <v>1</v>
      </c>
      <c r="R8" s="150">
        <v>6632</v>
      </c>
      <c r="S8" s="114"/>
      <c r="T8" s="126">
        <v>27257.52</v>
      </c>
      <c r="U8" s="148">
        <v>3.288E-2</v>
      </c>
      <c r="V8" s="148">
        <v>3.2433481980300098E-2</v>
      </c>
      <c r="W8" s="148">
        <v>9.4278199964528998E-3</v>
      </c>
    </row>
    <row r="9" spans="1:23">
      <c r="A9" s="13">
        <v>382</v>
      </c>
      <c r="B9" s="13">
        <v>382</v>
      </c>
      <c r="C9" s="13" t="s">
        <v>1394</v>
      </c>
      <c r="D9" s="13" t="s">
        <v>1395</v>
      </c>
      <c r="E9" s="11" t="s">
        <v>1325</v>
      </c>
      <c r="F9" s="13" t="s">
        <v>1396</v>
      </c>
      <c r="G9" s="13" t="s">
        <v>1397</v>
      </c>
      <c r="H9" s="11" t="s">
        <v>187</v>
      </c>
      <c r="I9" s="13" t="s">
        <v>995</v>
      </c>
      <c r="J9" s="11" t="s">
        <v>30</v>
      </c>
      <c r="K9" s="11" t="s">
        <v>310</v>
      </c>
      <c r="L9" s="11" t="s">
        <v>47</v>
      </c>
      <c r="M9" s="13" t="s">
        <v>1376</v>
      </c>
      <c r="N9" s="13" t="s">
        <v>147</v>
      </c>
      <c r="O9" s="11" t="s">
        <v>34</v>
      </c>
      <c r="P9" s="127">
        <v>40000</v>
      </c>
      <c r="Q9" s="149">
        <v>1</v>
      </c>
      <c r="R9" s="150">
        <v>22720</v>
      </c>
      <c r="S9" s="114"/>
      <c r="T9" s="126">
        <v>9088</v>
      </c>
      <c r="U9" s="148">
        <v>1.4795000000000001E-2</v>
      </c>
      <c r="V9" s="148">
        <v>1.0813730824996801E-2</v>
      </c>
      <c r="W9" s="148">
        <v>3.1433537654109401E-3</v>
      </c>
    </row>
    <row r="10" spans="1:23">
      <c r="A10" s="13">
        <v>382</v>
      </c>
      <c r="B10" s="13">
        <v>382</v>
      </c>
      <c r="C10" s="13" t="s">
        <v>1394</v>
      </c>
      <c r="D10" s="13" t="s">
        <v>1395</v>
      </c>
      <c r="E10" s="11" t="s">
        <v>1325</v>
      </c>
      <c r="F10" s="13" t="s">
        <v>1398</v>
      </c>
      <c r="G10" s="13" t="s">
        <v>1399</v>
      </c>
      <c r="H10" s="11" t="s">
        <v>187</v>
      </c>
      <c r="I10" s="13" t="s">
        <v>995</v>
      </c>
      <c r="J10" s="11" t="s">
        <v>30</v>
      </c>
      <c r="K10" s="11" t="s">
        <v>103</v>
      </c>
      <c r="L10" s="11" t="s">
        <v>47</v>
      </c>
      <c r="M10" s="13" t="s">
        <v>1376</v>
      </c>
      <c r="N10" s="13" t="s">
        <v>147</v>
      </c>
      <c r="O10" s="11" t="s">
        <v>34</v>
      </c>
      <c r="P10" s="127">
        <v>221380</v>
      </c>
      <c r="Q10" s="149">
        <v>1</v>
      </c>
      <c r="R10" s="150">
        <v>22550</v>
      </c>
      <c r="S10" s="114"/>
      <c r="T10" s="126">
        <v>49921.19</v>
      </c>
      <c r="U10" s="148">
        <v>7.541E-3</v>
      </c>
      <c r="V10" s="148">
        <v>5.9400782473979299E-2</v>
      </c>
      <c r="W10" s="148">
        <v>1.7266721012356399E-2</v>
      </c>
    </row>
    <row r="11" spans="1:23">
      <c r="A11" s="13">
        <v>382</v>
      </c>
      <c r="B11" s="13">
        <v>382</v>
      </c>
      <c r="C11" s="13" t="s">
        <v>1394</v>
      </c>
      <c r="D11" s="13" t="s">
        <v>1395</v>
      </c>
      <c r="E11" s="11" t="s">
        <v>1325</v>
      </c>
      <c r="F11" s="13" t="s">
        <v>1400</v>
      </c>
      <c r="G11" s="13" t="s">
        <v>1401</v>
      </c>
      <c r="H11" s="11" t="s">
        <v>187</v>
      </c>
      <c r="I11" s="13" t="s">
        <v>994</v>
      </c>
      <c r="J11" s="11" t="s">
        <v>30</v>
      </c>
      <c r="K11" s="11" t="s">
        <v>30</v>
      </c>
      <c r="L11" s="11" t="s">
        <v>47</v>
      </c>
      <c r="M11" s="13" t="s">
        <v>1355</v>
      </c>
      <c r="N11" s="13" t="s">
        <v>147</v>
      </c>
      <c r="O11" s="11" t="s">
        <v>34</v>
      </c>
      <c r="P11" s="127">
        <v>42250</v>
      </c>
      <c r="Q11" s="149">
        <v>1</v>
      </c>
      <c r="R11" s="150">
        <v>23890</v>
      </c>
      <c r="S11" s="114"/>
      <c r="T11" s="126">
        <v>10093.525</v>
      </c>
      <c r="U11" s="148">
        <v>1.193E-3</v>
      </c>
      <c r="V11" s="148">
        <v>1.20101961295528E-2</v>
      </c>
      <c r="W11" s="148">
        <v>3.49114434584281E-3</v>
      </c>
    </row>
    <row r="12" spans="1:23">
      <c r="A12" s="13">
        <v>382</v>
      </c>
      <c r="B12" s="13">
        <v>382</v>
      </c>
      <c r="C12" s="13" t="s">
        <v>1394</v>
      </c>
      <c r="D12" s="13" t="s">
        <v>1395</v>
      </c>
      <c r="E12" s="11" t="s">
        <v>1325</v>
      </c>
      <c r="F12" s="13" t="s">
        <v>1402</v>
      </c>
      <c r="G12" s="13" t="s">
        <v>1403</v>
      </c>
      <c r="H12" s="11" t="s">
        <v>187</v>
      </c>
      <c r="I12" s="13" t="s">
        <v>994</v>
      </c>
      <c r="J12" s="11" t="s">
        <v>30</v>
      </c>
      <c r="K12" s="11" t="s">
        <v>30</v>
      </c>
      <c r="L12" s="11" t="s">
        <v>47</v>
      </c>
      <c r="M12" s="13" t="s">
        <v>1355</v>
      </c>
      <c r="N12" s="13" t="s">
        <v>147</v>
      </c>
      <c r="O12" s="11" t="s">
        <v>34</v>
      </c>
      <c r="P12" s="127">
        <v>61012</v>
      </c>
      <c r="Q12" s="149">
        <v>1</v>
      </c>
      <c r="R12" s="150">
        <v>22890</v>
      </c>
      <c r="S12" s="114"/>
      <c r="T12" s="126">
        <v>13965.647000000001</v>
      </c>
      <c r="U12" s="148">
        <v>2.019E-3</v>
      </c>
      <c r="V12" s="148">
        <v>1.6617599614016099E-2</v>
      </c>
      <c r="W12" s="148">
        <v>4.8304322683956E-3</v>
      </c>
    </row>
    <row r="13" spans="1:23">
      <c r="A13" s="13">
        <v>382</v>
      </c>
      <c r="B13" s="13">
        <v>382</v>
      </c>
      <c r="C13" s="13" t="s">
        <v>1394</v>
      </c>
      <c r="D13" s="13" t="s">
        <v>1395</v>
      </c>
      <c r="E13" s="11" t="s">
        <v>1325</v>
      </c>
      <c r="F13" s="13" t="s">
        <v>1404</v>
      </c>
      <c r="G13" s="13" t="s">
        <v>1405</v>
      </c>
      <c r="H13" s="11" t="s">
        <v>187</v>
      </c>
      <c r="I13" s="13" t="s">
        <v>994</v>
      </c>
      <c r="J13" s="11" t="s">
        <v>30</v>
      </c>
      <c r="K13" s="11" t="s">
        <v>30</v>
      </c>
      <c r="L13" s="11" t="s">
        <v>47</v>
      </c>
      <c r="M13" s="13" t="s">
        <v>1355</v>
      </c>
      <c r="N13" s="13" t="s">
        <v>147</v>
      </c>
      <c r="O13" s="11" t="s">
        <v>34</v>
      </c>
      <c r="P13" s="127">
        <v>105000</v>
      </c>
      <c r="Q13" s="149">
        <v>1</v>
      </c>
      <c r="R13" s="150">
        <v>9440</v>
      </c>
      <c r="S13" s="114"/>
      <c r="T13" s="126">
        <v>9912</v>
      </c>
      <c r="U13" s="148">
        <v>1.1467E-2</v>
      </c>
      <c r="V13" s="148">
        <v>1.1794201137474499E-2</v>
      </c>
      <c r="W13" s="148">
        <v>3.4283585522395699E-3</v>
      </c>
    </row>
    <row r="14" spans="1:23">
      <c r="A14" s="13">
        <v>382</v>
      </c>
      <c r="B14" s="13">
        <v>382</v>
      </c>
      <c r="C14" s="13" t="s">
        <v>1406</v>
      </c>
      <c r="D14" s="13" t="s">
        <v>1407</v>
      </c>
      <c r="E14" s="11" t="s">
        <v>1325</v>
      </c>
      <c r="F14" s="13" t="s">
        <v>1408</v>
      </c>
      <c r="G14" s="13" t="s">
        <v>1409</v>
      </c>
      <c r="H14" s="11" t="s">
        <v>187</v>
      </c>
      <c r="I14" s="13" t="s">
        <v>994</v>
      </c>
      <c r="J14" s="11" t="s">
        <v>30</v>
      </c>
      <c r="K14" s="11" t="s">
        <v>30</v>
      </c>
      <c r="L14" s="11" t="s">
        <v>47</v>
      </c>
      <c r="M14" s="13" t="s">
        <v>1355</v>
      </c>
      <c r="N14" s="13" t="s">
        <v>147</v>
      </c>
      <c r="O14" s="11" t="s">
        <v>34</v>
      </c>
      <c r="P14" s="127">
        <v>590710</v>
      </c>
      <c r="Q14" s="149">
        <v>1</v>
      </c>
      <c r="R14" s="150">
        <v>2376</v>
      </c>
      <c r="S14" s="114"/>
      <c r="T14" s="126">
        <v>14035.27</v>
      </c>
      <c r="U14" s="148">
        <v>1.449E-3</v>
      </c>
      <c r="V14" s="148">
        <v>1.6700443167986499E-2</v>
      </c>
      <c r="W14" s="148">
        <v>4.8545133743087198E-3</v>
      </c>
    </row>
    <row r="15" spans="1:23">
      <c r="A15" s="13">
        <v>382</v>
      </c>
      <c r="B15" s="13">
        <v>382</v>
      </c>
      <c r="C15" s="13" t="s">
        <v>1410</v>
      </c>
      <c r="D15" s="13" t="s">
        <v>1411</v>
      </c>
      <c r="E15" s="11" t="s">
        <v>184</v>
      </c>
      <c r="F15" s="13" t="s">
        <v>1412</v>
      </c>
      <c r="G15" s="13" t="s">
        <v>1413</v>
      </c>
      <c r="H15" s="11" t="s">
        <v>187</v>
      </c>
      <c r="I15" s="13" t="s">
        <v>995</v>
      </c>
      <c r="J15" s="11" t="s">
        <v>94</v>
      </c>
      <c r="K15" s="11" t="s">
        <v>103</v>
      </c>
      <c r="L15" s="11" t="s">
        <v>1414</v>
      </c>
      <c r="M15" s="13" t="s">
        <v>748</v>
      </c>
      <c r="N15" s="13" t="s">
        <v>147</v>
      </c>
      <c r="O15" s="11" t="s">
        <v>1183</v>
      </c>
      <c r="P15" s="127">
        <v>16680</v>
      </c>
      <c r="Q15" s="149">
        <v>4.0218999999999996</v>
      </c>
      <c r="R15" s="150">
        <v>20345</v>
      </c>
      <c r="S15" s="114"/>
      <c r="T15" s="126">
        <v>13648.503000000001</v>
      </c>
      <c r="U15" s="148">
        <v>0</v>
      </c>
      <c r="V15" s="148">
        <v>1.62402326035847E-2</v>
      </c>
      <c r="W15" s="148">
        <v>4.7207385805853302E-3</v>
      </c>
    </row>
    <row r="16" spans="1:23">
      <c r="A16" s="13">
        <v>382</v>
      </c>
      <c r="B16" s="13">
        <v>382</v>
      </c>
      <c r="C16" s="13" t="s">
        <v>1415</v>
      </c>
      <c r="D16" s="13" t="s">
        <v>1416</v>
      </c>
      <c r="E16" s="11" t="s">
        <v>184</v>
      </c>
      <c r="F16" s="13" t="s">
        <v>1417</v>
      </c>
      <c r="G16" s="13" t="s">
        <v>1418</v>
      </c>
      <c r="H16" s="11" t="s">
        <v>187</v>
      </c>
      <c r="I16" s="13" t="s">
        <v>995</v>
      </c>
      <c r="J16" s="11" t="s">
        <v>94</v>
      </c>
      <c r="K16" s="11" t="s">
        <v>103</v>
      </c>
      <c r="L16" s="11" t="s">
        <v>377</v>
      </c>
      <c r="M16" s="13" t="s">
        <v>748</v>
      </c>
      <c r="N16" s="13" t="s">
        <v>147</v>
      </c>
      <c r="O16" s="11" t="s">
        <v>98</v>
      </c>
      <c r="P16" s="127">
        <v>131626</v>
      </c>
      <c r="Q16" s="149">
        <v>3.718</v>
      </c>
      <c r="R16" s="150">
        <v>10928.02</v>
      </c>
      <c r="S16" s="114"/>
      <c r="T16" s="126">
        <v>53480.142</v>
      </c>
      <c r="U16" s="148">
        <v>2.82E-3</v>
      </c>
      <c r="V16" s="148">
        <v>6.3635547769100007E-2</v>
      </c>
      <c r="W16" s="148">
        <v>1.8497689828898298E-2</v>
      </c>
    </row>
    <row r="17" spans="1:23">
      <c r="A17" s="13">
        <v>382</v>
      </c>
      <c r="B17" s="13">
        <v>382</v>
      </c>
      <c r="C17" s="13" t="s">
        <v>1419</v>
      </c>
      <c r="D17" s="13" t="s">
        <v>1420</v>
      </c>
      <c r="E17" s="11" t="s">
        <v>184</v>
      </c>
      <c r="F17" s="13" t="s">
        <v>1421</v>
      </c>
      <c r="G17" s="13" t="s">
        <v>1422</v>
      </c>
      <c r="H17" s="11" t="s">
        <v>187</v>
      </c>
      <c r="I17" s="13" t="s">
        <v>995</v>
      </c>
      <c r="J17" s="11" t="s">
        <v>94</v>
      </c>
      <c r="K17" s="11" t="s">
        <v>103</v>
      </c>
      <c r="L17" s="11" t="s">
        <v>357</v>
      </c>
      <c r="M17" s="13" t="s">
        <v>748</v>
      </c>
      <c r="N17" s="13" t="s">
        <v>147</v>
      </c>
      <c r="O17" s="11" t="s">
        <v>98</v>
      </c>
      <c r="P17" s="127">
        <v>18600</v>
      </c>
      <c r="Q17" s="149">
        <v>3.718</v>
      </c>
      <c r="R17" s="150">
        <v>19949</v>
      </c>
      <c r="S17" s="114"/>
      <c r="T17" s="126">
        <v>13795.691000000001</v>
      </c>
      <c r="U17" s="148">
        <v>6.4999999999999994E-5</v>
      </c>
      <c r="V17" s="148">
        <v>1.6415370772573198E-2</v>
      </c>
      <c r="W17" s="148">
        <v>4.77164804299628E-3</v>
      </c>
    </row>
    <row r="18" spans="1:23">
      <c r="A18" s="13">
        <v>382</v>
      </c>
      <c r="B18" s="13">
        <v>382</v>
      </c>
      <c r="C18" s="13" t="s">
        <v>1423</v>
      </c>
      <c r="D18" s="13" t="s">
        <v>1424</v>
      </c>
      <c r="E18" s="11" t="s">
        <v>184</v>
      </c>
      <c r="F18" s="13" t="s">
        <v>1425</v>
      </c>
      <c r="G18" s="13" t="s">
        <v>1426</v>
      </c>
      <c r="H18" s="11" t="s">
        <v>187</v>
      </c>
      <c r="I18" s="13" t="s">
        <v>995</v>
      </c>
      <c r="J18" s="11" t="s">
        <v>94</v>
      </c>
      <c r="K18" s="11" t="s">
        <v>103</v>
      </c>
      <c r="L18" s="11" t="s">
        <v>357</v>
      </c>
      <c r="M18" s="13" t="s">
        <v>748</v>
      </c>
      <c r="N18" s="13" t="s">
        <v>147</v>
      </c>
      <c r="O18" s="11" t="s">
        <v>98</v>
      </c>
      <c r="P18" s="127">
        <v>45500</v>
      </c>
      <c r="Q18" s="149">
        <v>3.718</v>
      </c>
      <c r="R18" s="150">
        <v>4981</v>
      </c>
      <c r="S18" s="128">
        <v>0</v>
      </c>
      <c r="T18" s="126">
        <v>8426.3070000000007</v>
      </c>
      <c r="U18" s="148">
        <v>5.1E-5</v>
      </c>
      <c r="V18" s="148">
        <v>1.0026388439043301E-2</v>
      </c>
      <c r="W18" s="148">
        <v>2.9144877344724198E-3</v>
      </c>
    </row>
    <row r="19" spans="1:23">
      <c r="A19" s="13">
        <v>382</v>
      </c>
      <c r="B19" s="13">
        <v>382</v>
      </c>
      <c r="C19" s="13" t="s">
        <v>1427</v>
      </c>
      <c r="D19" s="13" t="s">
        <v>1428</v>
      </c>
      <c r="E19" s="11" t="s">
        <v>184</v>
      </c>
      <c r="F19" s="13" t="s">
        <v>1429</v>
      </c>
      <c r="G19" s="13" t="s">
        <v>1430</v>
      </c>
      <c r="H19" s="11" t="s">
        <v>187</v>
      </c>
      <c r="I19" s="13" t="s">
        <v>995</v>
      </c>
      <c r="J19" s="11" t="s">
        <v>94</v>
      </c>
      <c r="K19" s="11" t="s">
        <v>285</v>
      </c>
      <c r="L19" s="11" t="s">
        <v>383</v>
      </c>
      <c r="M19" s="13" t="s">
        <v>748</v>
      </c>
      <c r="N19" s="13" t="s">
        <v>147</v>
      </c>
      <c r="O19" s="11" t="s">
        <v>1431</v>
      </c>
      <c r="P19" s="127">
        <v>99000</v>
      </c>
      <c r="Q19" s="149">
        <v>0.47760000000000002</v>
      </c>
      <c r="R19" s="150">
        <v>8700</v>
      </c>
      <c r="S19" s="114"/>
      <c r="T19" s="126">
        <v>4113.5690000000004</v>
      </c>
      <c r="U19" s="148">
        <v>2.0900000000000001E-4</v>
      </c>
      <c r="V19" s="148">
        <v>4.8946991343865797E-3</v>
      </c>
      <c r="W19" s="148">
        <v>1.4227995132875199E-3</v>
      </c>
    </row>
    <row r="20" spans="1:23">
      <c r="A20" s="2">
        <v>382</v>
      </c>
      <c r="B20" s="2">
        <v>382</v>
      </c>
      <c r="C20" s="2" t="s">
        <v>1368</v>
      </c>
      <c r="D20" s="2" t="s">
        <v>1369</v>
      </c>
      <c r="E20" s="11" t="s">
        <v>184</v>
      </c>
      <c r="F20" s="2" t="s">
        <v>1432</v>
      </c>
      <c r="G20" s="2" t="s">
        <v>1433</v>
      </c>
      <c r="H20" s="11" t="s">
        <v>187</v>
      </c>
      <c r="I20" s="13" t="s">
        <v>995</v>
      </c>
      <c r="J20" s="11" t="s">
        <v>94</v>
      </c>
      <c r="K20" s="11" t="s">
        <v>103</v>
      </c>
      <c r="L20" s="11" t="s">
        <v>393</v>
      </c>
      <c r="M20" s="13" t="s">
        <v>748</v>
      </c>
      <c r="N20" s="13" t="s">
        <v>147</v>
      </c>
      <c r="O20" s="2" t="s">
        <v>98</v>
      </c>
      <c r="P20" s="127">
        <v>1415</v>
      </c>
      <c r="Q20" s="134">
        <v>3.718</v>
      </c>
      <c r="R20" s="151">
        <v>109783</v>
      </c>
      <c r="S20" s="115"/>
      <c r="T20" s="124">
        <v>5775.6509999999998</v>
      </c>
      <c r="U20" s="140">
        <v>6.4999999999999994E-5</v>
      </c>
      <c r="V20" s="140">
        <v>6.8723956817800698E-3</v>
      </c>
      <c r="W20" s="140">
        <v>1.9976797271281802E-3</v>
      </c>
    </row>
    <row r="21" spans="1:23">
      <c r="A21" s="2">
        <v>382</v>
      </c>
      <c r="B21" s="2">
        <v>382</v>
      </c>
      <c r="C21" s="2" t="s">
        <v>1419</v>
      </c>
      <c r="D21" s="2" t="s">
        <v>1420</v>
      </c>
      <c r="E21" s="3" t="s">
        <v>184</v>
      </c>
      <c r="F21" s="2" t="s">
        <v>1434</v>
      </c>
      <c r="G21" s="2" t="s">
        <v>1435</v>
      </c>
      <c r="H21" s="3" t="s">
        <v>187</v>
      </c>
      <c r="I21" s="2" t="s">
        <v>997</v>
      </c>
      <c r="J21" s="2" t="s">
        <v>94</v>
      </c>
      <c r="K21" s="2" t="s">
        <v>313</v>
      </c>
      <c r="L21" s="3" t="s">
        <v>393</v>
      </c>
      <c r="M21" s="2" t="s">
        <v>745</v>
      </c>
      <c r="N21" s="2" t="s">
        <v>147</v>
      </c>
      <c r="O21" s="2" t="s">
        <v>98</v>
      </c>
      <c r="P21" s="125">
        <v>792600</v>
      </c>
      <c r="Q21" s="134">
        <v>3.718</v>
      </c>
      <c r="R21" s="151">
        <v>597.45000000000005</v>
      </c>
      <c r="S21" s="115"/>
      <c r="T21" s="124">
        <v>17606.174999999999</v>
      </c>
      <c r="U21" s="140">
        <v>2.3379999999999998E-3</v>
      </c>
      <c r="V21" s="140">
        <v>2.0949432144105499E-2</v>
      </c>
      <c r="W21" s="140">
        <v>6.0896167547627297E-3</v>
      </c>
    </row>
    <row r="22" spans="1:23">
      <c r="A22" s="2">
        <v>382</v>
      </c>
      <c r="B22" s="2">
        <v>382</v>
      </c>
      <c r="C22" s="2" t="s">
        <v>1419</v>
      </c>
      <c r="D22" s="2" t="s">
        <v>1420</v>
      </c>
      <c r="E22" s="3" t="s">
        <v>184</v>
      </c>
      <c r="F22" s="2" t="s">
        <v>1436</v>
      </c>
      <c r="G22" s="2" t="s">
        <v>1437</v>
      </c>
      <c r="H22" s="2" t="s">
        <v>187</v>
      </c>
      <c r="I22" s="2" t="s">
        <v>995</v>
      </c>
      <c r="J22" s="2" t="s">
        <v>94</v>
      </c>
      <c r="K22" s="2" t="s">
        <v>310</v>
      </c>
      <c r="L22" s="3" t="s">
        <v>381</v>
      </c>
      <c r="M22" s="2" t="s">
        <v>748</v>
      </c>
      <c r="N22" s="2" t="s">
        <v>147</v>
      </c>
      <c r="O22" s="2" t="s">
        <v>1183</v>
      </c>
      <c r="P22" s="125">
        <v>204900</v>
      </c>
      <c r="Q22" s="134">
        <v>4.0218999999999996</v>
      </c>
      <c r="R22" s="151">
        <v>5318</v>
      </c>
      <c r="S22" s="115"/>
      <c r="T22" s="124">
        <v>43824.963000000003</v>
      </c>
      <c r="U22" s="140">
        <v>1.4430000000000001E-3</v>
      </c>
      <c r="V22" s="140">
        <v>5.2146936055687501E-2</v>
      </c>
      <c r="W22" s="140">
        <v>1.51581605329386E-2</v>
      </c>
    </row>
    <row r="23" spans="1:23">
      <c r="A23" s="2">
        <v>382</v>
      </c>
      <c r="B23" s="2">
        <v>382</v>
      </c>
      <c r="C23" s="2" t="s">
        <v>1419</v>
      </c>
      <c r="D23" s="2" t="s">
        <v>1420</v>
      </c>
      <c r="E23" s="3" t="s">
        <v>184</v>
      </c>
      <c r="F23" s="2" t="s">
        <v>1438</v>
      </c>
      <c r="G23" s="2" t="s">
        <v>1439</v>
      </c>
      <c r="H23" s="2" t="s">
        <v>187</v>
      </c>
      <c r="I23" s="2" t="s">
        <v>995</v>
      </c>
      <c r="J23" s="2" t="s">
        <v>94</v>
      </c>
      <c r="K23" s="2" t="s">
        <v>103</v>
      </c>
      <c r="L23" s="2" t="s">
        <v>1440</v>
      </c>
      <c r="M23" s="2" t="s">
        <v>748</v>
      </c>
      <c r="N23" s="2" t="s">
        <v>147</v>
      </c>
      <c r="O23" s="2" t="s">
        <v>98</v>
      </c>
      <c r="P23" s="125">
        <v>570320</v>
      </c>
      <c r="Q23" s="134">
        <v>3.718</v>
      </c>
      <c r="R23" s="151">
        <v>601.75</v>
      </c>
      <c r="S23" s="115"/>
      <c r="T23" s="124">
        <v>12759.806</v>
      </c>
      <c r="U23" s="140">
        <v>0</v>
      </c>
      <c r="V23" s="140">
        <v>1.51827808232543E-2</v>
      </c>
      <c r="W23" s="140">
        <v>4.4133566890591797E-3</v>
      </c>
    </row>
    <row r="24" spans="1:23">
      <c r="A24" s="2">
        <v>382</v>
      </c>
      <c r="B24" s="2">
        <v>382</v>
      </c>
      <c r="C24" s="2" t="s">
        <v>1419</v>
      </c>
      <c r="D24" s="2" t="s">
        <v>1420</v>
      </c>
      <c r="E24" s="3" t="s">
        <v>184</v>
      </c>
      <c r="F24" s="2" t="s">
        <v>1441</v>
      </c>
      <c r="G24" s="2" t="s">
        <v>1442</v>
      </c>
      <c r="H24" s="2" t="s">
        <v>187</v>
      </c>
      <c r="I24" s="2" t="s">
        <v>995</v>
      </c>
      <c r="J24" s="2" t="s">
        <v>94</v>
      </c>
      <c r="K24" s="2" t="s">
        <v>103</v>
      </c>
      <c r="L24" s="2" t="s">
        <v>1443</v>
      </c>
      <c r="M24" s="2" t="s">
        <v>748</v>
      </c>
      <c r="N24" s="2" t="s">
        <v>147</v>
      </c>
      <c r="O24" s="2" t="s">
        <v>98</v>
      </c>
      <c r="P24" s="125">
        <v>323390</v>
      </c>
      <c r="Q24" s="134">
        <v>3.718</v>
      </c>
      <c r="R24" s="151">
        <v>1088.8340000000001</v>
      </c>
      <c r="S24" s="115"/>
      <c r="T24" s="124">
        <v>13091.754000000001</v>
      </c>
      <c r="U24" s="140">
        <v>9.8589999999999997E-3</v>
      </c>
      <c r="V24" s="140">
        <v>1.55777626158083E-2</v>
      </c>
      <c r="W24" s="140">
        <v>4.5281706718544104E-3</v>
      </c>
    </row>
    <row r="25" spans="1:23">
      <c r="A25" s="2">
        <v>382</v>
      </c>
      <c r="B25" s="2">
        <v>382</v>
      </c>
      <c r="C25" s="2" t="s">
        <v>1419</v>
      </c>
      <c r="D25" s="2" t="s">
        <v>1420</v>
      </c>
      <c r="E25" s="3" t="s">
        <v>184</v>
      </c>
      <c r="F25" s="2" t="s">
        <v>1444</v>
      </c>
      <c r="G25" s="2" t="s">
        <v>1445</v>
      </c>
      <c r="H25" s="2" t="s">
        <v>187</v>
      </c>
      <c r="I25" s="2" t="s">
        <v>997</v>
      </c>
      <c r="J25" s="2" t="s">
        <v>94</v>
      </c>
      <c r="K25" s="2" t="s">
        <v>103</v>
      </c>
      <c r="L25" s="2" t="s">
        <v>393</v>
      </c>
      <c r="M25" s="2" t="s">
        <v>745</v>
      </c>
      <c r="N25" s="2" t="s">
        <v>147</v>
      </c>
      <c r="O25" s="2" t="s">
        <v>98</v>
      </c>
      <c r="P25" s="125">
        <v>260000</v>
      </c>
      <c r="Q25" s="134">
        <v>3.718</v>
      </c>
      <c r="R25" s="151">
        <v>605.15</v>
      </c>
      <c r="S25" s="115"/>
      <c r="T25" s="124">
        <v>5849.8639999999996</v>
      </c>
      <c r="U25" s="140">
        <v>0</v>
      </c>
      <c r="V25" s="140">
        <v>6.96070146072996E-3</v>
      </c>
      <c r="W25" s="140">
        <v>2.0233486019375999E-3</v>
      </c>
    </row>
    <row r="26" spans="1:23">
      <c r="A26" s="2">
        <v>382</v>
      </c>
      <c r="B26" s="2">
        <v>382</v>
      </c>
      <c r="C26" s="2" t="s">
        <v>1419</v>
      </c>
      <c r="D26" s="2" t="s">
        <v>1420</v>
      </c>
      <c r="E26" s="3" t="s">
        <v>184</v>
      </c>
      <c r="F26" s="2" t="s">
        <v>1446</v>
      </c>
      <c r="G26" s="4" t="s">
        <v>1447</v>
      </c>
      <c r="H26" s="2" t="s">
        <v>187</v>
      </c>
      <c r="I26" s="2" t="s">
        <v>995</v>
      </c>
      <c r="J26" s="2" t="s">
        <v>94</v>
      </c>
      <c r="K26" s="2" t="s">
        <v>313</v>
      </c>
      <c r="L26" s="2" t="s">
        <v>381</v>
      </c>
      <c r="M26" s="2" t="s">
        <v>748</v>
      </c>
      <c r="N26" s="2" t="s">
        <v>147</v>
      </c>
      <c r="O26" s="2" t="s">
        <v>1183</v>
      </c>
      <c r="P26" s="125">
        <v>21860</v>
      </c>
      <c r="Q26" s="134">
        <v>4.0218999999999996</v>
      </c>
      <c r="R26" s="151">
        <v>18554</v>
      </c>
      <c r="S26" s="115"/>
      <c r="T26" s="124">
        <v>16312.441999999999</v>
      </c>
      <c r="U26" s="140">
        <v>5.1199999999999998E-4</v>
      </c>
      <c r="V26" s="140">
        <v>1.9410030355829101E-2</v>
      </c>
      <c r="W26" s="140">
        <v>5.6421408108939097E-3</v>
      </c>
    </row>
    <row r="27" spans="1:23">
      <c r="A27" s="2">
        <v>382</v>
      </c>
      <c r="B27" s="2">
        <v>382</v>
      </c>
      <c r="C27" s="2" t="s">
        <v>1419</v>
      </c>
      <c r="D27" s="2" t="s">
        <v>1420</v>
      </c>
      <c r="E27" s="3" t="s">
        <v>184</v>
      </c>
      <c r="F27" s="2" t="s">
        <v>1448</v>
      </c>
      <c r="G27" s="2" t="s">
        <v>1449</v>
      </c>
      <c r="H27" s="2" t="s">
        <v>187</v>
      </c>
      <c r="I27" s="2" t="s">
        <v>995</v>
      </c>
      <c r="J27" s="2" t="s">
        <v>94</v>
      </c>
      <c r="K27" s="2" t="s">
        <v>103</v>
      </c>
      <c r="L27" s="2" t="s">
        <v>357</v>
      </c>
      <c r="M27" s="2" t="s">
        <v>748</v>
      </c>
      <c r="N27" s="2" t="s">
        <v>147</v>
      </c>
      <c r="O27" s="2" t="s">
        <v>98</v>
      </c>
      <c r="P27" s="125">
        <v>31500</v>
      </c>
      <c r="Q27" s="134">
        <v>3.718</v>
      </c>
      <c r="R27" s="151">
        <v>9521</v>
      </c>
      <c r="S27" s="115"/>
      <c r="T27" s="124">
        <v>11150.71</v>
      </c>
      <c r="U27" s="140">
        <v>1.23E-3</v>
      </c>
      <c r="V27" s="140">
        <v>1.3268130699570399E-2</v>
      </c>
      <c r="W27" s="140">
        <v>3.85680291745854E-3</v>
      </c>
    </row>
    <row r="28" spans="1:23">
      <c r="A28" s="2">
        <v>382</v>
      </c>
      <c r="B28" s="2">
        <v>382</v>
      </c>
      <c r="C28" s="2" t="s">
        <v>1419</v>
      </c>
      <c r="D28" s="2" t="s">
        <v>1420</v>
      </c>
      <c r="E28" s="3" t="s">
        <v>184</v>
      </c>
      <c r="F28" s="2" t="s">
        <v>1450</v>
      </c>
      <c r="G28" s="2" t="s">
        <v>1451</v>
      </c>
      <c r="H28" s="2" t="s">
        <v>187</v>
      </c>
      <c r="I28" s="2" t="s">
        <v>995</v>
      </c>
      <c r="J28" s="2" t="s">
        <v>94</v>
      </c>
      <c r="K28" s="2" t="s">
        <v>103</v>
      </c>
      <c r="L28" s="2" t="s">
        <v>393</v>
      </c>
      <c r="M28" s="2" t="s">
        <v>748</v>
      </c>
      <c r="N28" s="2" t="s">
        <v>147</v>
      </c>
      <c r="O28" s="2" t="s">
        <v>98</v>
      </c>
      <c r="P28" s="125">
        <v>2600</v>
      </c>
      <c r="Q28" s="134">
        <v>3.718</v>
      </c>
      <c r="R28" s="151">
        <v>108968</v>
      </c>
      <c r="S28" s="115"/>
      <c r="T28" s="124">
        <v>10533.718999999999</v>
      </c>
      <c r="U28" s="140">
        <v>2.4499999999999999E-4</v>
      </c>
      <c r="V28" s="140">
        <v>1.25339786296426E-2</v>
      </c>
      <c r="W28" s="140">
        <v>3.6433983385265999E-3</v>
      </c>
    </row>
    <row r="29" spans="1:23">
      <c r="A29" s="2">
        <v>382</v>
      </c>
      <c r="B29" s="2">
        <v>382</v>
      </c>
      <c r="C29" s="2" t="s">
        <v>1452</v>
      </c>
      <c r="D29" s="2" t="s">
        <v>1416</v>
      </c>
      <c r="E29" s="3" t="s">
        <v>184</v>
      </c>
      <c r="F29" s="2" t="s">
        <v>1453</v>
      </c>
      <c r="G29" s="2" t="s">
        <v>1454</v>
      </c>
      <c r="H29" s="2" t="s">
        <v>187</v>
      </c>
      <c r="I29" s="2" t="s">
        <v>995</v>
      </c>
      <c r="J29" s="2" t="s">
        <v>94</v>
      </c>
      <c r="K29" s="2" t="s">
        <v>103</v>
      </c>
      <c r="L29" s="2" t="s">
        <v>393</v>
      </c>
      <c r="M29" s="2" t="s">
        <v>748</v>
      </c>
      <c r="N29" s="2" t="s">
        <v>147</v>
      </c>
      <c r="O29" s="2" t="s">
        <v>98</v>
      </c>
      <c r="P29" s="125">
        <v>38611</v>
      </c>
      <c r="Q29" s="134">
        <v>3.718</v>
      </c>
      <c r="R29" s="151">
        <v>39730</v>
      </c>
      <c r="S29" s="115"/>
      <c r="T29" s="124">
        <v>57034.678999999996</v>
      </c>
      <c r="U29" s="140">
        <v>4.352E-3</v>
      </c>
      <c r="V29" s="140">
        <v>6.7865059903156402E-2</v>
      </c>
      <c r="W29" s="140">
        <v>1.9727131647600201E-2</v>
      </c>
    </row>
    <row r="30" spans="1:23">
      <c r="A30" s="2">
        <v>382</v>
      </c>
      <c r="B30" s="2">
        <v>382</v>
      </c>
      <c r="C30" s="2" t="s">
        <v>1347</v>
      </c>
      <c r="D30" s="2" t="s">
        <v>1348</v>
      </c>
      <c r="E30" s="3" t="s">
        <v>184</v>
      </c>
      <c r="F30" s="2" t="s">
        <v>1455</v>
      </c>
      <c r="G30" s="2" t="s">
        <v>1456</v>
      </c>
      <c r="H30" s="2" t="s">
        <v>187</v>
      </c>
      <c r="I30" s="2" t="s">
        <v>995</v>
      </c>
      <c r="J30" s="2" t="s">
        <v>94</v>
      </c>
      <c r="K30" s="2" t="s">
        <v>268</v>
      </c>
      <c r="L30" s="2" t="s">
        <v>361</v>
      </c>
      <c r="M30" s="2" t="s">
        <v>748</v>
      </c>
      <c r="N30" s="2" t="s">
        <v>147</v>
      </c>
      <c r="O30" s="2" t="s">
        <v>1184</v>
      </c>
      <c r="P30" s="125">
        <v>234300</v>
      </c>
      <c r="Q30" s="134">
        <v>2.4893000000000001</v>
      </c>
      <c r="R30" s="151">
        <v>2824</v>
      </c>
      <c r="S30" s="115"/>
      <c r="T30" s="124">
        <v>16470.781999999999</v>
      </c>
      <c r="U30" s="140">
        <v>2.9E-5</v>
      </c>
      <c r="V30" s="140">
        <v>1.95984378776188E-2</v>
      </c>
      <c r="W30" s="140">
        <v>5.6969074314648796E-3</v>
      </c>
    </row>
    <row r="31" spans="1:23">
      <c r="A31" s="2">
        <v>382</v>
      </c>
      <c r="B31" s="2">
        <v>382</v>
      </c>
      <c r="C31" s="2" t="s">
        <v>1423</v>
      </c>
      <c r="D31" s="2" t="s">
        <v>1424</v>
      </c>
      <c r="E31" s="3" t="s">
        <v>184</v>
      </c>
      <c r="F31" s="2" t="s">
        <v>1457</v>
      </c>
      <c r="G31" s="2" t="s">
        <v>1458</v>
      </c>
      <c r="H31" s="2" t="s">
        <v>187</v>
      </c>
      <c r="I31" s="2" t="s">
        <v>997</v>
      </c>
      <c r="J31" s="2" t="s">
        <v>94</v>
      </c>
      <c r="K31" s="2" t="s">
        <v>103</v>
      </c>
      <c r="L31" s="2" t="s">
        <v>1459</v>
      </c>
      <c r="M31" s="2" t="s">
        <v>745</v>
      </c>
      <c r="N31" s="2" t="s">
        <v>147</v>
      </c>
      <c r="O31" s="2" t="s">
        <v>98</v>
      </c>
      <c r="P31" s="125">
        <v>146000</v>
      </c>
      <c r="Q31" s="134">
        <v>3.718</v>
      </c>
      <c r="R31" s="151">
        <v>1086.2</v>
      </c>
      <c r="S31" s="115"/>
      <c r="T31" s="124">
        <v>5896.1980000000003</v>
      </c>
      <c r="U31" s="140">
        <v>8.9569999999999997E-3</v>
      </c>
      <c r="V31" s="140">
        <v>7.0158335396192503E-3</v>
      </c>
      <c r="W31" s="140">
        <v>2.0393744888933798E-3</v>
      </c>
    </row>
    <row r="32" spans="1:23">
      <c r="A32" s="2">
        <v>382</v>
      </c>
      <c r="B32" s="2">
        <v>382</v>
      </c>
      <c r="C32" s="2" t="s">
        <v>1423</v>
      </c>
      <c r="D32" s="2" t="s">
        <v>1424</v>
      </c>
      <c r="E32" s="3" t="s">
        <v>184</v>
      </c>
      <c r="F32" s="2" t="s">
        <v>1460</v>
      </c>
      <c r="G32" s="2" t="s">
        <v>1461</v>
      </c>
      <c r="H32" s="2" t="s">
        <v>187</v>
      </c>
      <c r="I32" s="2" t="s">
        <v>995</v>
      </c>
      <c r="J32" s="2" t="s">
        <v>94</v>
      </c>
      <c r="K32" s="2" t="s">
        <v>103</v>
      </c>
      <c r="L32" s="2" t="s">
        <v>357</v>
      </c>
      <c r="M32" s="2" t="s">
        <v>748</v>
      </c>
      <c r="N32" s="2" t="s">
        <v>147</v>
      </c>
      <c r="O32" s="2" t="s">
        <v>98</v>
      </c>
      <c r="P32" s="125">
        <v>281700</v>
      </c>
      <c r="Q32" s="134">
        <v>3.718</v>
      </c>
      <c r="R32" s="151">
        <v>6576</v>
      </c>
      <c r="S32" s="115"/>
      <c r="T32" s="124">
        <v>68874.433000000005</v>
      </c>
      <c r="U32" s="140">
        <v>9.3199999999999999E-4</v>
      </c>
      <c r="V32" s="140">
        <v>8.1953078762307202E-2</v>
      </c>
      <c r="W32" s="140">
        <v>2.38222610571216E-2</v>
      </c>
    </row>
    <row r="33" spans="1:23">
      <c r="A33" s="2">
        <v>382</v>
      </c>
      <c r="B33" s="2">
        <v>382</v>
      </c>
      <c r="C33" s="2" t="s">
        <v>1423</v>
      </c>
      <c r="D33" s="2" t="s">
        <v>1424</v>
      </c>
      <c r="E33" s="3" t="s">
        <v>184</v>
      </c>
      <c r="F33" s="2" t="s">
        <v>1462</v>
      </c>
      <c r="G33" s="2" t="s">
        <v>1463</v>
      </c>
      <c r="H33" s="2" t="s">
        <v>187</v>
      </c>
      <c r="I33" s="2" t="s">
        <v>995</v>
      </c>
      <c r="J33" s="2" t="s">
        <v>94</v>
      </c>
      <c r="K33" s="2" t="s">
        <v>103</v>
      </c>
      <c r="L33" s="2" t="s">
        <v>393</v>
      </c>
      <c r="M33" s="2" t="s">
        <v>748</v>
      </c>
      <c r="N33" s="2" t="s">
        <v>147</v>
      </c>
      <c r="O33" s="2" t="s">
        <v>98</v>
      </c>
      <c r="P33" s="125">
        <v>786180</v>
      </c>
      <c r="Q33" s="134">
        <v>3.718</v>
      </c>
      <c r="R33" s="151">
        <v>1354.6</v>
      </c>
      <c r="S33" s="115"/>
      <c r="T33" s="124">
        <v>39595.192000000003</v>
      </c>
      <c r="U33" s="140">
        <v>0</v>
      </c>
      <c r="V33" s="140">
        <v>4.7113968222104799E-2</v>
      </c>
      <c r="W33" s="140">
        <v>1.36951688377584E-2</v>
      </c>
    </row>
    <row r="34" spans="1:23">
      <c r="A34" s="2">
        <v>382</v>
      </c>
      <c r="B34" s="2">
        <v>382</v>
      </c>
      <c r="C34" s="2" t="s">
        <v>1423</v>
      </c>
      <c r="D34" s="2" t="s">
        <v>1424</v>
      </c>
      <c r="E34" s="3" t="s">
        <v>184</v>
      </c>
      <c r="F34" s="2" t="s">
        <v>1464</v>
      </c>
      <c r="G34" s="2" t="s">
        <v>1465</v>
      </c>
      <c r="H34" s="2" t="s">
        <v>187</v>
      </c>
      <c r="I34" s="2" t="s">
        <v>997</v>
      </c>
      <c r="J34" s="2" t="s">
        <v>94</v>
      </c>
      <c r="K34" s="2" t="s">
        <v>103</v>
      </c>
      <c r="L34" s="2" t="s">
        <v>393</v>
      </c>
      <c r="M34" s="2" t="s">
        <v>745</v>
      </c>
      <c r="N34" s="2" t="s">
        <v>147</v>
      </c>
      <c r="O34" s="2" t="s">
        <v>98</v>
      </c>
      <c r="P34" s="125">
        <v>227000</v>
      </c>
      <c r="Q34" s="134">
        <v>3.718</v>
      </c>
      <c r="R34" s="151">
        <v>2882</v>
      </c>
      <c r="S34" s="115"/>
      <c r="T34" s="124">
        <v>24323.677</v>
      </c>
      <c r="U34" s="140">
        <v>9.1799999999999998E-4</v>
      </c>
      <c r="V34" s="140">
        <v>2.89425275705959E-2</v>
      </c>
      <c r="W34" s="140">
        <v>8.4130633998437E-3</v>
      </c>
    </row>
    <row r="35" spans="1:23">
      <c r="A35" s="2">
        <v>382</v>
      </c>
      <c r="B35" s="2">
        <v>382</v>
      </c>
      <c r="C35" s="2" t="s">
        <v>1423</v>
      </c>
      <c r="D35" s="2" t="s">
        <v>1424</v>
      </c>
      <c r="E35" s="3" t="s">
        <v>184</v>
      </c>
      <c r="F35" s="2" t="s">
        <v>1466</v>
      </c>
      <c r="G35" s="2" t="s">
        <v>1467</v>
      </c>
      <c r="H35" s="2" t="s">
        <v>187</v>
      </c>
      <c r="I35" s="2" t="s">
        <v>995</v>
      </c>
      <c r="J35" s="2" t="s">
        <v>94</v>
      </c>
      <c r="K35" s="2" t="s">
        <v>103</v>
      </c>
      <c r="L35" s="2" t="s">
        <v>393</v>
      </c>
      <c r="M35" s="2" t="s">
        <v>748</v>
      </c>
      <c r="N35" s="2" t="s">
        <v>147</v>
      </c>
      <c r="O35" s="2" t="s">
        <v>98</v>
      </c>
      <c r="P35" s="125">
        <v>117000</v>
      </c>
      <c r="Q35" s="134">
        <v>3.718</v>
      </c>
      <c r="R35" s="151">
        <v>3655.13</v>
      </c>
      <c r="S35" s="115"/>
      <c r="T35" s="124">
        <v>15900.035</v>
      </c>
      <c r="U35" s="140">
        <v>0</v>
      </c>
      <c r="V35" s="140">
        <v>1.89193107966142E-2</v>
      </c>
      <c r="W35" s="140">
        <v>5.4994976103942602E-3</v>
      </c>
    </row>
    <row r="36" spans="1:23">
      <c r="A36" s="2">
        <v>382</v>
      </c>
      <c r="B36" s="2">
        <v>382</v>
      </c>
      <c r="C36" s="2" t="s">
        <v>1423</v>
      </c>
      <c r="D36" s="2" t="s">
        <v>1424</v>
      </c>
      <c r="E36" s="3" t="s">
        <v>184</v>
      </c>
      <c r="F36" s="2" t="s">
        <v>1468</v>
      </c>
      <c r="G36" s="2" t="s">
        <v>1469</v>
      </c>
      <c r="H36" s="2" t="s">
        <v>187</v>
      </c>
      <c r="I36" s="2" t="s">
        <v>995</v>
      </c>
      <c r="J36" s="2" t="s">
        <v>94</v>
      </c>
      <c r="K36" s="2" t="s">
        <v>103</v>
      </c>
      <c r="L36" s="2" t="s">
        <v>393</v>
      </c>
      <c r="M36" s="2" t="s">
        <v>748</v>
      </c>
      <c r="N36" s="2" t="s">
        <v>147</v>
      </c>
      <c r="O36" s="2" t="s">
        <v>98</v>
      </c>
      <c r="P36" s="125">
        <v>45000</v>
      </c>
      <c r="Q36" s="134">
        <v>3.718</v>
      </c>
      <c r="R36" s="151">
        <v>5761.62</v>
      </c>
      <c r="S36" s="115"/>
      <c r="T36" s="124">
        <v>9639.7659999999996</v>
      </c>
      <c r="U36" s="140">
        <v>1.36E-4</v>
      </c>
      <c r="V36" s="140">
        <v>1.1470272810668E-2</v>
      </c>
      <c r="W36" s="140">
        <v>3.3341985123542701E-3</v>
      </c>
    </row>
    <row r="37" spans="1:23">
      <c r="A37" s="2">
        <v>382</v>
      </c>
      <c r="B37" s="2">
        <v>382</v>
      </c>
      <c r="C37" s="2" t="s">
        <v>1423</v>
      </c>
      <c r="D37" s="2" t="s">
        <v>1424</v>
      </c>
      <c r="E37" s="3" t="s">
        <v>184</v>
      </c>
      <c r="F37" s="2" t="s">
        <v>1470</v>
      </c>
      <c r="G37" s="2" t="s">
        <v>1471</v>
      </c>
      <c r="H37" s="2" t="s">
        <v>187</v>
      </c>
      <c r="I37" s="2" t="s">
        <v>995</v>
      </c>
      <c r="J37" s="2" t="s">
        <v>94</v>
      </c>
      <c r="K37" s="2" t="s">
        <v>103</v>
      </c>
      <c r="L37" s="2" t="s">
        <v>393</v>
      </c>
      <c r="M37" s="2" t="s">
        <v>748</v>
      </c>
      <c r="N37" s="2" t="s">
        <v>147</v>
      </c>
      <c r="O37" s="2" t="s">
        <v>98</v>
      </c>
      <c r="P37" s="125">
        <v>72000</v>
      </c>
      <c r="Q37" s="134">
        <v>3.718</v>
      </c>
      <c r="R37" s="151">
        <v>10566.25</v>
      </c>
      <c r="S37" s="115"/>
      <c r="T37" s="124">
        <v>28285.429</v>
      </c>
      <c r="U37" s="140">
        <v>0</v>
      </c>
      <c r="V37" s="140">
        <v>3.3656581332533797E-2</v>
      </c>
      <c r="W37" s="140">
        <v>9.7833526074023094E-3</v>
      </c>
    </row>
    <row r="38" spans="1:23">
      <c r="A38" s="2">
        <v>382</v>
      </c>
      <c r="B38" s="2">
        <v>382</v>
      </c>
      <c r="C38" s="2" t="s">
        <v>1472</v>
      </c>
      <c r="D38" s="2" t="s">
        <v>1473</v>
      </c>
      <c r="E38" s="3" t="s">
        <v>184</v>
      </c>
      <c r="F38" s="2" t="s">
        <v>1474</v>
      </c>
      <c r="G38" s="2" t="s">
        <v>1475</v>
      </c>
      <c r="H38" s="2" t="s">
        <v>187</v>
      </c>
      <c r="I38" s="2" t="s">
        <v>997</v>
      </c>
      <c r="J38" s="2" t="s">
        <v>94</v>
      </c>
      <c r="K38" s="2" t="s">
        <v>103</v>
      </c>
      <c r="L38" s="2" t="s">
        <v>393</v>
      </c>
      <c r="M38" s="2" t="s">
        <v>745</v>
      </c>
      <c r="N38" s="2" t="s">
        <v>147</v>
      </c>
      <c r="O38" s="2" t="s">
        <v>98</v>
      </c>
      <c r="P38" s="125">
        <v>139500</v>
      </c>
      <c r="Q38" s="134">
        <v>3.718</v>
      </c>
      <c r="R38" s="151">
        <v>5803</v>
      </c>
      <c r="S38" s="115"/>
      <c r="T38" s="124">
        <v>30097.898000000001</v>
      </c>
      <c r="U38" s="140">
        <v>0</v>
      </c>
      <c r="V38" s="140">
        <v>3.5813222439687098E-2</v>
      </c>
      <c r="W38" s="140">
        <v>1.04102487318314E-2</v>
      </c>
    </row>
    <row r="39" spans="1:23">
      <c r="A39" s="2">
        <v>382</v>
      </c>
      <c r="B39" s="2">
        <v>382</v>
      </c>
      <c r="C39" s="2" t="s">
        <v>1472</v>
      </c>
      <c r="D39" s="2" t="s">
        <v>1473</v>
      </c>
      <c r="E39" s="3" t="s">
        <v>184</v>
      </c>
      <c r="F39" s="2" t="s">
        <v>1476</v>
      </c>
      <c r="G39" s="2" t="s">
        <v>1477</v>
      </c>
      <c r="H39" s="2" t="s">
        <v>187</v>
      </c>
      <c r="I39" s="2" t="s">
        <v>995</v>
      </c>
      <c r="J39" s="2" t="s">
        <v>94</v>
      </c>
      <c r="K39" s="2" t="s">
        <v>1478</v>
      </c>
      <c r="L39" s="2" t="s">
        <v>393</v>
      </c>
      <c r="M39" s="2" t="s">
        <v>748</v>
      </c>
      <c r="N39" s="2" t="s">
        <v>147</v>
      </c>
      <c r="O39" s="2" t="s">
        <v>98</v>
      </c>
      <c r="P39" s="125">
        <v>41790</v>
      </c>
      <c r="Q39" s="134">
        <v>3.718</v>
      </c>
      <c r="R39" s="151">
        <v>6449</v>
      </c>
      <c r="S39" s="115"/>
      <c r="T39" s="124">
        <v>10020.147999999999</v>
      </c>
      <c r="U39" s="140">
        <v>0</v>
      </c>
      <c r="V39" s="140">
        <v>1.19228854121937E-2</v>
      </c>
      <c r="W39" s="140">
        <v>3.4657647172379202E-3</v>
      </c>
    </row>
    <row r="40" spans="1:23">
      <c r="A40" s="2">
        <v>382</v>
      </c>
      <c r="B40" s="2">
        <v>382</v>
      </c>
      <c r="C40" s="2" t="s">
        <v>1472</v>
      </c>
      <c r="D40" s="2" t="s">
        <v>1473</v>
      </c>
      <c r="E40" s="3" t="s">
        <v>184</v>
      </c>
      <c r="F40" s="2" t="s">
        <v>1479</v>
      </c>
      <c r="G40" s="2" t="s">
        <v>1480</v>
      </c>
      <c r="H40" s="2" t="s">
        <v>187</v>
      </c>
      <c r="I40" s="2" t="s">
        <v>995</v>
      </c>
      <c r="J40" s="2" t="s">
        <v>94</v>
      </c>
      <c r="K40" s="2" t="s">
        <v>103</v>
      </c>
      <c r="L40" s="2" t="s">
        <v>357</v>
      </c>
      <c r="M40" s="2" t="s">
        <v>748</v>
      </c>
      <c r="N40" s="2" t="s">
        <v>147</v>
      </c>
      <c r="O40" s="2" t="s">
        <v>98</v>
      </c>
      <c r="P40" s="125">
        <v>20012</v>
      </c>
      <c r="Q40" s="134">
        <v>3.718</v>
      </c>
      <c r="R40" s="151">
        <v>51391</v>
      </c>
      <c r="S40" s="129">
        <v>36.264000000000003</v>
      </c>
      <c r="T40" s="124">
        <v>38372.105000000003</v>
      </c>
      <c r="U40" s="140">
        <v>2.3E-5</v>
      </c>
      <c r="V40" s="140">
        <v>4.5658628172496003E-2</v>
      </c>
      <c r="W40" s="140">
        <v>1.3272128103813299E-2</v>
      </c>
    </row>
    <row r="41" spans="1:23">
      <c r="A41" s="2">
        <v>382</v>
      </c>
      <c r="B41" s="2">
        <v>382</v>
      </c>
      <c r="C41" s="2" t="s">
        <v>1481</v>
      </c>
      <c r="D41" s="2" t="s">
        <v>1482</v>
      </c>
      <c r="E41" s="3" t="s">
        <v>184</v>
      </c>
      <c r="F41" s="2" t="s">
        <v>1483</v>
      </c>
      <c r="G41" s="2" t="s">
        <v>1484</v>
      </c>
      <c r="H41" s="2" t="s">
        <v>187</v>
      </c>
      <c r="I41" s="2" t="s">
        <v>995</v>
      </c>
      <c r="J41" s="2" t="s">
        <v>94</v>
      </c>
      <c r="K41" s="2" t="s">
        <v>268</v>
      </c>
      <c r="L41" s="2" t="s">
        <v>357</v>
      </c>
      <c r="M41" s="2" t="s">
        <v>748</v>
      </c>
      <c r="N41" s="2" t="s">
        <v>147</v>
      </c>
      <c r="O41" s="2" t="s">
        <v>98</v>
      </c>
      <c r="P41" s="125">
        <v>18400</v>
      </c>
      <c r="Q41" s="134">
        <v>3.718</v>
      </c>
      <c r="R41" s="151">
        <v>11018</v>
      </c>
      <c r="S41" s="115"/>
      <c r="T41" s="124">
        <v>7537.5460000000003</v>
      </c>
      <c r="U41" s="140">
        <v>5.8299999999999997E-4</v>
      </c>
      <c r="V41" s="140">
        <v>8.9688593417750102E-3</v>
      </c>
      <c r="W41" s="140">
        <v>2.6070833683265598E-3</v>
      </c>
    </row>
    <row r="42" spans="1:23">
      <c r="A42" s="2">
        <v>382</v>
      </c>
      <c r="B42" s="2">
        <v>382</v>
      </c>
      <c r="C42" s="2" t="s">
        <v>1481</v>
      </c>
      <c r="D42" s="2" t="s">
        <v>1482</v>
      </c>
      <c r="E42" s="3" t="s">
        <v>184</v>
      </c>
      <c r="F42" s="2" t="s">
        <v>1485</v>
      </c>
      <c r="G42" s="2" t="s">
        <v>1486</v>
      </c>
      <c r="H42" s="2" t="s">
        <v>187</v>
      </c>
      <c r="I42" s="2" t="s">
        <v>995</v>
      </c>
      <c r="J42" s="2" t="s">
        <v>94</v>
      </c>
      <c r="K42" s="2" t="s">
        <v>103</v>
      </c>
      <c r="L42" s="2" t="s">
        <v>393</v>
      </c>
      <c r="M42" s="2" t="s">
        <v>748</v>
      </c>
      <c r="N42" s="2" t="s">
        <v>147</v>
      </c>
      <c r="O42" s="2" t="s">
        <v>98</v>
      </c>
      <c r="P42" s="125">
        <v>77000</v>
      </c>
      <c r="Q42" s="134">
        <v>3.718</v>
      </c>
      <c r="R42" s="151">
        <v>4283</v>
      </c>
      <c r="S42" s="115"/>
      <c r="T42" s="124">
        <v>12261.629000000001</v>
      </c>
      <c r="U42" s="140">
        <v>0</v>
      </c>
      <c r="V42" s="140">
        <v>1.4590004356425299E-2</v>
      </c>
      <c r="W42" s="140">
        <v>4.24104741215849E-3</v>
      </c>
    </row>
    <row r="43" spans="1:23">
      <c r="A43" s="2">
        <v>382</v>
      </c>
      <c r="B43" s="2">
        <v>1404</v>
      </c>
      <c r="C43" s="2" t="s">
        <v>1381</v>
      </c>
      <c r="D43" s="2" t="s">
        <v>1382</v>
      </c>
      <c r="E43" s="3" t="s">
        <v>1325</v>
      </c>
      <c r="F43" s="2" t="s">
        <v>1385</v>
      </c>
      <c r="G43" s="2" t="s">
        <v>1386</v>
      </c>
      <c r="H43" s="2" t="s">
        <v>187</v>
      </c>
      <c r="I43" s="2" t="s">
        <v>996</v>
      </c>
      <c r="J43" s="2" t="s">
        <v>30</v>
      </c>
      <c r="K43" s="2" t="s">
        <v>30</v>
      </c>
      <c r="L43" s="2" t="s">
        <v>47</v>
      </c>
      <c r="M43" s="2" t="s">
        <v>1387</v>
      </c>
      <c r="N43" s="2" t="s">
        <v>147</v>
      </c>
      <c r="O43" s="2" t="s">
        <v>34</v>
      </c>
      <c r="P43" s="125">
        <v>48000</v>
      </c>
      <c r="Q43" s="134">
        <v>1</v>
      </c>
      <c r="R43" s="151">
        <v>404.49</v>
      </c>
      <c r="S43" s="115"/>
      <c r="T43" s="124">
        <v>194.155</v>
      </c>
      <c r="U43" s="140">
        <v>1.76E-4</v>
      </c>
      <c r="V43" s="140">
        <v>0.22564964481803301</v>
      </c>
      <c r="W43" s="140">
        <v>7.26202275096317E-3</v>
      </c>
    </row>
    <row r="44" spans="1:23">
      <c r="A44" s="2">
        <v>382</v>
      </c>
      <c r="B44" s="2">
        <v>1404</v>
      </c>
      <c r="C44" s="2" t="s">
        <v>1419</v>
      </c>
      <c r="D44" s="2" t="s">
        <v>1420</v>
      </c>
      <c r="E44" s="3" t="s">
        <v>184</v>
      </c>
      <c r="F44" s="2" t="s">
        <v>1434</v>
      </c>
      <c r="G44" s="2" t="s">
        <v>1435</v>
      </c>
      <c r="H44" s="2" t="s">
        <v>187</v>
      </c>
      <c r="I44" s="2" t="s">
        <v>997</v>
      </c>
      <c r="J44" s="2" t="s">
        <v>94</v>
      </c>
      <c r="K44" s="2" t="s">
        <v>313</v>
      </c>
      <c r="L44" s="2" t="s">
        <v>393</v>
      </c>
      <c r="M44" s="2" t="s">
        <v>745</v>
      </c>
      <c r="N44" s="2" t="s">
        <v>147</v>
      </c>
      <c r="O44" s="2" t="s">
        <v>98</v>
      </c>
      <c r="P44" s="125">
        <v>13300</v>
      </c>
      <c r="Q44" s="134">
        <v>3.718</v>
      </c>
      <c r="R44" s="151">
        <v>597.45000000000005</v>
      </c>
      <c r="S44" s="115"/>
      <c r="T44" s="124">
        <v>295.435</v>
      </c>
      <c r="U44" s="140">
        <v>3.8999999999999999E-5</v>
      </c>
      <c r="V44" s="140">
        <v>0.34335882927861</v>
      </c>
      <c r="W44" s="140">
        <v>1.10502262566206E-2</v>
      </c>
    </row>
    <row r="45" spans="1:23">
      <c r="A45" s="2">
        <v>382</v>
      </c>
      <c r="B45" s="2">
        <v>1404</v>
      </c>
      <c r="C45" s="2" t="s">
        <v>1423</v>
      </c>
      <c r="D45" s="2" t="s">
        <v>1424</v>
      </c>
      <c r="E45" s="3" t="s">
        <v>184</v>
      </c>
      <c r="F45" s="2" t="s">
        <v>1464</v>
      </c>
      <c r="G45" s="2" t="s">
        <v>1465</v>
      </c>
      <c r="H45" s="2" t="s">
        <v>187</v>
      </c>
      <c r="I45" s="2" t="s">
        <v>997</v>
      </c>
      <c r="J45" s="2" t="s">
        <v>94</v>
      </c>
      <c r="K45" s="2" t="s">
        <v>103</v>
      </c>
      <c r="L45" s="2" t="s">
        <v>393</v>
      </c>
      <c r="M45" s="2" t="s">
        <v>745</v>
      </c>
      <c r="N45" s="2" t="s">
        <v>147</v>
      </c>
      <c r="O45" s="2" t="s">
        <v>98</v>
      </c>
      <c r="P45" s="125">
        <v>1850</v>
      </c>
      <c r="Q45" s="134">
        <v>3.718</v>
      </c>
      <c r="R45" s="151">
        <v>2882</v>
      </c>
      <c r="S45" s="115"/>
      <c r="T45" s="124">
        <v>198.233</v>
      </c>
      <c r="U45" s="140">
        <v>6.9999999999999999E-6</v>
      </c>
      <c r="V45" s="140">
        <v>0.23038845797204099</v>
      </c>
      <c r="W45" s="140">
        <v>7.4145307195208603E-3</v>
      </c>
    </row>
    <row r="46" spans="1:23">
      <c r="A46" s="2">
        <v>382</v>
      </c>
      <c r="B46" s="2">
        <v>1404</v>
      </c>
      <c r="C46" s="2" t="s">
        <v>1472</v>
      </c>
      <c r="D46" s="2" t="s">
        <v>1473</v>
      </c>
      <c r="E46" s="3" t="s">
        <v>184</v>
      </c>
      <c r="F46" s="2" t="s">
        <v>1474</v>
      </c>
      <c r="G46" s="2" t="s">
        <v>1475</v>
      </c>
      <c r="H46" s="2" t="s">
        <v>187</v>
      </c>
      <c r="I46" s="2" t="s">
        <v>997</v>
      </c>
      <c r="J46" s="2" t="s">
        <v>94</v>
      </c>
      <c r="K46" s="2" t="s">
        <v>103</v>
      </c>
      <c r="L46" s="2" t="s">
        <v>393</v>
      </c>
      <c r="M46" s="2" t="s">
        <v>745</v>
      </c>
      <c r="N46" s="2" t="s">
        <v>147</v>
      </c>
      <c r="O46" s="2" t="s">
        <v>98</v>
      </c>
      <c r="P46" s="125">
        <v>800</v>
      </c>
      <c r="Q46" s="134">
        <v>3.718</v>
      </c>
      <c r="R46" s="151">
        <v>5803</v>
      </c>
      <c r="S46" s="115"/>
      <c r="T46" s="124">
        <v>172.60400000000001</v>
      </c>
      <c r="U46" s="140">
        <v>0</v>
      </c>
      <c r="V46" s="140">
        <v>0.20060306793131699</v>
      </c>
      <c r="W46" s="140">
        <v>6.4559554011485399E-3</v>
      </c>
    </row>
    <row r="47" spans="1:23">
      <c r="A47" s="2">
        <v>382</v>
      </c>
      <c r="B47" s="2">
        <v>7635</v>
      </c>
      <c r="C47" s="2" t="s">
        <v>1372</v>
      </c>
      <c r="D47" s="2" t="s">
        <v>1373</v>
      </c>
      <c r="E47" s="3" t="s">
        <v>1325</v>
      </c>
      <c r="F47" s="2" t="s">
        <v>1377</v>
      </c>
      <c r="G47" s="2" t="s">
        <v>1378</v>
      </c>
      <c r="H47" s="2" t="s">
        <v>187</v>
      </c>
      <c r="I47" s="2" t="s">
        <v>994</v>
      </c>
      <c r="J47" s="2" t="s">
        <v>30</v>
      </c>
      <c r="K47" s="2" t="s">
        <v>30</v>
      </c>
      <c r="L47" s="2" t="s">
        <v>47</v>
      </c>
      <c r="M47" s="2" t="s">
        <v>1355</v>
      </c>
      <c r="N47" s="2" t="s">
        <v>147</v>
      </c>
      <c r="O47" s="2" t="s">
        <v>34</v>
      </c>
      <c r="P47" s="125">
        <v>2267</v>
      </c>
      <c r="Q47" s="134">
        <v>1</v>
      </c>
      <c r="R47" s="151">
        <v>3763</v>
      </c>
      <c r="S47" s="115"/>
      <c r="T47" s="124">
        <v>85.307000000000002</v>
      </c>
      <c r="U47" s="140">
        <v>2.6999999999999999E-5</v>
      </c>
      <c r="V47" s="140">
        <v>1.19137432002966E-2</v>
      </c>
      <c r="W47" s="140">
        <v>4.5933649524095904E-3</v>
      </c>
    </row>
    <row r="48" spans="1:23">
      <c r="A48" s="2">
        <v>382</v>
      </c>
      <c r="B48" s="2">
        <v>7635</v>
      </c>
      <c r="C48" s="2" t="s">
        <v>1372</v>
      </c>
      <c r="D48" s="2" t="s">
        <v>1373</v>
      </c>
      <c r="E48" s="3" t="s">
        <v>1325</v>
      </c>
      <c r="F48" s="2" t="s">
        <v>1379</v>
      </c>
      <c r="G48" s="2" t="s">
        <v>1380</v>
      </c>
      <c r="H48" s="2" t="s">
        <v>187</v>
      </c>
      <c r="I48" s="2" t="s">
        <v>994</v>
      </c>
      <c r="J48" s="2" t="s">
        <v>30</v>
      </c>
      <c r="K48" s="2" t="s">
        <v>30</v>
      </c>
      <c r="L48" s="2" t="s">
        <v>47</v>
      </c>
      <c r="M48" s="2" t="s">
        <v>1355</v>
      </c>
      <c r="N48" s="2" t="s">
        <v>147</v>
      </c>
      <c r="O48" s="2" t="s">
        <v>34</v>
      </c>
      <c r="P48" s="125">
        <v>1380</v>
      </c>
      <c r="Q48" s="134">
        <v>1</v>
      </c>
      <c r="R48" s="151">
        <v>3593</v>
      </c>
      <c r="S48" s="115"/>
      <c r="T48" s="124">
        <v>49.582999999999998</v>
      </c>
      <c r="U48" s="140">
        <v>2.3E-5</v>
      </c>
      <c r="V48" s="140">
        <v>6.9246655071427904E-3</v>
      </c>
      <c r="W48" s="140">
        <v>2.66981714419339E-3</v>
      </c>
    </row>
    <row r="49" spans="1:23">
      <c r="A49" s="2">
        <v>382</v>
      </c>
      <c r="B49" s="2">
        <v>7635</v>
      </c>
      <c r="C49" s="2" t="s">
        <v>1381</v>
      </c>
      <c r="D49" s="2" t="s">
        <v>1382</v>
      </c>
      <c r="E49" s="3" t="s">
        <v>1325</v>
      </c>
      <c r="F49" s="2" t="s">
        <v>1487</v>
      </c>
      <c r="G49" s="2" t="s">
        <v>1488</v>
      </c>
      <c r="H49" s="2" t="s">
        <v>187</v>
      </c>
      <c r="I49" s="2" t="s">
        <v>995</v>
      </c>
      <c r="J49" s="2" t="s">
        <v>30</v>
      </c>
      <c r="K49" s="2" t="s">
        <v>1478</v>
      </c>
      <c r="L49" s="2" t="s">
        <v>47</v>
      </c>
      <c r="M49" s="2" t="s">
        <v>1376</v>
      </c>
      <c r="N49" s="2" t="s">
        <v>147</v>
      </c>
      <c r="O49" s="2" t="s">
        <v>34</v>
      </c>
      <c r="P49" s="125">
        <v>12900</v>
      </c>
      <c r="Q49" s="134">
        <v>1</v>
      </c>
      <c r="R49" s="151">
        <v>3482</v>
      </c>
      <c r="S49" s="115"/>
      <c r="T49" s="124">
        <v>449.178</v>
      </c>
      <c r="U49" s="140">
        <v>6.1200000000000002E-4</v>
      </c>
      <c r="V49" s="140">
        <v>6.2730821266137105E-2</v>
      </c>
      <c r="W49" s="140">
        <v>2.4185980089999799E-2</v>
      </c>
    </row>
    <row r="50" spans="1:23">
      <c r="A50" s="2">
        <v>382</v>
      </c>
      <c r="B50" s="2">
        <v>7635</v>
      </c>
      <c r="C50" s="2" t="s">
        <v>1381</v>
      </c>
      <c r="D50" s="2" t="s">
        <v>1382</v>
      </c>
      <c r="E50" s="3" t="s">
        <v>1325</v>
      </c>
      <c r="F50" s="2" t="s">
        <v>1385</v>
      </c>
      <c r="G50" s="2" t="s">
        <v>1386</v>
      </c>
      <c r="H50" s="2" t="s">
        <v>187</v>
      </c>
      <c r="I50" s="2" t="s">
        <v>996</v>
      </c>
      <c r="J50" s="2" t="s">
        <v>30</v>
      </c>
      <c r="K50" s="2" t="s">
        <v>30</v>
      </c>
      <c r="L50" s="2" t="s">
        <v>47</v>
      </c>
      <c r="M50" s="2" t="s">
        <v>1387</v>
      </c>
      <c r="N50" s="2" t="s">
        <v>147</v>
      </c>
      <c r="O50" s="2" t="s">
        <v>34</v>
      </c>
      <c r="P50" s="125">
        <v>113000</v>
      </c>
      <c r="Q50" s="134">
        <v>1</v>
      </c>
      <c r="R50" s="151">
        <v>404.49</v>
      </c>
      <c r="S50" s="115"/>
      <c r="T50" s="124">
        <v>457.07400000000001</v>
      </c>
      <c r="U50" s="140">
        <v>4.1399999999999998E-4</v>
      </c>
      <c r="V50" s="140">
        <v>6.3833510501743101E-2</v>
      </c>
      <c r="W50" s="140">
        <v>2.46111238926718E-2</v>
      </c>
    </row>
    <row r="51" spans="1:23">
      <c r="A51" s="2">
        <v>382</v>
      </c>
      <c r="B51" s="2">
        <v>7635</v>
      </c>
      <c r="C51" s="2" t="s">
        <v>1390</v>
      </c>
      <c r="D51" s="2" t="s">
        <v>1391</v>
      </c>
      <c r="E51" s="3" t="s">
        <v>1325</v>
      </c>
      <c r="F51" s="2" t="s">
        <v>1392</v>
      </c>
      <c r="G51" s="2" t="s">
        <v>1393</v>
      </c>
      <c r="H51" s="2" t="s">
        <v>187</v>
      </c>
      <c r="I51" s="2" t="s">
        <v>994</v>
      </c>
      <c r="J51" s="2" t="s">
        <v>30</v>
      </c>
      <c r="K51" s="2" t="s">
        <v>30</v>
      </c>
      <c r="L51" s="2" t="s">
        <v>47</v>
      </c>
      <c r="M51" s="2" t="s">
        <v>1355</v>
      </c>
      <c r="N51" s="2" t="s">
        <v>147</v>
      </c>
      <c r="O51" s="2" t="s">
        <v>34</v>
      </c>
      <c r="P51" s="125">
        <v>2200</v>
      </c>
      <c r="Q51" s="134">
        <v>1</v>
      </c>
      <c r="R51" s="151">
        <v>6632</v>
      </c>
      <c r="S51" s="115"/>
      <c r="T51" s="124">
        <v>145.904</v>
      </c>
      <c r="U51" s="140">
        <v>1.76E-4</v>
      </c>
      <c r="V51" s="140">
        <v>2.0376504962430202E-2</v>
      </c>
      <c r="W51" s="140">
        <v>7.8561978526360005E-3</v>
      </c>
    </row>
    <row r="52" spans="1:23">
      <c r="A52" s="2">
        <v>382</v>
      </c>
      <c r="B52" s="2">
        <v>7635</v>
      </c>
      <c r="C52" s="2" t="s">
        <v>1394</v>
      </c>
      <c r="D52" s="2" t="s">
        <v>1395</v>
      </c>
      <c r="E52" s="3" t="s">
        <v>1325</v>
      </c>
      <c r="F52" s="2" t="s">
        <v>1489</v>
      </c>
      <c r="G52" s="2" t="s">
        <v>1490</v>
      </c>
      <c r="H52" s="2" t="s">
        <v>187</v>
      </c>
      <c r="I52" s="2" t="s">
        <v>995</v>
      </c>
      <c r="J52" s="2" t="s">
        <v>30</v>
      </c>
      <c r="K52" s="2" t="s">
        <v>103</v>
      </c>
      <c r="L52" s="2" t="s">
        <v>47</v>
      </c>
      <c r="M52" s="2" t="s">
        <v>1491</v>
      </c>
      <c r="N52" s="2" t="s">
        <v>147</v>
      </c>
      <c r="O52" s="2" t="s">
        <v>34</v>
      </c>
      <c r="P52" s="125">
        <v>3300</v>
      </c>
      <c r="Q52" s="134">
        <v>1</v>
      </c>
      <c r="R52" s="151">
        <v>5283</v>
      </c>
      <c r="S52" s="115"/>
      <c r="T52" s="124">
        <v>174.339</v>
      </c>
      <c r="U52" s="140">
        <v>4.6999999999999997E-5</v>
      </c>
      <c r="V52" s="140">
        <v>2.4347649815256001E-2</v>
      </c>
      <c r="W52" s="140">
        <v>9.3872798376378099E-3</v>
      </c>
    </row>
    <row r="53" spans="1:23">
      <c r="A53" s="2">
        <v>382</v>
      </c>
      <c r="B53" s="2">
        <v>7635</v>
      </c>
      <c r="C53" s="2" t="s">
        <v>1394</v>
      </c>
      <c r="D53" s="2" t="s">
        <v>1395</v>
      </c>
      <c r="E53" s="3" t="s">
        <v>1325</v>
      </c>
      <c r="F53" s="2" t="s">
        <v>1398</v>
      </c>
      <c r="G53" s="2" t="s">
        <v>1399</v>
      </c>
      <c r="H53" s="2" t="s">
        <v>187</v>
      </c>
      <c r="I53" s="2" t="s">
        <v>995</v>
      </c>
      <c r="J53" s="2" t="s">
        <v>30</v>
      </c>
      <c r="K53" s="2" t="s">
        <v>103</v>
      </c>
      <c r="L53" s="2" t="s">
        <v>47</v>
      </c>
      <c r="M53" s="2" t="s">
        <v>1376</v>
      </c>
      <c r="N53" s="2" t="s">
        <v>147</v>
      </c>
      <c r="O53" s="2" t="s">
        <v>34</v>
      </c>
      <c r="P53" s="125">
        <v>725</v>
      </c>
      <c r="Q53" s="134">
        <v>1</v>
      </c>
      <c r="R53" s="151">
        <v>22550</v>
      </c>
      <c r="S53" s="115"/>
      <c r="T53" s="124">
        <v>163.488</v>
      </c>
      <c r="U53" s="140">
        <v>2.5000000000000001E-5</v>
      </c>
      <c r="V53" s="140">
        <v>2.2832162620937801E-2</v>
      </c>
      <c r="W53" s="140">
        <v>8.8029810452957304E-3</v>
      </c>
    </row>
    <row r="54" spans="1:23">
      <c r="A54" s="2">
        <v>382</v>
      </c>
      <c r="B54" s="2">
        <v>7635</v>
      </c>
      <c r="C54" s="2" t="s">
        <v>1394</v>
      </c>
      <c r="D54" s="2" t="s">
        <v>1395</v>
      </c>
      <c r="E54" s="3" t="s">
        <v>1325</v>
      </c>
      <c r="F54" s="2" t="s">
        <v>1402</v>
      </c>
      <c r="G54" s="2" t="s">
        <v>1403</v>
      </c>
      <c r="H54" s="2" t="s">
        <v>187</v>
      </c>
      <c r="I54" s="2" t="s">
        <v>994</v>
      </c>
      <c r="J54" s="2" t="s">
        <v>30</v>
      </c>
      <c r="K54" s="2" t="s">
        <v>30</v>
      </c>
      <c r="L54" s="2" t="s">
        <v>47</v>
      </c>
      <c r="M54" s="2" t="s">
        <v>1355</v>
      </c>
      <c r="N54" s="2" t="s">
        <v>147</v>
      </c>
      <c r="O54" s="2" t="s">
        <v>34</v>
      </c>
      <c r="P54" s="125">
        <v>311</v>
      </c>
      <c r="Q54" s="134">
        <v>1</v>
      </c>
      <c r="R54" s="151">
        <v>22890</v>
      </c>
      <c r="S54" s="115"/>
      <c r="T54" s="124">
        <v>71.188000000000002</v>
      </c>
      <c r="U54" s="140">
        <v>1.0000000000000001E-5</v>
      </c>
      <c r="V54" s="140">
        <v>9.94188368800707E-3</v>
      </c>
      <c r="W54" s="140">
        <v>3.8331109984213298E-3</v>
      </c>
    </row>
    <row r="55" spans="1:23">
      <c r="A55" s="2">
        <v>382</v>
      </c>
      <c r="B55" s="2">
        <v>7635</v>
      </c>
      <c r="C55" s="2" t="s">
        <v>1394</v>
      </c>
      <c r="D55" s="2" t="s">
        <v>1395</v>
      </c>
      <c r="E55" s="3" t="s">
        <v>1325</v>
      </c>
      <c r="F55" s="2" t="s">
        <v>1492</v>
      </c>
      <c r="G55" s="2" t="s">
        <v>1493</v>
      </c>
      <c r="H55" s="2" t="s">
        <v>187</v>
      </c>
      <c r="I55" s="2" t="s">
        <v>996</v>
      </c>
      <c r="J55" s="2" t="s">
        <v>30</v>
      </c>
      <c r="K55" s="2" t="s">
        <v>30</v>
      </c>
      <c r="L55" s="2" t="s">
        <v>47</v>
      </c>
      <c r="M55" s="2" t="s">
        <v>1387</v>
      </c>
      <c r="N55" s="2" t="s">
        <v>147</v>
      </c>
      <c r="O55" s="2" t="s">
        <v>34</v>
      </c>
      <c r="P55" s="125">
        <v>13600</v>
      </c>
      <c r="Q55" s="134">
        <v>1</v>
      </c>
      <c r="R55" s="151">
        <v>4085.73</v>
      </c>
      <c r="S55" s="115"/>
      <c r="T55" s="124">
        <v>555.65899999999999</v>
      </c>
      <c r="U55" s="140">
        <v>3.4900000000000003E-4</v>
      </c>
      <c r="V55" s="140">
        <v>7.7601670114187296E-2</v>
      </c>
      <c r="W55" s="140">
        <v>2.9919462402218398E-2</v>
      </c>
    </row>
    <row r="56" spans="1:23">
      <c r="A56" s="2">
        <v>382</v>
      </c>
      <c r="B56" s="2">
        <v>7635</v>
      </c>
      <c r="C56" s="2" t="s">
        <v>1406</v>
      </c>
      <c r="D56" s="2" t="s">
        <v>1407</v>
      </c>
      <c r="E56" s="3" t="s">
        <v>1325</v>
      </c>
      <c r="F56" s="2" t="s">
        <v>1408</v>
      </c>
      <c r="G56" s="2" t="s">
        <v>1409</v>
      </c>
      <c r="H56" s="2" t="s">
        <v>187</v>
      </c>
      <c r="I56" s="2" t="s">
        <v>994</v>
      </c>
      <c r="J56" s="2" t="s">
        <v>30</v>
      </c>
      <c r="K56" s="2" t="s">
        <v>30</v>
      </c>
      <c r="L56" s="2" t="s">
        <v>47</v>
      </c>
      <c r="M56" s="2" t="s">
        <v>1355</v>
      </c>
      <c r="N56" s="2" t="s">
        <v>147</v>
      </c>
      <c r="O56" s="2" t="s">
        <v>34</v>
      </c>
      <c r="P56" s="125">
        <v>3057</v>
      </c>
      <c r="Q56" s="134">
        <v>1</v>
      </c>
      <c r="R56" s="151">
        <v>2376</v>
      </c>
      <c r="S56" s="115"/>
      <c r="T56" s="124">
        <v>72.634</v>
      </c>
      <c r="U56" s="140">
        <v>6.9999999999999999E-6</v>
      </c>
      <c r="V56" s="140">
        <v>1.01438862671534E-2</v>
      </c>
      <c r="W56" s="140">
        <v>3.9109934533095502E-3</v>
      </c>
    </row>
    <row r="57" spans="1:23">
      <c r="A57" s="2">
        <v>382</v>
      </c>
      <c r="B57" s="2">
        <v>7635</v>
      </c>
      <c r="C57" s="2" t="s">
        <v>1406</v>
      </c>
      <c r="D57" s="2" t="s">
        <v>1407</v>
      </c>
      <c r="E57" s="3" t="s">
        <v>1325</v>
      </c>
      <c r="F57" s="2" t="s">
        <v>1494</v>
      </c>
      <c r="G57" s="2" t="s">
        <v>1495</v>
      </c>
      <c r="H57" s="2" t="s">
        <v>187</v>
      </c>
      <c r="I57" s="2" t="s">
        <v>996</v>
      </c>
      <c r="J57" s="2" t="s">
        <v>30</v>
      </c>
      <c r="K57" s="2" t="s">
        <v>30</v>
      </c>
      <c r="L57" s="2" t="s">
        <v>47</v>
      </c>
      <c r="M57" s="2" t="s">
        <v>1387</v>
      </c>
      <c r="N57" s="2" t="s">
        <v>147</v>
      </c>
      <c r="O57" s="2" t="s">
        <v>34</v>
      </c>
      <c r="P57" s="125">
        <v>8700</v>
      </c>
      <c r="Q57" s="134">
        <v>1</v>
      </c>
      <c r="R57" s="151">
        <v>4025.26</v>
      </c>
      <c r="S57" s="115"/>
      <c r="T57" s="124">
        <v>350.19799999999998</v>
      </c>
      <c r="U57" s="140">
        <v>5.4000000000000001E-4</v>
      </c>
      <c r="V57" s="140">
        <v>4.8907525097058598E-2</v>
      </c>
      <c r="W57" s="140">
        <v>1.8856383582644999E-2</v>
      </c>
    </row>
    <row r="58" spans="1:23">
      <c r="A58" s="2">
        <v>382</v>
      </c>
      <c r="B58" s="2">
        <v>7635</v>
      </c>
      <c r="C58" s="2" t="s">
        <v>1406</v>
      </c>
      <c r="D58" s="2" t="s">
        <v>1407</v>
      </c>
      <c r="E58" s="3" t="s">
        <v>1325</v>
      </c>
      <c r="F58" s="2" t="s">
        <v>1496</v>
      </c>
      <c r="G58" s="2" t="s">
        <v>1497</v>
      </c>
      <c r="H58" s="2" t="s">
        <v>187</v>
      </c>
      <c r="I58" s="2" t="s">
        <v>994</v>
      </c>
      <c r="J58" s="2" t="s">
        <v>30</v>
      </c>
      <c r="K58" s="2" t="s">
        <v>30</v>
      </c>
      <c r="L58" s="2" t="s">
        <v>47</v>
      </c>
      <c r="M58" s="2" t="s">
        <v>1355</v>
      </c>
      <c r="N58" s="2" t="s">
        <v>147</v>
      </c>
      <c r="O58" s="2" t="s">
        <v>34</v>
      </c>
      <c r="P58" s="125">
        <v>23800</v>
      </c>
      <c r="Q58" s="134">
        <v>1</v>
      </c>
      <c r="R58" s="151">
        <v>2403</v>
      </c>
      <c r="S58" s="115"/>
      <c r="T58" s="124">
        <v>571.91399999999999</v>
      </c>
      <c r="U58" s="140">
        <v>5.3999999999999998E-5</v>
      </c>
      <c r="V58" s="140">
        <v>7.98717544349936E-2</v>
      </c>
      <c r="W58" s="140">
        <v>3.0794697463349001E-2</v>
      </c>
    </row>
    <row r="59" spans="1:23">
      <c r="A59" s="2">
        <v>382</v>
      </c>
      <c r="B59" s="2">
        <v>7635</v>
      </c>
      <c r="C59" s="2" t="s">
        <v>1406</v>
      </c>
      <c r="D59" s="2" t="s">
        <v>1407</v>
      </c>
      <c r="E59" s="3" t="s">
        <v>1325</v>
      </c>
      <c r="F59" s="2" t="s">
        <v>1498</v>
      </c>
      <c r="G59" s="2" t="s">
        <v>1499</v>
      </c>
      <c r="H59" s="2" t="s">
        <v>187</v>
      </c>
      <c r="I59" s="2" t="s">
        <v>996</v>
      </c>
      <c r="J59" s="2" t="s">
        <v>30</v>
      </c>
      <c r="K59" s="2" t="s">
        <v>30</v>
      </c>
      <c r="L59" s="2" t="s">
        <v>47</v>
      </c>
      <c r="M59" s="2" t="s">
        <v>1387</v>
      </c>
      <c r="N59" s="2" t="s">
        <v>147</v>
      </c>
      <c r="O59" s="2" t="s">
        <v>34</v>
      </c>
      <c r="P59" s="125">
        <v>232000</v>
      </c>
      <c r="Q59" s="134">
        <v>1</v>
      </c>
      <c r="R59" s="151">
        <v>373.81</v>
      </c>
      <c r="S59" s="115"/>
      <c r="T59" s="124">
        <v>867.23900000000003</v>
      </c>
      <c r="U59" s="140">
        <v>1.7000000000000001E-4</v>
      </c>
      <c r="V59" s="140">
        <v>0.12111596572002099</v>
      </c>
      <c r="W59" s="140">
        <v>4.66964767296425E-2</v>
      </c>
    </row>
    <row r="60" spans="1:23">
      <c r="A60" s="2">
        <v>382</v>
      </c>
      <c r="B60" s="2">
        <v>7635</v>
      </c>
      <c r="C60" s="2" t="s">
        <v>1410</v>
      </c>
      <c r="D60" s="2" t="s">
        <v>1411</v>
      </c>
      <c r="E60" s="3" t="s">
        <v>184</v>
      </c>
      <c r="F60" s="2" t="s">
        <v>1412</v>
      </c>
      <c r="G60" s="2" t="s">
        <v>1413</v>
      </c>
      <c r="H60" s="2" t="s">
        <v>187</v>
      </c>
      <c r="I60" s="2" t="s">
        <v>995</v>
      </c>
      <c r="J60" s="2" t="s">
        <v>94</v>
      </c>
      <c r="K60" s="2" t="s">
        <v>103</v>
      </c>
      <c r="L60" s="2" t="s">
        <v>1414</v>
      </c>
      <c r="M60" s="2" t="s">
        <v>748</v>
      </c>
      <c r="N60" s="2" t="s">
        <v>147</v>
      </c>
      <c r="O60" s="2" t="s">
        <v>1183</v>
      </c>
      <c r="P60" s="125">
        <v>65</v>
      </c>
      <c r="Q60" s="134">
        <v>4.0218999999999996</v>
      </c>
      <c r="R60" s="151">
        <v>20345</v>
      </c>
      <c r="S60" s="115"/>
      <c r="T60" s="124">
        <v>53.186999999999998</v>
      </c>
      <c r="U60" s="140">
        <v>0</v>
      </c>
      <c r="V60" s="140">
        <v>7.4278789101366802E-3</v>
      </c>
      <c r="W60" s="140">
        <v>2.8638319697636902E-3</v>
      </c>
    </row>
    <row r="61" spans="1:23">
      <c r="A61" s="2">
        <v>382</v>
      </c>
      <c r="B61" s="2">
        <v>7635</v>
      </c>
      <c r="C61" s="2" t="s">
        <v>1415</v>
      </c>
      <c r="D61" s="2" t="s">
        <v>1416</v>
      </c>
      <c r="E61" s="3" t="s">
        <v>184</v>
      </c>
      <c r="F61" s="2" t="s">
        <v>1417</v>
      </c>
      <c r="G61" s="2" t="s">
        <v>1418</v>
      </c>
      <c r="H61" s="2" t="s">
        <v>187</v>
      </c>
      <c r="I61" s="2" t="s">
        <v>995</v>
      </c>
      <c r="J61" s="2" t="s">
        <v>94</v>
      </c>
      <c r="K61" s="2" t="s">
        <v>103</v>
      </c>
      <c r="L61" s="2" t="s">
        <v>377</v>
      </c>
      <c r="M61" s="2" t="s">
        <v>748</v>
      </c>
      <c r="N61" s="2" t="s">
        <v>147</v>
      </c>
      <c r="O61" s="2" t="s">
        <v>98</v>
      </c>
      <c r="P61" s="125">
        <v>449</v>
      </c>
      <c r="Q61" s="134">
        <v>3.718</v>
      </c>
      <c r="R61" s="151">
        <v>10928.02</v>
      </c>
      <c r="S61" s="115"/>
      <c r="T61" s="124">
        <v>182.43</v>
      </c>
      <c r="U61" s="140">
        <v>1.0000000000000001E-5</v>
      </c>
      <c r="V61" s="140">
        <v>2.5477669749890498E-2</v>
      </c>
      <c r="W61" s="140">
        <v>9.8229610400952308E-3</v>
      </c>
    </row>
    <row r="62" spans="1:23">
      <c r="A62" s="2">
        <v>382</v>
      </c>
      <c r="B62" s="2">
        <v>7635</v>
      </c>
      <c r="C62" s="2" t="s">
        <v>1423</v>
      </c>
      <c r="D62" s="2" t="s">
        <v>1424</v>
      </c>
      <c r="E62" s="3" t="s">
        <v>184</v>
      </c>
      <c r="F62" s="2" t="s">
        <v>1425</v>
      </c>
      <c r="G62" s="2" t="s">
        <v>1426</v>
      </c>
      <c r="H62" s="2" t="s">
        <v>187</v>
      </c>
      <c r="I62" s="2" t="s">
        <v>995</v>
      </c>
      <c r="J62" s="2" t="s">
        <v>94</v>
      </c>
      <c r="K62" s="2" t="s">
        <v>103</v>
      </c>
      <c r="L62" s="2" t="s">
        <v>357</v>
      </c>
      <c r="M62" s="2" t="s">
        <v>748</v>
      </c>
      <c r="N62" s="2" t="s">
        <v>147</v>
      </c>
      <c r="O62" s="2" t="s">
        <v>98</v>
      </c>
      <c r="P62" s="125">
        <v>250</v>
      </c>
      <c r="Q62" s="134">
        <v>3.718</v>
      </c>
      <c r="R62" s="151">
        <v>4981</v>
      </c>
      <c r="S62" s="129">
        <v>0</v>
      </c>
      <c r="T62" s="124">
        <v>46.298000000000002</v>
      </c>
      <c r="U62" s="140">
        <v>0</v>
      </c>
      <c r="V62" s="140">
        <v>6.4658865957862603E-3</v>
      </c>
      <c r="W62" s="140">
        <v>2.49293411617267E-3</v>
      </c>
    </row>
    <row r="63" spans="1:23">
      <c r="A63" s="2">
        <v>382</v>
      </c>
      <c r="B63" s="2">
        <v>7635</v>
      </c>
      <c r="C63" s="2" t="s">
        <v>1368</v>
      </c>
      <c r="D63" s="2" t="s">
        <v>1369</v>
      </c>
      <c r="E63" s="3" t="s">
        <v>184</v>
      </c>
      <c r="F63" s="2" t="s">
        <v>1500</v>
      </c>
      <c r="G63" s="2" t="s">
        <v>1501</v>
      </c>
      <c r="H63" s="2" t="s">
        <v>187</v>
      </c>
      <c r="I63" s="2" t="s">
        <v>995</v>
      </c>
      <c r="J63" s="2" t="s">
        <v>94</v>
      </c>
      <c r="K63" s="2" t="s">
        <v>103</v>
      </c>
      <c r="L63" s="2" t="s">
        <v>359</v>
      </c>
      <c r="M63" s="2" t="s">
        <v>748</v>
      </c>
      <c r="N63" s="2" t="s">
        <v>147</v>
      </c>
      <c r="O63" s="2" t="s">
        <v>98</v>
      </c>
      <c r="P63" s="125">
        <v>143</v>
      </c>
      <c r="Q63" s="134">
        <v>3.718</v>
      </c>
      <c r="R63" s="151">
        <v>46892</v>
      </c>
      <c r="S63" s="129">
        <v>7.4999999999999997E-2</v>
      </c>
      <c r="T63" s="124">
        <v>249.59200000000001</v>
      </c>
      <c r="U63" s="140">
        <v>0</v>
      </c>
      <c r="V63" s="140">
        <v>3.4857244879999798E-2</v>
      </c>
      <c r="W63" s="140">
        <v>1.34392729705105E-2</v>
      </c>
    </row>
    <row r="64" spans="1:23">
      <c r="A64" s="2">
        <v>382</v>
      </c>
      <c r="B64" s="2">
        <v>7635</v>
      </c>
      <c r="C64" s="2" t="s">
        <v>1368</v>
      </c>
      <c r="D64" s="2" t="s">
        <v>1369</v>
      </c>
      <c r="E64" s="3" t="s">
        <v>184</v>
      </c>
      <c r="F64" s="2" t="s">
        <v>1432</v>
      </c>
      <c r="G64" s="2" t="s">
        <v>1433</v>
      </c>
      <c r="H64" s="2" t="s">
        <v>187</v>
      </c>
      <c r="I64" s="2" t="s">
        <v>995</v>
      </c>
      <c r="J64" s="2" t="s">
        <v>94</v>
      </c>
      <c r="K64" s="2" t="s">
        <v>103</v>
      </c>
      <c r="L64" s="2" t="s">
        <v>393</v>
      </c>
      <c r="M64" s="2" t="s">
        <v>748</v>
      </c>
      <c r="N64" s="2" t="s">
        <v>147</v>
      </c>
      <c r="O64" s="2" t="s">
        <v>98</v>
      </c>
      <c r="P64" s="125">
        <v>113</v>
      </c>
      <c r="Q64" s="134">
        <v>3.718</v>
      </c>
      <c r="R64" s="151">
        <v>109783</v>
      </c>
      <c r="S64" s="115"/>
      <c r="T64" s="124">
        <v>461.23599999999999</v>
      </c>
      <c r="U64" s="140">
        <v>5.0000000000000004E-6</v>
      </c>
      <c r="V64" s="140">
        <v>6.4414763939106098E-2</v>
      </c>
      <c r="W64" s="140">
        <v>2.48352271927651E-2</v>
      </c>
    </row>
    <row r="65" spans="1:23">
      <c r="A65" s="2">
        <v>382</v>
      </c>
      <c r="B65" s="2">
        <v>7635</v>
      </c>
      <c r="C65" s="2" t="s">
        <v>1368</v>
      </c>
      <c r="D65" s="2" t="s">
        <v>1369</v>
      </c>
      <c r="E65" s="3" t="s">
        <v>184</v>
      </c>
      <c r="F65" s="2" t="s">
        <v>1502</v>
      </c>
      <c r="G65" s="2" t="s">
        <v>1433</v>
      </c>
      <c r="H65" s="2" t="s">
        <v>187</v>
      </c>
      <c r="I65" s="2" t="s">
        <v>995</v>
      </c>
      <c r="J65" s="2" t="s">
        <v>94</v>
      </c>
      <c r="K65" s="2" t="s">
        <v>103</v>
      </c>
      <c r="L65" s="2" t="s">
        <v>1443</v>
      </c>
      <c r="M65" s="2" t="s">
        <v>748</v>
      </c>
      <c r="N65" s="2" t="s">
        <v>147</v>
      </c>
      <c r="O65" s="2" t="s">
        <v>34</v>
      </c>
      <c r="P65" s="125">
        <v>17</v>
      </c>
      <c r="Q65" s="134">
        <v>1</v>
      </c>
      <c r="R65" s="151">
        <v>407500</v>
      </c>
      <c r="S65" s="115"/>
      <c r="T65" s="124">
        <v>69.275000000000006</v>
      </c>
      <c r="U65" s="140">
        <v>9.9999999999999995E-7</v>
      </c>
      <c r="V65" s="140">
        <v>9.6747339433624294E-3</v>
      </c>
      <c r="W65" s="140">
        <v>3.7301109376121199E-3</v>
      </c>
    </row>
    <row r="66" spans="1:23">
      <c r="A66" s="2">
        <v>382</v>
      </c>
      <c r="B66" s="2">
        <v>7635</v>
      </c>
      <c r="C66" s="2" t="s">
        <v>1419</v>
      </c>
      <c r="D66" s="2" t="s">
        <v>1420</v>
      </c>
      <c r="E66" s="3" t="s">
        <v>184</v>
      </c>
      <c r="F66" s="2" t="s">
        <v>1434</v>
      </c>
      <c r="G66" s="2" t="s">
        <v>1435</v>
      </c>
      <c r="H66" s="2" t="s">
        <v>187</v>
      </c>
      <c r="I66" s="2" t="s">
        <v>997</v>
      </c>
      <c r="J66" s="2" t="s">
        <v>94</v>
      </c>
      <c r="K66" s="2" t="s">
        <v>313</v>
      </c>
      <c r="L66" s="2" t="s">
        <v>393</v>
      </c>
      <c r="M66" s="2" t="s">
        <v>745</v>
      </c>
      <c r="N66" s="2" t="s">
        <v>147</v>
      </c>
      <c r="O66" s="2" t="s">
        <v>98</v>
      </c>
      <c r="P66" s="125">
        <v>34780</v>
      </c>
      <c r="Q66" s="134">
        <v>3.718</v>
      </c>
      <c r="R66" s="151">
        <v>597.45000000000005</v>
      </c>
      <c r="S66" s="115"/>
      <c r="T66" s="124">
        <v>772.57500000000005</v>
      </c>
      <c r="U66" s="140">
        <v>1.03E-4</v>
      </c>
      <c r="V66" s="140">
        <v>0.107895423698051</v>
      </c>
      <c r="W66" s="140">
        <v>4.1599273159393803E-2</v>
      </c>
    </row>
    <row r="67" spans="1:23">
      <c r="A67" s="2">
        <v>382</v>
      </c>
      <c r="B67" s="2">
        <v>7635</v>
      </c>
      <c r="C67" s="2" t="s">
        <v>1419</v>
      </c>
      <c r="D67" s="2" t="s">
        <v>1420</v>
      </c>
      <c r="E67" s="3" t="s">
        <v>184</v>
      </c>
      <c r="F67" s="2" t="s">
        <v>1436</v>
      </c>
      <c r="G67" s="2" t="s">
        <v>1437</v>
      </c>
      <c r="H67" s="2" t="s">
        <v>187</v>
      </c>
      <c r="I67" s="2" t="s">
        <v>995</v>
      </c>
      <c r="J67" s="2" t="s">
        <v>94</v>
      </c>
      <c r="K67" s="2" t="s">
        <v>310</v>
      </c>
      <c r="L67" s="2" t="s">
        <v>381</v>
      </c>
      <c r="M67" s="2" t="s">
        <v>748</v>
      </c>
      <c r="N67" s="2" t="s">
        <v>147</v>
      </c>
      <c r="O67" s="2" t="s">
        <v>1183</v>
      </c>
      <c r="P67" s="125">
        <v>360</v>
      </c>
      <c r="Q67" s="134">
        <v>4.0218999999999996</v>
      </c>
      <c r="R67" s="151">
        <v>5318</v>
      </c>
      <c r="S67" s="115"/>
      <c r="T67" s="124">
        <v>76.998000000000005</v>
      </c>
      <c r="U67" s="140">
        <v>3.0000000000000001E-6</v>
      </c>
      <c r="V67" s="140">
        <v>1.07533702220379E-2</v>
      </c>
      <c r="W67" s="140">
        <v>4.1459810798141197E-3</v>
      </c>
    </row>
    <row r="68" spans="1:23">
      <c r="A68" s="2">
        <v>382</v>
      </c>
      <c r="B68" s="2">
        <v>7635</v>
      </c>
      <c r="C68" s="2" t="s">
        <v>1419</v>
      </c>
      <c r="D68" s="2" t="s">
        <v>1420</v>
      </c>
      <c r="E68" s="3" t="s">
        <v>184</v>
      </c>
      <c r="F68" s="2" t="s">
        <v>1438</v>
      </c>
      <c r="G68" s="2" t="s">
        <v>1439</v>
      </c>
      <c r="H68" s="2" t="s">
        <v>187</v>
      </c>
      <c r="I68" s="2" t="s">
        <v>995</v>
      </c>
      <c r="J68" s="2" t="s">
        <v>94</v>
      </c>
      <c r="K68" s="2" t="s">
        <v>103</v>
      </c>
      <c r="L68" s="2" t="s">
        <v>1440</v>
      </c>
      <c r="M68" s="2" t="s">
        <v>748</v>
      </c>
      <c r="N68" s="2" t="s">
        <v>147</v>
      </c>
      <c r="O68" s="2" t="s">
        <v>98</v>
      </c>
      <c r="P68" s="125">
        <v>1725</v>
      </c>
      <c r="Q68" s="134">
        <v>3.718</v>
      </c>
      <c r="R68" s="151">
        <v>601.75</v>
      </c>
      <c r="S68" s="115"/>
      <c r="T68" s="124">
        <v>38.594000000000001</v>
      </c>
      <c r="U68" s="140">
        <v>0</v>
      </c>
      <c r="V68" s="140">
        <v>5.3898549782411499E-3</v>
      </c>
      <c r="W68" s="140">
        <v>2.0780682057178201E-3</v>
      </c>
    </row>
    <row r="69" spans="1:23">
      <c r="A69" s="2">
        <v>382</v>
      </c>
      <c r="B69" s="2">
        <v>7635</v>
      </c>
      <c r="C69" s="2" t="s">
        <v>1419</v>
      </c>
      <c r="D69" s="2" t="s">
        <v>1420</v>
      </c>
      <c r="E69" s="3" t="s">
        <v>184</v>
      </c>
      <c r="F69" s="2" t="s">
        <v>1441</v>
      </c>
      <c r="G69" s="2" t="s">
        <v>1442</v>
      </c>
      <c r="H69" s="2" t="s">
        <v>187</v>
      </c>
      <c r="I69" s="2" t="s">
        <v>995</v>
      </c>
      <c r="J69" s="2" t="s">
        <v>94</v>
      </c>
      <c r="K69" s="2" t="s">
        <v>103</v>
      </c>
      <c r="L69" s="2" t="s">
        <v>1443</v>
      </c>
      <c r="M69" s="2" t="s">
        <v>748</v>
      </c>
      <c r="N69" s="2" t="s">
        <v>147</v>
      </c>
      <c r="O69" s="2" t="s">
        <v>98</v>
      </c>
      <c r="P69" s="125">
        <v>980</v>
      </c>
      <c r="Q69" s="134">
        <v>3.718</v>
      </c>
      <c r="R69" s="151">
        <v>1088.8340000000001</v>
      </c>
      <c r="S69" s="115"/>
      <c r="T69" s="124">
        <v>39.673000000000002</v>
      </c>
      <c r="U69" s="140">
        <v>3.0000000000000001E-5</v>
      </c>
      <c r="V69" s="140">
        <v>5.5406386920270898E-3</v>
      </c>
      <c r="W69" s="140">
        <v>2.1362031356600098E-3</v>
      </c>
    </row>
    <row r="70" spans="1:23">
      <c r="A70" s="2">
        <v>382</v>
      </c>
      <c r="B70" s="2">
        <v>7635</v>
      </c>
      <c r="C70" s="2" t="s">
        <v>1419</v>
      </c>
      <c r="D70" s="2" t="s">
        <v>1420</v>
      </c>
      <c r="E70" s="3" t="s">
        <v>184</v>
      </c>
      <c r="F70" s="2" t="s">
        <v>1444</v>
      </c>
      <c r="G70" s="2" t="s">
        <v>1445</v>
      </c>
      <c r="H70" s="2" t="s">
        <v>187</v>
      </c>
      <c r="I70" s="2" t="s">
        <v>997</v>
      </c>
      <c r="J70" s="2" t="s">
        <v>94</v>
      </c>
      <c r="K70" s="2" t="s">
        <v>103</v>
      </c>
      <c r="L70" s="2" t="s">
        <v>393</v>
      </c>
      <c r="M70" s="2" t="s">
        <v>745</v>
      </c>
      <c r="N70" s="2" t="s">
        <v>147</v>
      </c>
      <c r="O70" s="2" t="s">
        <v>98</v>
      </c>
      <c r="P70" s="125">
        <v>3525</v>
      </c>
      <c r="Q70" s="134">
        <v>3.718</v>
      </c>
      <c r="R70" s="151">
        <v>605.15</v>
      </c>
      <c r="S70" s="115"/>
      <c r="T70" s="124">
        <v>79.311000000000007</v>
      </c>
      <c r="U70" s="140">
        <v>0</v>
      </c>
      <c r="V70" s="140">
        <v>1.10762829272508E-2</v>
      </c>
      <c r="W70" s="140">
        <v>4.2704806495862798E-3</v>
      </c>
    </row>
    <row r="71" spans="1:23">
      <c r="A71" s="2">
        <v>382</v>
      </c>
      <c r="B71" s="2">
        <v>7635</v>
      </c>
      <c r="C71" s="2" t="s">
        <v>1419</v>
      </c>
      <c r="D71" s="2" t="s">
        <v>1420</v>
      </c>
      <c r="E71" s="3" t="s">
        <v>184</v>
      </c>
      <c r="F71" s="2" t="s">
        <v>1503</v>
      </c>
      <c r="G71" s="2" t="s">
        <v>1504</v>
      </c>
      <c r="H71" s="2" t="s">
        <v>187</v>
      </c>
      <c r="I71" s="2" t="s">
        <v>995</v>
      </c>
      <c r="J71" s="2" t="s">
        <v>94</v>
      </c>
      <c r="K71" s="2" t="s">
        <v>103</v>
      </c>
      <c r="L71" s="2" t="s">
        <v>357</v>
      </c>
      <c r="M71" s="2" t="s">
        <v>748</v>
      </c>
      <c r="N71" s="2" t="s">
        <v>147</v>
      </c>
      <c r="O71" s="2" t="s">
        <v>98</v>
      </c>
      <c r="P71" s="125">
        <v>87</v>
      </c>
      <c r="Q71" s="134">
        <v>3.718</v>
      </c>
      <c r="R71" s="151">
        <v>56190</v>
      </c>
      <c r="S71" s="115"/>
      <c r="T71" s="124">
        <v>181.756</v>
      </c>
      <c r="U71" s="140">
        <v>0</v>
      </c>
      <c r="V71" s="140">
        <v>2.5383421789617201E-2</v>
      </c>
      <c r="W71" s="140">
        <v>9.7866235708148203E-3</v>
      </c>
    </row>
    <row r="72" spans="1:23">
      <c r="A72" s="2">
        <v>382</v>
      </c>
      <c r="B72" s="2">
        <v>7635</v>
      </c>
      <c r="C72" s="2" t="s">
        <v>1419</v>
      </c>
      <c r="D72" s="2" t="s">
        <v>1420</v>
      </c>
      <c r="E72" s="3" t="s">
        <v>184</v>
      </c>
      <c r="F72" s="2" t="s">
        <v>1448</v>
      </c>
      <c r="G72" s="2" t="s">
        <v>1449</v>
      </c>
      <c r="H72" s="2" t="s">
        <v>187</v>
      </c>
      <c r="I72" s="2" t="s">
        <v>995</v>
      </c>
      <c r="J72" s="2" t="s">
        <v>94</v>
      </c>
      <c r="K72" s="2" t="s">
        <v>103</v>
      </c>
      <c r="L72" s="2" t="s">
        <v>357</v>
      </c>
      <c r="M72" s="2" t="s">
        <v>748</v>
      </c>
      <c r="N72" s="2" t="s">
        <v>147</v>
      </c>
      <c r="O72" s="2" t="s">
        <v>98</v>
      </c>
      <c r="P72" s="125">
        <v>160</v>
      </c>
      <c r="Q72" s="134">
        <v>3.718</v>
      </c>
      <c r="R72" s="151">
        <v>9521</v>
      </c>
      <c r="S72" s="115"/>
      <c r="T72" s="124">
        <v>56.639000000000003</v>
      </c>
      <c r="U72" s="140">
        <v>6.0000000000000002E-6</v>
      </c>
      <c r="V72" s="140">
        <v>7.9099625894555707E-3</v>
      </c>
      <c r="W72" s="140">
        <v>3.0497001926625099E-3</v>
      </c>
    </row>
    <row r="73" spans="1:23">
      <c r="A73" s="2">
        <v>382</v>
      </c>
      <c r="B73" s="2">
        <v>7635</v>
      </c>
      <c r="C73" s="2" t="s">
        <v>1347</v>
      </c>
      <c r="D73" s="2" t="s">
        <v>1348</v>
      </c>
      <c r="E73" s="3" t="s">
        <v>184</v>
      </c>
      <c r="F73" s="2" t="s">
        <v>1455</v>
      </c>
      <c r="G73" s="2" t="s">
        <v>1456</v>
      </c>
      <c r="H73" s="2" t="s">
        <v>187</v>
      </c>
      <c r="I73" s="2" t="s">
        <v>995</v>
      </c>
      <c r="J73" s="2" t="s">
        <v>94</v>
      </c>
      <c r="K73" s="2" t="s">
        <v>268</v>
      </c>
      <c r="L73" s="2" t="s">
        <v>361</v>
      </c>
      <c r="M73" s="2" t="s">
        <v>748</v>
      </c>
      <c r="N73" s="2" t="s">
        <v>147</v>
      </c>
      <c r="O73" s="2" t="s">
        <v>1184</v>
      </c>
      <c r="P73" s="125">
        <v>330</v>
      </c>
      <c r="Q73" s="134">
        <v>2.4893000000000001</v>
      </c>
      <c r="R73" s="151">
        <v>2824</v>
      </c>
      <c r="S73" s="115"/>
      <c r="T73" s="124">
        <v>23.198</v>
      </c>
      <c r="U73" s="140">
        <v>0</v>
      </c>
      <c r="V73" s="140">
        <v>3.2398012423011501E-3</v>
      </c>
      <c r="W73" s="140">
        <v>1.2491111507916899E-3</v>
      </c>
    </row>
    <row r="74" spans="1:23">
      <c r="A74" s="2">
        <v>382</v>
      </c>
      <c r="B74" s="2">
        <v>7635</v>
      </c>
      <c r="C74" s="2" t="s">
        <v>1423</v>
      </c>
      <c r="D74" s="2" t="s">
        <v>1424</v>
      </c>
      <c r="E74" s="3" t="s">
        <v>184</v>
      </c>
      <c r="F74" s="2" t="s">
        <v>1457</v>
      </c>
      <c r="G74" s="2" t="s">
        <v>1458</v>
      </c>
      <c r="H74" s="2" t="s">
        <v>187</v>
      </c>
      <c r="I74" s="2" t="s">
        <v>997</v>
      </c>
      <c r="J74" s="2" t="s">
        <v>94</v>
      </c>
      <c r="K74" s="2" t="s">
        <v>103</v>
      </c>
      <c r="L74" s="2" t="s">
        <v>1459</v>
      </c>
      <c r="M74" s="2" t="s">
        <v>745</v>
      </c>
      <c r="N74" s="2" t="s">
        <v>147</v>
      </c>
      <c r="O74" s="2" t="s">
        <v>98</v>
      </c>
      <c r="P74" s="125">
        <v>780</v>
      </c>
      <c r="Q74" s="134">
        <v>3.718</v>
      </c>
      <c r="R74" s="151">
        <v>1086.2</v>
      </c>
      <c r="S74" s="115"/>
      <c r="T74" s="124">
        <v>31.5</v>
      </c>
      <c r="U74" s="140">
        <v>4.8000000000000001E-5</v>
      </c>
      <c r="V74" s="140">
        <v>4.3992260952368297E-3</v>
      </c>
      <c r="W74" s="140">
        <v>1.69612947197682E-3</v>
      </c>
    </row>
    <row r="75" spans="1:23">
      <c r="A75" s="2">
        <v>382</v>
      </c>
      <c r="B75" s="2">
        <v>7635</v>
      </c>
      <c r="C75" s="2" t="s">
        <v>1423</v>
      </c>
      <c r="D75" s="2" t="s">
        <v>1424</v>
      </c>
      <c r="E75" s="3" t="s">
        <v>184</v>
      </c>
      <c r="F75" s="2" t="s">
        <v>1460</v>
      </c>
      <c r="G75" s="2" t="s">
        <v>1461</v>
      </c>
      <c r="H75" s="2" t="s">
        <v>187</v>
      </c>
      <c r="I75" s="2" t="s">
        <v>995</v>
      </c>
      <c r="J75" s="2" t="s">
        <v>94</v>
      </c>
      <c r="K75" s="2" t="s">
        <v>103</v>
      </c>
      <c r="L75" s="2" t="s">
        <v>357</v>
      </c>
      <c r="M75" s="2" t="s">
        <v>748</v>
      </c>
      <c r="N75" s="2" t="s">
        <v>147</v>
      </c>
      <c r="O75" s="2" t="s">
        <v>98</v>
      </c>
      <c r="P75" s="125">
        <v>1090</v>
      </c>
      <c r="Q75" s="134">
        <v>3.718</v>
      </c>
      <c r="R75" s="151">
        <v>6576</v>
      </c>
      <c r="S75" s="115"/>
      <c r="T75" s="124">
        <v>266.5</v>
      </c>
      <c r="U75" s="140">
        <v>3.9999999999999998E-6</v>
      </c>
      <c r="V75" s="140">
        <v>3.7218612965551998E-2</v>
      </c>
      <c r="W75" s="140">
        <v>1.4349702650046E-2</v>
      </c>
    </row>
    <row r="76" spans="1:23">
      <c r="A76" s="2">
        <v>382</v>
      </c>
      <c r="B76" s="2">
        <v>7635</v>
      </c>
      <c r="C76" s="2" t="s">
        <v>1423</v>
      </c>
      <c r="D76" s="2" t="s">
        <v>1424</v>
      </c>
      <c r="E76" s="3" t="s">
        <v>184</v>
      </c>
      <c r="F76" s="2" t="s">
        <v>1464</v>
      </c>
      <c r="G76" s="2" t="s">
        <v>1465</v>
      </c>
      <c r="H76" s="2" t="s">
        <v>187</v>
      </c>
      <c r="I76" s="2" t="s">
        <v>997</v>
      </c>
      <c r="J76" s="2" t="s">
        <v>94</v>
      </c>
      <c r="K76" s="2" t="s">
        <v>103</v>
      </c>
      <c r="L76" s="2" t="s">
        <v>393</v>
      </c>
      <c r="M76" s="2" t="s">
        <v>745</v>
      </c>
      <c r="N76" s="2" t="s">
        <v>147</v>
      </c>
      <c r="O76" s="2" t="s">
        <v>98</v>
      </c>
      <c r="P76" s="125">
        <v>660</v>
      </c>
      <c r="Q76" s="134">
        <v>3.718</v>
      </c>
      <c r="R76" s="151">
        <v>2882</v>
      </c>
      <c r="S76" s="115"/>
      <c r="T76" s="124">
        <v>70.721000000000004</v>
      </c>
      <c r="U76" s="140">
        <v>3.0000000000000001E-6</v>
      </c>
      <c r="V76" s="140">
        <v>9.8766529518007698E-3</v>
      </c>
      <c r="W76" s="140">
        <v>3.80796117166475E-3</v>
      </c>
    </row>
    <row r="77" spans="1:23">
      <c r="A77" s="2">
        <v>382</v>
      </c>
      <c r="B77" s="2">
        <v>7635</v>
      </c>
      <c r="C77" s="2" t="s">
        <v>1423</v>
      </c>
      <c r="D77" s="2" t="s">
        <v>1424</v>
      </c>
      <c r="E77" s="3" t="s">
        <v>184</v>
      </c>
      <c r="F77" s="2" t="s">
        <v>1470</v>
      </c>
      <c r="G77" s="2" t="s">
        <v>1471</v>
      </c>
      <c r="H77" s="2" t="s">
        <v>187</v>
      </c>
      <c r="I77" s="2" t="s">
        <v>995</v>
      </c>
      <c r="J77" s="2" t="s">
        <v>94</v>
      </c>
      <c r="K77" s="2" t="s">
        <v>103</v>
      </c>
      <c r="L77" s="2" t="s">
        <v>393</v>
      </c>
      <c r="M77" s="2" t="s">
        <v>748</v>
      </c>
      <c r="N77" s="2" t="s">
        <v>147</v>
      </c>
      <c r="O77" s="2" t="s">
        <v>98</v>
      </c>
      <c r="P77" s="125">
        <v>110</v>
      </c>
      <c r="Q77" s="134">
        <v>3.718</v>
      </c>
      <c r="R77" s="151">
        <v>10566.25</v>
      </c>
      <c r="S77" s="115"/>
      <c r="T77" s="124">
        <v>43.213999999999999</v>
      </c>
      <c r="U77" s="140">
        <v>0</v>
      </c>
      <c r="V77" s="140">
        <v>6.0351135931046096E-3</v>
      </c>
      <c r="W77" s="140">
        <v>2.3268488162215299E-3</v>
      </c>
    </row>
    <row r="78" spans="1:23">
      <c r="A78" s="2">
        <v>382</v>
      </c>
      <c r="B78" s="2">
        <v>7635</v>
      </c>
      <c r="C78" s="2" t="s">
        <v>1472</v>
      </c>
      <c r="D78" s="2" t="s">
        <v>1473</v>
      </c>
      <c r="E78" s="3" t="s">
        <v>184</v>
      </c>
      <c r="F78" s="2" t="s">
        <v>1474</v>
      </c>
      <c r="G78" s="2" t="s">
        <v>1475</v>
      </c>
      <c r="H78" s="2" t="s">
        <v>187</v>
      </c>
      <c r="I78" s="2" t="s">
        <v>997</v>
      </c>
      <c r="J78" s="2" t="s">
        <v>94</v>
      </c>
      <c r="K78" s="2" t="s">
        <v>103</v>
      </c>
      <c r="L78" s="2" t="s">
        <v>393</v>
      </c>
      <c r="M78" s="2" t="s">
        <v>745</v>
      </c>
      <c r="N78" s="2" t="s">
        <v>147</v>
      </c>
      <c r="O78" s="2" t="s">
        <v>98</v>
      </c>
      <c r="P78" s="125">
        <v>405</v>
      </c>
      <c r="Q78" s="134">
        <v>3.718</v>
      </c>
      <c r="R78" s="151">
        <v>5803</v>
      </c>
      <c r="S78" s="115"/>
      <c r="T78" s="124">
        <v>87.381</v>
      </c>
      <c r="U78" s="140">
        <v>0</v>
      </c>
      <c r="V78" s="140">
        <v>1.2203361468843399E-2</v>
      </c>
      <c r="W78" s="140">
        <v>4.7050277927071201E-3</v>
      </c>
    </row>
    <row r="79" spans="1:23">
      <c r="A79" s="2">
        <v>382</v>
      </c>
      <c r="B79" s="2">
        <v>7635</v>
      </c>
      <c r="C79" s="2" t="s">
        <v>1472</v>
      </c>
      <c r="D79" s="2" t="s">
        <v>1473</v>
      </c>
      <c r="E79" s="3" t="s">
        <v>184</v>
      </c>
      <c r="F79" s="2" t="s">
        <v>1476</v>
      </c>
      <c r="G79" s="2" t="s">
        <v>1477</v>
      </c>
      <c r="H79" s="2" t="s">
        <v>187</v>
      </c>
      <c r="I79" s="2" t="s">
        <v>995</v>
      </c>
      <c r="J79" s="2" t="s">
        <v>94</v>
      </c>
      <c r="K79" s="2" t="s">
        <v>1478</v>
      </c>
      <c r="L79" s="2" t="s">
        <v>393</v>
      </c>
      <c r="M79" s="2" t="s">
        <v>748</v>
      </c>
      <c r="N79" s="2" t="s">
        <v>147</v>
      </c>
      <c r="O79" s="2" t="s">
        <v>98</v>
      </c>
      <c r="P79" s="125">
        <v>17</v>
      </c>
      <c r="Q79" s="134">
        <v>3.718</v>
      </c>
      <c r="R79" s="151">
        <v>6449</v>
      </c>
      <c r="S79" s="115"/>
      <c r="T79" s="124">
        <v>4.0759999999999996</v>
      </c>
      <c r="U79" s="140">
        <v>0</v>
      </c>
      <c r="V79" s="140">
        <v>5.6926329204507299E-4</v>
      </c>
      <c r="W79" s="140">
        <v>2.1948047816810801E-4</v>
      </c>
    </row>
    <row r="80" spans="1:23">
      <c r="A80" s="2">
        <v>382</v>
      </c>
      <c r="B80" s="2">
        <v>7635</v>
      </c>
      <c r="C80" s="2" t="s">
        <v>1472</v>
      </c>
      <c r="D80" s="2" t="s">
        <v>1473</v>
      </c>
      <c r="E80" s="3" t="s">
        <v>184</v>
      </c>
      <c r="F80" s="2" t="s">
        <v>1479</v>
      </c>
      <c r="G80" s="2" t="s">
        <v>1480</v>
      </c>
      <c r="H80" s="2" t="s">
        <v>187</v>
      </c>
      <c r="I80" s="2" t="s">
        <v>995</v>
      </c>
      <c r="J80" s="2" t="s">
        <v>94</v>
      </c>
      <c r="K80" s="2" t="s">
        <v>103</v>
      </c>
      <c r="L80" s="2" t="s">
        <v>357</v>
      </c>
      <c r="M80" s="2" t="s">
        <v>748</v>
      </c>
      <c r="N80" s="2" t="s">
        <v>147</v>
      </c>
      <c r="O80" s="2" t="s">
        <v>98</v>
      </c>
      <c r="P80" s="125">
        <v>163</v>
      </c>
      <c r="Q80" s="134">
        <v>3.718</v>
      </c>
      <c r="R80" s="151">
        <v>51391</v>
      </c>
      <c r="S80" s="129">
        <v>0.29499999999999998</v>
      </c>
      <c r="T80" s="124">
        <v>312.54500000000002</v>
      </c>
      <c r="U80" s="140">
        <v>0</v>
      </c>
      <c r="V80" s="140">
        <v>4.3649092280788997E-2</v>
      </c>
      <c r="W80" s="140">
        <v>1.6828985426014301E-2</v>
      </c>
    </row>
    <row r="81" spans="1:23">
      <c r="A81" s="2">
        <v>382</v>
      </c>
      <c r="B81" s="2">
        <v>9479</v>
      </c>
      <c r="C81" s="2" t="s">
        <v>1372</v>
      </c>
      <c r="D81" s="2" t="s">
        <v>1373</v>
      </c>
      <c r="E81" s="3" t="s">
        <v>1325</v>
      </c>
      <c r="F81" s="2" t="s">
        <v>1377</v>
      </c>
      <c r="G81" s="2" t="s">
        <v>1378</v>
      </c>
      <c r="H81" s="2" t="s">
        <v>187</v>
      </c>
      <c r="I81" s="2" t="s">
        <v>994</v>
      </c>
      <c r="J81" s="2" t="s">
        <v>30</v>
      </c>
      <c r="K81" s="2" t="s">
        <v>30</v>
      </c>
      <c r="L81" s="2" t="s">
        <v>47</v>
      </c>
      <c r="M81" s="2" t="s">
        <v>1355</v>
      </c>
      <c r="N81" s="2" t="s">
        <v>147</v>
      </c>
      <c r="O81" s="2" t="s">
        <v>34</v>
      </c>
      <c r="P81" s="125">
        <v>45670</v>
      </c>
      <c r="Q81" s="134">
        <v>1</v>
      </c>
      <c r="R81" s="151">
        <v>3763</v>
      </c>
      <c r="S81" s="115"/>
      <c r="T81" s="124">
        <v>1718.5619999999999</v>
      </c>
      <c r="U81" s="140">
        <v>5.3700000000000004E-4</v>
      </c>
      <c r="V81" s="140">
        <v>3.75548042187921E-2</v>
      </c>
      <c r="W81" s="140">
        <v>2.40336003346142E-2</v>
      </c>
    </row>
    <row r="82" spans="1:23">
      <c r="A82" s="2">
        <v>382</v>
      </c>
      <c r="B82" s="2">
        <v>9479</v>
      </c>
      <c r="C82" s="2" t="s">
        <v>1372</v>
      </c>
      <c r="D82" s="2" t="s">
        <v>1373</v>
      </c>
      <c r="E82" s="3" t="s">
        <v>1325</v>
      </c>
      <c r="F82" s="2" t="s">
        <v>1379</v>
      </c>
      <c r="G82" s="2" t="s">
        <v>1380</v>
      </c>
      <c r="H82" s="2" t="s">
        <v>187</v>
      </c>
      <c r="I82" s="2" t="s">
        <v>994</v>
      </c>
      <c r="J82" s="2" t="s">
        <v>30</v>
      </c>
      <c r="K82" s="2" t="s">
        <v>30</v>
      </c>
      <c r="L82" s="2" t="s">
        <v>47</v>
      </c>
      <c r="M82" s="2" t="s">
        <v>1355</v>
      </c>
      <c r="N82" s="2" t="s">
        <v>147</v>
      </c>
      <c r="O82" s="2" t="s">
        <v>34</v>
      </c>
      <c r="P82" s="125">
        <v>51500</v>
      </c>
      <c r="Q82" s="134">
        <v>1</v>
      </c>
      <c r="R82" s="151">
        <v>3593</v>
      </c>
      <c r="S82" s="115"/>
      <c r="T82" s="124">
        <v>1850.395</v>
      </c>
      <c r="U82" s="140">
        <v>8.5800000000000004E-4</v>
      </c>
      <c r="V82" s="140">
        <v>4.0435676983934299E-2</v>
      </c>
      <c r="W82" s="140">
        <v>2.5877245804017401E-2</v>
      </c>
    </row>
    <row r="83" spans="1:23">
      <c r="A83" s="2">
        <v>382</v>
      </c>
      <c r="B83" s="2">
        <v>9479</v>
      </c>
      <c r="C83" s="2" t="s">
        <v>1381</v>
      </c>
      <c r="D83" s="2" t="s">
        <v>1382</v>
      </c>
      <c r="E83" s="3" t="s">
        <v>1325</v>
      </c>
      <c r="F83" s="2" t="s">
        <v>1505</v>
      </c>
      <c r="G83" s="2" t="s">
        <v>1506</v>
      </c>
      <c r="H83" s="2" t="s">
        <v>187</v>
      </c>
      <c r="I83" s="2" t="s">
        <v>995</v>
      </c>
      <c r="J83" s="2" t="s">
        <v>30</v>
      </c>
      <c r="K83" s="2" t="s">
        <v>103</v>
      </c>
      <c r="L83" s="2" t="s">
        <v>47</v>
      </c>
      <c r="M83" s="2" t="s">
        <v>1491</v>
      </c>
      <c r="N83" s="2" t="s">
        <v>147</v>
      </c>
      <c r="O83" s="2" t="s">
        <v>34</v>
      </c>
      <c r="P83" s="125">
        <v>12000</v>
      </c>
      <c r="Q83" s="134">
        <v>1</v>
      </c>
      <c r="R83" s="151">
        <v>5366</v>
      </c>
      <c r="S83" s="115"/>
      <c r="T83" s="124">
        <v>643.91999999999996</v>
      </c>
      <c r="U83" s="140">
        <v>9.8999999999999994E-5</v>
      </c>
      <c r="V83" s="140">
        <v>1.4071234046511699E-2</v>
      </c>
      <c r="W83" s="140">
        <v>9.0050373666827298E-3</v>
      </c>
    </row>
    <row r="84" spans="1:23">
      <c r="A84" s="2">
        <v>382</v>
      </c>
      <c r="B84" s="2">
        <v>9479</v>
      </c>
      <c r="C84" s="2" t="s">
        <v>1381</v>
      </c>
      <c r="D84" s="2" t="s">
        <v>1382</v>
      </c>
      <c r="E84" s="3" t="s">
        <v>1325</v>
      </c>
      <c r="F84" s="2" t="s">
        <v>1383</v>
      </c>
      <c r="G84" s="2" t="s">
        <v>1384</v>
      </c>
      <c r="H84" s="2" t="s">
        <v>187</v>
      </c>
      <c r="I84" s="2" t="s">
        <v>994</v>
      </c>
      <c r="J84" s="2" t="s">
        <v>30</v>
      </c>
      <c r="K84" s="2" t="s">
        <v>30</v>
      </c>
      <c r="L84" s="2" t="s">
        <v>47</v>
      </c>
      <c r="M84" s="2" t="s">
        <v>1355</v>
      </c>
      <c r="N84" s="2" t="s">
        <v>147</v>
      </c>
      <c r="O84" s="2" t="s">
        <v>34</v>
      </c>
      <c r="P84" s="125">
        <v>87520</v>
      </c>
      <c r="Q84" s="134">
        <v>1</v>
      </c>
      <c r="R84" s="151">
        <v>2395</v>
      </c>
      <c r="S84" s="115"/>
      <c r="T84" s="124">
        <v>2096.1039999999998</v>
      </c>
      <c r="U84" s="140">
        <v>3.5E-4</v>
      </c>
      <c r="V84" s="140">
        <v>4.5805022316171798E-2</v>
      </c>
      <c r="W84" s="140">
        <v>2.93134160213274E-2</v>
      </c>
    </row>
    <row r="85" spans="1:23">
      <c r="A85" s="2">
        <v>382</v>
      </c>
      <c r="B85" s="2">
        <v>9479</v>
      </c>
      <c r="C85" s="2" t="s">
        <v>1381</v>
      </c>
      <c r="D85" s="2" t="s">
        <v>1382</v>
      </c>
      <c r="E85" s="3" t="s">
        <v>1325</v>
      </c>
      <c r="F85" s="2" t="s">
        <v>1388</v>
      </c>
      <c r="G85" s="2" t="s">
        <v>1389</v>
      </c>
      <c r="H85" s="2" t="s">
        <v>187</v>
      </c>
      <c r="I85" s="2" t="s">
        <v>994</v>
      </c>
      <c r="J85" s="2" t="s">
        <v>30</v>
      </c>
      <c r="K85" s="2" t="s">
        <v>30</v>
      </c>
      <c r="L85" s="2" t="s">
        <v>47</v>
      </c>
      <c r="M85" s="2" t="s">
        <v>1355</v>
      </c>
      <c r="N85" s="2" t="s">
        <v>147</v>
      </c>
      <c r="O85" s="2" t="s">
        <v>34</v>
      </c>
      <c r="P85" s="125">
        <v>91100</v>
      </c>
      <c r="Q85" s="134">
        <v>1</v>
      </c>
      <c r="R85" s="151">
        <v>2397</v>
      </c>
      <c r="S85" s="115"/>
      <c r="T85" s="124">
        <v>2183.6669999999999</v>
      </c>
      <c r="U85" s="140">
        <v>4.4099999999999999E-4</v>
      </c>
      <c r="V85" s="140">
        <v>4.7718488999633497E-2</v>
      </c>
      <c r="W85" s="140">
        <v>3.0537959577885399E-2</v>
      </c>
    </row>
    <row r="86" spans="1:23">
      <c r="A86" s="2">
        <v>382</v>
      </c>
      <c r="B86" s="2">
        <v>9479</v>
      </c>
      <c r="C86" s="2" t="s">
        <v>1390</v>
      </c>
      <c r="D86" s="2" t="s">
        <v>1391</v>
      </c>
      <c r="E86" s="3" t="s">
        <v>1325</v>
      </c>
      <c r="F86" s="2" t="s">
        <v>1392</v>
      </c>
      <c r="G86" s="2" t="s">
        <v>1393</v>
      </c>
      <c r="H86" s="2" t="s">
        <v>187</v>
      </c>
      <c r="I86" s="2" t="s">
        <v>994</v>
      </c>
      <c r="J86" s="2" t="s">
        <v>30</v>
      </c>
      <c r="K86" s="2" t="s">
        <v>30</v>
      </c>
      <c r="L86" s="2" t="s">
        <v>47</v>
      </c>
      <c r="M86" s="2" t="s">
        <v>1355</v>
      </c>
      <c r="N86" s="2" t="s">
        <v>147</v>
      </c>
      <c r="O86" s="2" t="s">
        <v>34</v>
      </c>
      <c r="P86" s="125">
        <v>14200</v>
      </c>
      <c r="Q86" s="134">
        <v>1</v>
      </c>
      <c r="R86" s="151">
        <v>6632</v>
      </c>
      <c r="S86" s="115"/>
      <c r="T86" s="124">
        <v>941.74400000000003</v>
      </c>
      <c r="U86" s="140">
        <v>1.1360000000000001E-3</v>
      </c>
      <c r="V86" s="140">
        <v>2.0579420170049201E-2</v>
      </c>
      <c r="W86" s="140">
        <v>1.31700209806331E-2</v>
      </c>
    </row>
    <row r="87" spans="1:23">
      <c r="A87" s="2">
        <v>382</v>
      </c>
      <c r="B87" s="2">
        <v>9479</v>
      </c>
      <c r="C87" s="2" t="s">
        <v>1390</v>
      </c>
      <c r="D87" s="2" t="s">
        <v>1391</v>
      </c>
      <c r="E87" s="3" t="s">
        <v>1325</v>
      </c>
      <c r="F87" s="2" t="s">
        <v>1507</v>
      </c>
      <c r="G87" s="2" t="s">
        <v>1508</v>
      </c>
      <c r="H87" s="2" t="s">
        <v>187</v>
      </c>
      <c r="I87" s="2" t="s">
        <v>995</v>
      </c>
      <c r="J87" s="2" t="s">
        <v>30</v>
      </c>
      <c r="K87" s="2" t="s">
        <v>103</v>
      </c>
      <c r="L87" s="2" t="s">
        <v>47</v>
      </c>
      <c r="M87" s="2" t="s">
        <v>1491</v>
      </c>
      <c r="N87" s="2" t="s">
        <v>147</v>
      </c>
      <c r="O87" s="2" t="s">
        <v>34</v>
      </c>
      <c r="P87" s="125">
        <v>22300</v>
      </c>
      <c r="Q87" s="134">
        <v>1</v>
      </c>
      <c r="R87" s="151">
        <v>8917</v>
      </c>
      <c r="S87" s="115"/>
      <c r="T87" s="124">
        <v>1988.491</v>
      </c>
      <c r="U87" s="140">
        <v>1.6770000000000001E-3</v>
      </c>
      <c r="V87" s="140">
        <v>4.3453413871881702E-2</v>
      </c>
      <c r="W87" s="140">
        <v>2.7808478938862499E-2</v>
      </c>
    </row>
    <row r="88" spans="1:23">
      <c r="A88" s="2">
        <v>382</v>
      </c>
      <c r="B88" s="2">
        <v>9479</v>
      </c>
      <c r="C88" s="2" t="s">
        <v>1394</v>
      </c>
      <c r="D88" s="2" t="s">
        <v>1395</v>
      </c>
      <c r="E88" s="3" t="s">
        <v>1325</v>
      </c>
      <c r="F88" s="2" t="s">
        <v>1489</v>
      </c>
      <c r="G88" s="2" t="s">
        <v>1490</v>
      </c>
      <c r="H88" s="2" t="s">
        <v>187</v>
      </c>
      <c r="I88" s="2" t="s">
        <v>995</v>
      </c>
      <c r="J88" s="2" t="s">
        <v>30</v>
      </c>
      <c r="K88" s="2" t="s">
        <v>103</v>
      </c>
      <c r="L88" s="2" t="s">
        <v>47</v>
      </c>
      <c r="M88" s="2" t="s">
        <v>1491</v>
      </c>
      <c r="N88" s="2" t="s">
        <v>147</v>
      </c>
      <c r="O88" s="2" t="s">
        <v>34</v>
      </c>
      <c r="P88" s="125">
        <v>38300</v>
      </c>
      <c r="Q88" s="134">
        <v>1</v>
      </c>
      <c r="R88" s="151">
        <v>5283</v>
      </c>
      <c r="S88" s="115"/>
      <c r="T88" s="124">
        <v>2023.3889999999999</v>
      </c>
      <c r="U88" s="140">
        <v>5.5000000000000003E-4</v>
      </c>
      <c r="V88" s="140">
        <v>4.4216020912748802E-2</v>
      </c>
      <c r="W88" s="140">
        <v>2.82965175058001E-2</v>
      </c>
    </row>
    <row r="89" spans="1:23">
      <c r="A89" s="2">
        <v>382</v>
      </c>
      <c r="B89" s="2">
        <v>9479</v>
      </c>
      <c r="C89" s="2" t="s">
        <v>1394</v>
      </c>
      <c r="D89" s="2" t="s">
        <v>1395</v>
      </c>
      <c r="E89" s="3" t="s">
        <v>1325</v>
      </c>
      <c r="F89" s="2" t="s">
        <v>1398</v>
      </c>
      <c r="G89" s="2" t="s">
        <v>1399</v>
      </c>
      <c r="H89" s="2" t="s">
        <v>187</v>
      </c>
      <c r="I89" s="2" t="s">
        <v>995</v>
      </c>
      <c r="J89" s="2" t="s">
        <v>30</v>
      </c>
      <c r="K89" s="2" t="s">
        <v>103</v>
      </c>
      <c r="L89" s="2" t="s">
        <v>47</v>
      </c>
      <c r="M89" s="2" t="s">
        <v>1376</v>
      </c>
      <c r="N89" s="2" t="s">
        <v>147</v>
      </c>
      <c r="O89" s="2" t="s">
        <v>34</v>
      </c>
      <c r="P89" s="125">
        <v>10400</v>
      </c>
      <c r="Q89" s="134">
        <v>1</v>
      </c>
      <c r="R89" s="151">
        <v>22550</v>
      </c>
      <c r="S89" s="115"/>
      <c r="T89" s="124">
        <v>2345.1999999999998</v>
      </c>
      <c r="U89" s="140">
        <v>3.5399999999999999E-4</v>
      </c>
      <c r="V89" s="140">
        <v>5.12483819199267E-2</v>
      </c>
      <c r="W89" s="140">
        <v>3.2796952466679602E-2</v>
      </c>
    </row>
    <row r="90" spans="1:23">
      <c r="A90" s="2">
        <v>382</v>
      </c>
      <c r="B90" s="2">
        <v>9479</v>
      </c>
      <c r="C90" s="2" t="s">
        <v>1394</v>
      </c>
      <c r="D90" s="2" t="s">
        <v>1395</v>
      </c>
      <c r="E90" s="3" t="s">
        <v>1325</v>
      </c>
      <c r="F90" s="2" t="s">
        <v>1400</v>
      </c>
      <c r="G90" s="2" t="s">
        <v>1401</v>
      </c>
      <c r="H90" s="2" t="s">
        <v>187</v>
      </c>
      <c r="I90" s="2" t="s">
        <v>994</v>
      </c>
      <c r="J90" s="2" t="s">
        <v>30</v>
      </c>
      <c r="K90" s="2" t="s">
        <v>30</v>
      </c>
      <c r="L90" s="2" t="s">
        <v>47</v>
      </c>
      <c r="M90" s="2" t="s">
        <v>1355</v>
      </c>
      <c r="N90" s="2" t="s">
        <v>147</v>
      </c>
      <c r="O90" s="2" t="s">
        <v>34</v>
      </c>
      <c r="P90" s="125">
        <v>3224</v>
      </c>
      <c r="Q90" s="134">
        <v>1</v>
      </c>
      <c r="R90" s="151">
        <v>23890</v>
      </c>
      <c r="S90" s="115"/>
      <c r="T90" s="124">
        <v>770.21400000000006</v>
      </c>
      <c r="U90" s="140">
        <v>9.1000000000000003E-5</v>
      </c>
      <c r="V90" s="140">
        <v>1.6831059497152301E-2</v>
      </c>
      <c r="W90" s="140">
        <v>1.0771217307005899E-2</v>
      </c>
    </row>
    <row r="91" spans="1:23">
      <c r="A91" s="2">
        <v>382</v>
      </c>
      <c r="B91" s="2">
        <v>9479</v>
      </c>
      <c r="C91" s="2" t="s">
        <v>1394</v>
      </c>
      <c r="D91" s="2" t="s">
        <v>1395</v>
      </c>
      <c r="E91" s="3" t="s">
        <v>1325</v>
      </c>
      <c r="F91" s="2" t="s">
        <v>1402</v>
      </c>
      <c r="G91" s="2" t="s">
        <v>1403</v>
      </c>
      <c r="H91" s="2" t="s">
        <v>187</v>
      </c>
      <c r="I91" s="2" t="s">
        <v>994</v>
      </c>
      <c r="J91" s="2" t="s">
        <v>30</v>
      </c>
      <c r="K91" s="2" t="s">
        <v>30</v>
      </c>
      <c r="L91" s="2" t="s">
        <v>47</v>
      </c>
      <c r="M91" s="2" t="s">
        <v>1355</v>
      </c>
      <c r="N91" s="2" t="s">
        <v>147</v>
      </c>
      <c r="O91" s="2" t="s">
        <v>34</v>
      </c>
      <c r="P91" s="125">
        <v>2928</v>
      </c>
      <c r="Q91" s="134">
        <v>1</v>
      </c>
      <c r="R91" s="151">
        <v>22890</v>
      </c>
      <c r="S91" s="115"/>
      <c r="T91" s="124">
        <v>670.21900000000005</v>
      </c>
      <c r="U91" s="140">
        <v>9.7E-5</v>
      </c>
      <c r="V91" s="140">
        <v>1.4645936180994299E-2</v>
      </c>
      <c r="W91" s="140">
        <v>9.3728241704997602E-3</v>
      </c>
    </row>
    <row r="92" spans="1:23">
      <c r="A92" s="2">
        <v>382</v>
      </c>
      <c r="B92" s="2">
        <v>9479</v>
      </c>
      <c r="C92" s="2" t="s">
        <v>1394</v>
      </c>
      <c r="D92" s="2" t="s">
        <v>1395</v>
      </c>
      <c r="E92" s="3" t="s">
        <v>1325</v>
      </c>
      <c r="F92" s="2" t="s">
        <v>1404</v>
      </c>
      <c r="G92" s="2" t="s">
        <v>1405</v>
      </c>
      <c r="H92" s="2" t="s">
        <v>187</v>
      </c>
      <c r="I92" s="2" t="s">
        <v>994</v>
      </c>
      <c r="J92" s="2" t="s">
        <v>30</v>
      </c>
      <c r="K92" s="2" t="s">
        <v>30</v>
      </c>
      <c r="L92" s="2" t="s">
        <v>47</v>
      </c>
      <c r="M92" s="2" t="s">
        <v>1355</v>
      </c>
      <c r="N92" s="2" t="s">
        <v>147</v>
      </c>
      <c r="O92" s="2" t="s">
        <v>34</v>
      </c>
      <c r="P92" s="125">
        <v>8680</v>
      </c>
      <c r="Q92" s="134">
        <v>1</v>
      </c>
      <c r="R92" s="151">
        <v>9440</v>
      </c>
      <c r="S92" s="115"/>
      <c r="T92" s="124">
        <v>819.39200000000005</v>
      </c>
      <c r="U92" s="140">
        <v>9.4799999999999995E-4</v>
      </c>
      <c r="V92" s="140">
        <v>1.7905728363522298E-2</v>
      </c>
      <c r="W92" s="140">
        <v>1.1458963191018899E-2</v>
      </c>
    </row>
    <row r="93" spans="1:23">
      <c r="A93" s="2">
        <v>382</v>
      </c>
      <c r="B93" s="2">
        <v>9479</v>
      </c>
      <c r="C93" s="2" t="s">
        <v>1406</v>
      </c>
      <c r="D93" s="2" t="s">
        <v>1407</v>
      </c>
      <c r="E93" s="3" t="s">
        <v>1325</v>
      </c>
      <c r="F93" s="2" t="s">
        <v>1408</v>
      </c>
      <c r="G93" s="2" t="s">
        <v>1409</v>
      </c>
      <c r="H93" s="2" t="s">
        <v>187</v>
      </c>
      <c r="I93" s="2" t="s">
        <v>994</v>
      </c>
      <c r="J93" s="2" t="s">
        <v>30</v>
      </c>
      <c r="K93" s="2" t="s">
        <v>30</v>
      </c>
      <c r="L93" s="2" t="s">
        <v>47</v>
      </c>
      <c r="M93" s="2" t="s">
        <v>1355</v>
      </c>
      <c r="N93" s="2" t="s">
        <v>147</v>
      </c>
      <c r="O93" s="2" t="s">
        <v>34</v>
      </c>
      <c r="P93" s="125">
        <v>28418</v>
      </c>
      <c r="Q93" s="134">
        <v>1</v>
      </c>
      <c r="R93" s="151">
        <v>2376</v>
      </c>
      <c r="S93" s="115"/>
      <c r="T93" s="124">
        <v>675.21199999999999</v>
      </c>
      <c r="U93" s="140">
        <v>6.9999999999999994E-5</v>
      </c>
      <c r="V93" s="140">
        <v>1.47550341350142E-2</v>
      </c>
      <c r="W93" s="140">
        <v>9.4426425779920199E-3</v>
      </c>
    </row>
    <row r="94" spans="1:23">
      <c r="A94" s="2">
        <v>382</v>
      </c>
      <c r="B94" s="2">
        <v>9479</v>
      </c>
      <c r="C94" s="2" t="s">
        <v>1406</v>
      </c>
      <c r="D94" s="2" t="s">
        <v>1407</v>
      </c>
      <c r="E94" s="3" t="s">
        <v>1325</v>
      </c>
      <c r="F94" s="2" t="s">
        <v>1496</v>
      </c>
      <c r="G94" s="2" t="s">
        <v>1497</v>
      </c>
      <c r="H94" s="2" t="s">
        <v>187</v>
      </c>
      <c r="I94" s="2" t="s">
        <v>994</v>
      </c>
      <c r="J94" s="2" t="s">
        <v>30</v>
      </c>
      <c r="K94" s="2" t="s">
        <v>30</v>
      </c>
      <c r="L94" s="2" t="s">
        <v>47</v>
      </c>
      <c r="M94" s="2" t="s">
        <v>1355</v>
      </c>
      <c r="N94" s="2" t="s">
        <v>147</v>
      </c>
      <c r="O94" s="2" t="s">
        <v>34</v>
      </c>
      <c r="P94" s="125">
        <v>129500</v>
      </c>
      <c r="Q94" s="134">
        <v>1</v>
      </c>
      <c r="R94" s="151">
        <v>2403</v>
      </c>
      <c r="S94" s="115"/>
      <c r="T94" s="124">
        <v>3111.8850000000002</v>
      </c>
      <c r="U94" s="140">
        <v>2.9500000000000001E-4</v>
      </c>
      <c r="V94" s="140">
        <v>6.8002332837664603E-2</v>
      </c>
      <c r="W94" s="140">
        <v>4.3518823310068802E-2</v>
      </c>
    </row>
    <row r="95" spans="1:23">
      <c r="A95" s="2">
        <v>382</v>
      </c>
      <c r="B95" s="2">
        <v>9479</v>
      </c>
      <c r="C95" s="2" t="s">
        <v>1410</v>
      </c>
      <c r="D95" s="2" t="s">
        <v>1411</v>
      </c>
      <c r="E95" s="3" t="s">
        <v>184</v>
      </c>
      <c r="F95" s="2" t="s">
        <v>1412</v>
      </c>
      <c r="G95" s="2" t="s">
        <v>1413</v>
      </c>
      <c r="H95" s="2" t="s">
        <v>187</v>
      </c>
      <c r="I95" s="2" t="s">
        <v>995</v>
      </c>
      <c r="J95" s="2" t="s">
        <v>94</v>
      </c>
      <c r="K95" s="2" t="s">
        <v>103</v>
      </c>
      <c r="L95" s="2" t="s">
        <v>1414</v>
      </c>
      <c r="M95" s="2" t="s">
        <v>748</v>
      </c>
      <c r="N95" s="2" t="s">
        <v>147</v>
      </c>
      <c r="O95" s="2" t="s">
        <v>1183</v>
      </c>
      <c r="P95" s="125">
        <v>850</v>
      </c>
      <c r="Q95" s="134">
        <v>4.0218999999999996</v>
      </c>
      <c r="R95" s="151">
        <v>20345</v>
      </c>
      <c r="S95" s="115"/>
      <c r="T95" s="124">
        <v>695.51700000000005</v>
      </c>
      <c r="U95" s="140">
        <v>0</v>
      </c>
      <c r="V95" s="140">
        <v>1.5198760110920299E-2</v>
      </c>
      <c r="W95" s="140">
        <v>9.72660978231785E-3</v>
      </c>
    </row>
    <row r="96" spans="1:23">
      <c r="A96" s="2">
        <v>382</v>
      </c>
      <c r="B96" s="2">
        <v>9479</v>
      </c>
      <c r="C96" s="2" t="s">
        <v>1415</v>
      </c>
      <c r="D96" s="2" t="s">
        <v>1416</v>
      </c>
      <c r="E96" s="3" t="s">
        <v>184</v>
      </c>
      <c r="F96" s="2" t="s">
        <v>1417</v>
      </c>
      <c r="G96" s="2" t="s">
        <v>1418</v>
      </c>
      <c r="H96" s="2" t="s">
        <v>187</v>
      </c>
      <c r="I96" s="2" t="s">
        <v>995</v>
      </c>
      <c r="J96" s="2" t="s">
        <v>94</v>
      </c>
      <c r="K96" s="2" t="s">
        <v>103</v>
      </c>
      <c r="L96" s="2" t="s">
        <v>377</v>
      </c>
      <c r="M96" s="2" t="s">
        <v>748</v>
      </c>
      <c r="N96" s="2" t="s">
        <v>147</v>
      </c>
      <c r="O96" s="2" t="s">
        <v>98</v>
      </c>
      <c r="P96" s="125">
        <v>6934</v>
      </c>
      <c r="Q96" s="134">
        <v>3.718</v>
      </c>
      <c r="R96" s="151">
        <v>10928.02</v>
      </c>
      <c r="S96" s="115"/>
      <c r="T96" s="124">
        <v>2817.31</v>
      </c>
      <c r="U96" s="140">
        <v>1.4899999999999999E-4</v>
      </c>
      <c r="V96" s="140">
        <v>6.1565154862952803E-2</v>
      </c>
      <c r="W96" s="140">
        <v>3.9399282123655399E-2</v>
      </c>
    </row>
    <row r="97" spans="1:23">
      <c r="A97" s="2">
        <v>382</v>
      </c>
      <c r="B97" s="2">
        <v>9479</v>
      </c>
      <c r="C97" s="2" t="s">
        <v>1419</v>
      </c>
      <c r="D97" s="2" t="s">
        <v>1420</v>
      </c>
      <c r="E97" s="3" t="s">
        <v>184</v>
      </c>
      <c r="F97" s="2" t="s">
        <v>1421</v>
      </c>
      <c r="G97" s="2" t="s">
        <v>1422</v>
      </c>
      <c r="H97" s="2" t="s">
        <v>187</v>
      </c>
      <c r="I97" s="2" t="s">
        <v>995</v>
      </c>
      <c r="J97" s="2" t="s">
        <v>94</v>
      </c>
      <c r="K97" s="2" t="s">
        <v>103</v>
      </c>
      <c r="L97" s="2" t="s">
        <v>357</v>
      </c>
      <c r="M97" s="2" t="s">
        <v>748</v>
      </c>
      <c r="N97" s="2" t="s">
        <v>147</v>
      </c>
      <c r="O97" s="2" t="s">
        <v>98</v>
      </c>
      <c r="P97" s="125">
        <v>450</v>
      </c>
      <c r="Q97" s="134">
        <v>3.718</v>
      </c>
      <c r="R97" s="151">
        <v>19949</v>
      </c>
      <c r="S97" s="115"/>
      <c r="T97" s="124">
        <v>333.767</v>
      </c>
      <c r="U97" s="140">
        <v>1.9999999999999999E-6</v>
      </c>
      <c r="V97" s="140">
        <v>7.2936228413239199E-3</v>
      </c>
      <c r="W97" s="140">
        <v>4.6676322778452196E-3</v>
      </c>
    </row>
    <row r="98" spans="1:23">
      <c r="A98" s="2">
        <v>382</v>
      </c>
      <c r="B98" s="2">
        <v>9479</v>
      </c>
      <c r="C98" s="2" t="s">
        <v>1423</v>
      </c>
      <c r="D98" s="2" t="s">
        <v>1424</v>
      </c>
      <c r="E98" s="3" t="s">
        <v>184</v>
      </c>
      <c r="F98" s="2" t="s">
        <v>1425</v>
      </c>
      <c r="G98" s="2" t="s">
        <v>1426</v>
      </c>
      <c r="H98" s="2" t="s">
        <v>187</v>
      </c>
      <c r="I98" s="2" t="s">
        <v>995</v>
      </c>
      <c r="J98" s="2" t="s">
        <v>94</v>
      </c>
      <c r="K98" s="2" t="s">
        <v>103</v>
      </c>
      <c r="L98" s="2" t="s">
        <v>357</v>
      </c>
      <c r="M98" s="2" t="s">
        <v>748</v>
      </c>
      <c r="N98" s="2" t="s">
        <v>147</v>
      </c>
      <c r="O98" s="2" t="s">
        <v>98</v>
      </c>
      <c r="P98" s="125">
        <v>1990</v>
      </c>
      <c r="Q98" s="134">
        <v>3.718</v>
      </c>
      <c r="R98" s="151">
        <v>4981</v>
      </c>
      <c r="S98" s="129">
        <v>0</v>
      </c>
      <c r="T98" s="124">
        <v>368.53500000000003</v>
      </c>
      <c r="U98" s="140">
        <v>1.9999999999999999E-6</v>
      </c>
      <c r="V98" s="140">
        <v>8.0533992901810399E-3</v>
      </c>
      <c r="W98" s="140">
        <v>5.1538593770227804E-3</v>
      </c>
    </row>
    <row r="99" spans="1:23">
      <c r="A99" s="2">
        <v>382</v>
      </c>
      <c r="B99" s="2">
        <v>9479</v>
      </c>
      <c r="C99" s="2" t="s">
        <v>1509</v>
      </c>
      <c r="D99" s="2" t="s">
        <v>1510</v>
      </c>
      <c r="E99" s="3" t="s">
        <v>184</v>
      </c>
      <c r="F99" s="2" t="s">
        <v>1511</v>
      </c>
      <c r="G99" s="2" t="s">
        <v>1512</v>
      </c>
      <c r="H99" s="2" t="s">
        <v>187</v>
      </c>
      <c r="I99" s="2" t="s">
        <v>995</v>
      </c>
      <c r="J99" s="2" t="s">
        <v>94</v>
      </c>
      <c r="K99" s="2" t="s">
        <v>313</v>
      </c>
      <c r="L99" s="2" t="s">
        <v>359</v>
      </c>
      <c r="M99" s="2" t="s">
        <v>748</v>
      </c>
      <c r="N99" s="2" t="s">
        <v>147</v>
      </c>
      <c r="O99" s="2" t="s">
        <v>98</v>
      </c>
      <c r="P99" s="125">
        <v>1120</v>
      </c>
      <c r="Q99" s="134">
        <v>3.718</v>
      </c>
      <c r="R99" s="151">
        <v>3234</v>
      </c>
      <c r="S99" s="115"/>
      <c r="T99" s="124">
        <v>134.66900000000001</v>
      </c>
      <c r="U99" s="140">
        <v>2.5999999999999998E-5</v>
      </c>
      <c r="V99" s="140">
        <v>2.9428470846327602E-3</v>
      </c>
      <c r="W99" s="140">
        <v>1.88330660082517E-3</v>
      </c>
    </row>
    <row r="100" spans="1:23">
      <c r="A100" s="2">
        <v>382</v>
      </c>
      <c r="B100" s="2">
        <v>9479</v>
      </c>
      <c r="C100" s="2" t="s">
        <v>1368</v>
      </c>
      <c r="D100" s="2" t="s">
        <v>1369</v>
      </c>
      <c r="E100" s="3" t="s">
        <v>184</v>
      </c>
      <c r="F100" s="2" t="s">
        <v>1500</v>
      </c>
      <c r="G100" s="2" t="s">
        <v>1501</v>
      </c>
      <c r="H100" s="2" t="s">
        <v>187</v>
      </c>
      <c r="I100" s="2" t="s">
        <v>995</v>
      </c>
      <c r="J100" s="2" t="s">
        <v>94</v>
      </c>
      <c r="K100" s="2" t="s">
        <v>103</v>
      </c>
      <c r="L100" s="2" t="s">
        <v>359</v>
      </c>
      <c r="M100" s="2" t="s">
        <v>748</v>
      </c>
      <c r="N100" s="2" t="s">
        <v>147</v>
      </c>
      <c r="O100" s="2" t="s">
        <v>98</v>
      </c>
      <c r="P100" s="125">
        <v>484</v>
      </c>
      <c r="Q100" s="134">
        <v>3.718</v>
      </c>
      <c r="R100" s="151">
        <v>46892</v>
      </c>
      <c r="S100" s="129">
        <v>0.25800000000000001</v>
      </c>
      <c r="T100" s="124">
        <v>844.78700000000003</v>
      </c>
      <c r="U100" s="140">
        <v>9.9999999999999995E-7</v>
      </c>
      <c r="V100" s="140">
        <v>1.8460673260791899E-2</v>
      </c>
      <c r="W100" s="140">
        <v>1.18141061386697E-2</v>
      </c>
    </row>
    <row r="101" spans="1:23">
      <c r="A101" s="2">
        <v>382</v>
      </c>
      <c r="B101" s="2">
        <v>9479</v>
      </c>
      <c r="C101" s="2" t="s">
        <v>1368</v>
      </c>
      <c r="D101" s="2" t="s">
        <v>1369</v>
      </c>
      <c r="E101" s="3" t="s">
        <v>184</v>
      </c>
      <c r="F101" s="2" t="s">
        <v>1432</v>
      </c>
      <c r="G101" s="2" t="s">
        <v>1433</v>
      </c>
      <c r="H101" s="2" t="s">
        <v>187</v>
      </c>
      <c r="I101" s="2" t="s">
        <v>995</v>
      </c>
      <c r="J101" s="2" t="s">
        <v>94</v>
      </c>
      <c r="K101" s="2" t="s">
        <v>103</v>
      </c>
      <c r="L101" s="2" t="s">
        <v>393</v>
      </c>
      <c r="M101" s="2" t="s">
        <v>748</v>
      </c>
      <c r="N101" s="2" t="s">
        <v>147</v>
      </c>
      <c r="O101" s="2" t="s">
        <v>98</v>
      </c>
      <c r="P101" s="125">
        <v>910</v>
      </c>
      <c r="Q101" s="134">
        <v>3.718</v>
      </c>
      <c r="R101" s="151">
        <v>109783</v>
      </c>
      <c r="S101" s="115"/>
      <c r="T101" s="124">
        <v>3714.3760000000002</v>
      </c>
      <c r="U101" s="140">
        <v>4.1999999999999998E-5</v>
      </c>
      <c r="V101" s="140">
        <v>8.1168242876451399E-2</v>
      </c>
      <c r="W101" s="140">
        <v>5.1944488853955403E-2</v>
      </c>
    </row>
    <row r="102" spans="1:23">
      <c r="A102" s="2">
        <v>382</v>
      </c>
      <c r="B102" s="2">
        <v>9479</v>
      </c>
      <c r="C102" s="2" t="s">
        <v>1419</v>
      </c>
      <c r="D102" s="2" t="s">
        <v>1420</v>
      </c>
      <c r="E102" s="3" t="s">
        <v>184</v>
      </c>
      <c r="F102" s="2" t="s">
        <v>1436</v>
      </c>
      <c r="G102" s="2" t="s">
        <v>1437</v>
      </c>
      <c r="H102" s="2" t="s">
        <v>187</v>
      </c>
      <c r="I102" s="2" t="s">
        <v>995</v>
      </c>
      <c r="J102" s="2" t="s">
        <v>94</v>
      </c>
      <c r="K102" s="2" t="s">
        <v>310</v>
      </c>
      <c r="L102" s="2" t="s">
        <v>381</v>
      </c>
      <c r="M102" s="2" t="s">
        <v>748</v>
      </c>
      <c r="N102" s="2" t="s">
        <v>147</v>
      </c>
      <c r="O102" s="2" t="s">
        <v>1183</v>
      </c>
      <c r="P102" s="125">
        <v>10900</v>
      </c>
      <c r="Q102" s="134">
        <v>4.0218999999999996</v>
      </c>
      <c r="R102" s="151">
        <v>5318</v>
      </c>
      <c r="S102" s="115"/>
      <c r="T102" s="124">
        <v>2331.3429999999998</v>
      </c>
      <c r="U102" s="140">
        <v>7.7000000000000001E-5</v>
      </c>
      <c r="V102" s="140">
        <v>5.0945563635616697E-2</v>
      </c>
      <c r="W102" s="140">
        <v>3.2603160653075197E-2</v>
      </c>
    </row>
    <row r="103" spans="1:23">
      <c r="A103" s="2">
        <v>382</v>
      </c>
      <c r="B103" s="2">
        <v>9479</v>
      </c>
      <c r="C103" s="2" t="s">
        <v>1419</v>
      </c>
      <c r="D103" s="2" t="s">
        <v>1420</v>
      </c>
      <c r="E103" s="3" t="s">
        <v>184</v>
      </c>
      <c r="F103" s="2" t="s">
        <v>1438</v>
      </c>
      <c r="G103" s="2" t="s">
        <v>1439</v>
      </c>
      <c r="H103" s="2" t="s">
        <v>187</v>
      </c>
      <c r="I103" s="2" t="s">
        <v>995</v>
      </c>
      <c r="J103" s="2" t="s">
        <v>94</v>
      </c>
      <c r="K103" s="2" t="s">
        <v>103</v>
      </c>
      <c r="L103" s="2" t="s">
        <v>1440</v>
      </c>
      <c r="M103" s="2" t="s">
        <v>748</v>
      </c>
      <c r="N103" s="2" t="s">
        <v>147</v>
      </c>
      <c r="O103" s="2" t="s">
        <v>98</v>
      </c>
      <c r="P103" s="125">
        <v>23590</v>
      </c>
      <c r="Q103" s="134">
        <v>3.718</v>
      </c>
      <c r="R103" s="151">
        <v>601.75</v>
      </c>
      <c r="S103" s="115"/>
      <c r="T103" s="124">
        <v>527.78099999999995</v>
      </c>
      <c r="U103" s="140">
        <v>0</v>
      </c>
      <c r="V103" s="140">
        <v>1.15333028869223E-2</v>
      </c>
      <c r="W103" s="140">
        <v>7.38086106127641E-3</v>
      </c>
    </row>
    <row r="104" spans="1:23">
      <c r="A104" s="2">
        <v>382</v>
      </c>
      <c r="B104" s="2">
        <v>9479</v>
      </c>
      <c r="C104" s="2" t="s">
        <v>1419</v>
      </c>
      <c r="D104" s="2" t="s">
        <v>1420</v>
      </c>
      <c r="E104" s="3" t="s">
        <v>184</v>
      </c>
      <c r="F104" s="2" t="s">
        <v>1441</v>
      </c>
      <c r="G104" s="2" t="s">
        <v>1442</v>
      </c>
      <c r="H104" s="2" t="s">
        <v>187</v>
      </c>
      <c r="I104" s="2" t="s">
        <v>995</v>
      </c>
      <c r="J104" s="2" t="s">
        <v>94</v>
      </c>
      <c r="K104" s="2" t="s">
        <v>103</v>
      </c>
      <c r="L104" s="2" t="s">
        <v>1443</v>
      </c>
      <c r="M104" s="2" t="s">
        <v>748</v>
      </c>
      <c r="N104" s="2" t="s">
        <v>147</v>
      </c>
      <c r="O104" s="2" t="s">
        <v>98</v>
      </c>
      <c r="P104" s="125">
        <v>13370</v>
      </c>
      <c r="Q104" s="134">
        <v>3.718</v>
      </c>
      <c r="R104" s="151">
        <v>1088.8340000000001</v>
      </c>
      <c r="S104" s="115"/>
      <c r="T104" s="124">
        <v>541.25599999999997</v>
      </c>
      <c r="U104" s="140">
        <v>4.08E-4</v>
      </c>
      <c r="V104" s="140">
        <v>1.1827771836131E-2</v>
      </c>
      <c r="W104" s="140">
        <v>7.5693096282028801E-3</v>
      </c>
    </row>
    <row r="105" spans="1:23">
      <c r="A105" s="2">
        <v>382</v>
      </c>
      <c r="B105" s="2">
        <v>9479</v>
      </c>
      <c r="C105" s="2" t="s">
        <v>1419</v>
      </c>
      <c r="D105" s="2" t="s">
        <v>1420</v>
      </c>
      <c r="E105" s="3" t="s">
        <v>184</v>
      </c>
      <c r="F105" s="2" t="s">
        <v>1503</v>
      </c>
      <c r="G105" s="2" t="s">
        <v>1504</v>
      </c>
      <c r="H105" s="2" t="s">
        <v>187</v>
      </c>
      <c r="I105" s="2" t="s">
        <v>995</v>
      </c>
      <c r="J105" s="2" t="s">
        <v>94</v>
      </c>
      <c r="K105" s="2" t="s">
        <v>103</v>
      </c>
      <c r="L105" s="2" t="s">
        <v>357</v>
      </c>
      <c r="M105" s="2" t="s">
        <v>748</v>
      </c>
      <c r="N105" s="2" t="s">
        <v>147</v>
      </c>
      <c r="O105" s="2" t="s">
        <v>98</v>
      </c>
      <c r="P105" s="125">
        <v>607</v>
      </c>
      <c r="Q105" s="134">
        <v>3.718</v>
      </c>
      <c r="R105" s="151">
        <v>56190</v>
      </c>
      <c r="S105" s="115"/>
      <c r="T105" s="124">
        <v>1268.1110000000001</v>
      </c>
      <c r="U105" s="140">
        <v>9.9999999999999995E-7</v>
      </c>
      <c r="V105" s="140">
        <v>2.7711330687093499E-2</v>
      </c>
      <c r="W105" s="140">
        <v>1.77341637196093E-2</v>
      </c>
    </row>
    <row r="106" spans="1:23">
      <c r="A106" s="2">
        <v>382</v>
      </c>
      <c r="B106" s="2">
        <v>9479</v>
      </c>
      <c r="C106" s="2" t="s">
        <v>1419</v>
      </c>
      <c r="D106" s="2" t="s">
        <v>1420</v>
      </c>
      <c r="E106" s="3" t="s">
        <v>184</v>
      </c>
      <c r="F106" s="2" t="s">
        <v>1448</v>
      </c>
      <c r="G106" s="2" t="s">
        <v>1449</v>
      </c>
      <c r="H106" s="2" t="s">
        <v>187</v>
      </c>
      <c r="I106" s="2" t="s">
        <v>995</v>
      </c>
      <c r="J106" s="2" t="s">
        <v>94</v>
      </c>
      <c r="K106" s="2" t="s">
        <v>103</v>
      </c>
      <c r="L106" s="2" t="s">
        <v>357</v>
      </c>
      <c r="M106" s="2" t="s">
        <v>748</v>
      </c>
      <c r="N106" s="2" t="s">
        <v>147</v>
      </c>
      <c r="O106" s="2" t="s">
        <v>98</v>
      </c>
      <c r="P106" s="125">
        <v>610</v>
      </c>
      <c r="Q106" s="134">
        <v>3.718</v>
      </c>
      <c r="R106" s="151">
        <v>9521</v>
      </c>
      <c r="S106" s="115"/>
      <c r="T106" s="124">
        <v>215.934</v>
      </c>
      <c r="U106" s="140">
        <v>2.4000000000000001E-5</v>
      </c>
      <c r="V106" s="140">
        <v>4.7186966402180501E-3</v>
      </c>
      <c r="W106" s="140">
        <v>3.01978059825803E-3</v>
      </c>
    </row>
    <row r="107" spans="1:23">
      <c r="A107" s="2">
        <v>382</v>
      </c>
      <c r="B107" s="2">
        <v>9479</v>
      </c>
      <c r="C107" s="2" t="s">
        <v>1419</v>
      </c>
      <c r="D107" s="2" t="s">
        <v>1420</v>
      </c>
      <c r="E107" s="3" t="s">
        <v>184</v>
      </c>
      <c r="F107" s="2" t="s">
        <v>1513</v>
      </c>
      <c r="G107" s="2" t="s">
        <v>1514</v>
      </c>
      <c r="H107" s="2" t="s">
        <v>187</v>
      </c>
      <c r="I107" s="2" t="s">
        <v>995</v>
      </c>
      <c r="J107" s="2" t="s">
        <v>94</v>
      </c>
      <c r="K107" s="2" t="s">
        <v>268</v>
      </c>
      <c r="L107" s="2" t="s">
        <v>359</v>
      </c>
      <c r="M107" s="2" t="s">
        <v>748</v>
      </c>
      <c r="N107" s="2" t="s">
        <v>147</v>
      </c>
      <c r="O107" s="2" t="s">
        <v>98</v>
      </c>
      <c r="P107" s="125">
        <v>300</v>
      </c>
      <c r="Q107" s="134">
        <v>3.718</v>
      </c>
      <c r="R107" s="151">
        <v>7400</v>
      </c>
      <c r="S107" s="115"/>
      <c r="T107" s="124">
        <v>82.54</v>
      </c>
      <c r="U107" s="140">
        <v>6.0000000000000002E-6</v>
      </c>
      <c r="V107" s="140">
        <v>1.8036930514744899E-3</v>
      </c>
      <c r="W107" s="140">
        <v>1.15429274169314E-3</v>
      </c>
    </row>
    <row r="108" spans="1:23">
      <c r="A108" s="2">
        <v>382</v>
      </c>
      <c r="B108" s="2">
        <v>9479</v>
      </c>
      <c r="C108" s="2" t="s">
        <v>1419</v>
      </c>
      <c r="D108" s="2" t="s">
        <v>1420</v>
      </c>
      <c r="E108" s="3" t="s">
        <v>184</v>
      </c>
      <c r="F108" s="2" t="s">
        <v>1450</v>
      </c>
      <c r="G108" s="2" t="s">
        <v>1451</v>
      </c>
      <c r="H108" s="2" t="s">
        <v>187</v>
      </c>
      <c r="I108" s="2" t="s">
        <v>995</v>
      </c>
      <c r="J108" s="2" t="s">
        <v>94</v>
      </c>
      <c r="K108" s="2" t="s">
        <v>103</v>
      </c>
      <c r="L108" s="2" t="s">
        <v>393</v>
      </c>
      <c r="M108" s="2" t="s">
        <v>748</v>
      </c>
      <c r="N108" s="2" t="s">
        <v>147</v>
      </c>
      <c r="O108" s="2" t="s">
        <v>98</v>
      </c>
      <c r="P108" s="125">
        <v>38</v>
      </c>
      <c r="Q108" s="134">
        <v>3.718</v>
      </c>
      <c r="R108" s="151">
        <v>108968</v>
      </c>
      <c r="S108" s="115"/>
      <c r="T108" s="124">
        <v>153.95400000000001</v>
      </c>
      <c r="U108" s="140">
        <v>3.9999999999999998E-6</v>
      </c>
      <c r="V108" s="140">
        <v>3.3642807785841198E-3</v>
      </c>
      <c r="W108" s="140">
        <v>2.15300761987346E-3</v>
      </c>
    </row>
    <row r="109" spans="1:23">
      <c r="A109" s="2">
        <v>382</v>
      </c>
      <c r="B109" s="2">
        <v>9479</v>
      </c>
      <c r="C109" s="2" t="s">
        <v>1515</v>
      </c>
      <c r="D109" s="2" t="s">
        <v>1516</v>
      </c>
      <c r="E109" s="3" t="s">
        <v>184</v>
      </c>
      <c r="F109" s="2" t="s">
        <v>1517</v>
      </c>
      <c r="G109" s="2" t="s">
        <v>1518</v>
      </c>
      <c r="H109" s="2" t="s">
        <v>187</v>
      </c>
      <c r="I109" s="2" t="s">
        <v>995</v>
      </c>
      <c r="J109" s="2" t="s">
        <v>94</v>
      </c>
      <c r="K109" s="2" t="s">
        <v>285</v>
      </c>
      <c r="L109" s="2" t="s">
        <v>357</v>
      </c>
      <c r="M109" s="2" t="s">
        <v>748</v>
      </c>
      <c r="N109" s="2" t="s">
        <v>147</v>
      </c>
      <c r="O109" s="2" t="s">
        <v>98</v>
      </c>
      <c r="P109" s="125">
        <v>2400</v>
      </c>
      <c r="Q109" s="134">
        <v>3.718</v>
      </c>
      <c r="R109" s="151">
        <v>3491</v>
      </c>
      <c r="S109" s="115"/>
      <c r="T109" s="124">
        <v>311.50900000000001</v>
      </c>
      <c r="U109" s="140">
        <v>1.0000000000000001E-5</v>
      </c>
      <c r="V109" s="140">
        <v>6.8072350731864396E-3</v>
      </c>
      <c r="W109" s="140">
        <v>4.35636320135216E-3</v>
      </c>
    </row>
    <row r="110" spans="1:23">
      <c r="A110" s="2">
        <v>382</v>
      </c>
      <c r="B110" s="2">
        <v>9479</v>
      </c>
      <c r="C110" s="2" t="s">
        <v>1452</v>
      </c>
      <c r="D110" s="2" t="s">
        <v>1416</v>
      </c>
      <c r="E110" s="3" t="s">
        <v>184</v>
      </c>
      <c r="F110" s="2" t="s">
        <v>1519</v>
      </c>
      <c r="G110" s="2" t="s">
        <v>1520</v>
      </c>
      <c r="H110" s="2" t="s">
        <v>187</v>
      </c>
      <c r="I110" s="2" t="s">
        <v>995</v>
      </c>
      <c r="J110" s="2" t="s">
        <v>94</v>
      </c>
      <c r="K110" s="2" t="s">
        <v>310</v>
      </c>
      <c r="L110" s="2" t="s">
        <v>1521</v>
      </c>
      <c r="M110" s="2" t="s">
        <v>748</v>
      </c>
      <c r="N110" s="2" t="s">
        <v>147</v>
      </c>
      <c r="O110" s="2" t="s">
        <v>1183</v>
      </c>
      <c r="P110" s="125">
        <v>1430</v>
      </c>
      <c r="Q110" s="134">
        <v>4.0218999999999996</v>
      </c>
      <c r="R110" s="151">
        <v>25113</v>
      </c>
      <c r="S110" s="115"/>
      <c r="T110" s="124">
        <v>1444.328</v>
      </c>
      <c r="U110" s="140">
        <v>4.1999999999999998E-5</v>
      </c>
      <c r="V110" s="140">
        <v>3.1562120573733997E-2</v>
      </c>
      <c r="W110" s="140">
        <v>2.0198518068760201E-2</v>
      </c>
    </row>
    <row r="111" spans="1:23">
      <c r="A111" s="2">
        <v>382</v>
      </c>
      <c r="B111" s="2">
        <v>9479</v>
      </c>
      <c r="C111" s="2" t="s">
        <v>1452</v>
      </c>
      <c r="D111" s="2" t="s">
        <v>1416</v>
      </c>
      <c r="E111" s="3" t="s">
        <v>184</v>
      </c>
      <c r="F111" s="2" t="s">
        <v>1453</v>
      </c>
      <c r="G111" s="2" t="s">
        <v>1454</v>
      </c>
      <c r="H111" s="2" t="s">
        <v>187</v>
      </c>
      <c r="I111" s="2" t="s">
        <v>995</v>
      </c>
      <c r="J111" s="2" t="s">
        <v>94</v>
      </c>
      <c r="K111" s="2" t="s">
        <v>103</v>
      </c>
      <c r="L111" s="2" t="s">
        <v>393</v>
      </c>
      <c r="M111" s="2" t="s">
        <v>748</v>
      </c>
      <c r="N111" s="2" t="s">
        <v>147</v>
      </c>
      <c r="O111" s="2" t="s">
        <v>98</v>
      </c>
      <c r="P111" s="125">
        <v>1317</v>
      </c>
      <c r="Q111" s="134">
        <v>3.718</v>
      </c>
      <c r="R111" s="151">
        <v>39730</v>
      </c>
      <c r="S111" s="115"/>
      <c r="T111" s="124">
        <v>1945.422</v>
      </c>
      <c r="U111" s="140">
        <v>1.4799999999999999E-4</v>
      </c>
      <c r="V111" s="140">
        <v>4.2512240873649798E-2</v>
      </c>
      <c r="W111" s="140">
        <v>2.72061651695387E-2</v>
      </c>
    </row>
    <row r="112" spans="1:23">
      <c r="A112" s="2">
        <v>382</v>
      </c>
      <c r="B112" s="2">
        <v>9479</v>
      </c>
      <c r="C112" s="2" t="s">
        <v>1347</v>
      </c>
      <c r="D112" s="2" t="s">
        <v>1348</v>
      </c>
      <c r="E112" s="3" t="s">
        <v>184</v>
      </c>
      <c r="F112" s="2" t="s">
        <v>1455</v>
      </c>
      <c r="G112" s="2" t="s">
        <v>1456</v>
      </c>
      <c r="H112" s="2" t="s">
        <v>187</v>
      </c>
      <c r="I112" s="2" t="s">
        <v>995</v>
      </c>
      <c r="J112" s="2" t="s">
        <v>94</v>
      </c>
      <c r="K112" s="2" t="s">
        <v>268</v>
      </c>
      <c r="L112" s="2" t="s">
        <v>361</v>
      </c>
      <c r="M112" s="2" t="s">
        <v>748</v>
      </c>
      <c r="N112" s="2" t="s">
        <v>147</v>
      </c>
      <c r="O112" s="2" t="s">
        <v>1184</v>
      </c>
      <c r="P112" s="125">
        <v>1510</v>
      </c>
      <c r="Q112" s="134">
        <v>2.4893000000000001</v>
      </c>
      <c r="R112" s="151">
        <v>2824</v>
      </c>
      <c r="S112" s="115"/>
      <c r="T112" s="124">
        <v>106.15</v>
      </c>
      <c r="U112" s="140">
        <v>0</v>
      </c>
      <c r="V112" s="140">
        <v>2.3196323192661802E-3</v>
      </c>
      <c r="W112" s="140">
        <v>1.4844736178015101E-3</v>
      </c>
    </row>
    <row r="113" spans="1:23">
      <c r="A113" s="2">
        <v>382</v>
      </c>
      <c r="B113" s="2">
        <v>9479</v>
      </c>
      <c r="C113" s="2" t="s">
        <v>1423</v>
      </c>
      <c r="D113" s="2" t="s">
        <v>1424</v>
      </c>
      <c r="E113" s="3" t="s">
        <v>184</v>
      </c>
      <c r="F113" s="2" t="s">
        <v>1462</v>
      </c>
      <c r="G113" s="2" t="s">
        <v>1463</v>
      </c>
      <c r="H113" s="2" t="s">
        <v>187</v>
      </c>
      <c r="I113" s="2" t="s">
        <v>995</v>
      </c>
      <c r="J113" s="2" t="s">
        <v>94</v>
      </c>
      <c r="K113" s="2" t="s">
        <v>103</v>
      </c>
      <c r="L113" s="2" t="s">
        <v>393</v>
      </c>
      <c r="M113" s="2" t="s">
        <v>748</v>
      </c>
      <c r="N113" s="2" t="s">
        <v>147</v>
      </c>
      <c r="O113" s="2" t="s">
        <v>98</v>
      </c>
      <c r="P113" s="125">
        <v>35330</v>
      </c>
      <c r="Q113" s="134">
        <v>3.718</v>
      </c>
      <c r="R113" s="151">
        <v>1354.6</v>
      </c>
      <c r="S113" s="115"/>
      <c r="T113" s="124">
        <v>1779.3610000000001</v>
      </c>
      <c r="U113" s="140">
        <v>0</v>
      </c>
      <c r="V113" s="140">
        <v>3.8883411947721297E-2</v>
      </c>
      <c r="W113" s="140">
        <v>2.48838571212701E-2</v>
      </c>
    </row>
    <row r="114" spans="1:23">
      <c r="A114" s="2">
        <v>382</v>
      </c>
      <c r="B114" s="2">
        <v>9479</v>
      </c>
      <c r="C114" s="2" t="s">
        <v>1423</v>
      </c>
      <c r="D114" s="2" t="s">
        <v>1424</v>
      </c>
      <c r="E114" s="3" t="s">
        <v>184</v>
      </c>
      <c r="F114" s="2" t="s">
        <v>1522</v>
      </c>
      <c r="G114" s="2" t="s">
        <v>1523</v>
      </c>
      <c r="H114" s="2" t="s">
        <v>187</v>
      </c>
      <c r="I114" s="2" t="s">
        <v>995</v>
      </c>
      <c r="J114" s="2" t="s">
        <v>94</v>
      </c>
      <c r="K114" s="2" t="s">
        <v>285</v>
      </c>
      <c r="L114" s="2" t="s">
        <v>357</v>
      </c>
      <c r="M114" s="2" t="s">
        <v>748</v>
      </c>
      <c r="N114" s="2" t="s">
        <v>147</v>
      </c>
      <c r="O114" s="2" t="s">
        <v>98</v>
      </c>
      <c r="P114" s="125">
        <v>5</v>
      </c>
      <c r="Q114" s="134">
        <v>3.718</v>
      </c>
      <c r="R114" s="151">
        <v>8600</v>
      </c>
      <c r="S114" s="115"/>
      <c r="T114" s="124">
        <v>1.599</v>
      </c>
      <c r="U114" s="140">
        <v>0</v>
      </c>
      <c r="V114" s="140">
        <v>3.49363969429744E-5</v>
      </c>
      <c r="W114" s="140">
        <v>2.23579224742365E-5</v>
      </c>
    </row>
    <row r="115" spans="1:23">
      <c r="A115" s="2">
        <v>382</v>
      </c>
      <c r="B115" s="2">
        <v>9479</v>
      </c>
      <c r="C115" s="2" t="s">
        <v>1423</v>
      </c>
      <c r="D115" s="2" t="s">
        <v>1424</v>
      </c>
      <c r="E115" s="3" t="s">
        <v>184</v>
      </c>
      <c r="F115" s="2" t="s">
        <v>1466</v>
      </c>
      <c r="G115" s="2" t="s">
        <v>1467</v>
      </c>
      <c r="H115" s="2" t="s">
        <v>187</v>
      </c>
      <c r="I115" s="2" t="s">
        <v>995</v>
      </c>
      <c r="J115" s="2" t="s">
        <v>94</v>
      </c>
      <c r="K115" s="2" t="s">
        <v>103</v>
      </c>
      <c r="L115" s="2" t="s">
        <v>393</v>
      </c>
      <c r="M115" s="2" t="s">
        <v>748</v>
      </c>
      <c r="N115" s="2" t="s">
        <v>147</v>
      </c>
      <c r="O115" s="2" t="s">
        <v>98</v>
      </c>
      <c r="P115" s="125">
        <v>3440</v>
      </c>
      <c r="Q115" s="134">
        <v>3.718</v>
      </c>
      <c r="R115" s="151">
        <v>3655.13</v>
      </c>
      <c r="S115" s="115"/>
      <c r="T115" s="124">
        <v>467.488</v>
      </c>
      <c r="U115" s="140">
        <v>0</v>
      </c>
      <c r="V115" s="140">
        <v>1.0215765804653901E-2</v>
      </c>
      <c r="W115" s="140">
        <v>6.5376890538604796E-3</v>
      </c>
    </row>
    <row r="116" spans="1:23">
      <c r="A116" s="2">
        <v>382</v>
      </c>
      <c r="B116" s="2">
        <v>9479</v>
      </c>
      <c r="C116" s="2" t="s">
        <v>1423</v>
      </c>
      <c r="D116" s="2" t="s">
        <v>1424</v>
      </c>
      <c r="E116" s="3" t="s">
        <v>184</v>
      </c>
      <c r="F116" s="2" t="s">
        <v>1468</v>
      </c>
      <c r="G116" s="2" t="s">
        <v>1469</v>
      </c>
      <c r="H116" s="2" t="s">
        <v>187</v>
      </c>
      <c r="I116" s="2" t="s">
        <v>995</v>
      </c>
      <c r="J116" s="2" t="s">
        <v>94</v>
      </c>
      <c r="K116" s="2" t="s">
        <v>103</v>
      </c>
      <c r="L116" s="2" t="s">
        <v>393</v>
      </c>
      <c r="M116" s="2" t="s">
        <v>748</v>
      </c>
      <c r="N116" s="2" t="s">
        <v>147</v>
      </c>
      <c r="O116" s="2" t="s">
        <v>98</v>
      </c>
      <c r="P116" s="125">
        <v>730</v>
      </c>
      <c r="Q116" s="134">
        <v>3.718</v>
      </c>
      <c r="R116" s="151">
        <v>5761.62</v>
      </c>
      <c r="S116" s="115"/>
      <c r="T116" s="124">
        <v>156.37799999999999</v>
      </c>
      <c r="U116" s="140">
        <v>1.9999999999999999E-6</v>
      </c>
      <c r="V116" s="140">
        <v>3.4172529685777601E-3</v>
      </c>
      <c r="W116" s="140">
        <v>2.1869077418322702E-3</v>
      </c>
    </row>
    <row r="117" spans="1:23">
      <c r="A117" s="2">
        <v>382</v>
      </c>
      <c r="B117" s="2">
        <v>9479</v>
      </c>
      <c r="C117" s="2" t="s">
        <v>1423</v>
      </c>
      <c r="D117" s="2" t="s">
        <v>1424</v>
      </c>
      <c r="E117" s="3" t="s">
        <v>184</v>
      </c>
      <c r="F117" s="2" t="s">
        <v>1470</v>
      </c>
      <c r="G117" s="2" t="s">
        <v>1471</v>
      </c>
      <c r="H117" s="2" t="s">
        <v>187</v>
      </c>
      <c r="I117" s="2" t="s">
        <v>995</v>
      </c>
      <c r="J117" s="2" t="s">
        <v>94</v>
      </c>
      <c r="K117" s="2" t="s">
        <v>103</v>
      </c>
      <c r="L117" s="2" t="s">
        <v>393</v>
      </c>
      <c r="M117" s="2" t="s">
        <v>748</v>
      </c>
      <c r="N117" s="2" t="s">
        <v>147</v>
      </c>
      <c r="O117" s="2" t="s">
        <v>98</v>
      </c>
      <c r="P117" s="125">
        <v>2155</v>
      </c>
      <c r="Q117" s="134">
        <v>3.718</v>
      </c>
      <c r="R117" s="151">
        <v>10566.25</v>
      </c>
      <c r="S117" s="115"/>
      <c r="T117" s="124">
        <v>846.59900000000005</v>
      </c>
      <c r="U117" s="140">
        <v>0</v>
      </c>
      <c r="V117" s="140">
        <v>1.8500259245307099E-2</v>
      </c>
      <c r="W117" s="140">
        <v>1.18394396146518E-2</v>
      </c>
    </row>
    <row r="118" spans="1:23">
      <c r="A118" s="2">
        <v>382</v>
      </c>
      <c r="B118" s="2">
        <v>9479</v>
      </c>
      <c r="C118" s="2" t="s">
        <v>1472</v>
      </c>
      <c r="D118" s="2" t="s">
        <v>1473</v>
      </c>
      <c r="E118" s="3" t="s">
        <v>184</v>
      </c>
      <c r="F118" s="2" t="s">
        <v>1476</v>
      </c>
      <c r="G118" s="2" t="s">
        <v>1477</v>
      </c>
      <c r="H118" s="2" t="s">
        <v>187</v>
      </c>
      <c r="I118" s="2" t="s">
        <v>995</v>
      </c>
      <c r="J118" s="2" t="s">
        <v>94</v>
      </c>
      <c r="K118" s="2" t="s">
        <v>1478</v>
      </c>
      <c r="L118" s="2" t="s">
        <v>393</v>
      </c>
      <c r="M118" s="2" t="s">
        <v>748</v>
      </c>
      <c r="N118" s="2" t="s">
        <v>147</v>
      </c>
      <c r="O118" s="2" t="s">
        <v>98</v>
      </c>
      <c r="P118" s="125">
        <v>228</v>
      </c>
      <c r="Q118" s="134">
        <v>3.718</v>
      </c>
      <c r="R118" s="151">
        <v>6449</v>
      </c>
      <c r="S118" s="115"/>
      <c r="T118" s="124">
        <v>54.667999999999999</v>
      </c>
      <c r="U118" s="140">
        <v>0</v>
      </c>
      <c r="V118" s="140">
        <v>1.19463953129849E-3</v>
      </c>
      <c r="W118" s="140">
        <v>7.6452239963460504E-4</v>
      </c>
    </row>
    <row r="119" spans="1:23">
      <c r="A119" s="2">
        <v>382</v>
      </c>
      <c r="B119" s="2">
        <v>9479</v>
      </c>
      <c r="C119" s="2" t="s">
        <v>1472</v>
      </c>
      <c r="D119" s="2" t="s">
        <v>1473</v>
      </c>
      <c r="E119" s="3" t="s">
        <v>184</v>
      </c>
      <c r="F119" s="2" t="s">
        <v>1479</v>
      </c>
      <c r="G119" s="2" t="s">
        <v>1480</v>
      </c>
      <c r="H119" s="2" t="s">
        <v>187</v>
      </c>
      <c r="I119" s="2" t="s">
        <v>995</v>
      </c>
      <c r="J119" s="2" t="s">
        <v>94</v>
      </c>
      <c r="K119" s="2" t="s">
        <v>103</v>
      </c>
      <c r="L119" s="2" t="s">
        <v>357</v>
      </c>
      <c r="M119" s="2" t="s">
        <v>748</v>
      </c>
      <c r="N119" s="2" t="s">
        <v>147</v>
      </c>
      <c r="O119" s="2" t="s">
        <v>98</v>
      </c>
      <c r="P119" s="125">
        <v>768</v>
      </c>
      <c r="Q119" s="134">
        <v>3.718</v>
      </c>
      <c r="R119" s="151">
        <v>51391</v>
      </c>
      <c r="S119" s="129">
        <v>1.3919999999999999</v>
      </c>
      <c r="T119" s="124">
        <v>1472.605</v>
      </c>
      <c r="U119" s="140">
        <v>9.9999999999999995E-7</v>
      </c>
      <c r="V119" s="140">
        <v>3.2180042782646301E-2</v>
      </c>
      <c r="W119" s="140">
        <v>2.0593964023433799E-2</v>
      </c>
    </row>
    <row r="120" spans="1:23">
      <c r="A120" s="2">
        <v>382</v>
      </c>
      <c r="B120" s="2">
        <v>9479</v>
      </c>
      <c r="C120" s="2" t="s">
        <v>1481</v>
      </c>
      <c r="D120" s="2" t="s">
        <v>1482</v>
      </c>
      <c r="E120" s="3" t="s">
        <v>184</v>
      </c>
      <c r="F120" s="2" t="s">
        <v>1483</v>
      </c>
      <c r="G120" s="2" t="s">
        <v>1484</v>
      </c>
      <c r="H120" s="2" t="s">
        <v>187</v>
      </c>
      <c r="I120" s="2" t="s">
        <v>995</v>
      </c>
      <c r="J120" s="2" t="s">
        <v>94</v>
      </c>
      <c r="K120" s="2" t="s">
        <v>268</v>
      </c>
      <c r="L120" s="2" t="s">
        <v>357</v>
      </c>
      <c r="M120" s="2" t="s">
        <v>748</v>
      </c>
      <c r="N120" s="2" t="s">
        <v>147</v>
      </c>
      <c r="O120" s="2" t="s">
        <v>98</v>
      </c>
      <c r="P120" s="125">
        <v>2180</v>
      </c>
      <c r="Q120" s="134">
        <v>3.718</v>
      </c>
      <c r="R120" s="151">
        <v>11018</v>
      </c>
      <c r="S120" s="115"/>
      <c r="T120" s="124">
        <v>893.03499999999997</v>
      </c>
      <c r="U120" s="140">
        <v>6.8999999999999997E-5</v>
      </c>
      <c r="V120" s="140">
        <v>1.9515016346710899E-2</v>
      </c>
      <c r="W120" s="140">
        <v>1.2488844321164601E-2</v>
      </c>
    </row>
    <row r="121" spans="1:23">
      <c r="A121" s="2">
        <v>382</v>
      </c>
      <c r="B121" s="2">
        <v>9479</v>
      </c>
      <c r="C121" s="2" t="s">
        <v>1481</v>
      </c>
      <c r="D121" s="2" t="s">
        <v>1482</v>
      </c>
      <c r="E121" s="3" t="s">
        <v>184</v>
      </c>
      <c r="F121" s="2" t="s">
        <v>1485</v>
      </c>
      <c r="G121" s="2" t="s">
        <v>1486</v>
      </c>
      <c r="H121" s="2" t="s">
        <v>187</v>
      </c>
      <c r="I121" s="2" t="s">
        <v>995</v>
      </c>
      <c r="J121" s="2" t="s">
        <v>94</v>
      </c>
      <c r="K121" s="2" t="s">
        <v>103</v>
      </c>
      <c r="L121" s="2" t="s">
        <v>393</v>
      </c>
      <c r="M121" s="2" t="s">
        <v>748</v>
      </c>
      <c r="N121" s="2" t="s">
        <v>147</v>
      </c>
      <c r="O121" s="2" t="s">
        <v>98</v>
      </c>
      <c r="P121" s="125">
        <v>2600</v>
      </c>
      <c r="Q121" s="134">
        <v>3.718</v>
      </c>
      <c r="R121" s="151">
        <v>4283</v>
      </c>
      <c r="S121" s="115"/>
      <c r="T121" s="124">
        <v>414.029</v>
      </c>
      <c r="U121" s="140">
        <v>0</v>
      </c>
      <c r="V121" s="140">
        <v>9.0475518390133597E-3</v>
      </c>
      <c r="W121" s="140">
        <v>5.7900779788047103E-3</v>
      </c>
    </row>
    <row r="122" spans="1:23">
      <c r="A122" s="2">
        <v>382</v>
      </c>
      <c r="B122" s="2">
        <v>11414</v>
      </c>
      <c r="C122" s="2" t="s">
        <v>1381</v>
      </c>
      <c r="D122" s="2" t="s">
        <v>1382</v>
      </c>
      <c r="E122" s="3" t="s">
        <v>1325</v>
      </c>
      <c r="F122" s="2" t="s">
        <v>1524</v>
      </c>
      <c r="G122" s="2" t="s">
        <v>1525</v>
      </c>
      <c r="H122" s="2" t="s">
        <v>187</v>
      </c>
      <c r="I122" s="2" t="s">
        <v>995</v>
      </c>
      <c r="J122" s="2" t="s">
        <v>30</v>
      </c>
      <c r="K122" s="2" t="s">
        <v>103</v>
      </c>
      <c r="L122" s="2" t="s">
        <v>47</v>
      </c>
      <c r="M122" s="2" t="s">
        <v>1376</v>
      </c>
      <c r="N122" s="2" t="s">
        <v>147</v>
      </c>
      <c r="O122" s="2" t="s">
        <v>34</v>
      </c>
      <c r="P122" s="125">
        <v>7255</v>
      </c>
      <c r="Q122" s="134">
        <v>1</v>
      </c>
      <c r="R122" s="151">
        <v>7512</v>
      </c>
      <c r="S122" s="115"/>
      <c r="T122" s="124">
        <v>544.99599999999998</v>
      </c>
      <c r="U122" s="140">
        <v>7.2999999999999999E-5</v>
      </c>
      <c r="V122" s="140">
        <v>0.213363964450661</v>
      </c>
      <c r="W122" s="140">
        <v>3.5367748987050598E-2</v>
      </c>
    </row>
    <row r="123" spans="1:23">
      <c r="A123" s="2">
        <v>382</v>
      </c>
      <c r="B123" s="2">
        <v>11414</v>
      </c>
      <c r="C123" s="2" t="s">
        <v>1381</v>
      </c>
      <c r="D123" s="2" t="s">
        <v>1382</v>
      </c>
      <c r="E123" s="3" t="s">
        <v>1325</v>
      </c>
      <c r="F123" s="2" t="s">
        <v>1526</v>
      </c>
      <c r="G123" s="2" t="s">
        <v>1527</v>
      </c>
      <c r="H123" s="2" t="s">
        <v>187</v>
      </c>
      <c r="I123" s="2" t="s">
        <v>995</v>
      </c>
      <c r="J123" s="2" t="s">
        <v>30</v>
      </c>
      <c r="K123" s="2" t="s">
        <v>103</v>
      </c>
      <c r="L123" s="2" t="s">
        <v>47</v>
      </c>
      <c r="M123" s="2" t="s">
        <v>1376</v>
      </c>
      <c r="N123" s="2" t="s">
        <v>147</v>
      </c>
      <c r="O123" s="2" t="s">
        <v>34</v>
      </c>
      <c r="P123" s="125">
        <v>41470</v>
      </c>
      <c r="Q123" s="134">
        <v>1</v>
      </c>
      <c r="R123" s="151">
        <v>2404</v>
      </c>
      <c r="S123" s="115"/>
      <c r="T123" s="124">
        <v>996.93899999999996</v>
      </c>
      <c r="U123" s="140">
        <v>1.0900000000000001E-4</v>
      </c>
      <c r="V123" s="140">
        <v>0.39029822384379798</v>
      </c>
      <c r="W123" s="140">
        <v>6.4696818164865E-2</v>
      </c>
    </row>
    <row r="124" spans="1:23">
      <c r="A124" s="2">
        <v>382</v>
      </c>
      <c r="B124" s="2">
        <v>11414</v>
      </c>
      <c r="C124" s="2" t="s">
        <v>1381</v>
      </c>
      <c r="D124" s="2" t="s">
        <v>1382</v>
      </c>
      <c r="E124" s="3" t="s">
        <v>1325</v>
      </c>
      <c r="F124" s="2" t="s">
        <v>1528</v>
      </c>
      <c r="G124" s="2" t="s">
        <v>1529</v>
      </c>
      <c r="H124" s="2" t="s">
        <v>187</v>
      </c>
      <c r="I124" s="2" t="s">
        <v>995</v>
      </c>
      <c r="J124" s="2" t="s">
        <v>30</v>
      </c>
      <c r="K124" s="2" t="s">
        <v>255</v>
      </c>
      <c r="L124" s="2" t="s">
        <v>47</v>
      </c>
      <c r="M124" s="2" t="s">
        <v>1376</v>
      </c>
      <c r="N124" s="2" t="s">
        <v>147</v>
      </c>
      <c r="O124" s="2" t="s">
        <v>34</v>
      </c>
      <c r="P124" s="125">
        <v>2951</v>
      </c>
      <c r="Q124" s="134">
        <v>1</v>
      </c>
      <c r="R124" s="151">
        <v>8172</v>
      </c>
      <c r="S124" s="115"/>
      <c r="T124" s="124">
        <v>241.15600000000001</v>
      </c>
      <c r="U124" s="140">
        <v>2.0100000000000001E-4</v>
      </c>
      <c r="V124" s="140">
        <v>9.4411662165994795E-2</v>
      </c>
      <c r="W124" s="140">
        <v>1.5649915286933502E-2</v>
      </c>
    </row>
    <row r="125" spans="1:23">
      <c r="A125" s="2">
        <v>382</v>
      </c>
      <c r="B125" s="2">
        <v>11414</v>
      </c>
      <c r="C125" s="2" t="s">
        <v>1394</v>
      </c>
      <c r="D125" s="2" t="s">
        <v>1395</v>
      </c>
      <c r="E125" s="3" t="s">
        <v>1325</v>
      </c>
      <c r="F125" s="2" t="s">
        <v>1398</v>
      </c>
      <c r="G125" s="2" t="s">
        <v>1399</v>
      </c>
      <c r="H125" s="2" t="s">
        <v>187</v>
      </c>
      <c r="I125" s="2" t="s">
        <v>995</v>
      </c>
      <c r="J125" s="2" t="s">
        <v>30</v>
      </c>
      <c r="K125" s="2" t="s">
        <v>103</v>
      </c>
      <c r="L125" s="2" t="s">
        <v>47</v>
      </c>
      <c r="M125" s="2" t="s">
        <v>1376</v>
      </c>
      <c r="N125" s="2" t="s">
        <v>147</v>
      </c>
      <c r="O125" s="2" t="s">
        <v>34</v>
      </c>
      <c r="P125" s="125">
        <v>3420</v>
      </c>
      <c r="Q125" s="134">
        <v>1</v>
      </c>
      <c r="R125" s="151">
        <v>22550</v>
      </c>
      <c r="S125" s="115"/>
      <c r="T125" s="124">
        <v>771.21</v>
      </c>
      <c r="U125" s="140">
        <v>1.17E-4</v>
      </c>
      <c r="V125" s="140">
        <v>0.301926149539546</v>
      </c>
      <c r="W125" s="140">
        <v>5.00480401975784E-2</v>
      </c>
    </row>
    <row r="126" spans="1:23">
      <c r="A126" s="2">
        <v>382</v>
      </c>
      <c r="B126" s="2">
        <v>15404</v>
      </c>
      <c r="C126" s="2" t="s">
        <v>1372</v>
      </c>
      <c r="D126" s="2" t="s">
        <v>1373</v>
      </c>
      <c r="E126" s="3" t="s">
        <v>1325</v>
      </c>
      <c r="F126" s="2" t="s">
        <v>1530</v>
      </c>
      <c r="G126" s="2" t="s">
        <v>1531</v>
      </c>
      <c r="H126" s="2" t="s">
        <v>187</v>
      </c>
      <c r="I126" s="2" t="s">
        <v>995</v>
      </c>
      <c r="J126" s="2" t="s">
        <v>30</v>
      </c>
      <c r="K126" s="2" t="s">
        <v>103</v>
      </c>
      <c r="L126" s="2" t="s">
        <v>47</v>
      </c>
      <c r="M126" s="2" t="s">
        <v>1376</v>
      </c>
      <c r="N126" s="2" t="s">
        <v>147</v>
      </c>
      <c r="O126" s="2" t="s">
        <v>34</v>
      </c>
      <c r="P126" s="125">
        <v>23460</v>
      </c>
      <c r="Q126" s="134">
        <v>1</v>
      </c>
      <c r="R126" s="151">
        <v>8809</v>
      </c>
      <c r="S126" s="115"/>
      <c r="T126" s="124">
        <v>2066.5909999999999</v>
      </c>
      <c r="U126" s="140">
        <v>2.6899999999999998E-4</v>
      </c>
      <c r="V126" s="140">
        <v>0.125972904490669</v>
      </c>
      <c r="W126" s="140">
        <v>0.123973122025784</v>
      </c>
    </row>
    <row r="127" spans="1:23">
      <c r="A127" s="2">
        <v>382</v>
      </c>
      <c r="B127" s="2">
        <v>15404</v>
      </c>
      <c r="C127" s="2" t="s">
        <v>1419</v>
      </c>
      <c r="D127" s="2" t="s">
        <v>1420</v>
      </c>
      <c r="E127" s="3" t="s">
        <v>184</v>
      </c>
      <c r="F127" s="2" t="s">
        <v>1532</v>
      </c>
      <c r="G127" s="2" t="s">
        <v>1533</v>
      </c>
      <c r="H127" s="2" t="s">
        <v>187</v>
      </c>
      <c r="I127" s="2" t="s">
        <v>995</v>
      </c>
      <c r="J127" s="2" t="s">
        <v>30</v>
      </c>
      <c r="K127" s="2" t="s">
        <v>103</v>
      </c>
      <c r="L127" s="2" t="s">
        <v>47</v>
      </c>
      <c r="M127" s="2" t="s">
        <v>1376</v>
      </c>
      <c r="N127" s="2" t="s">
        <v>147</v>
      </c>
      <c r="O127" s="2" t="s">
        <v>34</v>
      </c>
      <c r="P127" s="125">
        <v>926</v>
      </c>
      <c r="Q127" s="134">
        <v>1</v>
      </c>
      <c r="R127" s="151">
        <v>219130</v>
      </c>
      <c r="S127" s="115"/>
      <c r="T127" s="124">
        <v>2029.144</v>
      </c>
      <c r="U127" s="140">
        <v>3.48E-4</v>
      </c>
      <c r="V127" s="140">
        <v>0.12369021670913399</v>
      </c>
      <c r="W127" s="140">
        <v>0.121726671235187</v>
      </c>
    </row>
    <row r="128" spans="1:23">
      <c r="A128" s="2">
        <v>382</v>
      </c>
      <c r="B128" s="2">
        <v>15404</v>
      </c>
      <c r="C128" s="2" t="s">
        <v>1381</v>
      </c>
      <c r="D128" s="2" t="s">
        <v>1382</v>
      </c>
      <c r="E128" s="3" t="s">
        <v>1325</v>
      </c>
      <c r="F128" s="2" t="s">
        <v>1526</v>
      </c>
      <c r="G128" s="2" t="s">
        <v>1527</v>
      </c>
      <c r="H128" s="2" t="s">
        <v>187</v>
      </c>
      <c r="I128" s="2" t="s">
        <v>995</v>
      </c>
      <c r="J128" s="2" t="s">
        <v>30</v>
      </c>
      <c r="K128" s="2" t="s">
        <v>103</v>
      </c>
      <c r="L128" s="2" t="s">
        <v>47</v>
      </c>
      <c r="M128" s="2" t="s">
        <v>1376</v>
      </c>
      <c r="N128" s="2" t="s">
        <v>147</v>
      </c>
      <c r="O128" s="2" t="s">
        <v>34</v>
      </c>
      <c r="P128" s="125">
        <v>86008</v>
      </c>
      <c r="Q128" s="134">
        <v>1</v>
      </c>
      <c r="R128" s="151">
        <v>2404</v>
      </c>
      <c r="S128" s="115"/>
      <c r="T128" s="124">
        <v>2067.6320000000001</v>
      </c>
      <c r="U128" s="140">
        <v>2.2699999999999999E-4</v>
      </c>
      <c r="V128" s="140">
        <v>0.126036355696235</v>
      </c>
      <c r="W128" s="140">
        <v>0.12403556596229701</v>
      </c>
    </row>
    <row r="129" spans="1:23">
      <c r="A129" s="2">
        <v>382</v>
      </c>
      <c r="B129" s="2">
        <v>15404</v>
      </c>
      <c r="C129" s="2" t="s">
        <v>1534</v>
      </c>
      <c r="D129" s="2" t="s">
        <v>1535</v>
      </c>
      <c r="E129" s="3" t="s">
        <v>1325</v>
      </c>
      <c r="F129" s="2" t="s">
        <v>1536</v>
      </c>
      <c r="G129" s="2" t="s">
        <v>1537</v>
      </c>
      <c r="H129" s="2" t="s">
        <v>187</v>
      </c>
      <c r="I129" s="2" t="s">
        <v>995</v>
      </c>
      <c r="J129" s="2" t="s">
        <v>30</v>
      </c>
      <c r="K129" s="2" t="s">
        <v>103</v>
      </c>
      <c r="L129" s="2" t="s">
        <v>31</v>
      </c>
      <c r="M129" s="2" t="s">
        <v>1376</v>
      </c>
      <c r="N129" s="2" t="s">
        <v>147</v>
      </c>
      <c r="O129" s="2" t="s">
        <v>34</v>
      </c>
      <c r="P129" s="125">
        <v>35901</v>
      </c>
      <c r="Q129" s="134">
        <v>1</v>
      </c>
      <c r="R129" s="151">
        <v>5763</v>
      </c>
      <c r="S129" s="115"/>
      <c r="T129" s="124">
        <v>2068.9749999999999</v>
      </c>
      <c r="U129" s="140">
        <v>3.264E-3</v>
      </c>
      <c r="V129" s="140">
        <v>0.126118178687189</v>
      </c>
      <c r="W129" s="140">
        <v>0.124116090037558</v>
      </c>
    </row>
    <row r="130" spans="1:23">
      <c r="A130" s="2">
        <v>382</v>
      </c>
      <c r="B130" s="2">
        <v>15404</v>
      </c>
      <c r="C130" s="2" t="s">
        <v>1390</v>
      </c>
      <c r="D130" s="2" t="s">
        <v>1391</v>
      </c>
      <c r="E130" s="3" t="s">
        <v>1325</v>
      </c>
      <c r="F130" s="2" t="s">
        <v>1538</v>
      </c>
      <c r="G130" s="2" t="s">
        <v>1539</v>
      </c>
      <c r="H130" s="2" t="s">
        <v>187</v>
      </c>
      <c r="I130" s="2" t="s">
        <v>995</v>
      </c>
      <c r="J130" s="2" t="s">
        <v>30</v>
      </c>
      <c r="K130" s="2" t="s">
        <v>103</v>
      </c>
      <c r="L130" s="2" t="s">
        <v>47</v>
      </c>
      <c r="M130" s="2" t="s">
        <v>1376</v>
      </c>
      <c r="N130" s="2" t="s">
        <v>147</v>
      </c>
      <c r="O130" s="2" t="s">
        <v>34</v>
      </c>
      <c r="P130" s="125">
        <v>20330</v>
      </c>
      <c r="Q130" s="134">
        <v>1</v>
      </c>
      <c r="R130" s="151">
        <v>10210</v>
      </c>
      <c r="S130" s="115"/>
      <c r="T130" s="124">
        <v>2075.6930000000002</v>
      </c>
      <c r="U130" s="140">
        <v>2.9700000000000001E-4</v>
      </c>
      <c r="V130" s="140">
        <v>0.12652770936768201</v>
      </c>
      <c r="W130" s="140">
        <v>0.12451911954006301</v>
      </c>
    </row>
    <row r="131" spans="1:23">
      <c r="A131" s="2">
        <v>382</v>
      </c>
      <c r="B131" s="2">
        <v>15404</v>
      </c>
      <c r="C131" s="2" t="s">
        <v>1394</v>
      </c>
      <c r="D131" s="2" t="s">
        <v>1395</v>
      </c>
      <c r="E131" s="3" t="s">
        <v>1325</v>
      </c>
      <c r="F131" s="2" t="s">
        <v>1398</v>
      </c>
      <c r="G131" s="2" t="s">
        <v>1399</v>
      </c>
      <c r="H131" s="2" t="s">
        <v>187</v>
      </c>
      <c r="I131" s="2" t="s">
        <v>995</v>
      </c>
      <c r="J131" s="2" t="s">
        <v>30</v>
      </c>
      <c r="K131" s="2" t="s">
        <v>103</v>
      </c>
      <c r="L131" s="2" t="s">
        <v>47</v>
      </c>
      <c r="M131" s="2" t="s">
        <v>1376</v>
      </c>
      <c r="N131" s="2" t="s">
        <v>147</v>
      </c>
      <c r="O131" s="2" t="s">
        <v>34</v>
      </c>
      <c r="P131" s="125">
        <v>9159</v>
      </c>
      <c r="Q131" s="134">
        <v>1</v>
      </c>
      <c r="R131" s="151">
        <v>22550</v>
      </c>
      <c r="S131" s="115"/>
      <c r="T131" s="124">
        <v>2065.3539999999998</v>
      </c>
      <c r="U131" s="140">
        <v>3.1199999999999999E-4</v>
      </c>
      <c r="V131" s="140">
        <v>0.12589750696140201</v>
      </c>
      <c r="W131" s="140">
        <v>0.123898921409913</v>
      </c>
    </row>
    <row r="132" spans="1:23">
      <c r="A132" s="2">
        <v>382</v>
      </c>
      <c r="B132" s="2">
        <v>15404</v>
      </c>
      <c r="C132" s="2" t="s">
        <v>1406</v>
      </c>
      <c r="D132" s="2" t="s">
        <v>1407</v>
      </c>
      <c r="E132" s="3" t="s">
        <v>1325</v>
      </c>
      <c r="F132" s="2" t="s">
        <v>1540</v>
      </c>
      <c r="G132" s="2" t="s">
        <v>1541</v>
      </c>
      <c r="H132" s="2" t="s">
        <v>187</v>
      </c>
      <c r="I132" s="2" t="s">
        <v>995</v>
      </c>
      <c r="J132" s="2" t="s">
        <v>30</v>
      </c>
      <c r="K132" s="2" t="s">
        <v>103</v>
      </c>
      <c r="L132" s="2" t="s">
        <v>47</v>
      </c>
      <c r="M132" s="2" t="s">
        <v>1376</v>
      </c>
      <c r="N132" s="2" t="s">
        <v>147</v>
      </c>
      <c r="O132" s="2" t="s">
        <v>34</v>
      </c>
      <c r="P132" s="125">
        <v>8336</v>
      </c>
      <c r="Q132" s="134">
        <v>1</v>
      </c>
      <c r="R132" s="151">
        <v>24020</v>
      </c>
      <c r="S132" s="115"/>
      <c r="T132" s="124">
        <v>2002.307</v>
      </c>
      <c r="U132" s="140">
        <v>2.34E-4</v>
      </c>
      <c r="V132" s="140">
        <v>0.122054342075835</v>
      </c>
      <c r="W132" s="140">
        <v>0.12011676562609699</v>
      </c>
    </row>
    <row r="133" spans="1:23">
      <c r="A133" s="2">
        <v>382</v>
      </c>
      <c r="B133" s="2">
        <v>15404</v>
      </c>
      <c r="C133" s="2" t="s">
        <v>1368</v>
      </c>
      <c r="D133" s="2" t="s">
        <v>1369</v>
      </c>
      <c r="E133" s="3" t="s">
        <v>184</v>
      </c>
      <c r="F133" s="2" t="s">
        <v>1502</v>
      </c>
      <c r="G133" s="2" t="s">
        <v>1433</v>
      </c>
      <c r="H133" s="2" t="s">
        <v>187</v>
      </c>
      <c r="I133" s="2" t="s">
        <v>995</v>
      </c>
      <c r="J133" s="2" t="s">
        <v>94</v>
      </c>
      <c r="K133" s="2" t="s">
        <v>103</v>
      </c>
      <c r="L133" s="2" t="s">
        <v>1443</v>
      </c>
      <c r="M133" s="2" t="s">
        <v>748</v>
      </c>
      <c r="N133" s="2" t="s">
        <v>147</v>
      </c>
      <c r="O133" s="2" t="s">
        <v>34</v>
      </c>
      <c r="P133" s="125">
        <v>498</v>
      </c>
      <c r="Q133" s="134">
        <v>1</v>
      </c>
      <c r="R133" s="151">
        <v>407500</v>
      </c>
      <c r="S133" s="115"/>
      <c r="T133" s="124">
        <v>2029.35</v>
      </c>
      <c r="U133" s="140">
        <v>2.8E-5</v>
      </c>
      <c r="V133" s="140">
        <v>0.123702786011855</v>
      </c>
      <c r="W133" s="140">
        <v>0.12173904100395699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0"/>
  <sheetViews>
    <sheetView rightToLeft="1" zoomScale="70" zoomScaleNormal="70" workbookViewId="0"/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1118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339</v>
      </c>
      <c r="M1" s="12" t="s">
        <v>8</v>
      </c>
      <c r="N1" s="12" t="s">
        <v>582</v>
      </c>
      <c r="O1" s="12" t="s">
        <v>133</v>
      </c>
      <c r="P1" s="12" t="s">
        <v>11</v>
      </c>
      <c r="Q1" s="12" t="s">
        <v>17</v>
      </c>
      <c r="R1" s="133" t="s">
        <v>18</v>
      </c>
      <c r="S1" s="144" t="s">
        <v>19</v>
      </c>
      <c r="T1" s="12" t="s">
        <v>20</v>
      </c>
      <c r="U1" s="139" t="s">
        <v>23</v>
      </c>
      <c r="V1" s="139" t="s">
        <v>24</v>
      </c>
      <c r="W1" s="139" t="s">
        <v>25</v>
      </c>
    </row>
    <row r="2" spans="1:23">
      <c r="A2" s="11">
        <v>382</v>
      </c>
      <c r="B2" s="11">
        <v>382</v>
      </c>
      <c r="C2" s="11" t="s">
        <v>1347</v>
      </c>
      <c r="D2" s="11" t="s">
        <v>1348</v>
      </c>
      <c r="E2" s="11" t="s">
        <v>184</v>
      </c>
      <c r="F2" s="11" t="s">
        <v>1349</v>
      </c>
      <c r="G2" s="11" t="s">
        <v>1350</v>
      </c>
      <c r="H2" s="11" t="s">
        <v>187</v>
      </c>
      <c r="I2" s="11" t="s">
        <v>1000</v>
      </c>
      <c r="J2" s="11" t="s">
        <v>94</v>
      </c>
      <c r="K2" s="11" t="s">
        <v>103</v>
      </c>
      <c r="L2" s="3" t="s">
        <v>340</v>
      </c>
      <c r="M2" s="11" t="s">
        <v>95</v>
      </c>
      <c r="N2" s="13" t="s">
        <v>745</v>
      </c>
      <c r="O2" s="13" t="s">
        <v>147</v>
      </c>
      <c r="P2" s="11" t="s">
        <v>98</v>
      </c>
      <c r="Q2" s="127">
        <v>16550</v>
      </c>
      <c r="R2" s="152">
        <v>3.718</v>
      </c>
      <c r="S2" s="153">
        <v>40351.97</v>
      </c>
      <c r="T2" s="127">
        <v>24829.737000000001</v>
      </c>
      <c r="U2" s="154">
        <v>3.2810000000000001E-3</v>
      </c>
      <c r="V2" s="154">
        <v>0.23242558985853301</v>
      </c>
      <c r="W2" s="154">
        <v>8.5880995144596208E-3</v>
      </c>
    </row>
    <row r="3" spans="1:23">
      <c r="A3" s="11">
        <v>382</v>
      </c>
      <c r="B3" s="11">
        <v>382</v>
      </c>
      <c r="C3" s="11" t="s">
        <v>1351</v>
      </c>
      <c r="D3" s="11" t="s">
        <v>1352</v>
      </c>
      <c r="E3" s="11" t="s">
        <v>1325</v>
      </c>
      <c r="F3" s="11" t="s">
        <v>1353</v>
      </c>
      <c r="G3" s="11" t="s">
        <v>1354</v>
      </c>
      <c r="H3" s="11" t="s">
        <v>187</v>
      </c>
      <c r="I3" s="11" t="s">
        <v>944</v>
      </c>
      <c r="J3" s="11" t="s">
        <v>30</v>
      </c>
      <c r="K3" s="11" t="s">
        <v>30</v>
      </c>
      <c r="L3" s="3" t="s">
        <v>340</v>
      </c>
      <c r="M3" s="11" t="s">
        <v>47</v>
      </c>
      <c r="N3" s="13" t="s">
        <v>1355</v>
      </c>
      <c r="O3" s="13" t="s">
        <v>353</v>
      </c>
      <c r="P3" s="11" t="s">
        <v>34</v>
      </c>
      <c r="Q3" s="127">
        <v>7395360.0499999998</v>
      </c>
      <c r="R3" s="152">
        <v>1</v>
      </c>
      <c r="S3" s="153">
        <v>69.400000000000006</v>
      </c>
      <c r="T3" s="127">
        <v>5132.38</v>
      </c>
      <c r="U3" s="154">
        <v>2.3883000000000001E-2</v>
      </c>
      <c r="V3" s="154">
        <v>4.8043054303393597E-2</v>
      </c>
      <c r="W3" s="154">
        <v>1.77518547586461E-3</v>
      </c>
    </row>
    <row r="4" spans="1:23">
      <c r="A4" s="11">
        <v>382</v>
      </c>
      <c r="B4" s="11">
        <v>382</v>
      </c>
      <c r="C4" s="11" t="s">
        <v>1356</v>
      </c>
      <c r="D4" s="11" t="s">
        <v>1357</v>
      </c>
      <c r="E4" s="11" t="s">
        <v>184</v>
      </c>
      <c r="F4" s="11" t="s">
        <v>1358</v>
      </c>
      <c r="G4" s="11" t="s">
        <v>1359</v>
      </c>
      <c r="H4" s="11" t="s">
        <v>187</v>
      </c>
      <c r="I4" s="11" t="s">
        <v>944</v>
      </c>
      <c r="J4" s="11" t="s">
        <v>94</v>
      </c>
      <c r="K4" s="11" t="s">
        <v>285</v>
      </c>
      <c r="L4" s="3" t="s">
        <v>340</v>
      </c>
      <c r="M4" s="11" t="s">
        <v>95</v>
      </c>
      <c r="N4" s="13" t="s">
        <v>748</v>
      </c>
      <c r="O4" s="13" t="s">
        <v>147</v>
      </c>
      <c r="P4" s="11" t="s">
        <v>98</v>
      </c>
      <c r="Q4" s="127">
        <v>25762.48</v>
      </c>
      <c r="R4" s="152">
        <v>3.718</v>
      </c>
      <c r="S4" s="153">
        <v>13550</v>
      </c>
      <c r="T4" s="127">
        <v>12978.853999999999</v>
      </c>
      <c r="U4" s="154">
        <v>0.153476</v>
      </c>
      <c r="V4" s="154">
        <v>0.12149213513125</v>
      </c>
      <c r="W4" s="154">
        <v>4.4891207864263599E-3</v>
      </c>
    </row>
    <row r="5" spans="1:23">
      <c r="A5" s="11">
        <v>382</v>
      </c>
      <c r="B5" s="11">
        <v>382</v>
      </c>
      <c r="C5" s="11" t="s">
        <v>1360</v>
      </c>
      <c r="D5" s="11" t="s">
        <v>1361</v>
      </c>
      <c r="E5" s="11" t="s">
        <v>184</v>
      </c>
      <c r="F5" s="11" t="s">
        <v>1362</v>
      </c>
      <c r="G5" s="11" t="s">
        <v>1363</v>
      </c>
      <c r="H5" s="11" t="s">
        <v>187</v>
      </c>
      <c r="I5" s="11" t="s">
        <v>1000</v>
      </c>
      <c r="J5" s="11" t="s">
        <v>94</v>
      </c>
      <c r="K5" s="11" t="s">
        <v>103</v>
      </c>
      <c r="L5" s="3" t="s">
        <v>340</v>
      </c>
      <c r="M5" s="11" t="s">
        <v>95</v>
      </c>
      <c r="N5" s="13" t="s">
        <v>745</v>
      </c>
      <c r="O5" s="13" t="s">
        <v>147</v>
      </c>
      <c r="P5" s="11" t="s">
        <v>98</v>
      </c>
      <c r="Q5" s="127">
        <v>4539.28</v>
      </c>
      <c r="R5" s="152">
        <v>3.718</v>
      </c>
      <c r="S5" s="153">
        <v>170087.17</v>
      </c>
      <c r="T5" s="127">
        <v>28705.685000000001</v>
      </c>
      <c r="U5" s="154">
        <v>0</v>
      </c>
      <c r="V5" s="154">
        <v>0.268707463493219</v>
      </c>
      <c r="W5" s="154">
        <v>9.9287106818245693E-3</v>
      </c>
    </row>
    <row r="6" spans="1:23">
      <c r="A6" s="11">
        <v>382</v>
      </c>
      <c r="B6" s="11">
        <v>382</v>
      </c>
      <c r="C6" s="11" t="s">
        <v>1364</v>
      </c>
      <c r="D6" s="11" t="s">
        <v>1365</v>
      </c>
      <c r="E6" s="11" t="s">
        <v>184</v>
      </c>
      <c r="F6" s="11" t="s">
        <v>1366</v>
      </c>
      <c r="G6" s="11" t="s">
        <v>1367</v>
      </c>
      <c r="H6" s="11" t="s">
        <v>187</v>
      </c>
      <c r="I6" s="11" t="s">
        <v>1000</v>
      </c>
      <c r="J6" s="11" t="s">
        <v>94</v>
      </c>
      <c r="K6" s="11" t="s">
        <v>103</v>
      </c>
      <c r="L6" s="3" t="s">
        <v>340</v>
      </c>
      <c r="M6" s="11" t="s">
        <v>95</v>
      </c>
      <c r="N6" s="13" t="s">
        <v>745</v>
      </c>
      <c r="O6" s="13" t="s">
        <v>147</v>
      </c>
      <c r="P6" s="11" t="s">
        <v>98</v>
      </c>
      <c r="Q6" s="127">
        <v>378000</v>
      </c>
      <c r="R6" s="152">
        <v>3.718</v>
      </c>
      <c r="S6" s="153">
        <v>1740</v>
      </c>
      <c r="T6" s="127">
        <v>24454.03</v>
      </c>
      <c r="U6" s="154">
        <v>2.9E-5</v>
      </c>
      <c r="V6" s="154">
        <v>0.22890867408334001</v>
      </c>
      <c r="W6" s="154">
        <v>8.4581498704478994E-3</v>
      </c>
    </row>
    <row r="7" spans="1:23">
      <c r="A7" s="11">
        <v>382</v>
      </c>
      <c r="B7" s="11">
        <v>382</v>
      </c>
      <c r="C7" s="11" t="s">
        <v>1368</v>
      </c>
      <c r="D7" s="11" t="s">
        <v>1369</v>
      </c>
      <c r="E7" s="11" t="s">
        <v>184</v>
      </c>
      <c r="F7" s="11" t="s">
        <v>1370</v>
      </c>
      <c r="G7" s="11" t="s">
        <v>1371</v>
      </c>
      <c r="H7" s="11" t="s">
        <v>187</v>
      </c>
      <c r="I7" s="11" t="s">
        <v>1000</v>
      </c>
      <c r="J7" s="11" t="s">
        <v>94</v>
      </c>
      <c r="K7" s="11" t="s">
        <v>313</v>
      </c>
      <c r="L7" s="3" t="s">
        <v>340</v>
      </c>
      <c r="M7" s="11" t="s">
        <v>95</v>
      </c>
      <c r="N7" s="13" t="s">
        <v>745</v>
      </c>
      <c r="O7" s="13" t="s">
        <v>147</v>
      </c>
      <c r="P7" s="11" t="s">
        <v>98</v>
      </c>
      <c r="Q7" s="127">
        <v>15450</v>
      </c>
      <c r="R7" s="152">
        <v>3.718</v>
      </c>
      <c r="S7" s="153">
        <v>18676</v>
      </c>
      <c r="T7" s="127">
        <v>10728.073</v>
      </c>
      <c r="U7" s="154">
        <v>1.6949999999999999E-3</v>
      </c>
      <c r="V7" s="154">
        <v>0.100423083130265</v>
      </c>
      <c r="W7" s="154">
        <v>3.71062167464649E-3</v>
      </c>
    </row>
    <row r="8" spans="1:23">
      <c r="A8" s="11">
        <v>382</v>
      </c>
      <c r="B8" s="11">
        <v>7635</v>
      </c>
      <c r="C8" s="11" t="s">
        <v>1347</v>
      </c>
      <c r="D8" s="11" t="s">
        <v>1348</v>
      </c>
      <c r="E8" s="11" t="s">
        <v>184</v>
      </c>
      <c r="F8" s="11" t="s">
        <v>1349</v>
      </c>
      <c r="G8" s="11" t="s">
        <v>1350</v>
      </c>
      <c r="H8" s="11" t="s">
        <v>187</v>
      </c>
      <c r="I8" s="11" t="s">
        <v>1000</v>
      </c>
      <c r="J8" s="11" t="s">
        <v>94</v>
      </c>
      <c r="K8" s="11" t="s">
        <v>103</v>
      </c>
      <c r="L8" s="3" t="s">
        <v>340</v>
      </c>
      <c r="M8" s="11" t="s">
        <v>95</v>
      </c>
      <c r="N8" s="13" t="s">
        <v>745</v>
      </c>
      <c r="O8" s="13" t="s">
        <v>147</v>
      </c>
      <c r="P8" s="11" t="s">
        <v>98</v>
      </c>
      <c r="Q8" s="127">
        <v>35</v>
      </c>
      <c r="R8" s="152">
        <v>3.718</v>
      </c>
      <c r="S8" s="153">
        <v>40351.97</v>
      </c>
      <c r="T8" s="127">
        <v>52.51</v>
      </c>
      <c r="U8" s="154">
        <v>6.9999999999999999E-6</v>
      </c>
      <c r="V8" s="154">
        <v>0.315854065003844</v>
      </c>
      <c r="W8" s="154">
        <v>2.82740085988598E-3</v>
      </c>
    </row>
    <row r="9" spans="1:23">
      <c r="A9" s="11">
        <v>382</v>
      </c>
      <c r="B9" s="11">
        <v>7635</v>
      </c>
      <c r="C9" s="11" t="s">
        <v>1360</v>
      </c>
      <c r="D9" s="11" t="s">
        <v>1361</v>
      </c>
      <c r="E9" s="11" t="s">
        <v>184</v>
      </c>
      <c r="F9" s="11" t="s">
        <v>1362</v>
      </c>
      <c r="G9" s="11" t="s">
        <v>1363</v>
      </c>
      <c r="H9" s="11" t="s">
        <v>187</v>
      </c>
      <c r="I9" s="11" t="s">
        <v>1000</v>
      </c>
      <c r="J9" s="11" t="s">
        <v>94</v>
      </c>
      <c r="K9" s="11" t="s">
        <v>103</v>
      </c>
      <c r="L9" s="3" t="s">
        <v>340</v>
      </c>
      <c r="M9" s="11" t="s">
        <v>95</v>
      </c>
      <c r="N9" s="13" t="s">
        <v>745</v>
      </c>
      <c r="O9" s="13" t="s">
        <v>147</v>
      </c>
      <c r="P9" s="11" t="s">
        <v>98</v>
      </c>
      <c r="Q9" s="127">
        <v>9.2899999999999991</v>
      </c>
      <c r="R9" s="152">
        <v>3.718</v>
      </c>
      <c r="S9" s="153">
        <v>170087.17</v>
      </c>
      <c r="T9" s="127">
        <v>58.747999999999998</v>
      </c>
      <c r="U9" s="154">
        <v>0</v>
      </c>
      <c r="V9" s="154">
        <v>0.35337917573070399</v>
      </c>
      <c r="W9" s="154">
        <v>3.1633108325347498E-3</v>
      </c>
    </row>
    <row r="10" spans="1:23">
      <c r="A10" s="11">
        <v>382</v>
      </c>
      <c r="B10" s="11">
        <v>7635</v>
      </c>
      <c r="C10" s="11" t="s">
        <v>1364</v>
      </c>
      <c r="D10" s="11" t="s">
        <v>1365</v>
      </c>
      <c r="E10" s="11" t="s">
        <v>184</v>
      </c>
      <c r="F10" s="11" t="s">
        <v>1366</v>
      </c>
      <c r="G10" s="11" t="s">
        <v>1367</v>
      </c>
      <c r="H10" s="11" t="s">
        <v>187</v>
      </c>
      <c r="I10" s="11" t="s">
        <v>1000</v>
      </c>
      <c r="J10" s="11" t="s">
        <v>94</v>
      </c>
      <c r="K10" s="11" t="s">
        <v>103</v>
      </c>
      <c r="L10" s="3" t="s">
        <v>340</v>
      </c>
      <c r="M10" s="11" t="s">
        <v>95</v>
      </c>
      <c r="N10" s="13" t="s">
        <v>745</v>
      </c>
      <c r="O10" s="13" t="s">
        <v>147</v>
      </c>
      <c r="P10" s="11" t="s">
        <v>98</v>
      </c>
      <c r="Q10" s="127">
        <v>850</v>
      </c>
      <c r="R10" s="152">
        <v>3.718</v>
      </c>
      <c r="S10" s="153">
        <v>1740</v>
      </c>
      <c r="T10" s="127">
        <v>54.988999999999997</v>
      </c>
      <c r="U10" s="154">
        <v>0</v>
      </c>
      <c r="V10" s="154">
        <v>0.33076675926545202</v>
      </c>
      <c r="W10" s="154">
        <v>2.9608934099279601E-3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10" xr:uid="{00000000-0002-0000-0800-000000000000}">
      <formula1>israel_abroad</formula1>
    </dataValidation>
    <dataValidation type="list" allowBlank="1" showInputMessage="1" showErrorMessage="1" sqref="O2:O10" xr:uid="{00000000-0002-0000-0800-000001000000}">
      <formula1>Holding_interest</formula1>
    </dataValidation>
    <dataValidation type="list" allowBlank="1" showInputMessage="1" showErrorMessage="1" sqref="N2:N10" xr:uid="{00000000-0002-0000-0800-000002000000}">
      <formula1>Fund_type</formula1>
    </dataValidation>
    <dataValidation type="list" allowBlank="1" showInputMessage="1" showErrorMessage="1" sqref="E2:E10" xr:uid="{00000000-0002-0000-0800-000003000000}">
      <formula1>Issuer_Type_TFunds</formula1>
    </dataValidation>
    <dataValidation type="list" allowBlank="1" showInputMessage="1" showErrorMessage="1" sqref="H2:H10" xr:uid="{00000000-0002-0000-0800-000004000000}">
      <formula1>Security_ID_Number_Type</formula1>
    </dataValidation>
    <dataValidation type="list" allowBlank="1" showInputMessage="1" showErrorMessage="1" sqref="L2:L10" xr:uid="{00000000-0002-0000-0800-000005000000}">
      <formula1>tradeable_status_funds</formula1>
    </dataValidation>
    <dataValidation type="list" allowBlank="1" showInputMessage="1" showErrorMessage="1" sqref="K2:K10" xr:uid="{00000000-0002-0000-0800-000006000000}">
      <formula1>Country_list_funds</formula1>
    </dataValidation>
    <dataValidation type="list" allowBlank="1" showInputMessage="1" showErrorMessage="1" sqref="M2:M1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3"/>
  <sheetViews>
    <sheetView rightToLeft="1" zoomScale="70" zoomScaleNormal="70" workbookViewId="0"/>
  </sheetViews>
  <sheetFormatPr defaultColWidth="0" defaultRowHeight="14.25" zeroHeight="1"/>
  <cols>
    <col min="1" max="25" width="11.625" customWidth="1"/>
    <col min="26" max="27" width="11.625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6</v>
      </c>
      <c r="J1" s="12" t="s">
        <v>7</v>
      </c>
      <c r="K1" s="12" t="s">
        <v>339</v>
      </c>
      <c r="L1" s="12" t="s">
        <v>8</v>
      </c>
      <c r="M1" s="12" t="s">
        <v>1123</v>
      </c>
      <c r="N1" s="12" t="s">
        <v>157</v>
      </c>
      <c r="O1" s="155" t="s">
        <v>1124</v>
      </c>
      <c r="P1" s="12" t="s">
        <v>133</v>
      </c>
      <c r="Q1" s="12" t="s">
        <v>11</v>
      </c>
      <c r="R1" s="144" t="s">
        <v>1125</v>
      </c>
      <c r="S1" s="12" t="s">
        <v>1126</v>
      </c>
      <c r="T1" s="12" t="s">
        <v>17</v>
      </c>
      <c r="U1" s="133" t="s">
        <v>18</v>
      </c>
      <c r="V1" s="144" t="s">
        <v>19</v>
      </c>
      <c r="W1" s="12" t="s">
        <v>20</v>
      </c>
      <c r="X1" s="139" t="s">
        <v>24</v>
      </c>
      <c r="Y1" s="139" t="s">
        <v>25</v>
      </c>
    </row>
    <row r="2" spans="1:25">
      <c r="A2" s="18">
        <v>382</v>
      </c>
      <c r="B2" s="13">
        <v>382</v>
      </c>
      <c r="C2" s="13" t="s">
        <v>1786</v>
      </c>
      <c r="D2" s="13" t="s">
        <v>1787</v>
      </c>
      <c r="E2" s="11" t="s">
        <v>1325</v>
      </c>
      <c r="F2" s="13" t="s">
        <v>2164</v>
      </c>
      <c r="G2" s="13" t="s">
        <v>2165</v>
      </c>
      <c r="H2" s="11" t="s">
        <v>187</v>
      </c>
      <c r="I2" s="11" t="s">
        <v>30</v>
      </c>
      <c r="J2" s="11" t="s">
        <v>30</v>
      </c>
      <c r="K2" s="13" t="s">
        <v>340</v>
      </c>
      <c r="L2" s="11" t="s">
        <v>31</v>
      </c>
      <c r="M2" s="13" t="s">
        <v>2166</v>
      </c>
      <c r="N2" s="13" t="s">
        <v>475</v>
      </c>
      <c r="O2" s="156" t="s">
        <v>2167</v>
      </c>
      <c r="P2" s="13" t="s">
        <v>147</v>
      </c>
      <c r="Q2" s="11" t="s">
        <v>34</v>
      </c>
      <c r="R2" s="153">
        <v>58000</v>
      </c>
      <c r="S2" s="127">
        <v>1</v>
      </c>
      <c r="T2" s="126">
        <v>6606</v>
      </c>
      <c r="U2" s="149">
        <v>1</v>
      </c>
      <c r="V2" s="150">
        <v>3573</v>
      </c>
      <c r="W2" s="126">
        <v>236.03200000000001</v>
      </c>
      <c r="X2" s="148">
        <v>1</v>
      </c>
      <c r="Y2" s="148">
        <v>8.1638784158440201E-5</v>
      </c>
    </row>
    <row r="3" spans="1:25">
      <c r="A3" s="13">
        <v>382</v>
      </c>
      <c r="B3" s="13">
        <v>7635</v>
      </c>
      <c r="C3" s="13" t="s">
        <v>1786</v>
      </c>
      <c r="D3" s="13" t="s">
        <v>1787</v>
      </c>
      <c r="E3" s="11" t="s">
        <v>1325</v>
      </c>
      <c r="F3" s="13" t="s">
        <v>2164</v>
      </c>
      <c r="G3" s="13" t="s">
        <v>2165</v>
      </c>
      <c r="H3" s="11" t="s">
        <v>187</v>
      </c>
      <c r="I3" s="11" t="s">
        <v>30</v>
      </c>
      <c r="J3" s="11" t="s">
        <v>30</v>
      </c>
      <c r="K3" s="13" t="s">
        <v>340</v>
      </c>
      <c r="L3" s="11" t="s">
        <v>31</v>
      </c>
      <c r="M3" s="13" t="s">
        <v>2166</v>
      </c>
      <c r="N3" s="13" t="s">
        <v>475</v>
      </c>
      <c r="O3" s="156" t="s">
        <v>2167</v>
      </c>
      <c r="P3" s="13" t="s">
        <v>147</v>
      </c>
      <c r="Q3" s="11" t="s">
        <v>34</v>
      </c>
      <c r="R3" s="153">
        <v>58000</v>
      </c>
      <c r="S3" s="127">
        <v>1</v>
      </c>
      <c r="T3" s="126">
        <v>51</v>
      </c>
      <c r="U3" s="149">
        <v>1</v>
      </c>
      <c r="V3" s="150">
        <v>3573</v>
      </c>
      <c r="W3" s="126">
        <v>1.8220000000000001</v>
      </c>
      <c r="X3" s="148">
        <v>1</v>
      </c>
      <c r="Y3" s="148">
        <v>9.8117936540525994E-5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3" xr:uid="{00000000-0002-0000-0900-000000000000}">
      <formula1>israel_abroad</formula1>
    </dataValidation>
    <dataValidation type="list" allowBlank="1" showInputMessage="1" showErrorMessage="1" sqref="N2:N3" xr:uid="{00000000-0002-0000-0900-000001000000}">
      <formula1>Industry_sectors</formula1>
    </dataValidation>
    <dataValidation type="list" allowBlank="1" showInputMessage="1" showErrorMessage="1" sqref="P2:P3" xr:uid="{00000000-0002-0000-0900-000002000000}">
      <formula1>Holding_interest</formula1>
    </dataValidation>
    <dataValidation type="list" allowBlank="1" showInputMessage="1" showErrorMessage="1" sqref="J2:J3" xr:uid="{00000000-0002-0000-0900-000003000000}">
      <formula1>Country_list</formula1>
    </dataValidation>
    <dataValidation type="list" allowBlank="1" showInputMessage="1" showErrorMessage="1" sqref="E2:E3" xr:uid="{00000000-0002-0000-0900-000004000000}">
      <formula1>Issuer_Type_TFunds</formula1>
    </dataValidation>
    <dataValidation type="list" allowBlank="1" showInputMessage="1" showErrorMessage="1" sqref="H2:H3" xr:uid="{00000000-0002-0000-0900-000005000000}">
      <formula1>Security_ID_Number_Type</formula1>
    </dataValidation>
    <dataValidation type="list" allowBlank="1" showInputMessage="1" showErrorMessage="1" sqref="K2:K3" xr:uid="{00000000-0002-0000-0900-000006000000}">
      <formula1>tradeable_status_warrants</formula1>
    </dataValidation>
    <dataValidation type="list" allowBlank="1" showInputMessage="1" showErrorMessage="1" sqref="L2:L3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"/>
  <sheetViews>
    <sheetView rightToLeft="1" topLeftCell="G1" zoomScale="70" zoomScaleNormal="70" workbookViewId="0"/>
  </sheetViews>
  <sheetFormatPr defaultColWidth="0" defaultRowHeight="14.25" zeroHeight="1"/>
  <cols>
    <col min="1" max="24" width="11.625" customWidth="1"/>
    <col min="25" max="25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157</v>
      </c>
      <c r="N1" s="12" t="s">
        <v>180</v>
      </c>
      <c r="O1" s="155" t="s">
        <v>1124</v>
      </c>
      <c r="P1" s="12" t="s">
        <v>133</v>
      </c>
      <c r="Q1" s="12" t="s">
        <v>11</v>
      </c>
      <c r="R1" s="144" t="s">
        <v>1125</v>
      </c>
      <c r="S1" s="12" t="s">
        <v>17</v>
      </c>
      <c r="T1" s="133" t="s">
        <v>18</v>
      </c>
      <c r="U1" s="144" t="s">
        <v>19</v>
      </c>
      <c r="V1" s="12" t="s">
        <v>20</v>
      </c>
      <c r="W1" s="139" t="s">
        <v>24</v>
      </c>
      <c r="X1" s="139" t="s">
        <v>25</v>
      </c>
    </row>
    <row r="2" spans="1:24">
      <c r="A2" s="13">
        <v>382</v>
      </c>
      <c r="B2" s="13">
        <v>11414</v>
      </c>
      <c r="C2" s="13" t="s">
        <v>1338</v>
      </c>
      <c r="D2" s="13" t="s">
        <v>1339</v>
      </c>
      <c r="E2" s="11" t="s">
        <v>1325</v>
      </c>
      <c r="F2" s="13" t="s">
        <v>1340</v>
      </c>
      <c r="G2" s="13" t="s">
        <v>1341</v>
      </c>
      <c r="H2" s="11" t="s">
        <v>187</v>
      </c>
      <c r="I2" s="13" t="s">
        <v>1003</v>
      </c>
      <c r="J2" s="11" t="s">
        <v>30</v>
      </c>
      <c r="K2" s="11" t="s">
        <v>30</v>
      </c>
      <c r="L2" s="11" t="s">
        <v>31</v>
      </c>
      <c r="M2" s="13" t="s">
        <v>1342</v>
      </c>
      <c r="N2" s="13" t="s">
        <v>760</v>
      </c>
      <c r="O2" s="156" t="s">
        <v>1343</v>
      </c>
      <c r="P2" s="13" t="s">
        <v>147</v>
      </c>
      <c r="Q2" s="11" t="s">
        <v>34</v>
      </c>
      <c r="R2" s="153">
        <v>2440</v>
      </c>
      <c r="S2" s="126">
        <v>20</v>
      </c>
      <c r="T2" s="149">
        <v>1</v>
      </c>
      <c r="U2" s="150">
        <v>158900</v>
      </c>
      <c r="V2" s="126">
        <v>31.78</v>
      </c>
      <c r="W2" s="148">
        <v>-1.7734375</v>
      </c>
      <c r="X2" s="148">
        <v>2.0623782335278799E-3</v>
      </c>
    </row>
    <row r="3" spans="1:24">
      <c r="A3" s="13">
        <v>382</v>
      </c>
      <c r="B3" s="13">
        <v>11414</v>
      </c>
      <c r="C3" s="13" t="s">
        <v>1338</v>
      </c>
      <c r="D3" s="13" t="s">
        <v>1339</v>
      </c>
      <c r="E3" s="11" t="s">
        <v>1325</v>
      </c>
      <c r="F3" s="13" t="s">
        <v>1344</v>
      </c>
      <c r="G3" s="13" t="s">
        <v>1345</v>
      </c>
      <c r="H3" s="11" t="s">
        <v>187</v>
      </c>
      <c r="I3" s="13" t="s">
        <v>1003</v>
      </c>
      <c r="J3" s="11" t="s">
        <v>30</v>
      </c>
      <c r="K3" s="11" t="s">
        <v>30</v>
      </c>
      <c r="L3" s="11" t="s">
        <v>31</v>
      </c>
      <c r="M3" s="13" t="s">
        <v>1342</v>
      </c>
      <c r="N3" s="13" t="s">
        <v>760</v>
      </c>
      <c r="O3" s="156" t="s">
        <v>1343</v>
      </c>
      <c r="P3" s="13" t="s">
        <v>147</v>
      </c>
      <c r="Q3" s="11" t="s">
        <v>34</v>
      </c>
      <c r="R3" s="153">
        <v>2440</v>
      </c>
      <c r="S3" s="126">
        <v>-20</v>
      </c>
      <c r="T3" s="149">
        <v>1</v>
      </c>
      <c r="U3" s="150">
        <v>248500</v>
      </c>
      <c r="V3" s="126">
        <v>-49.7</v>
      </c>
      <c r="W3" s="148">
        <v>2.7734375</v>
      </c>
      <c r="X3" s="148">
        <v>-3.2253051669709201E-3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3" xr:uid="{00000000-0002-0000-0A00-000000000000}">
      <formula1>israel_abroad</formula1>
    </dataValidation>
    <dataValidation type="list" allowBlank="1" showInputMessage="1" showErrorMessage="1" sqref="P2:P3" xr:uid="{00000000-0002-0000-0A00-000001000000}">
      <formula1>Holding_interest</formula1>
    </dataValidation>
    <dataValidation type="list" allowBlank="1" showInputMessage="1" showErrorMessage="1" sqref="N2:N3" xr:uid="{00000000-0002-0000-0A00-000002000000}">
      <formula1>Underlying_Asset</formula1>
    </dataValidation>
    <dataValidation type="list" allowBlank="1" showInputMessage="1" showErrorMessage="1" sqref="K2:K3" xr:uid="{00000000-0002-0000-0A00-000003000000}">
      <formula1>Country_list</formula1>
    </dataValidation>
    <dataValidation type="list" allowBlank="1" showInputMessage="1" showErrorMessage="1" sqref="E2:E3" xr:uid="{00000000-0002-0000-0A00-000004000000}">
      <formula1>Issuer_Type_TFunds</formula1>
    </dataValidation>
    <dataValidation type="list" allowBlank="1" showInputMessage="1" showErrorMessage="1" sqref="H2:H3" xr:uid="{00000000-0002-0000-0A00-000005000000}">
      <formula1>Security_ID_Number_Type</formula1>
    </dataValidation>
    <dataValidation type="list" allowBlank="1" showInputMessage="1" showErrorMessage="1" sqref="M2:M3" xr:uid="{00000000-0002-0000-0A00-000006000000}">
      <formula1>Industry_Sector</formula1>
    </dataValidation>
    <dataValidation type="list" allowBlank="1" showInputMessage="1" showErrorMessage="1" sqref="L2:L3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4"/>
  <sheetViews>
    <sheetView rightToLeft="1" zoomScale="70" zoomScaleNormal="70" workbookViewId="0"/>
  </sheetViews>
  <sheetFormatPr defaultColWidth="0" defaultRowHeight="14.25" zeroHeight="1"/>
  <cols>
    <col min="1" max="20" width="11.625" customWidth="1"/>
  </cols>
  <sheetData>
    <row r="1" spans="1:20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6</v>
      </c>
      <c r="J1" s="12" t="s">
        <v>7</v>
      </c>
      <c r="K1" s="12" t="s">
        <v>8</v>
      </c>
      <c r="L1" s="12" t="s">
        <v>180</v>
      </c>
      <c r="M1" s="12" t="s">
        <v>133</v>
      </c>
      <c r="N1" s="12" t="s">
        <v>11</v>
      </c>
      <c r="O1" s="12" t="s">
        <v>17</v>
      </c>
      <c r="P1" s="133" t="s">
        <v>18</v>
      </c>
      <c r="Q1" s="144" t="s">
        <v>19</v>
      </c>
      <c r="R1" s="12" t="s">
        <v>20</v>
      </c>
      <c r="S1" s="139" t="s">
        <v>24</v>
      </c>
      <c r="T1" s="139" t="s">
        <v>25</v>
      </c>
    </row>
    <row r="2" spans="1:20">
      <c r="A2" s="13">
        <v>382</v>
      </c>
      <c r="B2" s="13">
        <v>382</v>
      </c>
      <c r="C2" s="2" t="s">
        <v>2159</v>
      </c>
      <c r="D2" s="2" t="s">
        <v>2160</v>
      </c>
      <c r="E2" s="11" t="s">
        <v>33</v>
      </c>
      <c r="F2" s="13" t="s">
        <v>2161</v>
      </c>
      <c r="G2" s="13" t="s">
        <v>2162</v>
      </c>
      <c r="H2" s="11" t="s">
        <v>95</v>
      </c>
      <c r="I2" s="11" t="s">
        <v>94</v>
      </c>
      <c r="J2" s="11" t="s">
        <v>103</v>
      </c>
      <c r="K2" s="11" t="s">
        <v>2163</v>
      </c>
      <c r="L2" s="13" t="s">
        <v>760</v>
      </c>
      <c r="M2" s="13" t="s">
        <v>147</v>
      </c>
      <c r="N2" s="11" t="s">
        <v>98</v>
      </c>
      <c r="O2" s="126">
        <v>137</v>
      </c>
      <c r="P2" s="149">
        <v>3.718</v>
      </c>
      <c r="Q2" s="150">
        <v>5653.25</v>
      </c>
      <c r="R2" s="126">
        <v>-990.71699999999998</v>
      </c>
      <c r="S2" s="148">
        <v>1</v>
      </c>
      <c r="T2" s="148">
        <v>-3.4266875041490401E-4</v>
      </c>
    </row>
    <row r="3" spans="1:20">
      <c r="A3" s="13">
        <v>382</v>
      </c>
      <c r="B3" s="13">
        <v>9479</v>
      </c>
      <c r="C3" s="2" t="s">
        <v>2159</v>
      </c>
      <c r="D3" s="2" t="s">
        <v>2160</v>
      </c>
      <c r="E3" s="11" t="s">
        <v>33</v>
      </c>
      <c r="F3" s="13" t="s">
        <v>2161</v>
      </c>
      <c r="G3" s="13" t="s">
        <v>2162</v>
      </c>
      <c r="H3" s="11" t="s">
        <v>95</v>
      </c>
      <c r="I3" s="11" t="s">
        <v>94</v>
      </c>
      <c r="J3" s="11" t="s">
        <v>103</v>
      </c>
      <c r="K3" s="11" t="s">
        <v>2163</v>
      </c>
      <c r="L3" s="13" t="s">
        <v>760</v>
      </c>
      <c r="M3" s="13" t="s">
        <v>147</v>
      </c>
      <c r="N3" s="11" t="s">
        <v>98</v>
      </c>
      <c r="O3" s="126">
        <v>10</v>
      </c>
      <c r="P3" s="149">
        <v>3.718</v>
      </c>
      <c r="Q3" s="150">
        <v>5653.25</v>
      </c>
      <c r="R3" s="126">
        <v>-72.221999999999994</v>
      </c>
      <c r="S3" s="148">
        <v>1</v>
      </c>
      <c r="T3" s="148">
        <v>-1.0100061489815E-3</v>
      </c>
    </row>
    <row r="4" spans="1:20">
      <c r="A4" s="13">
        <v>382</v>
      </c>
      <c r="B4" s="13">
        <v>11414</v>
      </c>
      <c r="C4" s="2" t="s">
        <v>2159</v>
      </c>
      <c r="D4" s="2" t="s">
        <v>2160</v>
      </c>
      <c r="E4" s="11" t="s">
        <v>33</v>
      </c>
      <c r="F4" s="13" t="s">
        <v>2161</v>
      </c>
      <c r="G4" s="13" t="s">
        <v>2162</v>
      </c>
      <c r="H4" s="11" t="s">
        <v>95</v>
      </c>
      <c r="I4" s="11" t="s">
        <v>94</v>
      </c>
      <c r="J4" s="11" t="s">
        <v>103</v>
      </c>
      <c r="K4" s="11" t="s">
        <v>2163</v>
      </c>
      <c r="L4" s="13" t="s">
        <v>760</v>
      </c>
      <c r="M4" s="13" t="s">
        <v>147</v>
      </c>
      <c r="N4" s="11" t="s">
        <v>98</v>
      </c>
      <c r="O4" s="126">
        <v>2</v>
      </c>
      <c r="P4" s="149">
        <v>3.718</v>
      </c>
      <c r="Q4" s="150">
        <v>5653.25</v>
      </c>
      <c r="R4" s="126">
        <v>-14.481999999999999</v>
      </c>
      <c r="S4" s="148">
        <v>1</v>
      </c>
      <c r="T4" s="148">
        <v>-9.3979097704340704E-4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4" xr:uid="{00000000-0002-0000-0B00-000000000000}">
      <formula1>israel_abroad</formula1>
    </dataValidation>
    <dataValidation type="list" allowBlank="1" showInputMessage="1" showErrorMessage="1" sqref="M2:M4" xr:uid="{00000000-0002-0000-0B00-000001000000}">
      <formula1>Holding_interest</formula1>
    </dataValidation>
    <dataValidation type="list" allowBlank="1" showInputMessage="1" showErrorMessage="1" sqref="L2:L4" xr:uid="{00000000-0002-0000-0B00-000002000000}">
      <formula1>Underlying_Asset</formula1>
    </dataValidation>
    <dataValidation type="list" allowBlank="1" showInputMessage="1" showErrorMessage="1" sqref="J2:J4" xr:uid="{00000000-0002-0000-0B00-000003000000}">
      <formula1>Country_list</formula1>
    </dataValidation>
    <dataValidation type="list" allowBlank="1" showInputMessage="1" showErrorMessage="1" sqref="E2:E4" xr:uid="{00000000-0002-0000-0B00-000004000000}">
      <formula1>Issuer_Type_TFunds</formula1>
    </dataValidation>
    <dataValidation type="list" allowBlank="1" showInputMessage="1" showErrorMessage="1" sqref="H2:H4" xr:uid="{00000000-0002-0000-0B00-000005000000}">
      <formula1>Security_ID_Number_Type</formula1>
    </dataValidation>
    <dataValidation type="list" allowBlank="1" showInputMessage="1" showErrorMessage="1" sqref="K2:K4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8" width="11.625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339</v>
      </c>
      <c r="M1" s="12" t="s">
        <v>8</v>
      </c>
      <c r="N1" s="12" t="s">
        <v>180</v>
      </c>
      <c r="O1" s="12" t="s">
        <v>133</v>
      </c>
      <c r="P1" s="12" t="s">
        <v>12</v>
      </c>
      <c r="Q1" s="120" t="s">
        <v>14</v>
      </c>
      <c r="R1" s="12" t="s">
        <v>15</v>
      </c>
      <c r="S1" s="12" t="s">
        <v>9</v>
      </c>
      <c r="T1" s="12" t="s">
        <v>10</v>
      </c>
      <c r="U1" s="12" t="s">
        <v>181</v>
      </c>
      <c r="V1" s="12" t="s">
        <v>11</v>
      </c>
      <c r="W1" s="12" t="s">
        <v>17</v>
      </c>
      <c r="X1" s="12" t="s">
        <v>18</v>
      </c>
      <c r="Y1" s="12" t="s">
        <v>19</v>
      </c>
      <c r="Z1" s="12" t="s">
        <v>20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5" width="11.625" customWidth="1"/>
    <col min="26" max="27" width="0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156</v>
      </c>
      <c r="G1" s="12" t="s">
        <v>5</v>
      </c>
      <c r="H1" s="12" t="s">
        <v>6</v>
      </c>
      <c r="I1" s="12" t="s">
        <v>7</v>
      </c>
      <c r="J1" s="12" t="s">
        <v>165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0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/>
  <cols>
    <col min="1" max="18" width="11.625" customWidth="1"/>
    <col min="19" max="19" width="11.625" hidden="1" customWidth="1"/>
  </cols>
  <sheetData>
    <row r="1" spans="1:18" ht="66.75" customHeight="1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165</v>
      </c>
      <c r="G1" s="12" t="s">
        <v>12</v>
      </c>
      <c r="H1" s="12" t="s">
        <v>766</v>
      </c>
      <c r="I1" s="12" t="s">
        <v>13</v>
      </c>
      <c r="J1" s="120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/>
  <cols>
    <col min="1" max="7" width="11.625" customWidth="1"/>
    <col min="8" max="8" width="11.625" hidden="1" customWidth="1"/>
  </cols>
  <sheetData>
    <row r="1" spans="1:7" ht="66.75" customHeight="1">
      <c r="A1" s="12" t="s">
        <v>1128</v>
      </c>
      <c r="B1" s="12" t="s">
        <v>1</v>
      </c>
      <c r="C1" s="12" t="s">
        <v>5</v>
      </c>
      <c r="D1" s="12" t="s">
        <v>1129</v>
      </c>
      <c r="E1" s="12" t="s">
        <v>1130</v>
      </c>
      <c r="F1" s="12" t="s">
        <v>1131</v>
      </c>
      <c r="G1" s="12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zoomScale="70" zoomScaleNormal="70" workbookViewId="0"/>
  </sheetViews>
  <sheetFormatPr defaultColWidth="0" defaultRowHeight="14.25" zeroHeight="1"/>
  <cols>
    <col min="1" max="40" width="11.625" customWidth="1"/>
  </cols>
  <sheetData>
    <row r="1" spans="1:40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157</v>
      </c>
      <c r="M1" s="12" t="s">
        <v>133</v>
      </c>
      <c r="N1" s="12" t="s">
        <v>165</v>
      </c>
      <c r="O1" s="12" t="s">
        <v>9</v>
      </c>
      <c r="P1" s="12" t="s">
        <v>10</v>
      </c>
      <c r="Q1" s="12" t="s">
        <v>181</v>
      </c>
      <c r="R1" s="12" t="s">
        <v>11</v>
      </c>
      <c r="S1" s="12" t="s">
        <v>12</v>
      </c>
      <c r="T1" s="12" t="s">
        <v>766</v>
      </c>
      <c r="U1" s="12" t="s">
        <v>922</v>
      </c>
      <c r="V1" s="12" t="s">
        <v>13</v>
      </c>
      <c r="W1" s="12" t="s">
        <v>14</v>
      </c>
      <c r="X1" s="12" t="s">
        <v>15</v>
      </c>
      <c r="Y1" s="12" t="s">
        <v>423</v>
      </c>
      <c r="Z1" s="12" t="s">
        <v>844</v>
      </c>
      <c r="AA1" s="12" t="s">
        <v>158</v>
      </c>
      <c r="AB1" s="12" t="s">
        <v>159</v>
      </c>
      <c r="AC1" s="12" t="s">
        <v>171</v>
      </c>
      <c r="AD1" s="12" t="s">
        <v>142</v>
      </c>
      <c r="AE1" s="12" t="s">
        <v>160</v>
      </c>
      <c r="AF1" s="12" t="s">
        <v>17</v>
      </c>
      <c r="AG1" s="12" t="s">
        <v>18</v>
      </c>
      <c r="AH1" s="12" t="s">
        <v>19</v>
      </c>
      <c r="AI1" s="12" t="s">
        <v>20</v>
      </c>
      <c r="AJ1" s="12" t="s">
        <v>21</v>
      </c>
      <c r="AK1" s="12" t="s">
        <v>173</v>
      </c>
      <c r="AL1" s="12" t="s">
        <v>22</v>
      </c>
      <c r="AM1" s="12" t="s">
        <v>24</v>
      </c>
      <c r="AN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2"/>
  <sheetViews>
    <sheetView rightToLeft="1" zoomScale="70" zoomScaleNormal="70" workbookViewId="0">
      <selection activeCell="E6" sqref="E6"/>
    </sheetView>
  </sheetViews>
  <sheetFormatPr defaultColWidth="0" defaultRowHeight="14.25" zeroHeight="1"/>
  <cols>
    <col min="1" max="38" width="11.625" customWidth="1"/>
  </cols>
  <sheetData>
    <row r="1" spans="1:38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339</v>
      </c>
      <c r="M1" s="12" t="s">
        <v>157</v>
      </c>
      <c r="N1" s="12" t="s">
        <v>133</v>
      </c>
      <c r="O1" s="155" t="s">
        <v>165</v>
      </c>
      <c r="P1" s="12" t="s">
        <v>9</v>
      </c>
      <c r="Q1" s="12" t="s">
        <v>10</v>
      </c>
      <c r="R1" s="12" t="s">
        <v>181</v>
      </c>
      <c r="S1" s="12" t="s">
        <v>11</v>
      </c>
      <c r="T1" s="12" t="s">
        <v>12</v>
      </c>
      <c r="U1" s="12" t="s">
        <v>13</v>
      </c>
      <c r="V1" s="139" t="s">
        <v>15</v>
      </c>
      <c r="W1" s="139" t="s">
        <v>14</v>
      </c>
      <c r="X1" s="12" t="s">
        <v>423</v>
      </c>
      <c r="Y1" s="12" t="s">
        <v>844</v>
      </c>
      <c r="Z1" s="12" t="s">
        <v>158</v>
      </c>
      <c r="AA1" s="12" t="s">
        <v>159</v>
      </c>
      <c r="AB1" s="155" t="s">
        <v>142</v>
      </c>
      <c r="AC1" s="155" t="s">
        <v>160</v>
      </c>
      <c r="AD1" s="12" t="s">
        <v>17</v>
      </c>
      <c r="AE1" s="133" t="s">
        <v>18</v>
      </c>
      <c r="AF1" s="144" t="s">
        <v>19</v>
      </c>
      <c r="AG1" s="12" t="s">
        <v>20</v>
      </c>
      <c r="AH1" s="12" t="s">
        <v>21</v>
      </c>
      <c r="AI1" s="12" t="s">
        <v>173</v>
      </c>
      <c r="AJ1" s="12" t="s">
        <v>22</v>
      </c>
      <c r="AK1" s="139" t="s">
        <v>24</v>
      </c>
      <c r="AL1" s="139" t="s">
        <v>25</v>
      </c>
    </row>
    <row r="2" spans="1:38">
      <c r="A2" s="2">
        <v>382</v>
      </c>
      <c r="B2" s="13">
        <v>382</v>
      </c>
      <c r="C2" s="13" t="s">
        <v>2466</v>
      </c>
      <c r="D2" s="13" t="s">
        <v>2467</v>
      </c>
      <c r="E2" s="11" t="s">
        <v>184</v>
      </c>
      <c r="F2" s="13" t="s">
        <v>2468</v>
      </c>
      <c r="G2" s="13" t="s">
        <v>2469</v>
      </c>
      <c r="H2" s="13" t="s">
        <v>187</v>
      </c>
      <c r="I2" s="13" t="s">
        <v>769</v>
      </c>
      <c r="J2" s="11" t="s">
        <v>94</v>
      </c>
      <c r="K2" s="11" t="s">
        <v>235</v>
      </c>
      <c r="L2" s="13" t="s">
        <v>341</v>
      </c>
      <c r="M2" s="13" t="s">
        <v>1685</v>
      </c>
      <c r="N2" s="13" t="s">
        <v>147</v>
      </c>
      <c r="O2" s="156" t="s">
        <v>2458</v>
      </c>
      <c r="P2" s="13" t="s">
        <v>189</v>
      </c>
      <c r="Q2" s="13" t="s">
        <v>189</v>
      </c>
      <c r="R2" s="13" t="s">
        <v>189</v>
      </c>
      <c r="S2" s="11" t="s">
        <v>98</v>
      </c>
      <c r="T2" s="126">
        <v>17.510000000000002</v>
      </c>
      <c r="U2" s="13" t="s">
        <v>2470</v>
      </c>
      <c r="V2" s="148">
        <v>1.1039999999999999E-2</v>
      </c>
      <c r="W2" s="140">
        <v>0</v>
      </c>
      <c r="X2" s="11" t="s">
        <v>425</v>
      </c>
      <c r="Y2" s="11" t="s">
        <v>147</v>
      </c>
      <c r="Z2" s="13" t="s">
        <v>95</v>
      </c>
      <c r="AA2" s="13" t="s">
        <v>190</v>
      </c>
      <c r="AB2" s="157" t="s">
        <v>191</v>
      </c>
      <c r="AC2" s="156" t="s">
        <v>148</v>
      </c>
      <c r="AD2" s="126">
        <v>400000</v>
      </c>
      <c r="AE2" s="149">
        <v>3.718</v>
      </c>
      <c r="AF2" s="150">
        <v>0.1</v>
      </c>
      <c r="AG2" s="126">
        <v>1.4870000000000001</v>
      </c>
      <c r="AH2" s="13"/>
      <c r="AI2" s="18"/>
      <c r="AJ2" s="13" t="s">
        <v>36</v>
      </c>
      <c r="AK2" s="140">
        <v>8.0003120911223606E-5</v>
      </c>
      <c r="AL2" s="140">
        <v>5.1439213467420196E-7</v>
      </c>
    </row>
    <row r="3" spans="1:38">
      <c r="A3" s="13">
        <v>382</v>
      </c>
      <c r="B3" s="13">
        <v>382</v>
      </c>
      <c r="C3" s="13" t="s">
        <v>2471</v>
      </c>
      <c r="D3" s="13" t="s">
        <v>2472</v>
      </c>
      <c r="E3" s="11" t="s">
        <v>1325</v>
      </c>
      <c r="F3" s="13" t="s">
        <v>2473</v>
      </c>
      <c r="G3" s="13" t="s">
        <v>2474</v>
      </c>
      <c r="H3" s="13" t="s">
        <v>187</v>
      </c>
      <c r="I3" s="13" t="s">
        <v>768</v>
      </c>
      <c r="J3" s="11" t="s">
        <v>30</v>
      </c>
      <c r="K3" s="11" t="s">
        <v>30</v>
      </c>
      <c r="L3" s="13" t="s">
        <v>341</v>
      </c>
      <c r="M3" s="13" t="s">
        <v>462</v>
      </c>
      <c r="N3" s="13" t="s">
        <v>147</v>
      </c>
      <c r="O3" s="156" t="s">
        <v>2475</v>
      </c>
      <c r="P3" s="13" t="s">
        <v>2476</v>
      </c>
      <c r="Q3" s="13" t="s">
        <v>426</v>
      </c>
      <c r="R3" s="13" t="s">
        <v>420</v>
      </c>
      <c r="S3" s="11" t="s">
        <v>34</v>
      </c>
      <c r="T3" s="126">
        <v>0.01</v>
      </c>
      <c r="U3" s="13" t="s">
        <v>2477</v>
      </c>
      <c r="V3" s="148">
        <v>1E-4</v>
      </c>
      <c r="W3" s="140">
        <v>5.7000000000000002E-2</v>
      </c>
      <c r="X3" s="11" t="s">
        <v>424</v>
      </c>
      <c r="Y3" s="11" t="s">
        <v>353</v>
      </c>
      <c r="Z3" s="13" t="s">
        <v>95</v>
      </c>
      <c r="AA3" s="13" t="s">
        <v>190</v>
      </c>
      <c r="AB3" s="157" t="s">
        <v>2478</v>
      </c>
      <c r="AC3" s="156" t="s">
        <v>148</v>
      </c>
      <c r="AD3" s="126">
        <v>296667.31</v>
      </c>
      <c r="AE3" s="149">
        <v>1</v>
      </c>
      <c r="AF3" s="150">
        <v>0</v>
      </c>
      <c r="AG3" s="126">
        <v>0</v>
      </c>
      <c r="AH3" s="13"/>
      <c r="AI3" s="13"/>
      <c r="AJ3" s="13" t="s">
        <v>36</v>
      </c>
      <c r="AK3" s="140">
        <v>1.59590577409477E-10</v>
      </c>
      <c r="AL3" s="140">
        <v>1.02611169230065E-12</v>
      </c>
    </row>
    <row r="4" spans="1:38">
      <c r="A4" s="13">
        <v>382</v>
      </c>
      <c r="B4" s="13">
        <v>382</v>
      </c>
      <c r="C4" s="13" t="s">
        <v>2479</v>
      </c>
      <c r="D4" s="13" t="s">
        <v>2480</v>
      </c>
      <c r="E4" s="11" t="s">
        <v>1325</v>
      </c>
      <c r="F4" s="13" t="s">
        <v>2481</v>
      </c>
      <c r="G4" s="13" t="s">
        <v>2482</v>
      </c>
      <c r="H4" s="13" t="s">
        <v>187</v>
      </c>
      <c r="I4" s="13" t="s">
        <v>768</v>
      </c>
      <c r="J4" s="11" t="s">
        <v>30</v>
      </c>
      <c r="K4" s="11" t="s">
        <v>30</v>
      </c>
      <c r="L4" s="13" t="s">
        <v>341</v>
      </c>
      <c r="M4" s="13" t="s">
        <v>462</v>
      </c>
      <c r="N4" s="13" t="s">
        <v>147</v>
      </c>
      <c r="O4" s="157" t="s">
        <v>2483</v>
      </c>
      <c r="P4" s="13" t="s">
        <v>2484</v>
      </c>
      <c r="Q4" s="13" t="s">
        <v>426</v>
      </c>
      <c r="R4" s="13" t="s">
        <v>420</v>
      </c>
      <c r="S4" s="13" t="s">
        <v>34</v>
      </c>
      <c r="T4" s="126">
        <v>0.01</v>
      </c>
      <c r="U4" s="13" t="s">
        <v>1938</v>
      </c>
      <c r="V4" s="148">
        <v>3.4099999999999998E-2</v>
      </c>
      <c r="W4" s="140">
        <v>5.3499999999999999E-2</v>
      </c>
      <c r="X4" s="11" t="s">
        <v>424</v>
      </c>
      <c r="Y4" s="11" t="s">
        <v>147</v>
      </c>
      <c r="Z4" s="13" t="s">
        <v>95</v>
      </c>
      <c r="AA4" s="13" t="s">
        <v>1331</v>
      </c>
      <c r="AB4" s="157" t="s">
        <v>148</v>
      </c>
      <c r="AC4" s="157" t="s">
        <v>148</v>
      </c>
      <c r="AD4" s="124">
        <v>2218959.4500000002</v>
      </c>
      <c r="AE4" s="149">
        <v>1</v>
      </c>
      <c r="AF4" s="150">
        <v>15.04</v>
      </c>
      <c r="AG4" s="126">
        <v>333.73200000000003</v>
      </c>
      <c r="AH4" s="13"/>
      <c r="AI4" s="13"/>
      <c r="AJ4" s="13" t="s">
        <v>36</v>
      </c>
      <c r="AK4" s="140">
        <v>1.79529058961727E-2</v>
      </c>
      <c r="AL4" s="140">
        <v>1.15430916723672E-4</v>
      </c>
    </row>
    <row r="5" spans="1:38">
      <c r="A5" s="13">
        <v>382</v>
      </c>
      <c r="B5" s="13">
        <v>382</v>
      </c>
      <c r="C5" s="13" t="s">
        <v>2485</v>
      </c>
      <c r="D5" s="13" t="s">
        <v>2486</v>
      </c>
      <c r="E5" s="11" t="s">
        <v>1325</v>
      </c>
      <c r="F5" s="13" t="s">
        <v>2487</v>
      </c>
      <c r="G5" s="13" t="s">
        <v>2488</v>
      </c>
      <c r="H5" s="13" t="s">
        <v>187</v>
      </c>
      <c r="I5" s="13" t="s">
        <v>980</v>
      </c>
      <c r="J5" s="11" t="s">
        <v>30</v>
      </c>
      <c r="K5" s="11" t="s">
        <v>30</v>
      </c>
      <c r="L5" s="13" t="s">
        <v>341</v>
      </c>
      <c r="M5" s="13" t="s">
        <v>462</v>
      </c>
      <c r="N5" s="13" t="s">
        <v>147</v>
      </c>
      <c r="O5" s="156" t="s">
        <v>2489</v>
      </c>
      <c r="P5" s="13" t="s">
        <v>1887</v>
      </c>
      <c r="Q5" s="13" t="s">
        <v>428</v>
      </c>
      <c r="R5" s="13" t="s">
        <v>420</v>
      </c>
      <c r="S5" s="11" t="s">
        <v>34</v>
      </c>
      <c r="T5" s="126">
        <v>1.83</v>
      </c>
      <c r="U5" s="13" t="s">
        <v>2490</v>
      </c>
      <c r="V5" s="148">
        <v>5.0999999999999997E-2</v>
      </c>
      <c r="W5" s="140">
        <v>2.1000000000000001E-2</v>
      </c>
      <c r="X5" s="11" t="s">
        <v>425</v>
      </c>
      <c r="Y5" s="11" t="s">
        <v>147</v>
      </c>
      <c r="Z5" s="13" t="s">
        <v>907</v>
      </c>
      <c r="AA5" s="13" t="s">
        <v>1331</v>
      </c>
      <c r="AB5" s="157" t="s">
        <v>148</v>
      </c>
      <c r="AC5" s="156" t="s">
        <v>148</v>
      </c>
      <c r="AD5" s="126">
        <v>1736145.07</v>
      </c>
      <c r="AE5" s="149">
        <v>1</v>
      </c>
      <c r="AF5" s="150">
        <v>95.05</v>
      </c>
      <c r="AG5" s="124">
        <v>1650.2059999999999</v>
      </c>
      <c r="AH5" s="2"/>
      <c r="AI5" s="2"/>
      <c r="AJ5" s="13" t="s">
        <v>36</v>
      </c>
      <c r="AK5" s="140">
        <v>8.8771934688596302E-2</v>
      </c>
      <c r="AL5" s="140">
        <v>5.7077254566477399E-4</v>
      </c>
    </row>
    <row r="6" spans="1:38">
      <c r="A6" s="13">
        <v>382</v>
      </c>
      <c r="B6" s="13">
        <v>382</v>
      </c>
      <c r="C6" s="13" t="s">
        <v>2491</v>
      </c>
      <c r="D6" s="13" t="s">
        <v>2492</v>
      </c>
      <c r="E6" s="11" t="s">
        <v>1325</v>
      </c>
      <c r="F6" s="13" t="s">
        <v>2493</v>
      </c>
      <c r="G6" s="13" t="s">
        <v>2494</v>
      </c>
      <c r="H6" s="13" t="s">
        <v>187</v>
      </c>
      <c r="I6" s="13" t="s">
        <v>980</v>
      </c>
      <c r="J6" s="11" t="s">
        <v>30</v>
      </c>
      <c r="K6" s="11" t="s">
        <v>30</v>
      </c>
      <c r="L6" s="13" t="s">
        <v>341</v>
      </c>
      <c r="M6" s="13" t="s">
        <v>474</v>
      </c>
      <c r="N6" s="13" t="s">
        <v>147</v>
      </c>
      <c r="O6" s="156" t="s">
        <v>2229</v>
      </c>
      <c r="P6" s="13" t="s">
        <v>189</v>
      </c>
      <c r="Q6" s="13" t="s">
        <v>189</v>
      </c>
      <c r="R6" s="13" t="s">
        <v>189</v>
      </c>
      <c r="S6" s="11" t="s">
        <v>34</v>
      </c>
      <c r="T6" s="126">
        <v>0</v>
      </c>
      <c r="U6" s="13" t="s">
        <v>2495</v>
      </c>
      <c r="V6" s="148">
        <v>0</v>
      </c>
      <c r="W6" s="140">
        <v>0</v>
      </c>
      <c r="X6" s="11" t="s">
        <v>424</v>
      </c>
      <c r="Y6" s="11" t="s">
        <v>353</v>
      </c>
      <c r="Z6" s="13" t="s">
        <v>95</v>
      </c>
      <c r="AA6" s="13" t="s">
        <v>190</v>
      </c>
      <c r="AB6" s="157" t="s">
        <v>2496</v>
      </c>
      <c r="AC6" s="156" t="s">
        <v>148</v>
      </c>
      <c r="AD6" s="126">
        <v>43880.43</v>
      </c>
      <c r="AE6" s="149">
        <v>1</v>
      </c>
      <c r="AF6" s="150">
        <v>0</v>
      </c>
      <c r="AG6" s="124">
        <v>0</v>
      </c>
      <c r="AH6" s="2"/>
      <c r="AI6" s="2"/>
      <c r="AJ6" s="13" t="s">
        <v>36</v>
      </c>
      <c r="AK6" s="140">
        <v>2.3605240363948899E-11</v>
      </c>
      <c r="AL6" s="140">
        <v>1.5177345386042099E-13</v>
      </c>
    </row>
    <row r="7" spans="1:38">
      <c r="A7" s="13">
        <v>382</v>
      </c>
      <c r="B7" s="13">
        <v>382</v>
      </c>
      <c r="C7" s="13" t="s">
        <v>2497</v>
      </c>
      <c r="D7" s="13" t="s">
        <v>2498</v>
      </c>
      <c r="E7" s="11" t="s">
        <v>1325</v>
      </c>
      <c r="F7" s="13" t="s">
        <v>2499</v>
      </c>
      <c r="G7" s="13" t="s">
        <v>2500</v>
      </c>
      <c r="H7" s="13" t="s">
        <v>187</v>
      </c>
      <c r="I7" s="13" t="s">
        <v>768</v>
      </c>
      <c r="J7" s="11" t="s">
        <v>30</v>
      </c>
      <c r="K7" s="11" t="s">
        <v>30</v>
      </c>
      <c r="L7" s="13" t="s">
        <v>341</v>
      </c>
      <c r="M7" s="13" t="s">
        <v>490</v>
      </c>
      <c r="N7" s="13" t="s">
        <v>147</v>
      </c>
      <c r="O7" s="156" t="s">
        <v>2501</v>
      </c>
      <c r="P7" s="13" t="s">
        <v>1803</v>
      </c>
      <c r="Q7" s="13" t="s">
        <v>428</v>
      </c>
      <c r="R7" s="13" t="s">
        <v>420</v>
      </c>
      <c r="S7" s="11" t="s">
        <v>34</v>
      </c>
      <c r="T7" s="126">
        <v>3.48</v>
      </c>
      <c r="U7" s="13" t="s">
        <v>2029</v>
      </c>
      <c r="V7" s="148">
        <v>0.04</v>
      </c>
      <c r="W7" s="140">
        <v>4.4499999999999998E-2</v>
      </c>
      <c r="X7" s="11" t="s">
        <v>425</v>
      </c>
      <c r="Y7" s="11" t="s">
        <v>147</v>
      </c>
      <c r="Z7" s="13" t="s">
        <v>907</v>
      </c>
      <c r="AA7" s="13" t="s">
        <v>190</v>
      </c>
      <c r="AB7" s="157" t="s">
        <v>148</v>
      </c>
      <c r="AC7" s="156" t="s">
        <v>148</v>
      </c>
      <c r="AD7" s="126">
        <v>2660000</v>
      </c>
      <c r="AE7" s="149">
        <v>1</v>
      </c>
      <c r="AF7" s="150">
        <v>104.62</v>
      </c>
      <c r="AG7" s="126">
        <v>2782.8919999999998</v>
      </c>
      <c r="AH7" s="13"/>
      <c r="AI7" s="13"/>
      <c r="AJ7" s="13" t="s">
        <v>36</v>
      </c>
      <c r="AK7" s="140">
        <v>0.14970417237686701</v>
      </c>
      <c r="AL7" s="140">
        <v>9.6254555974163399E-4</v>
      </c>
    </row>
    <row r="8" spans="1:38">
      <c r="A8" s="13">
        <v>382</v>
      </c>
      <c r="B8" s="13">
        <v>382</v>
      </c>
      <c r="C8" s="13" t="s">
        <v>2491</v>
      </c>
      <c r="D8" s="13" t="s">
        <v>2492</v>
      </c>
      <c r="E8" s="11" t="s">
        <v>1325</v>
      </c>
      <c r="F8" s="13" t="s">
        <v>2502</v>
      </c>
      <c r="G8" s="13" t="s">
        <v>2503</v>
      </c>
      <c r="H8" s="13" t="s">
        <v>187</v>
      </c>
      <c r="I8" s="13" t="s">
        <v>768</v>
      </c>
      <c r="J8" s="11" t="s">
        <v>30</v>
      </c>
      <c r="K8" s="11" t="s">
        <v>30</v>
      </c>
      <c r="L8" s="13" t="s">
        <v>341</v>
      </c>
      <c r="M8" s="13" t="s">
        <v>474</v>
      </c>
      <c r="N8" s="13" t="s">
        <v>147</v>
      </c>
      <c r="O8" s="156" t="s">
        <v>2229</v>
      </c>
      <c r="P8" s="13" t="s">
        <v>189</v>
      </c>
      <c r="Q8" s="13" t="s">
        <v>189</v>
      </c>
      <c r="R8" s="13" t="s">
        <v>189</v>
      </c>
      <c r="S8" s="11" t="s">
        <v>34</v>
      </c>
      <c r="T8" s="126">
        <v>0</v>
      </c>
      <c r="U8" s="13" t="s">
        <v>2495</v>
      </c>
      <c r="V8" s="148">
        <v>0</v>
      </c>
      <c r="W8" s="140">
        <v>0</v>
      </c>
      <c r="X8" s="11" t="s">
        <v>424</v>
      </c>
      <c r="Y8" s="11" t="s">
        <v>353</v>
      </c>
      <c r="Z8" s="13" t="s">
        <v>95</v>
      </c>
      <c r="AA8" s="13" t="s">
        <v>190</v>
      </c>
      <c r="AB8" s="157" t="s">
        <v>2496</v>
      </c>
      <c r="AC8" s="156" t="s">
        <v>148</v>
      </c>
      <c r="AD8" s="126">
        <v>32173.599999999999</v>
      </c>
      <c r="AE8" s="149">
        <v>1</v>
      </c>
      <c r="AF8" s="150">
        <v>0</v>
      </c>
      <c r="AG8" s="126">
        <v>0</v>
      </c>
      <c r="AH8" s="13"/>
      <c r="AI8" s="13"/>
      <c r="AJ8" s="13" t="s">
        <v>36</v>
      </c>
      <c r="AK8" s="140">
        <v>1.7307614382391999E-11</v>
      </c>
      <c r="AL8" s="140">
        <v>1.11281917591137E-13</v>
      </c>
    </row>
    <row r="9" spans="1:38">
      <c r="A9" s="13">
        <v>382</v>
      </c>
      <c r="B9" s="13">
        <v>382</v>
      </c>
      <c r="C9" s="13" t="s">
        <v>2504</v>
      </c>
      <c r="D9" s="13" t="s">
        <v>2505</v>
      </c>
      <c r="E9" s="11" t="s">
        <v>1325</v>
      </c>
      <c r="F9" s="13" t="s">
        <v>2506</v>
      </c>
      <c r="G9" s="13" t="s">
        <v>2507</v>
      </c>
      <c r="H9" s="13" t="s">
        <v>187</v>
      </c>
      <c r="I9" s="13" t="s">
        <v>980</v>
      </c>
      <c r="J9" s="11" t="s">
        <v>30</v>
      </c>
      <c r="K9" s="11" t="s">
        <v>30</v>
      </c>
      <c r="L9" s="13" t="s">
        <v>341</v>
      </c>
      <c r="M9" s="13" t="s">
        <v>490</v>
      </c>
      <c r="N9" s="13" t="s">
        <v>147</v>
      </c>
      <c r="O9" s="156" t="s">
        <v>2508</v>
      </c>
      <c r="P9" s="13" t="s">
        <v>1887</v>
      </c>
      <c r="Q9" s="13" t="s">
        <v>428</v>
      </c>
      <c r="R9" s="13" t="s">
        <v>420</v>
      </c>
      <c r="S9" s="11" t="s">
        <v>34</v>
      </c>
      <c r="T9" s="126">
        <v>3.17</v>
      </c>
      <c r="U9" s="13" t="s">
        <v>2509</v>
      </c>
      <c r="V9" s="148">
        <v>6.1030000000000001E-2</v>
      </c>
      <c r="W9" s="140">
        <v>7.3099999999999998E-2</v>
      </c>
      <c r="X9" s="11" t="s">
        <v>425</v>
      </c>
      <c r="Y9" s="11" t="s">
        <v>147</v>
      </c>
      <c r="Z9" s="13" t="s">
        <v>907</v>
      </c>
      <c r="AA9" s="13" t="s">
        <v>1331</v>
      </c>
      <c r="AB9" s="157" t="s">
        <v>148</v>
      </c>
      <c r="AC9" s="156" t="s">
        <v>148</v>
      </c>
      <c r="AD9" s="126">
        <v>6300000</v>
      </c>
      <c r="AE9" s="149">
        <v>1</v>
      </c>
      <c r="AF9" s="150">
        <v>109.05</v>
      </c>
      <c r="AG9" s="126">
        <v>6870.15</v>
      </c>
      <c r="AH9" s="13"/>
      <c r="AI9" s="13"/>
      <c r="AJ9" s="13" t="s">
        <v>36</v>
      </c>
      <c r="AK9" s="140">
        <v>0.36957600936541402</v>
      </c>
      <c r="AL9" s="140">
        <v>2.3762447041635101E-3</v>
      </c>
    </row>
    <row r="10" spans="1:38">
      <c r="A10" s="13">
        <v>382</v>
      </c>
      <c r="B10" s="13">
        <v>382</v>
      </c>
      <c r="C10" s="13" t="s">
        <v>2510</v>
      </c>
      <c r="D10" s="13" t="s">
        <v>2511</v>
      </c>
      <c r="E10" s="11" t="s">
        <v>1325</v>
      </c>
      <c r="F10" s="13" t="s">
        <v>2512</v>
      </c>
      <c r="G10" s="13" t="s">
        <v>2513</v>
      </c>
      <c r="H10" s="13" t="s">
        <v>187</v>
      </c>
      <c r="I10" s="13" t="s">
        <v>768</v>
      </c>
      <c r="J10" s="11" t="s">
        <v>30</v>
      </c>
      <c r="K10" s="11" t="s">
        <v>30</v>
      </c>
      <c r="L10" s="13" t="s">
        <v>341</v>
      </c>
      <c r="M10" s="13" t="s">
        <v>489</v>
      </c>
      <c r="N10" s="13" t="s">
        <v>147</v>
      </c>
      <c r="O10" s="156" t="s">
        <v>2229</v>
      </c>
      <c r="P10" s="13" t="s">
        <v>104</v>
      </c>
      <c r="Q10" s="13" t="s">
        <v>426</v>
      </c>
      <c r="R10" s="13" t="s">
        <v>420</v>
      </c>
      <c r="S10" s="11" t="s">
        <v>34</v>
      </c>
      <c r="T10" s="126">
        <v>0.83</v>
      </c>
      <c r="U10" s="13" t="s">
        <v>2514</v>
      </c>
      <c r="V10" s="148">
        <v>2.8199999999999999E-2</v>
      </c>
      <c r="W10" s="140">
        <v>5.6000000000000001E-2</v>
      </c>
      <c r="X10" s="11" t="s">
        <v>425</v>
      </c>
      <c r="Y10" s="11" t="s">
        <v>147</v>
      </c>
      <c r="Z10" s="13" t="s">
        <v>907</v>
      </c>
      <c r="AA10" s="13" t="s">
        <v>1331</v>
      </c>
      <c r="AB10" s="157" t="s">
        <v>148</v>
      </c>
      <c r="AC10" s="156" t="s">
        <v>148</v>
      </c>
      <c r="AD10" s="126">
        <v>800773.72</v>
      </c>
      <c r="AE10" s="149">
        <v>1</v>
      </c>
      <c r="AF10" s="150">
        <v>144.82</v>
      </c>
      <c r="AG10" s="126">
        <v>1159.681</v>
      </c>
      <c r="AH10" s="13"/>
      <c r="AI10" s="13"/>
      <c r="AJ10" s="13" t="s">
        <v>36</v>
      </c>
      <c r="AK10" s="140">
        <v>6.2384386339572599E-2</v>
      </c>
      <c r="AL10" s="140">
        <v>4.0110982289255799E-4</v>
      </c>
    </row>
    <row r="11" spans="1:38">
      <c r="A11" s="13">
        <v>382</v>
      </c>
      <c r="B11" s="13">
        <v>382</v>
      </c>
      <c r="C11" s="13" t="s">
        <v>2515</v>
      </c>
      <c r="D11" s="13" t="s">
        <v>2516</v>
      </c>
      <c r="E11" s="11" t="s">
        <v>1325</v>
      </c>
      <c r="F11" s="13" t="s">
        <v>2517</v>
      </c>
      <c r="G11" s="13" t="s">
        <v>2518</v>
      </c>
      <c r="H11" s="13" t="s">
        <v>187</v>
      </c>
      <c r="I11" s="13" t="s">
        <v>768</v>
      </c>
      <c r="J11" s="11" t="s">
        <v>30</v>
      </c>
      <c r="K11" s="11" t="s">
        <v>30</v>
      </c>
      <c r="L11" s="13" t="s">
        <v>341</v>
      </c>
      <c r="M11" s="13" t="s">
        <v>457</v>
      </c>
      <c r="N11" s="13" t="s">
        <v>147</v>
      </c>
      <c r="O11" s="156" t="s">
        <v>2519</v>
      </c>
      <c r="P11" s="13" t="s">
        <v>1182</v>
      </c>
      <c r="Q11" s="13" t="s">
        <v>426</v>
      </c>
      <c r="R11" s="13" t="s">
        <v>420</v>
      </c>
      <c r="S11" s="11" t="s">
        <v>34</v>
      </c>
      <c r="T11" s="126">
        <v>4.62</v>
      </c>
      <c r="U11" s="13" t="s">
        <v>2520</v>
      </c>
      <c r="V11" s="148">
        <v>2.5600000000000001E-2</v>
      </c>
      <c r="W11" s="140">
        <v>2.1399999999999999E-2</v>
      </c>
      <c r="X11" s="11" t="s">
        <v>425</v>
      </c>
      <c r="Y11" s="11" t="s">
        <v>147</v>
      </c>
      <c r="Z11" s="13" t="s">
        <v>907</v>
      </c>
      <c r="AA11" s="13" t="s">
        <v>1331</v>
      </c>
      <c r="AB11" s="157" t="s">
        <v>148</v>
      </c>
      <c r="AC11" s="156" t="s">
        <v>148</v>
      </c>
      <c r="AD11" s="126">
        <v>1790052.57</v>
      </c>
      <c r="AE11" s="149">
        <v>1</v>
      </c>
      <c r="AF11" s="150">
        <v>115.11</v>
      </c>
      <c r="AG11" s="126">
        <v>2060.5300000000002</v>
      </c>
      <c r="AH11" s="13"/>
      <c r="AI11" s="13"/>
      <c r="AJ11" s="13" t="s">
        <v>36</v>
      </c>
      <c r="AK11" s="140">
        <v>0.110845072482413</v>
      </c>
      <c r="AL11" s="140">
        <v>7.1269511492702401E-4</v>
      </c>
    </row>
    <row r="12" spans="1:38">
      <c r="A12" s="13">
        <v>382</v>
      </c>
      <c r="B12" s="13">
        <v>382</v>
      </c>
      <c r="C12" s="13" t="s">
        <v>2515</v>
      </c>
      <c r="D12" s="13" t="s">
        <v>2516</v>
      </c>
      <c r="E12" s="11" t="s">
        <v>1325</v>
      </c>
      <c r="F12" s="13" t="s">
        <v>2521</v>
      </c>
      <c r="G12" s="13" t="s">
        <v>2522</v>
      </c>
      <c r="H12" s="13" t="s">
        <v>187</v>
      </c>
      <c r="I12" s="13" t="s">
        <v>980</v>
      </c>
      <c r="J12" s="11" t="s">
        <v>30</v>
      </c>
      <c r="K12" s="11" t="s">
        <v>30</v>
      </c>
      <c r="L12" s="13" t="s">
        <v>341</v>
      </c>
      <c r="M12" s="13" t="s">
        <v>457</v>
      </c>
      <c r="N12" s="13" t="s">
        <v>147</v>
      </c>
      <c r="O12" s="156" t="s">
        <v>2523</v>
      </c>
      <c r="P12" s="13" t="s">
        <v>1182</v>
      </c>
      <c r="Q12" s="13" t="s">
        <v>426</v>
      </c>
      <c r="R12" s="13" t="s">
        <v>420</v>
      </c>
      <c r="S12" s="11" t="s">
        <v>34</v>
      </c>
      <c r="T12" s="126">
        <v>4.3499999999999996</v>
      </c>
      <c r="U12" s="13" t="s">
        <v>2520</v>
      </c>
      <c r="V12" s="148">
        <v>5.0500000000000003E-2</v>
      </c>
      <c r="W12" s="140">
        <v>3.7400000000000003E-2</v>
      </c>
      <c r="X12" s="11" t="s">
        <v>425</v>
      </c>
      <c r="Y12" s="11" t="s">
        <v>147</v>
      </c>
      <c r="Z12" s="13" t="s">
        <v>907</v>
      </c>
      <c r="AA12" s="13" t="s">
        <v>1331</v>
      </c>
      <c r="AB12" s="157" t="s">
        <v>148</v>
      </c>
      <c r="AC12" s="156" t="s">
        <v>148</v>
      </c>
      <c r="AD12" s="126">
        <v>3930255.16</v>
      </c>
      <c r="AE12" s="149">
        <v>1</v>
      </c>
      <c r="AF12" s="150">
        <v>94.92</v>
      </c>
      <c r="AG12" s="126">
        <v>3730.598</v>
      </c>
      <c r="AH12" s="13"/>
      <c r="AI12" s="13"/>
      <c r="AJ12" s="13" t="s">
        <v>36</v>
      </c>
      <c r="AK12" s="140">
        <v>0.20068551552955</v>
      </c>
      <c r="AL12" s="140">
        <v>1.29033779627159E-3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12" xr:uid="{00000000-0002-0000-1100-000000000000}">
      <formula1>israel_abroad</formula1>
    </dataValidation>
    <dataValidation type="list" allowBlank="1" showInputMessage="1" showErrorMessage="1" sqref="N2:N12" xr:uid="{00000000-0002-0000-1100-000001000000}">
      <formula1>Holding_interest</formula1>
    </dataValidation>
    <dataValidation type="list" allowBlank="1" showInputMessage="1" showErrorMessage="1" sqref="K2:K12" xr:uid="{00000000-0002-0000-1100-000002000000}">
      <formula1>Country_list</formula1>
    </dataValidation>
    <dataValidation type="list" allowBlank="1" showInputMessage="1" showErrorMessage="1" sqref="E3:E12" xr:uid="{00000000-0002-0000-1100-000003000000}">
      <formula1>Issuer_Number_Type_2</formula1>
    </dataValidation>
    <dataValidation type="list" allowBlank="1" showInputMessage="1" showErrorMessage="1" sqref="P8 P6 P2 Q2:Q12" xr:uid="{00000000-0002-0000-1100-000004000000}">
      <formula1>Rating_Agency</formula1>
    </dataValidation>
    <dataValidation type="list" allowBlank="1" showInputMessage="1" showErrorMessage="1" sqref="P4 R2:R12" xr:uid="{00000000-0002-0000-1100-000005000000}">
      <formula1>What_is_rated</formula1>
    </dataValidation>
    <dataValidation type="list" allowBlank="1" showInputMessage="1" showErrorMessage="1" sqref="V4 X2:X12" xr:uid="{00000000-0002-0000-1100-000006000000}">
      <formula1>Subordination_Risk</formula1>
    </dataValidation>
    <dataValidation type="list" allowBlank="1" showInputMessage="1" showErrorMessage="1" sqref="Z2:Z12" xr:uid="{00000000-0002-0000-1100-000007000000}">
      <formula1>Valuation</formula1>
    </dataValidation>
    <dataValidation type="list" allowBlank="1" showInputMessage="1" showErrorMessage="1" sqref="AA2:AA12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12" xr:uid="{00000000-0002-0000-1100-00000A000000}">
      <formula1>Yes_No_Bad_Debt</formula1>
    </dataValidation>
    <dataValidation type="list" allowBlank="1" showInputMessage="1" showErrorMessage="1" sqref="H2:H12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12" xr:uid="{00000000-0002-0000-1100-00000D000000}">
      <formula1>In_the_books</formula1>
    </dataValidation>
    <dataValidation type="list" allowBlank="1" showInputMessage="1" showErrorMessage="1" sqref="M2:M12" xr:uid="{00000000-0002-0000-1100-00000E000000}">
      <formula1>Industry_Sector</formula1>
    </dataValidation>
    <dataValidation type="list" allowBlank="1" showInputMessage="1" showErrorMessage="1" sqref="L2:L12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I2:I12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9"/>
  <sheetViews>
    <sheetView rightToLeft="1" zoomScale="70" zoomScaleNormal="70" workbookViewId="0"/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339</v>
      </c>
      <c r="M1" s="12" t="s">
        <v>157</v>
      </c>
      <c r="N1" s="12" t="s">
        <v>133</v>
      </c>
      <c r="O1" s="155" t="s">
        <v>165</v>
      </c>
      <c r="P1" s="12" t="s">
        <v>11</v>
      </c>
      <c r="Q1" s="12" t="s">
        <v>158</v>
      </c>
      <c r="R1" s="12" t="s">
        <v>159</v>
      </c>
      <c r="S1" s="155" t="s">
        <v>142</v>
      </c>
      <c r="T1" s="155" t="s">
        <v>160</v>
      </c>
      <c r="U1" s="12" t="s">
        <v>17</v>
      </c>
      <c r="V1" s="133" t="s">
        <v>18</v>
      </c>
      <c r="W1" s="144" t="s">
        <v>19</v>
      </c>
      <c r="X1" s="12" t="s">
        <v>20</v>
      </c>
      <c r="Y1" s="139" t="s">
        <v>24</v>
      </c>
      <c r="Z1" s="139" t="s">
        <v>25</v>
      </c>
    </row>
    <row r="2" spans="1:26">
      <c r="A2" s="13">
        <v>382</v>
      </c>
      <c r="B2" s="13">
        <v>382</v>
      </c>
      <c r="C2" s="13" t="s">
        <v>2432</v>
      </c>
      <c r="D2" s="13" t="s">
        <v>2433</v>
      </c>
      <c r="E2" s="11" t="s">
        <v>1325</v>
      </c>
      <c r="F2" s="13" t="s">
        <v>2432</v>
      </c>
      <c r="G2" s="13" t="s">
        <v>2434</v>
      </c>
      <c r="H2" s="11" t="s">
        <v>187</v>
      </c>
      <c r="I2" s="13" t="s">
        <v>780</v>
      </c>
      <c r="J2" s="11" t="s">
        <v>30</v>
      </c>
      <c r="K2" s="11" t="s">
        <v>30</v>
      </c>
      <c r="L2" s="13" t="s">
        <v>341</v>
      </c>
      <c r="M2" s="13" t="s">
        <v>477</v>
      </c>
      <c r="N2" s="13" t="s">
        <v>147</v>
      </c>
      <c r="O2" s="156" t="s">
        <v>2229</v>
      </c>
      <c r="P2" s="11" t="s">
        <v>34</v>
      </c>
      <c r="Q2" s="13" t="s">
        <v>95</v>
      </c>
      <c r="R2" s="13" t="s">
        <v>190</v>
      </c>
      <c r="S2" s="156" t="s">
        <v>2435</v>
      </c>
      <c r="T2" s="156" t="s">
        <v>2436</v>
      </c>
      <c r="U2" s="126">
        <v>12282</v>
      </c>
      <c r="V2" s="149">
        <v>1</v>
      </c>
      <c r="W2" s="150">
        <v>0</v>
      </c>
      <c r="X2" s="126">
        <v>0</v>
      </c>
      <c r="Y2" s="148">
        <v>4.3055978263799196E-11</v>
      </c>
      <c r="Z2" s="148">
        <v>4.2480931939675499E-14</v>
      </c>
    </row>
    <row r="3" spans="1:26">
      <c r="A3" s="13">
        <v>382</v>
      </c>
      <c r="B3" s="13">
        <v>382</v>
      </c>
      <c r="C3" s="13" t="s">
        <v>2437</v>
      </c>
      <c r="D3" s="13" t="s">
        <v>2438</v>
      </c>
      <c r="E3" s="11" t="s">
        <v>1325</v>
      </c>
      <c r="F3" s="13" t="s">
        <v>2439</v>
      </c>
      <c r="G3" s="13" t="s">
        <v>2440</v>
      </c>
      <c r="H3" s="11" t="s">
        <v>33</v>
      </c>
      <c r="I3" s="13" t="s">
        <v>780</v>
      </c>
      <c r="J3" s="11" t="s">
        <v>30</v>
      </c>
      <c r="K3" s="11" t="s">
        <v>30</v>
      </c>
      <c r="L3" s="13" t="s">
        <v>341</v>
      </c>
      <c r="M3" s="13" t="s">
        <v>490</v>
      </c>
      <c r="N3" s="13" t="s">
        <v>147</v>
      </c>
      <c r="O3" s="156" t="s">
        <v>2441</v>
      </c>
      <c r="P3" s="11" t="s">
        <v>34</v>
      </c>
      <c r="Q3" s="13" t="s">
        <v>95</v>
      </c>
      <c r="R3" s="13" t="s">
        <v>190</v>
      </c>
      <c r="S3" s="156" t="s">
        <v>2442</v>
      </c>
      <c r="T3" s="156" t="s">
        <v>2443</v>
      </c>
      <c r="U3" s="126">
        <v>1325</v>
      </c>
      <c r="V3" s="149">
        <v>1</v>
      </c>
      <c r="W3" s="150">
        <v>124567.094</v>
      </c>
      <c r="X3" s="126">
        <v>1650.5139999999999</v>
      </c>
      <c r="Y3" s="148">
        <v>0.57860686137717299</v>
      </c>
      <c r="Z3" s="148">
        <v>5.7087911340430997E-4</v>
      </c>
    </row>
    <row r="4" spans="1:26">
      <c r="A4" s="13">
        <v>382</v>
      </c>
      <c r="B4" s="13">
        <v>382</v>
      </c>
      <c r="C4" s="13" t="s">
        <v>1614</v>
      </c>
      <c r="D4" s="13" t="s">
        <v>1615</v>
      </c>
      <c r="E4" s="11" t="s">
        <v>1325</v>
      </c>
      <c r="F4" s="13" t="s">
        <v>2444</v>
      </c>
      <c r="G4" s="13" t="s">
        <v>2445</v>
      </c>
      <c r="H4" s="11" t="s">
        <v>33</v>
      </c>
      <c r="I4" s="13" t="s">
        <v>780</v>
      </c>
      <c r="J4" s="11" t="s">
        <v>30</v>
      </c>
      <c r="K4" s="11" t="s">
        <v>30</v>
      </c>
      <c r="L4" s="13" t="s">
        <v>341</v>
      </c>
      <c r="M4" s="13" t="s">
        <v>475</v>
      </c>
      <c r="N4" s="13" t="s">
        <v>147</v>
      </c>
      <c r="O4" s="157" t="s">
        <v>2441</v>
      </c>
      <c r="P4" s="11" t="s">
        <v>34</v>
      </c>
      <c r="Q4" s="13" t="s">
        <v>95</v>
      </c>
      <c r="R4" s="13" t="s">
        <v>190</v>
      </c>
      <c r="S4" s="156" t="s">
        <v>2443</v>
      </c>
      <c r="T4" s="156" t="s">
        <v>2442</v>
      </c>
      <c r="U4" s="126">
        <v>150</v>
      </c>
      <c r="V4" s="149">
        <v>1</v>
      </c>
      <c r="W4" s="150">
        <v>570012</v>
      </c>
      <c r="X4" s="126">
        <v>855.01800000000003</v>
      </c>
      <c r="Y4" s="148">
        <v>0.29973649587328599</v>
      </c>
      <c r="Z4" s="148">
        <v>2.9573328012699501E-4</v>
      </c>
    </row>
    <row r="5" spans="1:26">
      <c r="A5" s="13">
        <v>382</v>
      </c>
      <c r="B5" s="13">
        <v>382</v>
      </c>
      <c r="C5" s="13" t="s">
        <v>2446</v>
      </c>
      <c r="D5" s="13" t="s">
        <v>2447</v>
      </c>
      <c r="E5" s="11" t="s">
        <v>184</v>
      </c>
      <c r="F5" s="13" t="s">
        <v>2448</v>
      </c>
      <c r="G5" s="13" t="s">
        <v>2449</v>
      </c>
      <c r="H5" s="11" t="s">
        <v>187</v>
      </c>
      <c r="I5" s="13" t="s">
        <v>780</v>
      </c>
      <c r="J5" s="11" t="s">
        <v>30</v>
      </c>
      <c r="K5" s="11" t="s">
        <v>30</v>
      </c>
      <c r="L5" s="13" t="s">
        <v>341</v>
      </c>
      <c r="M5" s="13" t="s">
        <v>489</v>
      </c>
      <c r="N5" s="13" t="s">
        <v>147</v>
      </c>
      <c r="O5" s="156" t="s">
        <v>2450</v>
      </c>
      <c r="P5" s="11" t="s">
        <v>98</v>
      </c>
      <c r="Q5" s="13" t="s">
        <v>95</v>
      </c>
      <c r="R5" s="13" t="s">
        <v>190</v>
      </c>
      <c r="S5" s="156" t="s">
        <v>2450</v>
      </c>
      <c r="T5" s="156" t="s">
        <v>148</v>
      </c>
      <c r="U5" s="126">
        <v>820</v>
      </c>
      <c r="V5" s="149">
        <v>3.718</v>
      </c>
      <c r="W5" s="150">
        <v>40.9</v>
      </c>
      <c r="X5" s="126">
        <v>1.2470000000000001</v>
      </c>
      <c r="Y5" s="148">
        <v>4.3713030300635101E-4</v>
      </c>
      <c r="Z5" s="148">
        <v>4.3129208531758398E-7</v>
      </c>
    </row>
    <row r="6" spans="1:26">
      <c r="A6" s="13">
        <v>382</v>
      </c>
      <c r="B6" s="13">
        <v>382</v>
      </c>
      <c r="C6" s="13" t="s">
        <v>2451</v>
      </c>
      <c r="D6" s="13" t="s">
        <v>2452</v>
      </c>
      <c r="E6" s="11" t="s">
        <v>1325</v>
      </c>
      <c r="F6" s="13" t="s">
        <v>2453</v>
      </c>
      <c r="G6" s="13" t="s">
        <v>2454</v>
      </c>
      <c r="H6" s="11" t="s">
        <v>33</v>
      </c>
      <c r="I6" s="13" t="s">
        <v>780</v>
      </c>
      <c r="J6" s="11" t="s">
        <v>30</v>
      </c>
      <c r="K6" s="11" t="s">
        <v>30</v>
      </c>
      <c r="L6" s="13" t="s">
        <v>341</v>
      </c>
      <c r="M6" s="13" t="s">
        <v>458</v>
      </c>
      <c r="N6" s="13" t="s">
        <v>147</v>
      </c>
      <c r="O6" s="156" t="s">
        <v>2229</v>
      </c>
      <c r="P6" s="11" t="s">
        <v>34</v>
      </c>
      <c r="Q6" s="13" t="s">
        <v>95</v>
      </c>
      <c r="R6" s="13" t="s">
        <v>190</v>
      </c>
      <c r="S6" s="156" t="s">
        <v>2455</v>
      </c>
      <c r="T6" s="156" t="s">
        <v>148</v>
      </c>
      <c r="U6" s="126">
        <v>2156</v>
      </c>
      <c r="V6" s="149">
        <v>1</v>
      </c>
      <c r="W6" s="150">
        <v>0</v>
      </c>
      <c r="X6" s="126">
        <v>0</v>
      </c>
      <c r="Y6" s="148">
        <v>7.5581085439465093E-12</v>
      </c>
      <c r="Z6" s="148">
        <v>7.4571640825550005E-15</v>
      </c>
    </row>
    <row r="7" spans="1:26">
      <c r="A7" s="13">
        <v>382</v>
      </c>
      <c r="B7" s="13">
        <v>382</v>
      </c>
      <c r="C7" s="13" t="s">
        <v>182</v>
      </c>
      <c r="D7" s="13" t="s">
        <v>183</v>
      </c>
      <c r="E7" s="11" t="s">
        <v>184</v>
      </c>
      <c r="F7" s="13" t="s">
        <v>2456</v>
      </c>
      <c r="G7" s="13" t="s">
        <v>2457</v>
      </c>
      <c r="H7" s="11" t="s">
        <v>187</v>
      </c>
      <c r="I7" s="13" t="s">
        <v>780</v>
      </c>
      <c r="J7" s="11" t="s">
        <v>94</v>
      </c>
      <c r="K7" s="11" t="s">
        <v>103</v>
      </c>
      <c r="L7" s="13" t="s">
        <v>341</v>
      </c>
      <c r="M7" s="13" t="s">
        <v>1698</v>
      </c>
      <c r="N7" s="13" t="s">
        <v>147</v>
      </c>
      <c r="O7" s="156" t="s">
        <v>2458</v>
      </c>
      <c r="P7" s="11" t="s">
        <v>98</v>
      </c>
      <c r="Q7" s="13" t="s">
        <v>95</v>
      </c>
      <c r="R7" s="13" t="s">
        <v>190</v>
      </c>
      <c r="S7" s="156" t="s">
        <v>2459</v>
      </c>
      <c r="T7" s="156" t="s">
        <v>148</v>
      </c>
      <c r="U7" s="126">
        <v>89</v>
      </c>
      <c r="V7" s="149">
        <v>3.718</v>
      </c>
      <c r="W7" s="150">
        <v>0</v>
      </c>
      <c r="X7" s="126">
        <v>0</v>
      </c>
      <c r="Y7" s="148">
        <v>1.1600154143826499E-12</v>
      </c>
      <c r="Z7" s="148">
        <v>1.1445224996501E-15</v>
      </c>
    </row>
    <row r="8" spans="1:26">
      <c r="A8" s="13">
        <v>382</v>
      </c>
      <c r="B8" s="13">
        <v>382</v>
      </c>
      <c r="C8" s="13" t="s">
        <v>182</v>
      </c>
      <c r="D8" s="13" t="s">
        <v>183</v>
      </c>
      <c r="E8" s="11" t="s">
        <v>184</v>
      </c>
      <c r="F8" s="13" t="s">
        <v>2460</v>
      </c>
      <c r="G8" s="13" t="s">
        <v>2461</v>
      </c>
      <c r="H8" s="11" t="s">
        <v>187</v>
      </c>
      <c r="I8" s="13" t="s">
        <v>780</v>
      </c>
      <c r="J8" s="11" t="s">
        <v>94</v>
      </c>
      <c r="K8" s="11" t="s">
        <v>103</v>
      </c>
      <c r="L8" s="13" t="s">
        <v>341</v>
      </c>
      <c r="M8" s="13" t="s">
        <v>1698</v>
      </c>
      <c r="N8" s="13" t="s">
        <v>147</v>
      </c>
      <c r="O8" s="156" t="s">
        <v>2458</v>
      </c>
      <c r="P8" s="11" t="s">
        <v>98</v>
      </c>
      <c r="Q8" s="13" t="s">
        <v>95</v>
      </c>
      <c r="R8" s="13" t="s">
        <v>190</v>
      </c>
      <c r="S8" s="156" t="s">
        <v>2462</v>
      </c>
      <c r="T8" s="156" t="s">
        <v>148</v>
      </c>
      <c r="U8" s="126">
        <v>0</v>
      </c>
      <c r="V8" s="149">
        <v>3.718</v>
      </c>
      <c r="W8" s="150">
        <v>0</v>
      </c>
      <c r="X8" s="126">
        <v>345.774</v>
      </c>
      <c r="Y8" s="148">
        <v>0.12121509386245601</v>
      </c>
      <c r="Z8" s="148">
        <v>1.19596171311752E-4</v>
      </c>
    </row>
    <row r="9" spans="1:26">
      <c r="A9" s="13">
        <v>382</v>
      </c>
      <c r="B9" s="13">
        <v>382</v>
      </c>
      <c r="C9" s="13" t="s">
        <v>182</v>
      </c>
      <c r="D9" s="13" t="s">
        <v>183</v>
      </c>
      <c r="E9" s="11" t="s">
        <v>184</v>
      </c>
      <c r="F9" s="13" t="s">
        <v>2463</v>
      </c>
      <c r="G9" s="13" t="s">
        <v>2464</v>
      </c>
      <c r="H9" s="11" t="s">
        <v>187</v>
      </c>
      <c r="I9" s="13" t="s">
        <v>780</v>
      </c>
      <c r="J9" s="11" t="s">
        <v>94</v>
      </c>
      <c r="K9" s="11" t="s">
        <v>103</v>
      </c>
      <c r="L9" s="13" t="s">
        <v>341</v>
      </c>
      <c r="M9" s="13" t="s">
        <v>501</v>
      </c>
      <c r="N9" s="13" t="s">
        <v>147</v>
      </c>
      <c r="O9" s="156" t="s">
        <v>2465</v>
      </c>
      <c r="P9" s="11" t="s">
        <v>98</v>
      </c>
      <c r="Q9" s="13" t="s">
        <v>95</v>
      </c>
      <c r="R9" s="13" t="s">
        <v>190</v>
      </c>
      <c r="S9" s="156" t="s">
        <v>148</v>
      </c>
      <c r="T9" s="156" t="s">
        <v>148</v>
      </c>
      <c r="U9" s="126">
        <v>133</v>
      </c>
      <c r="V9" s="149">
        <v>3.718</v>
      </c>
      <c r="W9" s="150">
        <v>0</v>
      </c>
      <c r="X9" s="126">
        <v>1.2999999999999999E-2</v>
      </c>
      <c r="Y9" s="148">
        <v>4.4185323041980096E-6</v>
      </c>
      <c r="Z9" s="148">
        <v>4.3595193433500805E-9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9" xr:uid="{00000000-0002-0000-1200-000000000000}">
      <formula1>israel_abroad</formula1>
    </dataValidation>
    <dataValidation type="list" allowBlank="1" showInputMessage="1" showErrorMessage="1" sqref="N2:N9" xr:uid="{00000000-0002-0000-1200-000001000000}">
      <formula1>Holding_interest</formula1>
    </dataValidation>
    <dataValidation type="list" allowBlank="1" showInputMessage="1" showErrorMessage="1" sqref="Q2:Q9" xr:uid="{00000000-0002-0000-1200-000002000000}">
      <formula1>Valuation</formula1>
    </dataValidation>
    <dataValidation type="list" allowBlank="1" showInputMessage="1" showErrorMessage="1" sqref="R2:R9" xr:uid="{00000000-0002-0000-1200-000003000000}">
      <formula1>Dependence_Independence</formula1>
    </dataValidation>
    <dataValidation type="list" allowBlank="1" showInputMessage="1" showErrorMessage="1" sqref="K2:K9" xr:uid="{00000000-0002-0000-1200-000004000000}">
      <formula1>Country_list</formula1>
    </dataValidation>
    <dataValidation type="list" allowBlank="1" showInputMessage="1" showErrorMessage="1" sqref="E3:E9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9" xr:uid="{00000000-0002-0000-1200-000009000000}">
      <formula1>Industry_Sector</formula1>
    </dataValidation>
    <dataValidation type="list" allowBlank="1" showInputMessage="1" showErrorMessage="1" sqref="L2:L9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66"/>
  <sheetViews>
    <sheetView rightToLeft="1" zoomScale="70" zoomScaleNormal="70" workbookViewId="0">
      <selection activeCell="W2" sqref="W2:W68"/>
    </sheetView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207</v>
      </c>
      <c r="D1" s="12" t="s">
        <v>208</v>
      </c>
      <c r="E1" s="12" t="s">
        <v>209</v>
      </c>
      <c r="F1" s="12" t="s">
        <v>210</v>
      </c>
      <c r="G1" s="12" t="s">
        <v>211</v>
      </c>
      <c r="H1" s="12" t="s">
        <v>212</v>
      </c>
      <c r="I1" s="12" t="s">
        <v>5</v>
      </c>
      <c r="J1" s="12" t="s">
        <v>845</v>
      </c>
      <c r="K1" s="12" t="s">
        <v>6</v>
      </c>
      <c r="L1" s="12" t="s">
        <v>1134</v>
      </c>
      <c r="M1" s="12" t="s">
        <v>1135</v>
      </c>
      <c r="N1" s="12" t="s">
        <v>7</v>
      </c>
      <c r="O1" s="12" t="s">
        <v>133</v>
      </c>
      <c r="P1" s="158" t="s">
        <v>165</v>
      </c>
      <c r="Q1" s="12" t="s">
        <v>11</v>
      </c>
      <c r="R1" s="12" t="s">
        <v>158</v>
      </c>
      <c r="S1" s="12" t="s">
        <v>159</v>
      </c>
      <c r="T1" s="155" t="s">
        <v>142</v>
      </c>
      <c r="U1" s="133" t="s">
        <v>18</v>
      </c>
      <c r="V1" s="91" t="s">
        <v>2168</v>
      </c>
      <c r="W1" s="12" t="s">
        <v>20</v>
      </c>
      <c r="X1" s="139" t="s">
        <v>1137</v>
      </c>
      <c r="Y1" s="139" t="s">
        <v>24</v>
      </c>
      <c r="Z1" s="139" t="s">
        <v>25</v>
      </c>
    </row>
    <row r="2" spans="1:26">
      <c r="A2" s="173">
        <v>382</v>
      </c>
      <c r="B2" s="173">
        <v>382</v>
      </c>
      <c r="C2" s="173" t="s">
        <v>2169</v>
      </c>
      <c r="D2" s="173" t="s">
        <v>2170</v>
      </c>
      <c r="E2" s="173" t="s">
        <v>33</v>
      </c>
      <c r="F2" s="173" t="s">
        <v>2171</v>
      </c>
      <c r="G2" s="173">
        <v>603978741</v>
      </c>
      <c r="H2" s="173" t="s">
        <v>33</v>
      </c>
      <c r="I2" s="174" t="s">
        <v>1039</v>
      </c>
      <c r="J2" s="173" t="s">
        <v>847</v>
      </c>
      <c r="K2" s="175" t="s">
        <v>94</v>
      </c>
      <c r="L2" s="173" t="s">
        <v>2172</v>
      </c>
      <c r="M2" s="173" t="s">
        <v>2173</v>
      </c>
      <c r="N2" s="175" t="s">
        <v>30</v>
      </c>
      <c r="O2" s="173" t="s">
        <v>147</v>
      </c>
      <c r="P2" s="176" t="s">
        <v>2174</v>
      </c>
      <c r="Q2" s="175" t="s">
        <v>98</v>
      </c>
      <c r="R2" s="173" t="s">
        <v>908</v>
      </c>
      <c r="S2" s="173" t="s">
        <v>190</v>
      </c>
      <c r="T2" s="177" t="s">
        <v>2175</v>
      </c>
      <c r="U2" s="178">
        <v>3.718</v>
      </c>
      <c r="V2" s="179">
        <v>1731.4659999999999</v>
      </c>
      <c r="W2" s="179">
        <v>6437.5889999999999</v>
      </c>
      <c r="X2" s="180">
        <v>0</v>
      </c>
      <c r="Y2" s="180">
        <v>1.38322279759666E-2</v>
      </c>
      <c r="Z2" s="180">
        <v>2.2266308280972898E-3</v>
      </c>
    </row>
    <row r="3" spans="1:26">
      <c r="A3" s="173">
        <v>382</v>
      </c>
      <c r="B3" s="173">
        <v>382</v>
      </c>
      <c r="C3" s="173" t="s">
        <v>2176</v>
      </c>
      <c r="D3" s="174" t="s">
        <v>2177</v>
      </c>
      <c r="E3" s="173" t="s">
        <v>184</v>
      </c>
      <c r="F3" s="173" t="s">
        <v>2178</v>
      </c>
      <c r="G3" s="173">
        <v>27940028</v>
      </c>
      <c r="H3" s="173" t="s">
        <v>33</v>
      </c>
      <c r="I3" s="174" t="s">
        <v>1039</v>
      </c>
      <c r="J3" s="173" t="s">
        <v>861</v>
      </c>
      <c r="K3" s="175" t="s">
        <v>30</v>
      </c>
      <c r="L3" s="173" t="s">
        <v>235</v>
      </c>
      <c r="M3" s="173" t="s">
        <v>2179</v>
      </c>
      <c r="N3" s="175" t="s">
        <v>30</v>
      </c>
      <c r="O3" s="173" t="s">
        <v>147</v>
      </c>
      <c r="P3" s="176" t="s">
        <v>2180</v>
      </c>
      <c r="Q3" s="175" t="s">
        <v>34</v>
      </c>
      <c r="R3" s="173" t="s">
        <v>908</v>
      </c>
      <c r="S3" s="173" t="s">
        <v>190</v>
      </c>
      <c r="T3" s="177" t="s">
        <v>1313</v>
      </c>
      <c r="U3" s="178">
        <v>1</v>
      </c>
      <c r="V3" s="179">
        <v>3686.3119999999999</v>
      </c>
      <c r="W3" s="179">
        <v>3686.3119999999999</v>
      </c>
      <c r="X3" s="180">
        <v>0</v>
      </c>
      <c r="Y3" s="180">
        <v>7.9206526417331096E-3</v>
      </c>
      <c r="Z3" s="180">
        <v>1.2750201472514901E-3</v>
      </c>
    </row>
    <row r="4" spans="1:26">
      <c r="A4" s="173">
        <v>382</v>
      </c>
      <c r="B4" s="173">
        <v>382</v>
      </c>
      <c r="C4" s="173" t="s">
        <v>2181</v>
      </c>
      <c r="D4" s="174" t="s">
        <v>2182</v>
      </c>
      <c r="E4" s="173" t="s">
        <v>1325</v>
      </c>
      <c r="F4" s="173" t="s">
        <v>2183</v>
      </c>
      <c r="G4" s="173">
        <v>27940008</v>
      </c>
      <c r="H4" s="173" t="s">
        <v>33</v>
      </c>
      <c r="I4" s="174" t="s">
        <v>1039</v>
      </c>
      <c r="J4" s="173" t="s">
        <v>852</v>
      </c>
      <c r="K4" s="175" t="s">
        <v>30</v>
      </c>
      <c r="L4" s="173" t="s">
        <v>30</v>
      </c>
      <c r="M4" s="173" t="s">
        <v>2184</v>
      </c>
      <c r="N4" s="175" t="s">
        <v>30</v>
      </c>
      <c r="O4" s="173" t="s">
        <v>147</v>
      </c>
      <c r="P4" s="176" t="s">
        <v>2185</v>
      </c>
      <c r="Q4" s="175" t="s">
        <v>98</v>
      </c>
      <c r="R4" s="173" t="s">
        <v>906</v>
      </c>
      <c r="S4" s="173" t="s">
        <v>909</v>
      </c>
      <c r="T4" s="177" t="s">
        <v>148</v>
      </c>
      <c r="U4" s="178">
        <v>3.718</v>
      </c>
      <c r="V4" s="179">
        <v>2823.7069999999999</v>
      </c>
      <c r="W4" s="179">
        <v>10498.541999999999</v>
      </c>
      <c r="X4" s="180">
        <v>1.1908E-2</v>
      </c>
      <c r="Y4" s="180">
        <v>2.2557857467884398E-2</v>
      </c>
      <c r="Z4" s="180">
        <v>3.6312314213651502E-3</v>
      </c>
    </row>
    <row r="5" spans="1:26">
      <c r="A5" s="173">
        <v>382</v>
      </c>
      <c r="B5" s="173">
        <v>382</v>
      </c>
      <c r="C5" s="173" t="s">
        <v>2186</v>
      </c>
      <c r="D5" s="174" t="s">
        <v>2187</v>
      </c>
      <c r="E5" s="173" t="s">
        <v>1325</v>
      </c>
      <c r="F5" s="173" t="s">
        <v>2188</v>
      </c>
      <c r="G5" s="173">
        <v>27940039</v>
      </c>
      <c r="H5" s="173" t="s">
        <v>33</v>
      </c>
      <c r="I5" s="174" t="s">
        <v>1039</v>
      </c>
      <c r="J5" s="173" t="s">
        <v>581</v>
      </c>
      <c r="K5" s="175" t="s">
        <v>30</v>
      </c>
      <c r="L5" s="173" t="s">
        <v>30</v>
      </c>
      <c r="M5" s="173" t="s">
        <v>2643</v>
      </c>
      <c r="N5" s="175" t="s">
        <v>30</v>
      </c>
      <c r="O5" s="173" t="s">
        <v>147</v>
      </c>
      <c r="P5" s="176" t="s">
        <v>2189</v>
      </c>
      <c r="Q5" s="175" t="s">
        <v>98</v>
      </c>
      <c r="R5" s="173" t="s">
        <v>95</v>
      </c>
      <c r="S5" s="173"/>
      <c r="T5" s="177" t="s">
        <v>2189</v>
      </c>
      <c r="U5" s="178">
        <v>3.718</v>
      </c>
      <c r="V5" s="179">
        <v>769.26300000000003</v>
      </c>
      <c r="W5" s="179">
        <v>2860.12</v>
      </c>
      <c r="X5" s="180">
        <v>0</v>
      </c>
      <c r="Y5" s="180">
        <v>6.14544155551744E-3</v>
      </c>
      <c r="Z5" s="180">
        <v>9.8925709173970102E-4</v>
      </c>
    </row>
    <row r="6" spans="1:26">
      <c r="A6" s="173">
        <v>382</v>
      </c>
      <c r="B6" s="173">
        <v>382</v>
      </c>
      <c r="C6" s="173" t="s">
        <v>2190</v>
      </c>
      <c r="D6" s="174" t="s">
        <v>2187</v>
      </c>
      <c r="E6" s="173" t="s">
        <v>1325</v>
      </c>
      <c r="F6" s="173" t="s">
        <v>2191</v>
      </c>
      <c r="G6" s="173">
        <v>620120592</v>
      </c>
      <c r="H6" s="173" t="s">
        <v>33</v>
      </c>
      <c r="I6" s="174" t="s">
        <v>1039</v>
      </c>
      <c r="J6" s="173" t="s">
        <v>847</v>
      </c>
      <c r="K6" s="175" t="s">
        <v>30</v>
      </c>
      <c r="L6" s="173" t="s">
        <v>30</v>
      </c>
      <c r="M6" s="173" t="s">
        <v>2192</v>
      </c>
      <c r="N6" s="175" t="s">
        <v>30</v>
      </c>
      <c r="O6" s="173" t="s">
        <v>147</v>
      </c>
      <c r="P6" s="176" t="s">
        <v>2193</v>
      </c>
      <c r="Q6" s="175" t="s">
        <v>98</v>
      </c>
      <c r="R6" s="173" t="s">
        <v>906</v>
      </c>
      <c r="S6" s="173" t="s">
        <v>909</v>
      </c>
      <c r="T6" s="177" t="s">
        <v>2194</v>
      </c>
      <c r="U6" s="178">
        <v>3.718</v>
      </c>
      <c r="V6" s="179">
        <v>1808.9010000000001</v>
      </c>
      <c r="W6" s="179">
        <v>6725.4930000000004</v>
      </c>
      <c r="X6" s="180">
        <v>0</v>
      </c>
      <c r="Y6" s="180">
        <v>1.4450836296831301E-2</v>
      </c>
      <c r="Z6" s="180">
        <v>2.3262107627360202E-3</v>
      </c>
    </row>
    <row r="7" spans="1:26">
      <c r="A7" s="173">
        <v>382</v>
      </c>
      <c r="B7" s="173">
        <v>382</v>
      </c>
      <c r="C7" s="173" t="s">
        <v>2195</v>
      </c>
      <c r="D7" s="174" t="s">
        <v>2196</v>
      </c>
      <c r="E7" s="173" t="s">
        <v>328</v>
      </c>
      <c r="F7" s="173" t="s">
        <v>2197</v>
      </c>
      <c r="G7" s="173">
        <v>27940001</v>
      </c>
      <c r="H7" s="173" t="s">
        <v>33</v>
      </c>
      <c r="I7" s="174" t="s">
        <v>1039</v>
      </c>
      <c r="J7" s="173" t="s">
        <v>859</v>
      </c>
      <c r="K7" s="175" t="s">
        <v>30</v>
      </c>
      <c r="L7" s="173" t="s">
        <v>235</v>
      </c>
      <c r="M7" s="173" t="s">
        <v>2198</v>
      </c>
      <c r="N7" s="175" t="s">
        <v>30</v>
      </c>
      <c r="O7" s="173" t="s">
        <v>147</v>
      </c>
      <c r="P7" s="176" t="s">
        <v>2199</v>
      </c>
      <c r="Q7" s="175" t="s">
        <v>34</v>
      </c>
      <c r="R7" s="173" t="s">
        <v>906</v>
      </c>
      <c r="S7" s="173" t="s">
        <v>909</v>
      </c>
      <c r="T7" s="177" t="s">
        <v>1313</v>
      </c>
      <c r="U7" s="178">
        <v>1</v>
      </c>
      <c r="V7" s="179">
        <v>3487.2849999999999</v>
      </c>
      <c r="W7" s="179">
        <v>3487.2849999999999</v>
      </c>
      <c r="X7" s="180">
        <v>0</v>
      </c>
      <c r="Y7" s="180">
        <v>7.4930098788688702E-3</v>
      </c>
      <c r="Z7" s="180">
        <v>1.2061807266707501E-3</v>
      </c>
    </row>
    <row r="8" spans="1:26">
      <c r="A8" s="173">
        <v>382</v>
      </c>
      <c r="B8" s="173">
        <v>382</v>
      </c>
      <c r="C8" s="173" t="s">
        <v>2195</v>
      </c>
      <c r="D8" s="174" t="s">
        <v>2196</v>
      </c>
      <c r="E8" s="173" t="s">
        <v>328</v>
      </c>
      <c r="F8" s="173" t="s">
        <v>2200</v>
      </c>
      <c r="G8" s="173">
        <v>27940027</v>
      </c>
      <c r="H8" s="173" t="s">
        <v>33</v>
      </c>
      <c r="I8" s="174" t="s">
        <v>1039</v>
      </c>
      <c r="J8" s="173" t="s">
        <v>859</v>
      </c>
      <c r="K8" s="175" t="s">
        <v>30</v>
      </c>
      <c r="L8" s="173" t="s">
        <v>235</v>
      </c>
      <c r="M8" s="173" t="s">
        <v>2198</v>
      </c>
      <c r="N8" s="175" t="s">
        <v>30</v>
      </c>
      <c r="O8" s="173" t="s">
        <v>147</v>
      </c>
      <c r="P8" s="176" t="s">
        <v>2201</v>
      </c>
      <c r="Q8" s="175" t="s">
        <v>34</v>
      </c>
      <c r="R8" s="173" t="s">
        <v>906</v>
      </c>
      <c r="S8" s="173" t="s">
        <v>909</v>
      </c>
      <c r="T8" s="177" t="s">
        <v>2202</v>
      </c>
      <c r="U8" s="178">
        <v>1</v>
      </c>
      <c r="V8" s="179">
        <v>3729.9349999999999</v>
      </c>
      <c r="W8" s="179">
        <v>3729.9349999999999</v>
      </c>
      <c r="X8" s="180">
        <v>0</v>
      </c>
      <c r="Y8" s="180">
        <v>8.0143831901032993E-3</v>
      </c>
      <c r="Z8" s="180">
        <v>1.29010834048386E-3</v>
      </c>
    </row>
    <row r="9" spans="1:26">
      <c r="A9" s="173">
        <v>382</v>
      </c>
      <c r="B9" s="173">
        <v>382</v>
      </c>
      <c r="C9" s="173" t="s">
        <v>2203</v>
      </c>
      <c r="D9" s="174" t="s">
        <v>2204</v>
      </c>
      <c r="E9" s="173" t="s">
        <v>328</v>
      </c>
      <c r="F9" s="173" t="s">
        <v>2205</v>
      </c>
      <c r="G9" s="173">
        <v>27940011</v>
      </c>
      <c r="H9" s="173" t="s">
        <v>33</v>
      </c>
      <c r="I9" s="174" t="s">
        <v>1039</v>
      </c>
      <c r="J9" s="173" t="s">
        <v>865</v>
      </c>
      <c r="K9" s="175" t="s">
        <v>30</v>
      </c>
      <c r="L9" s="173" t="s">
        <v>235</v>
      </c>
      <c r="M9" s="173" t="s">
        <v>2206</v>
      </c>
      <c r="N9" s="175" t="s">
        <v>30</v>
      </c>
      <c r="O9" s="173" t="s">
        <v>147</v>
      </c>
      <c r="P9" s="176" t="s">
        <v>2207</v>
      </c>
      <c r="Q9" s="175" t="s">
        <v>98</v>
      </c>
      <c r="R9" s="173" t="s">
        <v>906</v>
      </c>
      <c r="S9" s="173" t="s">
        <v>909</v>
      </c>
      <c r="T9" s="177" t="s">
        <v>2208</v>
      </c>
      <c r="U9" s="178">
        <v>3.718</v>
      </c>
      <c r="V9" s="179">
        <v>2385.413</v>
      </c>
      <c r="W9" s="179">
        <v>8868.9670000000006</v>
      </c>
      <c r="X9" s="180">
        <v>0</v>
      </c>
      <c r="Y9" s="180">
        <v>1.9056445161849799E-2</v>
      </c>
      <c r="Z9" s="180">
        <v>3.0675946308175899E-3</v>
      </c>
    </row>
    <row r="10" spans="1:26">
      <c r="A10" s="173">
        <v>382</v>
      </c>
      <c r="B10" s="173">
        <v>382</v>
      </c>
      <c r="C10" s="173" t="s">
        <v>2209</v>
      </c>
      <c r="D10" s="174" t="s">
        <v>2210</v>
      </c>
      <c r="E10" s="173" t="s">
        <v>33</v>
      </c>
      <c r="F10" s="173" t="s">
        <v>2211</v>
      </c>
      <c r="G10" s="173">
        <v>62006168</v>
      </c>
      <c r="H10" s="173" t="s">
        <v>33</v>
      </c>
      <c r="I10" s="174" t="s">
        <v>1039</v>
      </c>
      <c r="J10" s="173" t="s">
        <v>852</v>
      </c>
      <c r="K10" s="175" t="s">
        <v>30</v>
      </c>
      <c r="L10" s="173" t="s">
        <v>235</v>
      </c>
      <c r="M10" s="173" t="s">
        <v>2212</v>
      </c>
      <c r="N10" s="175" t="s">
        <v>30</v>
      </c>
      <c r="O10" s="173" t="s">
        <v>147</v>
      </c>
      <c r="P10" s="176" t="s">
        <v>2213</v>
      </c>
      <c r="Q10" s="175" t="s">
        <v>98</v>
      </c>
      <c r="R10" s="173" t="s">
        <v>906</v>
      </c>
      <c r="S10" s="173" t="s">
        <v>909</v>
      </c>
      <c r="T10" s="177" t="s">
        <v>148</v>
      </c>
      <c r="U10" s="178">
        <v>3.718</v>
      </c>
      <c r="V10" s="179">
        <v>314.86099999999999</v>
      </c>
      <c r="W10" s="179">
        <v>1170.652</v>
      </c>
      <c r="X10" s="180">
        <v>0</v>
      </c>
      <c r="Y10" s="180">
        <v>2.5153398864503798E-3</v>
      </c>
      <c r="Z10" s="180">
        <v>4.04904643275427E-4</v>
      </c>
    </row>
    <row r="11" spans="1:26">
      <c r="A11" s="173">
        <v>382</v>
      </c>
      <c r="B11" s="173">
        <v>382</v>
      </c>
      <c r="C11" s="173" t="s">
        <v>2214</v>
      </c>
      <c r="D11" s="174" t="s">
        <v>2215</v>
      </c>
      <c r="E11" s="173" t="s">
        <v>1325</v>
      </c>
      <c r="F11" s="173" t="s">
        <v>2216</v>
      </c>
      <c r="G11" s="173">
        <v>27940015</v>
      </c>
      <c r="H11" s="173" t="s">
        <v>33</v>
      </c>
      <c r="I11" s="174" t="s">
        <v>1039</v>
      </c>
      <c r="J11" s="173" t="s">
        <v>863</v>
      </c>
      <c r="K11" s="175" t="s">
        <v>30</v>
      </c>
      <c r="L11" s="173" t="s">
        <v>235</v>
      </c>
      <c r="M11" s="173" t="s">
        <v>2217</v>
      </c>
      <c r="N11" s="175" t="s">
        <v>30</v>
      </c>
      <c r="O11" s="173" t="s">
        <v>147</v>
      </c>
      <c r="P11" s="176" t="s">
        <v>2218</v>
      </c>
      <c r="Q11" s="175" t="s">
        <v>34</v>
      </c>
      <c r="R11" s="173" t="s">
        <v>908</v>
      </c>
      <c r="S11" s="173" t="s">
        <v>190</v>
      </c>
      <c r="T11" s="177" t="s">
        <v>2219</v>
      </c>
      <c r="U11" s="178">
        <v>1</v>
      </c>
      <c r="V11" s="179">
        <v>4607.9049999999997</v>
      </c>
      <c r="W11" s="179">
        <v>4607.9049999999997</v>
      </c>
      <c r="X11" s="180">
        <v>0</v>
      </c>
      <c r="Y11" s="180">
        <v>9.9008477143610798E-3</v>
      </c>
      <c r="Z11" s="180">
        <v>1.5937803211020501E-3</v>
      </c>
    </row>
    <row r="12" spans="1:26">
      <c r="A12" s="173">
        <v>382</v>
      </c>
      <c r="B12" s="173">
        <v>382</v>
      </c>
      <c r="C12" s="173" t="s">
        <v>2220</v>
      </c>
      <c r="D12" s="174" t="s">
        <v>2221</v>
      </c>
      <c r="E12" s="173" t="s">
        <v>327</v>
      </c>
      <c r="F12" s="173" t="s">
        <v>2222</v>
      </c>
      <c r="G12" s="173">
        <v>27940003</v>
      </c>
      <c r="H12" s="173" t="s">
        <v>33</v>
      </c>
      <c r="I12" s="174" t="s">
        <v>1039</v>
      </c>
      <c r="J12" s="173" t="s">
        <v>861</v>
      </c>
      <c r="K12" s="175" t="s">
        <v>30</v>
      </c>
      <c r="L12" s="173" t="s">
        <v>30</v>
      </c>
      <c r="M12" s="173" t="s">
        <v>2223</v>
      </c>
      <c r="N12" s="175" t="s">
        <v>30</v>
      </c>
      <c r="O12" s="173" t="s">
        <v>147</v>
      </c>
      <c r="P12" s="176" t="s">
        <v>2224</v>
      </c>
      <c r="Q12" s="175" t="s">
        <v>34</v>
      </c>
      <c r="R12" s="173" t="s">
        <v>908</v>
      </c>
      <c r="S12" s="173" t="s">
        <v>190</v>
      </c>
      <c r="T12" s="177" t="s">
        <v>2208</v>
      </c>
      <c r="U12" s="178">
        <v>1</v>
      </c>
      <c r="V12" s="179">
        <v>5908.42</v>
      </c>
      <c r="W12" s="179">
        <v>5908.42</v>
      </c>
      <c r="X12" s="180">
        <v>2.954E-3</v>
      </c>
      <c r="Y12" s="180">
        <v>1.26952197257408E-2</v>
      </c>
      <c r="Z12" s="180">
        <v>2.0436019171978501E-3</v>
      </c>
    </row>
    <row r="13" spans="1:26">
      <c r="A13" s="173">
        <v>382</v>
      </c>
      <c r="B13" s="173">
        <v>382</v>
      </c>
      <c r="C13" s="173" t="s">
        <v>2225</v>
      </c>
      <c r="D13" s="174" t="s">
        <v>2226</v>
      </c>
      <c r="E13" s="173" t="s">
        <v>1325</v>
      </c>
      <c r="F13" s="173" t="s">
        <v>2227</v>
      </c>
      <c r="G13" s="173">
        <v>32623</v>
      </c>
      <c r="H13" s="173" t="s">
        <v>33</v>
      </c>
      <c r="I13" s="174" t="s">
        <v>1039</v>
      </c>
      <c r="J13" s="173" t="s">
        <v>852</v>
      </c>
      <c r="K13" s="175" t="s">
        <v>30</v>
      </c>
      <c r="L13" s="173" t="s">
        <v>30</v>
      </c>
      <c r="M13" s="173" t="s">
        <v>2228</v>
      </c>
      <c r="N13" s="175" t="s">
        <v>30</v>
      </c>
      <c r="O13" s="173" t="s">
        <v>147</v>
      </c>
      <c r="P13" s="176" t="s">
        <v>2229</v>
      </c>
      <c r="Q13" s="175" t="s">
        <v>34</v>
      </c>
      <c r="R13" s="173" t="s">
        <v>906</v>
      </c>
      <c r="S13" s="173" t="s">
        <v>909</v>
      </c>
      <c r="T13" s="177" t="s">
        <v>2230</v>
      </c>
      <c r="U13" s="178">
        <v>1</v>
      </c>
      <c r="V13" s="179">
        <v>1.131</v>
      </c>
      <c r="W13" s="179">
        <v>1.131</v>
      </c>
      <c r="X13" s="180">
        <v>0</v>
      </c>
      <c r="Y13" s="180">
        <v>2.4295314805103302E-6</v>
      </c>
      <c r="Z13" s="180">
        <v>3.9109171000770001E-7</v>
      </c>
    </row>
    <row r="14" spans="1:26">
      <c r="A14" s="173">
        <v>382</v>
      </c>
      <c r="B14" s="173">
        <v>382</v>
      </c>
      <c r="C14" s="173" t="s">
        <v>2231</v>
      </c>
      <c r="D14" s="174" t="s">
        <v>2232</v>
      </c>
      <c r="E14" s="173" t="s">
        <v>1325</v>
      </c>
      <c r="F14" s="173" t="s">
        <v>2233</v>
      </c>
      <c r="G14" s="173">
        <v>34934</v>
      </c>
      <c r="H14" s="173" t="s">
        <v>33</v>
      </c>
      <c r="I14" s="174" t="s">
        <v>1039</v>
      </c>
      <c r="J14" s="173" t="s">
        <v>863</v>
      </c>
      <c r="K14" s="175" t="s">
        <v>30</v>
      </c>
      <c r="L14" s="173" t="s">
        <v>235</v>
      </c>
      <c r="M14" s="173" t="s">
        <v>2234</v>
      </c>
      <c r="N14" s="175" t="s">
        <v>30</v>
      </c>
      <c r="O14" s="173" t="s">
        <v>147</v>
      </c>
      <c r="P14" s="176" t="s">
        <v>2229</v>
      </c>
      <c r="Q14" s="175" t="s">
        <v>34</v>
      </c>
      <c r="R14" s="173" t="s">
        <v>908</v>
      </c>
      <c r="S14" s="173" t="s">
        <v>190</v>
      </c>
      <c r="T14" s="177" t="s">
        <v>2219</v>
      </c>
      <c r="U14" s="178">
        <v>1</v>
      </c>
      <c r="V14" s="179">
        <v>25161.191999999999</v>
      </c>
      <c r="W14" s="179">
        <v>25161.191999999999</v>
      </c>
      <c r="X14" s="180">
        <v>0</v>
      </c>
      <c r="Y14" s="180">
        <v>5.4062992679289198E-2</v>
      </c>
      <c r="Z14" s="180">
        <v>8.7027430698843004E-3</v>
      </c>
    </row>
    <row r="15" spans="1:26">
      <c r="A15" s="173">
        <v>382</v>
      </c>
      <c r="B15" s="173">
        <v>382</v>
      </c>
      <c r="C15" s="173" t="s">
        <v>2235</v>
      </c>
      <c r="D15" s="174" t="s">
        <v>2232</v>
      </c>
      <c r="E15" s="173" t="s">
        <v>1325</v>
      </c>
      <c r="F15" s="173" t="s">
        <v>2235</v>
      </c>
      <c r="G15" s="173">
        <v>27940018</v>
      </c>
      <c r="H15" s="173" t="s">
        <v>33</v>
      </c>
      <c r="I15" s="174" t="s">
        <v>1039</v>
      </c>
      <c r="J15" s="173" t="s">
        <v>853</v>
      </c>
      <c r="K15" s="175" t="s">
        <v>30</v>
      </c>
      <c r="L15" s="173" t="s">
        <v>30</v>
      </c>
      <c r="M15" s="173" t="s">
        <v>2236</v>
      </c>
      <c r="N15" s="175" t="s">
        <v>30</v>
      </c>
      <c r="O15" s="173" t="s">
        <v>147</v>
      </c>
      <c r="P15" s="176" t="s">
        <v>2237</v>
      </c>
      <c r="Q15" s="175" t="s">
        <v>34</v>
      </c>
      <c r="R15" s="173" t="s">
        <v>908</v>
      </c>
      <c r="S15" s="173" t="s">
        <v>190</v>
      </c>
      <c r="T15" s="177" t="s">
        <v>2238</v>
      </c>
      <c r="U15" s="178">
        <v>1</v>
      </c>
      <c r="V15" s="179">
        <v>6425.9740000000002</v>
      </c>
      <c r="W15" s="179">
        <v>6425.9740000000002</v>
      </c>
      <c r="X15" s="180">
        <v>0</v>
      </c>
      <c r="Y15" s="180">
        <v>1.3807270241080199E-2</v>
      </c>
      <c r="Z15" s="180">
        <v>2.2226132785026602E-3</v>
      </c>
    </row>
    <row r="16" spans="1:26">
      <c r="A16" s="173">
        <v>382</v>
      </c>
      <c r="B16" s="173">
        <v>382</v>
      </c>
      <c r="C16" s="173" t="s">
        <v>2239</v>
      </c>
      <c r="D16" s="174" t="s">
        <v>2240</v>
      </c>
      <c r="E16" s="173" t="s">
        <v>33</v>
      </c>
      <c r="F16" s="173" t="s">
        <v>2241</v>
      </c>
      <c r="G16" s="173">
        <v>27940035</v>
      </c>
      <c r="H16" s="173" t="s">
        <v>33</v>
      </c>
      <c r="I16" s="174" t="s">
        <v>1039</v>
      </c>
      <c r="J16" s="173" t="s">
        <v>581</v>
      </c>
      <c r="K16" s="175" t="s">
        <v>30</v>
      </c>
      <c r="L16" s="173" t="s">
        <v>30</v>
      </c>
      <c r="M16" s="173" t="s">
        <v>2644</v>
      </c>
      <c r="N16" s="175" t="s">
        <v>30</v>
      </c>
      <c r="O16" s="173" t="s">
        <v>147</v>
      </c>
      <c r="P16" s="176" t="s">
        <v>2242</v>
      </c>
      <c r="Q16" s="175" t="s">
        <v>34</v>
      </c>
      <c r="R16" s="173" t="s">
        <v>95</v>
      </c>
      <c r="S16" s="173"/>
      <c r="T16" s="177" t="s">
        <v>2219</v>
      </c>
      <c r="U16" s="178">
        <v>1</v>
      </c>
      <c r="V16" s="179">
        <v>2603.48</v>
      </c>
      <c r="W16" s="179">
        <v>2603.48</v>
      </c>
      <c r="X16" s="180">
        <v>0</v>
      </c>
      <c r="Y16" s="180">
        <v>5.59400833166578E-3</v>
      </c>
      <c r="Z16" s="180">
        <v>9.0049060972403905E-4</v>
      </c>
    </row>
    <row r="17" spans="1:26">
      <c r="A17" s="173">
        <v>382</v>
      </c>
      <c r="B17" s="173">
        <v>382</v>
      </c>
      <c r="C17" s="173" t="s">
        <v>2214</v>
      </c>
      <c r="D17" s="174" t="s">
        <v>2215</v>
      </c>
      <c r="E17" s="173" t="s">
        <v>1325</v>
      </c>
      <c r="F17" s="173" t="s">
        <v>2241</v>
      </c>
      <c r="G17" s="173">
        <v>35170</v>
      </c>
      <c r="H17" s="173" t="s">
        <v>33</v>
      </c>
      <c r="I17" s="174" t="s">
        <v>1039</v>
      </c>
      <c r="J17" s="173" t="s">
        <v>863</v>
      </c>
      <c r="K17" s="175" t="s">
        <v>30</v>
      </c>
      <c r="L17" s="173" t="s">
        <v>235</v>
      </c>
      <c r="M17" s="173" t="s">
        <v>2217</v>
      </c>
      <c r="N17" s="175" t="s">
        <v>30</v>
      </c>
      <c r="O17" s="173" t="s">
        <v>147</v>
      </c>
      <c r="P17" s="176" t="s">
        <v>2229</v>
      </c>
      <c r="Q17" s="175" t="s">
        <v>34</v>
      </c>
      <c r="R17" s="173" t="s">
        <v>908</v>
      </c>
      <c r="S17" s="173" t="s">
        <v>190</v>
      </c>
      <c r="T17" s="177" t="s">
        <v>2219</v>
      </c>
      <c r="U17" s="178">
        <v>1</v>
      </c>
      <c r="V17" s="179">
        <v>16632.223000000002</v>
      </c>
      <c r="W17" s="179">
        <v>16632.223000000002</v>
      </c>
      <c r="X17" s="180">
        <v>0</v>
      </c>
      <c r="Y17" s="180">
        <v>3.5737088056392002E-2</v>
      </c>
      <c r="Z17" s="180">
        <v>5.75274656483739E-3</v>
      </c>
    </row>
    <row r="18" spans="1:26">
      <c r="A18" s="173">
        <v>382</v>
      </c>
      <c r="B18" s="173">
        <v>382</v>
      </c>
      <c r="C18" s="173" t="s">
        <v>2214</v>
      </c>
      <c r="D18" s="174" t="s">
        <v>2243</v>
      </c>
      <c r="E18" s="173" t="s">
        <v>1325</v>
      </c>
      <c r="F18" s="173" t="s">
        <v>2244</v>
      </c>
      <c r="G18" s="173">
        <v>36996</v>
      </c>
      <c r="H18" s="173" t="s">
        <v>33</v>
      </c>
      <c r="I18" s="174" t="s">
        <v>1039</v>
      </c>
      <c r="J18" s="173" t="s">
        <v>863</v>
      </c>
      <c r="K18" s="175" t="s">
        <v>30</v>
      </c>
      <c r="L18" s="173" t="s">
        <v>235</v>
      </c>
      <c r="M18" s="173" t="s">
        <v>2217</v>
      </c>
      <c r="N18" s="175" t="s">
        <v>30</v>
      </c>
      <c r="O18" s="173" t="s">
        <v>147</v>
      </c>
      <c r="P18" s="176" t="s">
        <v>2245</v>
      </c>
      <c r="Q18" s="175" t="s">
        <v>34</v>
      </c>
      <c r="R18" s="173" t="s">
        <v>908</v>
      </c>
      <c r="S18" s="173" t="s">
        <v>190</v>
      </c>
      <c r="T18" s="177" t="s">
        <v>2219</v>
      </c>
      <c r="U18" s="178">
        <v>1</v>
      </c>
      <c r="V18" s="179">
        <v>9663.9889999999996</v>
      </c>
      <c r="W18" s="179">
        <v>9663.9889999999996</v>
      </c>
      <c r="X18" s="180">
        <v>0</v>
      </c>
      <c r="Y18" s="180">
        <v>2.0764682239245599E-2</v>
      </c>
      <c r="Z18" s="180">
        <v>3.34257660370273E-3</v>
      </c>
    </row>
    <row r="19" spans="1:26">
      <c r="A19" s="173">
        <v>382</v>
      </c>
      <c r="B19" s="173">
        <v>382</v>
      </c>
      <c r="C19" s="173" t="s">
        <v>2246</v>
      </c>
      <c r="D19" s="174" t="s">
        <v>2247</v>
      </c>
      <c r="E19" s="173" t="s">
        <v>1325</v>
      </c>
      <c r="F19" s="173" t="s">
        <v>2248</v>
      </c>
      <c r="G19" s="173">
        <v>18978</v>
      </c>
      <c r="H19" s="173" t="s">
        <v>33</v>
      </c>
      <c r="I19" s="174" t="s">
        <v>1039</v>
      </c>
      <c r="J19" s="173" t="s">
        <v>863</v>
      </c>
      <c r="K19" s="175" t="s">
        <v>30</v>
      </c>
      <c r="L19" s="173" t="s">
        <v>30</v>
      </c>
      <c r="M19" s="173" t="s">
        <v>2249</v>
      </c>
      <c r="N19" s="175" t="s">
        <v>30</v>
      </c>
      <c r="O19" s="173" t="s">
        <v>147</v>
      </c>
      <c r="P19" s="176" t="s">
        <v>2250</v>
      </c>
      <c r="Q19" s="175" t="s">
        <v>34</v>
      </c>
      <c r="R19" s="173" t="s">
        <v>906</v>
      </c>
      <c r="S19" s="173" t="s">
        <v>909</v>
      </c>
      <c r="T19" s="177" t="s">
        <v>148</v>
      </c>
      <c r="U19" s="178">
        <v>1</v>
      </c>
      <c r="V19" s="179">
        <v>3178.79</v>
      </c>
      <c r="W19" s="179">
        <v>3178.79</v>
      </c>
      <c r="X19" s="180">
        <v>0</v>
      </c>
      <c r="Y19" s="180">
        <v>6.8301580255492097E-3</v>
      </c>
      <c r="Z19" s="180">
        <v>1.0994787280030501E-3</v>
      </c>
    </row>
    <row r="20" spans="1:26">
      <c r="A20" s="174">
        <v>382</v>
      </c>
      <c r="B20" s="174">
        <v>382</v>
      </c>
      <c r="C20" s="174" t="s">
        <v>2251</v>
      </c>
      <c r="D20" s="174" t="s">
        <v>2252</v>
      </c>
      <c r="E20" s="173" t="s">
        <v>1325</v>
      </c>
      <c r="F20" s="174" t="s">
        <v>2253</v>
      </c>
      <c r="G20" s="174">
        <v>201400031</v>
      </c>
      <c r="H20" s="173" t="s">
        <v>33</v>
      </c>
      <c r="I20" s="174" t="s">
        <v>1039</v>
      </c>
      <c r="J20" s="173" t="s">
        <v>847</v>
      </c>
      <c r="K20" s="175" t="s">
        <v>30</v>
      </c>
      <c r="L20" s="173" t="s">
        <v>30</v>
      </c>
      <c r="M20" s="173" t="s">
        <v>2254</v>
      </c>
      <c r="N20" s="175" t="s">
        <v>30</v>
      </c>
      <c r="O20" s="173" t="s">
        <v>147</v>
      </c>
      <c r="P20" s="176" t="s">
        <v>2255</v>
      </c>
      <c r="Q20" s="174" t="s">
        <v>98</v>
      </c>
      <c r="R20" s="173" t="s">
        <v>906</v>
      </c>
      <c r="S20" s="173" t="s">
        <v>909</v>
      </c>
      <c r="T20" s="181" t="s">
        <v>148</v>
      </c>
      <c r="U20" s="182">
        <v>3.718</v>
      </c>
      <c r="V20" s="183">
        <v>4000.3</v>
      </c>
      <c r="W20" s="183">
        <v>14873.115</v>
      </c>
      <c r="X20" s="184">
        <v>0</v>
      </c>
      <c r="Y20" s="184">
        <v>3.1957353925193603E-2</v>
      </c>
      <c r="Z20" s="184">
        <v>5.1443071613544097E-3</v>
      </c>
    </row>
    <row r="21" spans="1:26">
      <c r="A21" s="174">
        <v>382</v>
      </c>
      <c r="B21" s="174">
        <v>382</v>
      </c>
      <c r="C21" s="174" t="s">
        <v>2251</v>
      </c>
      <c r="D21" s="174" t="s">
        <v>2252</v>
      </c>
      <c r="E21" s="174" t="s">
        <v>1325</v>
      </c>
      <c r="F21" s="174" t="s">
        <v>2253</v>
      </c>
      <c r="G21" s="174">
        <v>27940032</v>
      </c>
      <c r="H21" s="174" t="s">
        <v>33</v>
      </c>
      <c r="I21" s="174" t="s">
        <v>1039</v>
      </c>
      <c r="J21" s="174" t="s">
        <v>847</v>
      </c>
      <c r="K21" s="174" t="s">
        <v>30</v>
      </c>
      <c r="L21" s="174" t="s">
        <v>30</v>
      </c>
      <c r="M21" s="174" t="s">
        <v>2254</v>
      </c>
      <c r="N21" s="174" t="s">
        <v>30</v>
      </c>
      <c r="O21" s="174" t="s">
        <v>147</v>
      </c>
      <c r="P21" s="176" t="s">
        <v>2256</v>
      </c>
      <c r="Q21" s="174" t="s">
        <v>98</v>
      </c>
      <c r="R21" s="174" t="s">
        <v>906</v>
      </c>
      <c r="S21" s="174" t="s">
        <v>909</v>
      </c>
      <c r="T21" s="181" t="s">
        <v>148</v>
      </c>
      <c r="U21" s="182">
        <v>3.718</v>
      </c>
      <c r="V21" s="183">
        <v>1661.068</v>
      </c>
      <c r="W21" s="183">
        <v>6175.8519999999999</v>
      </c>
      <c r="X21" s="184">
        <v>0</v>
      </c>
      <c r="Y21" s="184">
        <v>1.32698422373207E-2</v>
      </c>
      <c r="Z21" s="184">
        <v>2.1361012745700399E-3</v>
      </c>
    </row>
    <row r="22" spans="1:26">
      <c r="A22" s="174">
        <v>382</v>
      </c>
      <c r="B22" s="174">
        <v>382</v>
      </c>
      <c r="C22" s="174" t="s">
        <v>2257</v>
      </c>
      <c r="D22" s="174" t="s">
        <v>2258</v>
      </c>
      <c r="E22" s="174" t="s">
        <v>33</v>
      </c>
      <c r="F22" s="174" t="s">
        <v>2259</v>
      </c>
      <c r="G22" s="174">
        <v>27940005</v>
      </c>
      <c r="H22" s="174" t="s">
        <v>33</v>
      </c>
      <c r="I22" s="174" t="s">
        <v>1041</v>
      </c>
      <c r="J22" s="174" t="s">
        <v>863</v>
      </c>
      <c r="K22" s="174" t="s">
        <v>30</v>
      </c>
      <c r="L22" s="174" t="s">
        <v>235</v>
      </c>
      <c r="M22" s="174" t="s">
        <v>2260</v>
      </c>
      <c r="N22" s="174" t="s">
        <v>30</v>
      </c>
      <c r="O22" s="174" t="s">
        <v>147</v>
      </c>
      <c r="P22" s="176" t="s">
        <v>2261</v>
      </c>
      <c r="Q22" s="174" t="s">
        <v>34</v>
      </c>
      <c r="R22" s="174" t="s">
        <v>908</v>
      </c>
      <c r="S22" s="174" t="s">
        <v>190</v>
      </c>
      <c r="T22" s="181" t="s">
        <v>2219</v>
      </c>
      <c r="U22" s="182">
        <v>1</v>
      </c>
      <c r="V22" s="183">
        <v>6754.277</v>
      </c>
      <c r="W22" s="183">
        <v>6754.277</v>
      </c>
      <c r="X22" s="184">
        <v>0</v>
      </c>
      <c r="Y22" s="184">
        <v>1.45126839719938E-2</v>
      </c>
      <c r="Z22" s="184">
        <v>2.3361666382755398E-3</v>
      </c>
    </row>
    <row r="23" spans="1:26">
      <c r="A23" s="174">
        <v>382</v>
      </c>
      <c r="B23" s="174">
        <v>382</v>
      </c>
      <c r="C23" s="174" t="s">
        <v>2257</v>
      </c>
      <c r="D23" s="174" t="s">
        <v>2258</v>
      </c>
      <c r="E23" s="174" t="s">
        <v>33</v>
      </c>
      <c r="F23" s="174" t="s">
        <v>2262</v>
      </c>
      <c r="G23" s="174">
        <v>500052</v>
      </c>
      <c r="H23" s="174" t="s">
        <v>33</v>
      </c>
      <c r="I23" s="174" t="s">
        <v>1041</v>
      </c>
      <c r="J23" s="174" t="s">
        <v>863</v>
      </c>
      <c r="K23" s="174" t="s">
        <v>30</v>
      </c>
      <c r="L23" s="174" t="s">
        <v>235</v>
      </c>
      <c r="M23" s="174" t="s">
        <v>2260</v>
      </c>
      <c r="N23" s="174" t="s">
        <v>30</v>
      </c>
      <c r="O23" s="174" t="s">
        <v>147</v>
      </c>
      <c r="P23" s="176" t="s">
        <v>2263</v>
      </c>
      <c r="Q23" s="174" t="s">
        <v>34</v>
      </c>
      <c r="R23" s="174" t="s">
        <v>908</v>
      </c>
      <c r="S23" s="174" t="s">
        <v>190</v>
      </c>
      <c r="T23" s="181" t="s">
        <v>2219</v>
      </c>
      <c r="U23" s="182">
        <v>1</v>
      </c>
      <c r="V23" s="183">
        <v>16543.255000000001</v>
      </c>
      <c r="W23" s="183">
        <v>16543.255000000001</v>
      </c>
      <c r="X23" s="184">
        <v>0</v>
      </c>
      <c r="Y23" s="184">
        <v>3.5545925598354698E-2</v>
      </c>
      <c r="Z23" s="184">
        <v>5.7219743549677803E-3</v>
      </c>
    </row>
    <row r="24" spans="1:26">
      <c r="A24" s="174">
        <v>382</v>
      </c>
      <c r="B24" s="174">
        <v>382</v>
      </c>
      <c r="C24" s="174" t="s">
        <v>2264</v>
      </c>
      <c r="D24" s="174" t="s">
        <v>2265</v>
      </c>
      <c r="E24" s="174" t="s">
        <v>1325</v>
      </c>
      <c r="F24" s="174" t="s">
        <v>2266</v>
      </c>
      <c r="G24" s="174">
        <v>36459</v>
      </c>
      <c r="H24" s="174" t="s">
        <v>33</v>
      </c>
      <c r="I24" s="174" t="s">
        <v>1041</v>
      </c>
      <c r="J24" s="174" t="s">
        <v>863</v>
      </c>
      <c r="K24" s="174" t="s">
        <v>30</v>
      </c>
      <c r="L24" s="174" t="s">
        <v>30</v>
      </c>
      <c r="M24" s="174" t="s">
        <v>2267</v>
      </c>
      <c r="N24" s="174" t="s">
        <v>30</v>
      </c>
      <c r="O24" s="174" t="s">
        <v>147</v>
      </c>
      <c r="P24" s="176" t="s">
        <v>2268</v>
      </c>
      <c r="Q24" s="174" t="s">
        <v>34</v>
      </c>
      <c r="R24" s="174" t="s">
        <v>908</v>
      </c>
      <c r="S24" s="174" t="s">
        <v>190</v>
      </c>
      <c r="T24" s="181" t="s">
        <v>2219</v>
      </c>
      <c r="U24" s="182">
        <v>1</v>
      </c>
      <c r="V24" s="183">
        <v>11118.715</v>
      </c>
      <c r="W24" s="183">
        <v>11118.715</v>
      </c>
      <c r="X24" s="184">
        <v>0</v>
      </c>
      <c r="Y24" s="184">
        <v>2.3890402210645999E-2</v>
      </c>
      <c r="Z24" s="184">
        <v>3.8457366485206701E-3</v>
      </c>
    </row>
    <row r="25" spans="1:26">
      <c r="A25" s="174">
        <v>382</v>
      </c>
      <c r="B25" s="174">
        <v>382</v>
      </c>
      <c r="C25" s="174" t="s">
        <v>2269</v>
      </c>
      <c r="D25" s="174" t="s">
        <v>2270</v>
      </c>
      <c r="E25" s="174" t="s">
        <v>327</v>
      </c>
      <c r="F25" s="174" t="s">
        <v>2271</v>
      </c>
      <c r="G25" s="174">
        <v>47852</v>
      </c>
      <c r="H25" s="174" t="s">
        <v>33</v>
      </c>
      <c r="I25" s="174" t="s">
        <v>1039</v>
      </c>
      <c r="J25" s="174" t="s">
        <v>852</v>
      </c>
      <c r="K25" s="174" t="s">
        <v>94</v>
      </c>
      <c r="L25" s="174" t="s">
        <v>30</v>
      </c>
      <c r="M25" s="174" t="s">
        <v>2228</v>
      </c>
      <c r="N25" s="174" t="s">
        <v>310</v>
      </c>
      <c r="O25" s="174" t="s">
        <v>147</v>
      </c>
      <c r="P25" s="176" t="s">
        <v>2272</v>
      </c>
      <c r="Q25" s="174" t="s">
        <v>34</v>
      </c>
      <c r="R25" s="174" t="s">
        <v>906</v>
      </c>
      <c r="S25" s="174" t="s">
        <v>909</v>
      </c>
      <c r="T25" s="181" t="s">
        <v>2208</v>
      </c>
      <c r="U25" s="182">
        <v>1</v>
      </c>
      <c r="V25" s="183">
        <v>4638.482</v>
      </c>
      <c r="W25" s="183">
        <v>4638.482</v>
      </c>
      <c r="X25" s="184">
        <v>0</v>
      </c>
      <c r="Y25" s="184">
        <v>9.9665473847794905E-3</v>
      </c>
      <c r="Z25" s="184">
        <v>1.60435626821655E-3</v>
      </c>
    </row>
    <row r="26" spans="1:26">
      <c r="A26" s="174">
        <v>382</v>
      </c>
      <c r="B26" s="174">
        <v>382</v>
      </c>
      <c r="C26" s="174" t="s">
        <v>2231</v>
      </c>
      <c r="D26" s="174" t="s">
        <v>2232</v>
      </c>
      <c r="E26" s="174" t="s">
        <v>1325</v>
      </c>
      <c r="F26" s="174" t="s">
        <v>2273</v>
      </c>
      <c r="G26" s="174">
        <v>36384</v>
      </c>
      <c r="H26" s="174" t="s">
        <v>33</v>
      </c>
      <c r="I26" s="174" t="s">
        <v>1039</v>
      </c>
      <c r="J26" s="174" t="s">
        <v>863</v>
      </c>
      <c r="K26" s="174" t="s">
        <v>30</v>
      </c>
      <c r="L26" s="174" t="s">
        <v>235</v>
      </c>
      <c r="M26" s="174" t="s">
        <v>2234</v>
      </c>
      <c r="N26" s="174" t="s">
        <v>30</v>
      </c>
      <c r="O26" s="174" t="s">
        <v>147</v>
      </c>
      <c r="P26" s="176" t="s">
        <v>2274</v>
      </c>
      <c r="Q26" s="174" t="s">
        <v>34</v>
      </c>
      <c r="R26" s="174" t="s">
        <v>908</v>
      </c>
      <c r="S26" s="174" t="s">
        <v>190</v>
      </c>
      <c r="T26" s="181" t="s">
        <v>2219</v>
      </c>
      <c r="U26" s="182">
        <v>1</v>
      </c>
      <c r="V26" s="183">
        <v>4641.6180000000004</v>
      </c>
      <c r="W26" s="183">
        <v>4641.6180000000004</v>
      </c>
      <c r="X26" s="184">
        <v>0</v>
      </c>
      <c r="Y26" s="184">
        <v>9.9732852008358099E-3</v>
      </c>
      <c r="Z26" s="184">
        <v>1.6054408822766401E-3</v>
      </c>
    </row>
    <row r="27" spans="1:26">
      <c r="A27" s="174">
        <v>382</v>
      </c>
      <c r="B27" s="174">
        <v>382</v>
      </c>
      <c r="C27" s="174" t="s">
        <v>2275</v>
      </c>
      <c r="D27" s="174" t="s">
        <v>2276</v>
      </c>
      <c r="E27" s="174" t="s">
        <v>328</v>
      </c>
      <c r="F27" s="174" t="s">
        <v>2277</v>
      </c>
      <c r="G27" s="174">
        <v>620000732</v>
      </c>
      <c r="H27" s="174" t="s">
        <v>33</v>
      </c>
      <c r="I27" s="174" t="s">
        <v>1043</v>
      </c>
      <c r="J27" s="174" t="s">
        <v>853</v>
      </c>
      <c r="K27" s="174" t="s">
        <v>94</v>
      </c>
      <c r="L27" s="174" t="s">
        <v>103</v>
      </c>
      <c r="M27" s="174" t="s">
        <v>2278</v>
      </c>
      <c r="N27" s="174" t="s">
        <v>103</v>
      </c>
      <c r="O27" s="174" t="s">
        <v>147</v>
      </c>
      <c r="P27" s="176" t="s">
        <v>2279</v>
      </c>
      <c r="Q27" s="174" t="s">
        <v>98</v>
      </c>
      <c r="R27" s="174" t="s">
        <v>906</v>
      </c>
      <c r="S27" s="174" t="s">
        <v>909</v>
      </c>
      <c r="T27" s="181" t="s">
        <v>148</v>
      </c>
      <c r="U27" s="182">
        <v>3.718</v>
      </c>
      <c r="V27" s="183">
        <v>1067.287</v>
      </c>
      <c r="W27" s="183">
        <v>3968.1750000000002</v>
      </c>
      <c r="X27" s="184">
        <v>0</v>
      </c>
      <c r="Y27" s="184">
        <v>8.5262815892410294E-3</v>
      </c>
      <c r="Z27" s="184">
        <v>1.37251073859023E-3</v>
      </c>
    </row>
    <row r="28" spans="1:26">
      <c r="A28" s="174">
        <v>382</v>
      </c>
      <c r="B28" s="174">
        <v>382</v>
      </c>
      <c r="C28" s="174" t="s">
        <v>2280</v>
      </c>
      <c r="D28" s="174" t="s">
        <v>2276</v>
      </c>
      <c r="E28" s="174" t="s">
        <v>328</v>
      </c>
      <c r="F28" s="174" t="s">
        <v>2280</v>
      </c>
      <c r="G28" s="174">
        <v>603880223</v>
      </c>
      <c r="H28" s="174" t="s">
        <v>33</v>
      </c>
      <c r="I28" s="174" t="s">
        <v>1039</v>
      </c>
      <c r="J28" s="174" t="s">
        <v>853</v>
      </c>
      <c r="K28" s="174" t="s">
        <v>94</v>
      </c>
      <c r="L28" s="174" t="s">
        <v>103</v>
      </c>
      <c r="M28" s="174" t="s">
        <v>2278</v>
      </c>
      <c r="N28" s="174" t="s">
        <v>103</v>
      </c>
      <c r="O28" s="174" t="s">
        <v>147</v>
      </c>
      <c r="P28" s="176" t="s">
        <v>2281</v>
      </c>
      <c r="Q28" s="174" t="s">
        <v>98</v>
      </c>
      <c r="R28" s="174" t="s">
        <v>906</v>
      </c>
      <c r="S28" s="174" t="s">
        <v>909</v>
      </c>
      <c r="T28" s="181" t="s">
        <v>2282</v>
      </c>
      <c r="U28" s="182">
        <v>3.718</v>
      </c>
      <c r="V28" s="183">
        <v>793.14</v>
      </c>
      <c r="W28" s="183">
        <v>2948.895</v>
      </c>
      <c r="X28" s="184">
        <v>0</v>
      </c>
      <c r="Y28" s="184">
        <v>6.33618868364019E-3</v>
      </c>
      <c r="Z28" s="184">
        <v>1.0199624442387401E-3</v>
      </c>
    </row>
    <row r="29" spans="1:26">
      <c r="A29" s="174">
        <v>382</v>
      </c>
      <c r="B29" s="174">
        <v>382</v>
      </c>
      <c r="C29" s="174" t="s">
        <v>2283</v>
      </c>
      <c r="D29" s="174" t="s">
        <v>2284</v>
      </c>
      <c r="E29" s="174" t="s">
        <v>33</v>
      </c>
      <c r="F29" s="174" t="s">
        <v>2285</v>
      </c>
      <c r="G29" s="174">
        <v>27940006</v>
      </c>
      <c r="H29" s="174" t="s">
        <v>33</v>
      </c>
      <c r="I29" s="174" t="s">
        <v>1039</v>
      </c>
      <c r="J29" s="174" t="s">
        <v>859</v>
      </c>
      <c r="K29" s="174" t="s">
        <v>94</v>
      </c>
      <c r="L29" s="174" t="s">
        <v>235</v>
      </c>
      <c r="M29" s="174" t="s">
        <v>2286</v>
      </c>
      <c r="N29" s="174" t="s">
        <v>313</v>
      </c>
      <c r="O29" s="174" t="s">
        <v>147</v>
      </c>
      <c r="P29" s="176" t="s">
        <v>2261</v>
      </c>
      <c r="Q29" s="174" t="s">
        <v>98</v>
      </c>
      <c r="R29" s="174" t="s">
        <v>906</v>
      </c>
      <c r="S29" s="174" t="s">
        <v>909</v>
      </c>
      <c r="T29" s="181" t="s">
        <v>2208</v>
      </c>
      <c r="U29" s="182">
        <v>3.718</v>
      </c>
      <c r="V29" s="183">
        <v>2701.895</v>
      </c>
      <c r="W29" s="183">
        <v>10045.646000000001</v>
      </c>
      <c r="X29" s="184">
        <v>6.3299999999999999E-4</v>
      </c>
      <c r="Y29" s="184">
        <v>2.1584734754752002E-2</v>
      </c>
      <c r="Z29" s="184">
        <v>3.4745838417888802E-3</v>
      </c>
    </row>
    <row r="30" spans="1:26">
      <c r="A30" s="174">
        <v>382</v>
      </c>
      <c r="B30" s="174">
        <v>382</v>
      </c>
      <c r="C30" s="174" t="s">
        <v>2287</v>
      </c>
      <c r="D30" s="174" t="s">
        <v>2288</v>
      </c>
      <c r="E30" s="174" t="s">
        <v>184</v>
      </c>
      <c r="F30" s="174" t="s">
        <v>2289</v>
      </c>
      <c r="G30" s="174">
        <v>9840572</v>
      </c>
      <c r="H30" s="174" t="s">
        <v>33</v>
      </c>
      <c r="I30" s="174" t="s">
        <v>1043</v>
      </c>
      <c r="J30" s="174" t="s">
        <v>853</v>
      </c>
      <c r="K30" s="174" t="s">
        <v>94</v>
      </c>
      <c r="L30" s="174" t="s">
        <v>300</v>
      </c>
      <c r="M30" s="174" t="s">
        <v>2290</v>
      </c>
      <c r="N30" s="174" t="s">
        <v>30</v>
      </c>
      <c r="O30" s="174" t="s">
        <v>147</v>
      </c>
      <c r="P30" s="176" t="s">
        <v>2291</v>
      </c>
      <c r="Q30" s="174" t="s">
        <v>98</v>
      </c>
      <c r="R30" s="174" t="s">
        <v>906</v>
      </c>
      <c r="S30" s="174" t="s">
        <v>909</v>
      </c>
      <c r="T30" s="181" t="s">
        <v>2292</v>
      </c>
      <c r="U30" s="182">
        <v>3.718</v>
      </c>
      <c r="V30" s="183">
        <v>95.277000000000001</v>
      </c>
      <c r="W30" s="183">
        <v>354.24</v>
      </c>
      <c r="X30" s="184">
        <v>0</v>
      </c>
      <c r="Y30" s="184">
        <v>7.61142340803555E-4</v>
      </c>
      <c r="Z30" s="184">
        <v>1.2252422411978699E-4</v>
      </c>
    </row>
    <row r="31" spans="1:26">
      <c r="A31" s="174">
        <v>382</v>
      </c>
      <c r="B31" s="174">
        <v>382</v>
      </c>
      <c r="C31" s="174" t="s">
        <v>2293</v>
      </c>
      <c r="D31" s="174" t="s">
        <v>2294</v>
      </c>
      <c r="E31" s="174" t="s">
        <v>33</v>
      </c>
      <c r="F31" s="174" t="s">
        <v>2295</v>
      </c>
      <c r="G31" s="174">
        <v>27940040</v>
      </c>
      <c r="H31" s="174" t="s">
        <v>33</v>
      </c>
      <c r="I31" s="174" t="s">
        <v>1039</v>
      </c>
      <c r="J31" s="174" t="s">
        <v>581</v>
      </c>
      <c r="K31" s="174" t="s">
        <v>94</v>
      </c>
      <c r="L31" s="174" t="s">
        <v>103</v>
      </c>
      <c r="M31" s="174" t="s">
        <v>2645</v>
      </c>
      <c r="N31" s="174" t="s">
        <v>103</v>
      </c>
      <c r="O31" s="174" t="s">
        <v>147</v>
      </c>
      <c r="P31" s="176" t="s">
        <v>1315</v>
      </c>
      <c r="Q31" s="174" t="s">
        <v>98</v>
      </c>
      <c r="R31" s="174" t="s">
        <v>95</v>
      </c>
      <c r="S31" s="174"/>
      <c r="T31" s="181" t="s">
        <v>1315</v>
      </c>
      <c r="U31" s="182">
        <v>3.718</v>
      </c>
      <c r="V31" s="183">
        <v>822.86099999999999</v>
      </c>
      <c r="W31" s="183">
        <v>3059.3960000000002</v>
      </c>
      <c r="X31" s="184">
        <v>0</v>
      </c>
      <c r="Y31" s="184">
        <v>6.5736185690391602E-3</v>
      </c>
      <c r="Z31" s="184">
        <v>1.0581825128538299E-3</v>
      </c>
    </row>
    <row r="32" spans="1:26">
      <c r="A32" s="174">
        <v>382</v>
      </c>
      <c r="B32" s="174">
        <v>382</v>
      </c>
      <c r="C32" s="174" t="s">
        <v>2296</v>
      </c>
      <c r="D32" s="174" t="s">
        <v>2297</v>
      </c>
      <c r="E32" s="174" t="s">
        <v>184</v>
      </c>
      <c r="F32" s="174" t="s">
        <v>2298</v>
      </c>
      <c r="G32" s="174">
        <v>27940026</v>
      </c>
      <c r="H32" s="174" t="s">
        <v>33</v>
      </c>
      <c r="I32" s="174" t="s">
        <v>1042</v>
      </c>
      <c r="J32" s="174" t="s">
        <v>847</v>
      </c>
      <c r="K32" s="174" t="s">
        <v>94</v>
      </c>
      <c r="L32" s="174" t="s">
        <v>2299</v>
      </c>
      <c r="M32" s="174" t="s">
        <v>2300</v>
      </c>
      <c r="N32" s="174" t="s">
        <v>310</v>
      </c>
      <c r="O32" s="174" t="s">
        <v>147</v>
      </c>
      <c r="P32" s="176" t="s">
        <v>2301</v>
      </c>
      <c r="Q32" s="174" t="s">
        <v>1183</v>
      </c>
      <c r="R32" s="174" t="s">
        <v>908</v>
      </c>
      <c r="S32" s="174" t="s">
        <v>190</v>
      </c>
      <c r="T32" s="181" t="s">
        <v>2302</v>
      </c>
      <c r="U32" s="182">
        <v>4.0218999999999996</v>
      </c>
      <c r="V32" s="183">
        <v>3521.2910000000002</v>
      </c>
      <c r="W32" s="183">
        <v>14162.281999999999</v>
      </c>
      <c r="X32" s="184">
        <v>0</v>
      </c>
      <c r="Y32" s="184">
        <v>3.0430010492305998E-2</v>
      </c>
      <c r="Z32" s="184">
        <v>4.8984443850418301E-3</v>
      </c>
    </row>
    <row r="33" spans="1:26">
      <c r="A33" s="174">
        <v>382</v>
      </c>
      <c r="B33" s="174">
        <v>382</v>
      </c>
      <c r="C33" s="174" t="s">
        <v>2303</v>
      </c>
      <c r="D33" s="174" t="s">
        <v>1766</v>
      </c>
      <c r="E33" s="174" t="s">
        <v>1325</v>
      </c>
      <c r="F33" s="174" t="s">
        <v>2304</v>
      </c>
      <c r="G33" s="174">
        <v>27940007</v>
      </c>
      <c r="H33" s="174" t="s">
        <v>33</v>
      </c>
      <c r="I33" s="174" t="s">
        <v>1039</v>
      </c>
      <c r="J33" s="174" t="s">
        <v>581</v>
      </c>
      <c r="K33" s="174" t="s">
        <v>94</v>
      </c>
      <c r="L33" s="174" t="s">
        <v>235</v>
      </c>
      <c r="M33" s="174" t="s">
        <v>2305</v>
      </c>
      <c r="N33" s="174" t="s">
        <v>103</v>
      </c>
      <c r="O33" s="174" t="s">
        <v>147</v>
      </c>
      <c r="P33" s="176" t="s">
        <v>2306</v>
      </c>
      <c r="Q33" s="174" t="s">
        <v>98</v>
      </c>
      <c r="R33" s="174" t="s">
        <v>908</v>
      </c>
      <c r="S33" s="174" t="s">
        <v>190</v>
      </c>
      <c r="T33" s="181" t="s">
        <v>148</v>
      </c>
      <c r="U33" s="182">
        <v>3.718</v>
      </c>
      <c r="V33" s="183">
        <v>1427.559</v>
      </c>
      <c r="W33" s="183">
        <v>5307.6639999999998</v>
      </c>
      <c r="X33" s="184">
        <v>5.2499999999999997E-4</v>
      </c>
      <c r="Y33" s="184">
        <v>1.1404396677798001E-2</v>
      </c>
      <c r="Z33" s="184">
        <v>1.8358128034584201E-3</v>
      </c>
    </row>
    <row r="34" spans="1:26">
      <c r="A34" s="174">
        <v>382</v>
      </c>
      <c r="B34" s="174">
        <v>382</v>
      </c>
      <c r="C34" s="174" t="s">
        <v>2303</v>
      </c>
      <c r="D34" s="174" t="s">
        <v>1766</v>
      </c>
      <c r="E34" s="174" t="s">
        <v>1325</v>
      </c>
      <c r="F34" s="174" t="s">
        <v>2307</v>
      </c>
      <c r="G34" s="174">
        <v>27940029</v>
      </c>
      <c r="H34" s="174" t="s">
        <v>33</v>
      </c>
      <c r="I34" s="174" t="s">
        <v>1039</v>
      </c>
      <c r="J34" s="174" t="s">
        <v>581</v>
      </c>
      <c r="K34" s="174" t="s">
        <v>94</v>
      </c>
      <c r="L34" s="174" t="s">
        <v>235</v>
      </c>
      <c r="M34" s="174" t="s">
        <v>2305</v>
      </c>
      <c r="N34" s="174" t="s">
        <v>103</v>
      </c>
      <c r="O34" s="174" t="s">
        <v>147</v>
      </c>
      <c r="P34" s="176" t="s">
        <v>2308</v>
      </c>
      <c r="Q34" s="174" t="s">
        <v>98</v>
      </c>
      <c r="R34" s="174" t="s">
        <v>908</v>
      </c>
      <c r="S34" s="174" t="s">
        <v>190</v>
      </c>
      <c r="T34" s="181" t="s">
        <v>148</v>
      </c>
      <c r="U34" s="182">
        <v>3.718</v>
      </c>
      <c r="V34" s="183">
        <v>1517.4179999999999</v>
      </c>
      <c r="W34" s="183">
        <v>5641.76</v>
      </c>
      <c r="X34" s="184">
        <v>0</v>
      </c>
      <c r="Y34" s="184">
        <v>1.2122256802017201E-2</v>
      </c>
      <c r="Z34" s="184">
        <v>1.95136971053264E-3</v>
      </c>
    </row>
    <row r="35" spans="1:26">
      <c r="A35" s="174">
        <v>382</v>
      </c>
      <c r="B35" s="174">
        <v>382</v>
      </c>
      <c r="C35" s="174" t="s">
        <v>2309</v>
      </c>
      <c r="D35" s="174" t="s">
        <v>2310</v>
      </c>
      <c r="E35" s="174" t="s">
        <v>33</v>
      </c>
      <c r="F35" s="174" t="s">
        <v>2311</v>
      </c>
      <c r="G35" s="174">
        <v>27940034</v>
      </c>
      <c r="H35" s="174" t="s">
        <v>33</v>
      </c>
      <c r="I35" s="174" t="s">
        <v>1039</v>
      </c>
      <c r="J35" s="174" t="s">
        <v>581</v>
      </c>
      <c r="K35" s="174" t="s">
        <v>94</v>
      </c>
      <c r="L35" s="174" t="s">
        <v>235</v>
      </c>
      <c r="M35" s="174" t="s">
        <v>2646</v>
      </c>
      <c r="N35" s="174" t="s">
        <v>250</v>
      </c>
      <c r="O35" s="174" t="s">
        <v>147</v>
      </c>
      <c r="P35" s="176" t="s">
        <v>2312</v>
      </c>
      <c r="Q35" s="174" t="s">
        <v>1185</v>
      </c>
      <c r="R35" s="174" t="s">
        <v>95</v>
      </c>
      <c r="S35" s="174"/>
      <c r="T35" s="181" t="s">
        <v>148</v>
      </c>
      <c r="U35" s="182">
        <v>4.8108000000000004</v>
      </c>
      <c r="V35" s="183">
        <v>256.84399999999999</v>
      </c>
      <c r="W35" s="183">
        <v>1235.625</v>
      </c>
      <c r="X35" s="184">
        <v>0</v>
      </c>
      <c r="Y35" s="184">
        <v>2.6549453766667301E-3</v>
      </c>
      <c r="Z35" s="184">
        <v>4.2737751523990402E-4</v>
      </c>
    </row>
    <row r="36" spans="1:26">
      <c r="A36" s="174">
        <v>382</v>
      </c>
      <c r="B36" s="174">
        <v>382</v>
      </c>
      <c r="C36" s="174" t="s">
        <v>2313</v>
      </c>
      <c r="D36" s="174" t="s">
        <v>2314</v>
      </c>
      <c r="E36" s="174" t="s">
        <v>1325</v>
      </c>
      <c r="F36" s="174" t="s">
        <v>2315</v>
      </c>
      <c r="G36" s="174">
        <v>27940014</v>
      </c>
      <c r="H36" s="174" t="s">
        <v>33</v>
      </c>
      <c r="I36" s="174" t="s">
        <v>1039</v>
      </c>
      <c r="J36" s="174" t="s">
        <v>852</v>
      </c>
      <c r="K36" s="174" t="s">
        <v>94</v>
      </c>
      <c r="L36" s="174" t="s">
        <v>2299</v>
      </c>
      <c r="M36" s="174" t="s">
        <v>2316</v>
      </c>
      <c r="N36" s="174" t="s">
        <v>310</v>
      </c>
      <c r="O36" s="174" t="s">
        <v>147</v>
      </c>
      <c r="P36" s="176" t="s">
        <v>2317</v>
      </c>
      <c r="Q36" s="174" t="s">
        <v>1183</v>
      </c>
      <c r="R36" s="174" t="s">
        <v>906</v>
      </c>
      <c r="S36" s="174" t="s">
        <v>909</v>
      </c>
      <c r="T36" s="181" t="s">
        <v>1313</v>
      </c>
      <c r="U36" s="182">
        <v>4.0218999999999996</v>
      </c>
      <c r="V36" s="183">
        <v>3000.4609999999998</v>
      </c>
      <c r="W36" s="183">
        <v>12067.554</v>
      </c>
      <c r="X36" s="184">
        <v>0</v>
      </c>
      <c r="Y36" s="184">
        <v>2.59291402495451E-2</v>
      </c>
      <c r="Z36" s="184">
        <v>4.1739207252807498E-3</v>
      </c>
    </row>
    <row r="37" spans="1:26">
      <c r="A37" s="174">
        <v>382</v>
      </c>
      <c r="B37" s="174">
        <v>382</v>
      </c>
      <c r="C37" s="174" t="s">
        <v>2315</v>
      </c>
      <c r="D37" s="174" t="s">
        <v>2314</v>
      </c>
      <c r="E37" s="174" t="s">
        <v>1325</v>
      </c>
      <c r="F37" s="174" t="s">
        <v>2318</v>
      </c>
      <c r="G37" s="174">
        <v>27940033</v>
      </c>
      <c r="H37" s="174" t="s">
        <v>33</v>
      </c>
      <c r="I37" s="174" t="s">
        <v>1039</v>
      </c>
      <c r="J37" s="174" t="s">
        <v>581</v>
      </c>
      <c r="K37" s="174" t="s">
        <v>94</v>
      </c>
      <c r="L37" s="174" t="s">
        <v>310</v>
      </c>
      <c r="M37" s="174" t="s">
        <v>2647</v>
      </c>
      <c r="N37" s="174" t="s">
        <v>310</v>
      </c>
      <c r="O37" s="174" t="s">
        <v>147</v>
      </c>
      <c r="P37" s="176" t="s">
        <v>2319</v>
      </c>
      <c r="Q37" s="174" t="s">
        <v>1183</v>
      </c>
      <c r="R37" s="174" t="s">
        <v>95</v>
      </c>
      <c r="S37" s="174"/>
      <c r="T37" s="181" t="s">
        <v>2320</v>
      </c>
      <c r="U37" s="182">
        <v>4.0218999999999996</v>
      </c>
      <c r="V37" s="183">
        <v>834.678</v>
      </c>
      <c r="W37" s="183">
        <v>3356.99</v>
      </c>
      <c r="X37" s="184">
        <v>0</v>
      </c>
      <c r="Y37" s="184">
        <v>7.2130492885790704E-3</v>
      </c>
      <c r="Z37" s="184">
        <v>1.16111431494918E-3</v>
      </c>
    </row>
    <row r="38" spans="1:26">
      <c r="A38" s="174">
        <v>382</v>
      </c>
      <c r="B38" s="174">
        <v>382</v>
      </c>
      <c r="C38" s="174" t="s">
        <v>2313</v>
      </c>
      <c r="D38" s="174" t="s">
        <v>2314</v>
      </c>
      <c r="E38" s="174" t="s">
        <v>1325</v>
      </c>
      <c r="F38" s="174" t="s">
        <v>2321</v>
      </c>
      <c r="G38" s="174">
        <v>27940031</v>
      </c>
      <c r="H38" s="174" t="s">
        <v>33</v>
      </c>
      <c r="I38" s="174" t="s">
        <v>1039</v>
      </c>
      <c r="J38" s="174" t="s">
        <v>847</v>
      </c>
      <c r="K38" s="174" t="s">
        <v>94</v>
      </c>
      <c r="L38" s="174" t="s">
        <v>2299</v>
      </c>
      <c r="M38" s="174" t="s">
        <v>2316</v>
      </c>
      <c r="N38" s="174" t="s">
        <v>310</v>
      </c>
      <c r="O38" s="174" t="s">
        <v>147</v>
      </c>
      <c r="P38" s="176" t="s">
        <v>2322</v>
      </c>
      <c r="Q38" s="174" t="s">
        <v>1183</v>
      </c>
      <c r="R38" s="174" t="s">
        <v>906</v>
      </c>
      <c r="S38" s="174" t="s">
        <v>909</v>
      </c>
      <c r="T38" s="181" t="s">
        <v>2320</v>
      </c>
      <c r="U38" s="182">
        <v>4.0218999999999996</v>
      </c>
      <c r="V38" s="183">
        <v>1008.644</v>
      </c>
      <c r="W38" s="183">
        <v>4056.6660000000002</v>
      </c>
      <c r="X38" s="184">
        <v>0</v>
      </c>
      <c r="Y38" s="184">
        <v>8.7164185542036796E-3</v>
      </c>
      <c r="Z38" s="184">
        <v>1.40311787060702E-3</v>
      </c>
    </row>
    <row r="39" spans="1:26">
      <c r="A39" s="174">
        <v>382</v>
      </c>
      <c r="B39" s="174">
        <v>382</v>
      </c>
      <c r="C39" s="174" t="s">
        <v>2323</v>
      </c>
      <c r="D39" s="174" t="s">
        <v>2324</v>
      </c>
      <c r="E39" s="174" t="s">
        <v>328</v>
      </c>
      <c r="F39" s="174" t="s">
        <v>2325</v>
      </c>
      <c r="G39" s="174">
        <v>27940030</v>
      </c>
      <c r="H39" s="174" t="s">
        <v>33</v>
      </c>
      <c r="I39" s="174" t="s">
        <v>1039</v>
      </c>
      <c r="J39" s="174" t="s">
        <v>853</v>
      </c>
      <c r="K39" s="174" t="s">
        <v>94</v>
      </c>
      <c r="L39" s="174" t="s">
        <v>103</v>
      </c>
      <c r="M39" s="174" t="s">
        <v>2326</v>
      </c>
      <c r="N39" s="174" t="s">
        <v>103</v>
      </c>
      <c r="O39" s="174" t="s">
        <v>147</v>
      </c>
      <c r="P39" s="176" t="s">
        <v>2327</v>
      </c>
      <c r="Q39" s="174" t="s">
        <v>98</v>
      </c>
      <c r="R39" s="174" t="s">
        <v>908</v>
      </c>
      <c r="S39" s="174" t="s">
        <v>190</v>
      </c>
      <c r="T39" s="181" t="s">
        <v>148</v>
      </c>
      <c r="U39" s="182">
        <v>3.718</v>
      </c>
      <c r="V39" s="183">
        <v>1241.4190000000001</v>
      </c>
      <c r="W39" s="183">
        <v>4615.5959999999995</v>
      </c>
      <c r="X39" s="184">
        <v>0</v>
      </c>
      <c r="Y39" s="184">
        <v>9.9173726153970899E-3</v>
      </c>
      <c r="Z39" s="184">
        <v>1.5964404026263001E-3</v>
      </c>
    </row>
    <row r="40" spans="1:26">
      <c r="A40" s="174">
        <v>382</v>
      </c>
      <c r="B40" s="174">
        <v>382</v>
      </c>
      <c r="C40" s="174" t="s">
        <v>2328</v>
      </c>
      <c r="D40" s="174" t="s">
        <v>2329</v>
      </c>
      <c r="E40" s="174" t="s">
        <v>1325</v>
      </c>
      <c r="F40" s="174" t="s">
        <v>2330</v>
      </c>
      <c r="G40" s="174">
        <v>620020351</v>
      </c>
      <c r="H40" s="174" t="s">
        <v>33</v>
      </c>
      <c r="I40" s="174" t="s">
        <v>1043</v>
      </c>
      <c r="J40" s="174" t="s">
        <v>853</v>
      </c>
      <c r="K40" s="174" t="s">
        <v>94</v>
      </c>
      <c r="L40" s="174" t="s">
        <v>310</v>
      </c>
      <c r="M40" s="174" t="s">
        <v>2331</v>
      </c>
      <c r="N40" s="174" t="s">
        <v>310</v>
      </c>
      <c r="O40" s="174" t="s">
        <v>147</v>
      </c>
      <c r="P40" s="176" t="s">
        <v>2332</v>
      </c>
      <c r="Q40" s="174" t="s">
        <v>1183</v>
      </c>
      <c r="R40" s="174" t="s">
        <v>906</v>
      </c>
      <c r="S40" s="174" t="s">
        <v>909</v>
      </c>
      <c r="T40" s="181" t="s">
        <v>2333</v>
      </c>
      <c r="U40" s="182">
        <v>4.0218999999999996</v>
      </c>
      <c r="V40" s="183">
        <v>1489.066</v>
      </c>
      <c r="W40" s="183">
        <v>5988.875</v>
      </c>
      <c r="X40" s="184">
        <v>0</v>
      </c>
      <c r="Y40" s="184">
        <v>1.28680896369878E-2</v>
      </c>
      <c r="Z40" s="184">
        <v>2.0714295003104099E-3</v>
      </c>
    </row>
    <row r="41" spans="1:26">
      <c r="A41" s="174">
        <v>382</v>
      </c>
      <c r="B41" s="174">
        <v>382</v>
      </c>
      <c r="C41" s="174" t="s">
        <v>2328</v>
      </c>
      <c r="D41" s="174" t="s">
        <v>2329</v>
      </c>
      <c r="E41" s="174" t="s">
        <v>1325</v>
      </c>
      <c r="F41" s="174" t="s">
        <v>2334</v>
      </c>
      <c r="G41" s="174">
        <v>620020352</v>
      </c>
      <c r="H41" s="174" t="s">
        <v>33</v>
      </c>
      <c r="I41" s="174" t="s">
        <v>1043</v>
      </c>
      <c r="J41" s="174" t="s">
        <v>853</v>
      </c>
      <c r="K41" s="174" t="s">
        <v>94</v>
      </c>
      <c r="L41" s="174" t="s">
        <v>30</v>
      </c>
      <c r="M41" s="174" t="s">
        <v>2331</v>
      </c>
      <c r="N41" s="174" t="s">
        <v>310</v>
      </c>
      <c r="O41" s="174" t="s">
        <v>147</v>
      </c>
      <c r="P41" s="176" t="s">
        <v>2335</v>
      </c>
      <c r="Q41" s="174" t="s">
        <v>1183</v>
      </c>
      <c r="R41" s="174" t="s">
        <v>906</v>
      </c>
      <c r="S41" s="174" t="s">
        <v>909</v>
      </c>
      <c r="T41" s="181" t="s">
        <v>2333</v>
      </c>
      <c r="U41" s="182">
        <v>4.0218999999999996</v>
      </c>
      <c r="V41" s="183">
        <v>920.76400000000001</v>
      </c>
      <c r="W41" s="183">
        <v>3703.221</v>
      </c>
      <c r="X41" s="184">
        <v>0</v>
      </c>
      <c r="Y41" s="184">
        <v>7.9569848715761102E-3</v>
      </c>
      <c r="Z41" s="184">
        <v>1.28086869624609E-3</v>
      </c>
    </row>
    <row r="42" spans="1:26">
      <c r="A42" s="174">
        <v>382</v>
      </c>
      <c r="B42" s="174">
        <v>382</v>
      </c>
      <c r="C42" s="174" t="s">
        <v>2336</v>
      </c>
      <c r="D42" s="174" t="s">
        <v>2337</v>
      </c>
      <c r="E42" s="174" t="s">
        <v>328</v>
      </c>
      <c r="F42" s="174" t="s">
        <v>2338</v>
      </c>
      <c r="G42" s="174">
        <v>27940009</v>
      </c>
      <c r="H42" s="174" t="s">
        <v>33</v>
      </c>
      <c r="I42" s="174" t="s">
        <v>1042</v>
      </c>
      <c r="J42" s="174" t="s">
        <v>847</v>
      </c>
      <c r="K42" s="174" t="s">
        <v>94</v>
      </c>
      <c r="L42" s="174" t="s">
        <v>235</v>
      </c>
      <c r="M42" s="174" t="s">
        <v>2339</v>
      </c>
      <c r="N42" s="174" t="s">
        <v>103</v>
      </c>
      <c r="O42" s="174" t="s">
        <v>147</v>
      </c>
      <c r="P42" s="176" t="s">
        <v>2340</v>
      </c>
      <c r="Q42" s="174" t="s">
        <v>98</v>
      </c>
      <c r="R42" s="174" t="s">
        <v>908</v>
      </c>
      <c r="S42" s="174" t="s">
        <v>190</v>
      </c>
      <c r="T42" s="181" t="s">
        <v>1321</v>
      </c>
      <c r="U42" s="182">
        <v>3.718</v>
      </c>
      <c r="V42" s="183">
        <v>1142.6659999999999</v>
      </c>
      <c r="W42" s="183">
        <v>4248.4309999999996</v>
      </c>
      <c r="X42" s="184">
        <v>0</v>
      </c>
      <c r="Y42" s="184">
        <v>9.1284581765749499E-3</v>
      </c>
      <c r="Z42" s="184">
        <v>1.4694455892625699E-3</v>
      </c>
    </row>
    <row r="43" spans="1:26">
      <c r="A43" s="174">
        <v>382</v>
      </c>
      <c r="B43" s="174">
        <v>382</v>
      </c>
      <c r="C43" s="174" t="s">
        <v>2336</v>
      </c>
      <c r="D43" s="174" t="s">
        <v>2337</v>
      </c>
      <c r="E43" s="174" t="s">
        <v>328</v>
      </c>
      <c r="F43" s="174" t="s">
        <v>2341</v>
      </c>
      <c r="G43" s="174">
        <v>27940023</v>
      </c>
      <c r="H43" s="174" t="s">
        <v>33</v>
      </c>
      <c r="I43" s="174" t="s">
        <v>1042</v>
      </c>
      <c r="J43" s="174" t="s">
        <v>847</v>
      </c>
      <c r="K43" s="174" t="s">
        <v>94</v>
      </c>
      <c r="L43" s="174" t="s">
        <v>235</v>
      </c>
      <c r="M43" s="174" t="s">
        <v>2339</v>
      </c>
      <c r="N43" s="174" t="s">
        <v>235</v>
      </c>
      <c r="O43" s="174" t="s">
        <v>147</v>
      </c>
      <c r="P43" s="176" t="s">
        <v>2342</v>
      </c>
      <c r="Q43" s="174" t="s">
        <v>98</v>
      </c>
      <c r="R43" s="174" t="s">
        <v>908</v>
      </c>
      <c r="S43" s="174" t="s">
        <v>190</v>
      </c>
      <c r="T43" s="181" t="s">
        <v>2343</v>
      </c>
      <c r="U43" s="182">
        <v>3.718</v>
      </c>
      <c r="V43" s="183">
        <v>3012.395</v>
      </c>
      <c r="W43" s="183">
        <v>11200.084000000001</v>
      </c>
      <c r="X43" s="184">
        <v>0</v>
      </c>
      <c r="Y43" s="184">
        <v>2.4065236232114099E-2</v>
      </c>
      <c r="Z43" s="184">
        <v>3.87388040256215E-3</v>
      </c>
    </row>
    <row r="44" spans="1:26">
      <c r="A44" s="174">
        <v>382</v>
      </c>
      <c r="B44" s="174">
        <v>382</v>
      </c>
      <c r="C44" s="174" t="s">
        <v>2336</v>
      </c>
      <c r="D44" s="174" t="s">
        <v>2337</v>
      </c>
      <c r="E44" s="174" t="s">
        <v>328</v>
      </c>
      <c r="F44" s="174" t="s">
        <v>2344</v>
      </c>
      <c r="G44" s="174">
        <v>60408895</v>
      </c>
      <c r="H44" s="174" t="s">
        <v>33</v>
      </c>
      <c r="I44" s="174" t="s">
        <v>1042</v>
      </c>
      <c r="J44" s="174" t="s">
        <v>847</v>
      </c>
      <c r="K44" s="174" t="s">
        <v>94</v>
      </c>
      <c r="L44" s="174" t="s">
        <v>235</v>
      </c>
      <c r="M44" s="174" t="s">
        <v>2339</v>
      </c>
      <c r="N44" s="174" t="s">
        <v>235</v>
      </c>
      <c r="O44" s="174" t="s">
        <v>147</v>
      </c>
      <c r="P44" s="176" t="s">
        <v>2345</v>
      </c>
      <c r="Q44" s="174" t="s">
        <v>98</v>
      </c>
      <c r="R44" s="174" t="s">
        <v>908</v>
      </c>
      <c r="S44" s="174" t="s">
        <v>190</v>
      </c>
      <c r="T44" s="181" t="s">
        <v>2346</v>
      </c>
      <c r="U44" s="182">
        <v>3.718</v>
      </c>
      <c r="V44" s="183">
        <v>109.417</v>
      </c>
      <c r="W44" s="183">
        <v>406.81200000000001</v>
      </c>
      <c r="X44" s="184">
        <v>0</v>
      </c>
      <c r="Y44" s="184">
        <v>8.7410383798642395E-4</v>
      </c>
      <c r="Z44" s="184">
        <v>1.4070810255588701E-4</v>
      </c>
    </row>
    <row r="45" spans="1:26">
      <c r="A45" s="174">
        <v>382</v>
      </c>
      <c r="B45" s="174">
        <v>382</v>
      </c>
      <c r="C45" s="174" t="s">
        <v>2347</v>
      </c>
      <c r="D45" s="174" t="s">
        <v>2348</v>
      </c>
      <c r="E45" s="174" t="s">
        <v>33</v>
      </c>
      <c r="F45" s="174" t="s">
        <v>2349</v>
      </c>
      <c r="G45" s="174">
        <v>62010971</v>
      </c>
      <c r="H45" s="174" t="s">
        <v>33</v>
      </c>
      <c r="I45" s="174" t="s">
        <v>1039</v>
      </c>
      <c r="J45" s="174" t="s">
        <v>847</v>
      </c>
      <c r="K45" s="174" t="s">
        <v>94</v>
      </c>
      <c r="L45" s="174" t="s">
        <v>235</v>
      </c>
      <c r="M45" s="174" t="s">
        <v>2350</v>
      </c>
      <c r="N45" s="174" t="s">
        <v>313</v>
      </c>
      <c r="O45" s="174" t="s">
        <v>147</v>
      </c>
      <c r="P45" s="176" t="s">
        <v>2351</v>
      </c>
      <c r="Q45" s="174" t="s">
        <v>98</v>
      </c>
      <c r="R45" s="174" t="s">
        <v>906</v>
      </c>
      <c r="S45" s="174" t="s">
        <v>909</v>
      </c>
      <c r="T45" s="181" t="s">
        <v>2238</v>
      </c>
      <c r="U45" s="182">
        <v>3.718</v>
      </c>
      <c r="V45" s="183">
        <v>3136.1709999999998</v>
      </c>
      <c r="W45" s="183">
        <v>11660.282999999999</v>
      </c>
      <c r="X45" s="184">
        <v>0</v>
      </c>
      <c r="Y45" s="184">
        <v>2.5054050902643701E-2</v>
      </c>
      <c r="Z45" s="184">
        <v>4.0330539812872502E-3</v>
      </c>
    </row>
    <row r="46" spans="1:26">
      <c r="A46" s="174">
        <v>382</v>
      </c>
      <c r="B46" s="174">
        <v>382</v>
      </c>
      <c r="C46" s="174" t="s">
        <v>2347</v>
      </c>
      <c r="D46" s="174" t="s">
        <v>2348</v>
      </c>
      <c r="E46" s="174" t="s">
        <v>33</v>
      </c>
      <c r="F46" s="174" t="s">
        <v>2352</v>
      </c>
      <c r="G46" s="174">
        <v>27940004</v>
      </c>
      <c r="H46" s="174" t="s">
        <v>33</v>
      </c>
      <c r="I46" s="174" t="s">
        <v>1039</v>
      </c>
      <c r="J46" s="174" t="s">
        <v>867</v>
      </c>
      <c r="K46" s="174" t="s">
        <v>94</v>
      </c>
      <c r="L46" s="174" t="s">
        <v>235</v>
      </c>
      <c r="M46" s="174" t="s">
        <v>2350</v>
      </c>
      <c r="N46" s="174" t="s">
        <v>313</v>
      </c>
      <c r="O46" s="174" t="s">
        <v>147</v>
      </c>
      <c r="P46" s="176" t="s">
        <v>2353</v>
      </c>
      <c r="Q46" s="174" t="s">
        <v>98</v>
      </c>
      <c r="R46" s="174" t="s">
        <v>906</v>
      </c>
      <c r="S46" s="174" t="s">
        <v>909</v>
      </c>
      <c r="T46" s="181" t="s">
        <v>2354</v>
      </c>
      <c r="U46" s="182">
        <v>3.718</v>
      </c>
      <c r="V46" s="183">
        <v>3755.2089999999998</v>
      </c>
      <c r="W46" s="183">
        <v>13961.867</v>
      </c>
      <c r="X46" s="184">
        <v>0</v>
      </c>
      <c r="Y46" s="184">
        <v>2.99993855024605E-2</v>
      </c>
      <c r="Z46" s="184">
        <v>4.82912490307515E-3</v>
      </c>
    </row>
    <row r="47" spans="1:26">
      <c r="A47" s="174">
        <v>382</v>
      </c>
      <c r="B47" s="174">
        <v>382</v>
      </c>
      <c r="C47" s="174" t="s">
        <v>2355</v>
      </c>
      <c r="D47" s="174" t="s">
        <v>2356</v>
      </c>
      <c r="E47" s="174" t="s">
        <v>33</v>
      </c>
      <c r="F47" s="174" t="s">
        <v>2357</v>
      </c>
      <c r="G47" s="174">
        <v>27940010</v>
      </c>
      <c r="H47" s="174" t="s">
        <v>33</v>
      </c>
      <c r="I47" s="174" t="s">
        <v>1039</v>
      </c>
      <c r="J47" s="174" t="s">
        <v>861</v>
      </c>
      <c r="K47" s="174" t="s">
        <v>94</v>
      </c>
      <c r="L47" s="174" t="s">
        <v>235</v>
      </c>
      <c r="M47" s="174" t="s">
        <v>2358</v>
      </c>
      <c r="N47" s="174" t="s">
        <v>103</v>
      </c>
      <c r="O47" s="174" t="s">
        <v>353</v>
      </c>
      <c r="P47" s="176" t="s">
        <v>2359</v>
      </c>
      <c r="Q47" s="174" t="s">
        <v>98</v>
      </c>
      <c r="R47" s="174" t="s">
        <v>908</v>
      </c>
      <c r="S47" s="174" t="s">
        <v>190</v>
      </c>
      <c r="T47" s="181" t="s">
        <v>2360</v>
      </c>
      <c r="U47" s="182">
        <v>3.718</v>
      </c>
      <c r="V47" s="183">
        <v>2157.364</v>
      </c>
      <c r="W47" s="183">
        <v>8021.0780000000004</v>
      </c>
      <c r="X47" s="184">
        <v>0</v>
      </c>
      <c r="Y47" s="184">
        <v>1.7234614693009302E-2</v>
      </c>
      <c r="Z47" s="184">
        <v>2.7743270608689601E-3</v>
      </c>
    </row>
    <row r="48" spans="1:26">
      <c r="A48" s="174">
        <v>382</v>
      </c>
      <c r="B48" s="174">
        <v>382</v>
      </c>
      <c r="C48" s="174" t="s">
        <v>2361</v>
      </c>
      <c r="D48" s="174" t="s">
        <v>2356</v>
      </c>
      <c r="E48" s="174" t="s">
        <v>33</v>
      </c>
      <c r="F48" s="174" t="s">
        <v>2362</v>
      </c>
      <c r="G48" s="174">
        <v>620022591</v>
      </c>
      <c r="H48" s="174" t="s">
        <v>33</v>
      </c>
      <c r="I48" s="174" t="s">
        <v>1039</v>
      </c>
      <c r="J48" s="174" t="s">
        <v>581</v>
      </c>
      <c r="K48" s="174" t="s">
        <v>94</v>
      </c>
      <c r="L48" s="174" t="s">
        <v>30</v>
      </c>
      <c r="M48" s="174" t="s">
        <v>2648</v>
      </c>
      <c r="N48" s="174" t="s">
        <v>103</v>
      </c>
      <c r="O48" s="174" t="s">
        <v>147</v>
      </c>
      <c r="P48" s="176" t="s">
        <v>2363</v>
      </c>
      <c r="Q48" s="174" t="s">
        <v>98</v>
      </c>
      <c r="R48" s="174" t="s">
        <v>95</v>
      </c>
      <c r="S48" s="174"/>
      <c r="T48" s="181" t="s">
        <v>2364</v>
      </c>
      <c r="U48" s="182">
        <v>3.718</v>
      </c>
      <c r="V48" s="183">
        <v>1873.5160000000001</v>
      </c>
      <c r="W48" s="183">
        <v>6965.7309999999998</v>
      </c>
      <c r="X48" s="184">
        <v>0</v>
      </c>
      <c r="Y48" s="184">
        <v>1.49670283598131E-2</v>
      </c>
      <c r="Z48" s="184">
        <v>2.40930432963294E-3</v>
      </c>
    </row>
    <row r="49" spans="1:26">
      <c r="A49" s="174">
        <v>382</v>
      </c>
      <c r="B49" s="174">
        <v>382</v>
      </c>
      <c r="C49" s="174" t="s">
        <v>2355</v>
      </c>
      <c r="D49" s="174" t="s">
        <v>2365</v>
      </c>
      <c r="E49" s="174" t="s">
        <v>327</v>
      </c>
      <c r="F49" s="174" t="s">
        <v>2366</v>
      </c>
      <c r="G49" s="174">
        <v>27940016</v>
      </c>
      <c r="H49" s="174" t="s">
        <v>33</v>
      </c>
      <c r="I49" s="174" t="s">
        <v>1039</v>
      </c>
      <c r="J49" s="174" t="s">
        <v>853</v>
      </c>
      <c r="K49" s="174" t="s">
        <v>94</v>
      </c>
      <c r="L49" s="174" t="s">
        <v>30</v>
      </c>
      <c r="M49" s="174" t="s">
        <v>2358</v>
      </c>
      <c r="N49" s="174" t="s">
        <v>310</v>
      </c>
      <c r="O49" s="174" t="s">
        <v>147</v>
      </c>
      <c r="P49" s="176" t="s">
        <v>2367</v>
      </c>
      <c r="Q49" s="174" t="s">
        <v>1183</v>
      </c>
      <c r="R49" s="174" t="s">
        <v>908</v>
      </c>
      <c r="S49" s="174" t="s">
        <v>190</v>
      </c>
      <c r="T49" s="181" t="s">
        <v>2368</v>
      </c>
      <c r="U49" s="182">
        <v>4.0218999999999996</v>
      </c>
      <c r="V49" s="183">
        <v>713.06399999999996</v>
      </c>
      <c r="W49" s="183">
        <v>2867.873</v>
      </c>
      <c r="X49" s="184">
        <v>0</v>
      </c>
      <c r="Y49" s="184">
        <v>6.1621003407348902E-3</v>
      </c>
      <c r="Z49" s="184">
        <v>9.9193872515322408E-4</v>
      </c>
    </row>
    <row r="50" spans="1:26">
      <c r="A50" s="174">
        <v>382</v>
      </c>
      <c r="B50" s="174">
        <v>382</v>
      </c>
      <c r="C50" s="174" t="s">
        <v>2369</v>
      </c>
      <c r="D50" s="174" t="s">
        <v>2370</v>
      </c>
      <c r="E50" s="174" t="s">
        <v>33</v>
      </c>
      <c r="F50" s="174" t="s">
        <v>2371</v>
      </c>
      <c r="G50" s="174">
        <v>27940012</v>
      </c>
      <c r="H50" s="174" t="s">
        <v>33</v>
      </c>
      <c r="I50" s="174" t="s">
        <v>1039</v>
      </c>
      <c r="J50" s="174" t="s">
        <v>852</v>
      </c>
      <c r="K50" s="174" t="s">
        <v>94</v>
      </c>
      <c r="L50" s="174" t="s">
        <v>103</v>
      </c>
      <c r="M50" s="174" t="s">
        <v>2372</v>
      </c>
      <c r="N50" s="174" t="s">
        <v>313</v>
      </c>
      <c r="O50" s="174" t="s">
        <v>147</v>
      </c>
      <c r="P50" s="176" t="s">
        <v>2373</v>
      </c>
      <c r="Q50" s="174" t="s">
        <v>98</v>
      </c>
      <c r="R50" s="174" t="s">
        <v>906</v>
      </c>
      <c r="S50" s="174" t="s">
        <v>909</v>
      </c>
      <c r="T50" s="181" t="s">
        <v>2320</v>
      </c>
      <c r="U50" s="182">
        <v>3.718</v>
      </c>
      <c r="V50" s="183">
        <v>3706.4360000000001</v>
      </c>
      <c r="W50" s="183">
        <v>13780.527</v>
      </c>
      <c r="X50" s="184">
        <v>0</v>
      </c>
      <c r="Y50" s="184">
        <v>2.9609747398837E-2</v>
      </c>
      <c r="Z50" s="184">
        <v>4.76640324935192E-3</v>
      </c>
    </row>
    <row r="51" spans="1:26">
      <c r="A51" s="174">
        <v>382</v>
      </c>
      <c r="B51" s="174">
        <v>382</v>
      </c>
      <c r="C51" s="174" t="s">
        <v>2374</v>
      </c>
      <c r="D51" s="174" t="s">
        <v>1369</v>
      </c>
      <c r="E51" s="174" t="s">
        <v>184</v>
      </c>
      <c r="F51" s="174" t="s">
        <v>2375</v>
      </c>
      <c r="G51" s="174">
        <v>27940024</v>
      </c>
      <c r="H51" s="174" t="s">
        <v>33</v>
      </c>
      <c r="I51" s="174" t="s">
        <v>1042</v>
      </c>
      <c r="J51" s="174" t="s">
        <v>859</v>
      </c>
      <c r="K51" s="174" t="s">
        <v>94</v>
      </c>
      <c r="L51" s="174" t="s">
        <v>235</v>
      </c>
      <c r="M51" s="174" t="s">
        <v>2376</v>
      </c>
      <c r="N51" s="174" t="s">
        <v>103</v>
      </c>
      <c r="O51" s="174" t="s">
        <v>147</v>
      </c>
      <c r="P51" s="176" t="s">
        <v>2377</v>
      </c>
      <c r="Q51" s="174" t="s">
        <v>98</v>
      </c>
      <c r="R51" s="174" t="s">
        <v>908</v>
      </c>
      <c r="S51" s="174" t="s">
        <v>190</v>
      </c>
      <c r="T51" s="181" t="s">
        <v>2219</v>
      </c>
      <c r="U51" s="182">
        <v>3.718</v>
      </c>
      <c r="V51" s="183">
        <v>1705.8430000000001</v>
      </c>
      <c r="W51" s="183">
        <v>6342.3249999999998</v>
      </c>
      <c r="X51" s="184">
        <v>0</v>
      </c>
      <c r="Y51" s="184">
        <v>1.36275357386921E-2</v>
      </c>
      <c r="Z51" s="184">
        <v>2.1936806738213801E-3</v>
      </c>
    </row>
    <row r="52" spans="1:26">
      <c r="A52" s="174">
        <v>382</v>
      </c>
      <c r="B52" s="174">
        <v>382</v>
      </c>
      <c r="C52" s="174" t="s">
        <v>2378</v>
      </c>
      <c r="D52" s="174" t="s">
        <v>2379</v>
      </c>
      <c r="E52" s="174" t="s">
        <v>184</v>
      </c>
      <c r="F52" s="174" t="s">
        <v>2380</v>
      </c>
      <c r="G52" s="174">
        <v>27940036</v>
      </c>
      <c r="H52" s="174" t="s">
        <v>33</v>
      </c>
      <c r="I52" s="174" t="s">
        <v>1042</v>
      </c>
      <c r="J52" s="174" t="s">
        <v>581</v>
      </c>
      <c r="K52" s="174" t="s">
        <v>94</v>
      </c>
      <c r="L52" s="174" t="s">
        <v>270</v>
      </c>
      <c r="M52" s="174" t="s">
        <v>2649</v>
      </c>
      <c r="N52" s="174" t="s">
        <v>103</v>
      </c>
      <c r="O52" s="174" t="s">
        <v>147</v>
      </c>
      <c r="P52" s="176" t="s">
        <v>2381</v>
      </c>
      <c r="Q52" s="174" t="s">
        <v>98</v>
      </c>
      <c r="R52" s="174" t="s">
        <v>95</v>
      </c>
      <c r="S52" s="174"/>
      <c r="T52" s="181" t="s">
        <v>2382</v>
      </c>
      <c r="U52" s="182">
        <v>3.718</v>
      </c>
      <c r="V52" s="183">
        <v>693.15200000000004</v>
      </c>
      <c r="W52" s="183">
        <v>2577.14</v>
      </c>
      <c r="X52" s="184">
        <v>0</v>
      </c>
      <c r="Y52" s="184">
        <v>5.5374132719327503E-3</v>
      </c>
      <c r="Z52" s="184">
        <v>8.9138026936972097E-4</v>
      </c>
    </row>
    <row r="53" spans="1:26">
      <c r="A53" s="174">
        <v>382</v>
      </c>
      <c r="B53" s="174">
        <v>382</v>
      </c>
      <c r="C53" s="174" t="s">
        <v>2383</v>
      </c>
      <c r="D53" s="174" t="s">
        <v>2384</v>
      </c>
      <c r="E53" s="174" t="s">
        <v>184</v>
      </c>
      <c r="F53" s="174" t="s">
        <v>2385</v>
      </c>
      <c r="G53" s="174">
        <v>620109701</v>
      </c>
      <c r="H53" s="174" t="s">
        <v>33</v>
      </c>
      <c r="I53" s="174" t="s">
        <v>1039</v>
      </c>
      <c r="J53" s="174" t="s">
        <v>852</v>
      </c>
      <c r="K53" s="174" t="s">
        <v>94</v>
      </c>
      <c r="L53" s="174" t="s">
        <v>103</v>
      </c>
      <c r="M53" s="174" t="s">
        <v>2386</v>
      </c>
      <c r="N53" s="174" t="s">
        <v>103</v>
      </c>
      <c r="O53" s="174" t="s">
        <v>147</v>
      </c>
      <c r="P53" s="176" t="s">
        <v>2387</v>
      </c>
      <c r="Q53" s="174" t="s">
        <v>98</v>
      </c>
      <c r="R53" s="174" t="s">
        <v>906</v>
      </c>
      <c r="S53" s="174" t="s">
        <v>909</v>
      </c>
      <c r="T53" s="181" t="s">
        <v>2208</v>
      </c>
      <c r="U53" s="182">
        <v>3.718</v>
      </c>
      <c r="V53" s="183">
        <v>4069.962</v>
      </c>
      <c r="W53" s="183">
        <v>15132.117</v>
      </c>
      <c r="X53" s="184">
        <v>0</v>
      </c>
      <c r="Y53" s="184">
        <v>3.2513861785997598E-2</v>
      </c>
      <c r="Z53" s="184">
        <v>5.2338905286252197E-3</v>
      </c>
    </row>
    <row r="54" spans="1:26">
      <c r="A54" s="174">
        <v>382</v>
      </c>
      <c r="B54" s="174">
        <v>382</v>
      </c>
      <c r="C54" s="174" t="s">
        <v>2388</v>
      </c>
      <c r="D54" s="174" t="s">
        <v>2232</v>
      </c>
      <c r="E54" s="174" t="s">
        <v>1325</v>
      </c>
      <c r="F54" s="174" t="s">
        <v>2388</v>
      </c>
      <c r="G54" s="174">
        <v>620005541</v>
      </c>
      <c r="H54" s="174" t="s">
        <v>33</v>
      </c>
      <c r="I54" s="174" t="s">
        <v>1039</v>
      </c>
      <c r="J54" s="174" t="s">
        <v>581</v>
      </c>
      <c r="K54" s="174" t="s">
        <v>94</v>
      </c>
      <c r="L54" s="174" t="s">
        <v>270</v>
      </c>
      <c r="M54" s="174" t="s">
        <v>2650</v>
      </c>
      <c r="N54" s="174" t="s">
        <v>255</v>
      </c>
      <c r="O54" s="174" t="s">
        <v>147</v>
      </c>
      <c r="P54" s="176" t="s">
        <v>2389</v>
      </c>
      <c r="Q54" s="174" t="s">
        <v>1183</v>
      </c>
      <c r="R54" s="174" t="s">
        <v>95</v>
      </c>
      <c r="S54" s="174"/>
      <c r="T54" s="181" t="s">
        <v>148</v>
      </c>
      <c r="U54" s="182">
        <v>4.0218999999999996</v>
      </c>
      <c r="V54" s="183">
        <v>1524.242</v>
      </c>
      <c r="W54" s="183">
        <v>6130.3469999999998</v>
      </c>
      <c r="X54" s="184">
        <v>0</v>
      </c>
      <c r="Y54" s="184">
        <v>1.3172067479817501E-2</v>
      </c>
      <c r="Z54" s="184">
        <v>2.1203620683015699E-3</v>
      </c>
    </row>
    <row r="55" spans="1:26">
      <c r="A55" s="174">
        <v>382</v>
      </c>
      <c r="B55" s="174">
        <v>382</v>
      </c>
      <c r="C55" s="174" t="s">
        <v>2390</v>
      </c>
      <c r="D55" s="174" t="s">
        <v>2391</v>
      </c>
      <c r="E55" s="174" t="s">
        <v>1325</v>
      </c>
      <c r="F55" s="174" t="s">
        <v>2392</v>
      </c>
      <c r="G55" s="174">
        <v>620107071</v>
      </c>
      <c r="H55" s="174" t="s">
        <v>33</v>
      </c>
      <c r="I55" s="174" t="s">
        <v>1039</v>
      </c>
      <c r="J55" s="174" t="s">
        <v>852</v>
      </c>
      <c r="K55" s="174" t="s">
        <v>30</v>
      </c>
      <c r="L55" s="174" t="s">
        <v>30</v>
      </c>
      <c r="M55" s="174" t="s">
        <v>2393</v>
      </c>
      <c r="N55" s="174" t="s">
        <v>30</v>
      </c>
      <c r="O55" s="174" t="s">
        <v>147</v>
      </c>
      <c r="P55" s="176" t="s">
        <v>2279</v>
      </c>
      <c r="Q55" s="174" t="s">
        <v>98</v>
      </c>
      <c r="R55" s="174" t="s">
        <v>906</v>
      </c>
      <c r="S55" s="174" t="s">
        <v>909</v>
      </c>
      <c r="T55" s="181" t="s">
        <v>1311</v>
      </c>
      <c r="U55" s="182">
        <v>3.718</v>
      </c>
      <c r="V55" s="183">
        <v>1494.39</v>
      </c>
      <c r="W55" s="183">
        <v>5556.14</v>
      </c>
      <c r="X55" s="184">
        <v>0</v>
      </c>
      <c r="Y55" s="184">
        <v>1.19382883688335E-2</v>
      </c>
      <c r="Z55" s="184">
        <v>1.9217555525361701E-3</v>
      </c>
    </row>
    <row r="56" spans="1:26">
      <c r="A56" s="174">
        <v>382</v>
      </c>
      <c r="B56" s="174">
        <v>382</v>
      </c>
      <c r="C56" s="174" t="s">
        <v>2394</v>
      </c>
      <c r="D56" s="174" t="s">
        <v>2395</v>
      </c>
      <c r="E56" s="174" t="s">
        <v>33</v>
      </c>
      <c r="F56" s="174" t="s">
        <v>2396</v>
      </c>
      <c r="G56" s="174">
        <v>27940037</v>
      </c>
      <c r="H56" s="174" t="s">
        <v>33</v>
      </c>
      <c r="I56" s="174" t="s">
        <v>1041</v>
      </c>
      <c r="J56" s="174" t="s">
        <v>581</v>
      </c>
      <c r="K56" s="174" t="s">
        <v>94</v>
      </c>
      <c r="L56" s="174" t="s">
        <v>103</v>
      </c>
      <c r="M56" s="174" t="s">
        <v>2651</v>
      </c>
      <c r="N56" s="174" t="s">
        <v>103</v>
      </c>
      <c r="O56" s="174" t="s">
        <v>147</v>
      </c>
      <c r="P56" s="176" t="s">
        <v>2397</v>
      </c>
      <c r="Q56" s="174" t="s">
        <v>98</v>
      </c>
      <c r="R56" s="174" t="s">
        <v>95</v>
      </c>
      <c r="S56" s="174"/>
      <c r="T56" s="181" t="s">
        <v>2219</v>
      </c>
      <c r="U56" s="182">
        <v>3.718</v>
      </c>
      <c r="V56" s="183">
        <v>1926.223</v>
      </c>
      <c r="W56" s="183">
        <v>7161.6980000000003</v>
      </c>
      <c r="X56" s="184">
        <v>0</v>
      </c>
      <c r="Y56" s="184">
        <v>1.53880962023297E-2</v>
      </c>
      <c r="Z56" s="184">
        <v>2.47708535814815E-3</v>
      </c>
    </row>
    <row r="57" spans="1:26">
      <c r="A57" s="174">
        <v>382</v>
      </c>
      <c r="B57" s="174">
        <v>382</v>
      </c>
      <c r="C57" s="174" t="s">
        <v>2398</v>
      </c>
      <c r="D57" s="174" t="s">
        <v>2399</v>
      </c>
      <c r="E57" s="174" t="s">
        <v>33</v>
      </c>
      <c r="F57" s="174" t="s">
        <v>2400</v>
      </c>
      <c r="G57" s="174">
        <v>27940013</v>
      </c>
      <c r="H57" s="174" t="s">
        <v>33</v>
      </c>
      <c r="I57" s="174" t="s">
        <v>1039</v>
      </c>
      <c r="J57" s="174" t="s">
        <v>857</v>
      </c>
      <c r="K57" s="174" t="s">
        <v>94</v>
      </c>
      <c r="L57" s="174" t="s">
        <v>2299</v>
      </c>
      <c r="M57" s="174" t="s">
        <v>2401</v>
      </c>
      <c r="N57" s="174" t="s">
        <v>310</v>
      </c>
      <c r="O57" s="174" t="s">
        <v>147</v>
      </c>
      <c r="P57" s="176" t="s">
        <v>2402</v>
      </c>
      <c r="Q57" s="174" t="s">
        <v>1183</v>
      </c>
      <c r="R57" s="174" t="s">
        <v>908</v>
      </c>
      <c r="S57" s="174" t="s">
        <v>190</v>
      </c>
      <c r="T57" s="181" t="s">
        <v>2403</v>
      </c>
      <c r="U57" s="182">
        <v>4.0218999999999996</v>
      </c>
      <c r="V57" s="183">
        <v>766.20299999999997</v>
      </c>
      <c r="W57" s="183">
        <v>3081.59</v>
      </c>
      <c r="X57" s="184">
        <v>0</v>
      </c>
      <c r="Y57" s="184">
        <v>6.6213073876035897E-3</v>
      </c>
      <c r="Z57" s="184">
        <v>1.06585917880783E-3</v>
      </c>
    </row>
    <row r="58" spans="1:26">
      <c r="A58" s="174">
        <v>382</v>
      </c>
      <c r="B58" s="174">
        <v>382</v>
      </c>
      <c r="C58" s="174" t="s">
        <v>2404</v>
      </c>
      <c r="D58" s="174"/>
      <c r="E58" s="174" t="s">
        <v>95</v>
      </c>
      <c r="F58" s="174" t="s">
        <v>2405</v>
      </c>
      <c r="G58" s="174">
        <v>27940020</v>
      </c>
      <c r="H58" s="174" t="s">
        <v>33</v>
      </c>
      <c r="I58" s="174" t="s">
        <v>1039</v>
      </c>
      <c r="J58" s="174" t="s">
        <v>861</v>
      </c>
      <c r="K58" s="174" t="s">
        <v>94</v>
      </c>
      <c r="L58" s="174" t="s">
        <v>235</v>
      </c>
      <c r="M58" s="174" t="s">
        <v>2406</v>
      </c>
      <c r="N58" s="174" t="s">
        <v>103</v>
      </c>
      <c r="O58" s="174" t="s">
        <v>147</v>
      </c>
      <c r="P58" s="176" t="s">
        <v>2407</v>
      </c>
      <c r="Q58" s="174" t="s">
        <v>98</v>
      </c>
      <c r="R58" s="174" t="s">
        <v>908</v>
      </c>
      <c r="S58" s="174" t="s">
        <v>190</v>
      </c>
      <c r="T58" s="181" t="s">
        <v>2219</v>
      </c>
      <c r="U58" s="182">
        <v>3.718</v>
      </c>
      <c r="V58" s="183">
        <v>1865.83</v>
      </c>
      <c r="W58" s="183">
        <v>6937.1570000000002</v>
      </c>
      <c r="X58" s="184">
        <v>0</v>
      </c>
      <c r="Y58" s="184">
        <v>1.49056317670134E-2</v>
      </c>
      <c r="Z58" s="184">
        <v>2.39942106668314E-3</v>
      </c>
    </row>
    <row r="59" spans="1:26">
      <c r="A59" s="174">
        <v>382</v>
      </c>
      <c r="B59" s="174">
        <v>382</v>
      </c>
      <c r="C59" s="174" t="s">
        <v>2404</v>
      </c>
      <c r="D59" s="174" t="s">
        <v>2408</v>
      </c>
      <c r="E59" s="174" t="s">
        <v>33</v>
      </c>
      <c r="F59" s="174" t="s">
        <v>2409</v>
      </c>
      <c r="G59" s="174">
        <v>27940017</v>
      </c>
      <c r="H59" s="174" t="s">
        <v>33</v>
      </c>
      <c r="I59" s="174" t="s">
        <v>1039</v>
      </c>
      <c r="J59" s="174" t="s">
        <v>861</v>
      </c>
      <c r="K59" s="174" t="s">
        <v>94</v>
      </c>
      <c r="L59" s="174" t="s">
        <v>235</v>
      </c>
      <c r="M59" s="174" t="s">
        <v>2406</v>
      </c>
      <c r="N59" s="174" t="s">
        <v>103</v>
      </c>
      <c r="O59" s="174" t="s">
        <v>147</v>
      </c>
      <c r="P59" s="176" t="s">
        <v>2410</v>
      </c>
      <c r="Q59" s="174" t="s">
        <v>98</v>
      </c>
      <c r="R59" s="174" t="s">
        <v>908</v>
      </c>
      <c r="S59" s="174" t="s">
        <v>190</v>
      </c>
      <c r="T59" s="181" t="s">
        <v>2219</v>
      </c>
      <c r="U59" s="182">
        <v>3.718</v>
      </c>
      <c r="V59" s="183">
        <v>4056.3539999999998</v>
      </c>
      <c r="W59" s="183">
        <v>15081.526</v>
      </c>
      <c r="X59" s="184">
        <v>4.5800000000000002E-4</v>
      </c>
      <c r="Y59" s="184">
        <v>3.24051576770557E-2</v>
      </c>
      <c r="Z59" s="184">
        <v>5.2163919795461099E-3</v>
      </c>
    </row>
    <row r="60" spans="1:26">
      <c r="A60" s="174">
        <v>382</v>
      </c>
      <c r="B60" s="174">
        <v>382</v>
      </c>
      <c r="C60" s="174" t="s">
        <v>2411</v>
      </c>
      <c r="D60" s="174" t="s">
        <v>2412</v>
      </c>
      <c r="E60" s="174" t="s">
        <v>33</v>
      </c>
      <c r="F60" s="174" t="s">
        <v>2413</v>
      </c>
      <c r="G60" s="174">
        <v>27940000</v>
      </c>
      <c r="H60" s="174" t="s">
        <v>33</v>
      </c>
      <c r="I60" s="174" t="s">
        <v>1039</v>
      </c>
      <c r="J60" s="174" t="s">
        <v>867</v>
      </c>
      <c r="K60" s="174" t="s">
        <v>94</v>
      </c>
      <c r="L60" s="174" t="s">
        <v>2299</v>
      </c>
      <c r="M60" s="174" t="s">
        <v>2414</v>
      </c>
      <c r="N60" s="174" t="s">
        <v>103</v>
      </c>
      <c r="O60" s="174" t="s">
        <v>147</v>
      </c>
      <c r="P60" s="176" t="s">
        <v>2387</v>
      </c>
      <c r="Q60" s="174" t="s">
        <v>98</v>
      </c>
      <c r="R60" s="174" t="s">
        <v>906</v>
      </c>
      <c r="S60" s="174" t="s">
        <v>909</v>
      </c>
      <c r="T60" s="181" t="s">
        <v>148</v>
      </c>
      <c r="U60" s="182">
        <v>3.718</v>
      </c>
      <c r="V60" s="183">
        <v>2751.5650000000001</v>
      </c>
      <c r="W60" s="183">
        <v>10230.319</v>
      </c>
      <c r="X60" s="184">
        <v>0</v>
      </c>
      <c r="Y60" s="184">
        <v>2.1981535419492899E-2</v>
      </c>
      <c r="Z60" s="184">
        <v>3.5384584825377602E-3</v>
      </c>
    </row>
    <row r="61" spans="1:26">
      <c r="A61" s="174">
        <v>382</v>
      </c>
      <c r="B61" s="174">
        <v>382</v>
      </c>
      <c r="C61" s="174" t="s">
        <v>2415</v>
      </c>
      <c r="D61" s="174" t="s">
        <v>2416</v>
      </c>
      <c r="E61" s="174" t="s">
        <v>33</v>
      </c>
      <c r="F61" s="174" t="s">
        <v>2417</v>
      </c>
      <c r="G61" s="174">
        <v>27940038</v>
      </c>
      <c r="H61" s="174" t="s">
        <v>33</v>
      </c>
      <c r="I61" s="174" t="s">
        <v>1041</v>
      </c>
      <c r="J61" s="174" t="s">
        <v>581</v>
      </c>
      <c r="K61" s="174" t="s">
        <v>94</v>
      </c>
      <c r="L61" s="174" t="s">
        <v>103</v>
      </c>
      <c r="M61" s="174" t="s">
        <v>2652</v>
      </c>
      <c r="N61" s="174" t="s">
        <v>103</v>
      </c>
      <c r="O61" s="174" t="s">
        <v>147</v>
      </c>
      <c r="P61" s="176" t="s">
        <v>2418</v>
      </c>
      <c r="Q61" s="174" t="s">
        <v>98</v>
      </c>
      <c r="R61" s="174" t="s">
        <v>95</v>
      </c>
      <c r="S61" s="174"/>
      <c r="T61" s="181" t="s">
        <v>1313</v>
      </c>
      <c r="U61" s="182">
        <v>3.718</v>
      </c>
      <c r="V61" s="183">
        <v>1894.7950000000001</v>
      </c>
      <c r="W61" s="183">
        <v>7044.8459999999995</v>
      </c>
      <c r="X61" s="184">
        <v>0</v>
      </c>
      <c r="Y61" s="184">
        <v>1.51370199925514E-2</v>
      </c>
      <c r="Z61" s="184">
        <v>2.43666858437421E-3</v>
      </c>
    </row>
    <row r="62" spans="1:26">
      <c r="A62" s="174">
        <v>382</v>
      </c>
      <c r="B62" s="174">
        <v>382</v>
      </c>
      <c r="C62" s="174" t="s">
        <v>2419</v>
      </c>
      <c r="D62" s="174" t="s">
        <v>2420</v>
      </c>
      <c r="E62" s="174" t="s">
        <v>33</v>
      </c>
      <c r="F62" s="174" t="s">
        <v>2421</v>
      </c>
      <c r="G62" s="174">
        <v>27940021</v>
      </c>
      <c r="H62" s="174" t="s">
        <v>33</v>
      </c>
      <c r="I62" s="174" t="s">
        <v>1039</v>
      </c>
      <c r="J62" s="174" t="s">
        <v>863</v>
      </c>
      <c r="K62" s="174" t="s">
        <v>94</v>
      </c>
      <c r="L62" s="174" t="s">
        <v>235</v>
      </c>
      <c r="M62" s="174" t="s">
        <v>2422</v>
      </c>
      <c r="N62" s="174" t="s">
        <v>235</v>
      </c>
      <c r="O62" s="174" t="s">
        <v>147</v>
      </c>
      <c r="P62" s="176" t="s">
        <v>2423</v>
      </c>
      <c r="Q62" s="174" t="s">
        <v>98</v>
      </c>
      <c r="R62" s="174" t="s">
        <v>906</v>
      </c>
      <c r="S62" s="174" t="s">
        <v>909</v>
      </c>
      <c r="T62" s="181" t="s">
        <v>2424</v>
      </c>
      <c r="U62" s="182">
        <v>3.718</v>
      </c>
      <c r="V62" s="183">
        <v>3346.752</v>
      </c>
      <c r="W62" s="183">
        <v>12443.224</v>
      </c>
      <c r="X62" s="184">
        <v>0</v>
      </c>
      <c r="Y62" s="184">
        <v>2.6736329401390299E-2</v>
      </c>
      <c r="Z62" s="184">
        <v>4.3038572946264104E-3</v>
      </c>
    </row>
    <row r="63" spans="1:26">
      <c r="A63" s="174">
        <v>382</v>
      </c>
      <c r="B63" s="174">
        <v>382</v>
      </c>
      <c r="C63" s="174" t="s">
        <v>2404</v>
      </c>
      <c r="D63" s="174"/>
      <c r="E63" s="174" t="s">
        <v>95</v>
      </c>
      <c r="F63" s="174" t="s">
        <v>2425</v>
      </c>
      <c r="G63" s="174">
        <v>27940022</v>
      </c>
      <c r="H63" s="174" t="s">
        <v>33</v>
      </c>
      <c r="I63" s="174" t="s">
        <v>1039</v>
      </c>
      <c r="J63" s="174" t="s">
        <v>861</v>
      </c>
      <c r="K63" s="174" t="s">
        <v>94</v>
      </c>
      <c r="L63" s="174" t="s">
        <v>235</v>
      </c>
      <c r="M63" s="174" t="s">
        <v>2406</v>
      </c>
      <c r="N63" s="174" t="s">
        <v>103</v>
      </c>
      <c r="O63" s="174" t="s">
        <v>147</v>
      </c>
      <c r="P63" s="176" t="s">
        <v>2426</v>
      </c>
      <c r="Q63" s="174" t="s">
        <v>98</v>
      </c>
      <c r="R63" s="174" t="s">
        <v>908</v>
      </c>
      <c r="S63" s="174" t="s">
        <v>190</v>
      </c>
      <c r="T63" s="181" t="s">
        <v>2219</v>
      </c>
      <c r="U63" s="182">
        <v>3.718</v>
      </c>
      <c r="V63" s="183">
        <v>1859.7380000000001</v>
      </c>
      <c r="W63" s="183">
        <v>6914.5050000000001</v>
      </c>
      <c r="X63" s="184">
        <v>0</v>
      </c>
      <c r="Y63" s="184">
        <v>1.48569611659061E-2</v>
      </c>
      <c r="Z63" s="184">
        <v>2.3915863591410301E-3</v>
      </c>
    </row>
    <row r="64" spans="1:26">
      <c r="A64" s="174">
        <v>382</v>
      </c>
      <c r="B64" s="174">
        <v>382</v>
      </c>
      <c r="C64" s="174" t="s">
        <v>2404</v>
      </c>
      <c r="D64" s="174" t="s">
        <v>2408</v>
      </c>
      <c r="E64" s="174" t="s">
        <v>33</v>
      </c>
      <c r="F64" s="174" t="s">
        <v>2427</v>
      </c>
      <c r="G64" s="174">
        <v>27940025</v>
      </c>
      <c r="H64" s="174" t="s">
        <v>33</v>
      </c>
      <c r="I64" s="174" t="s">
        <v>1039</v>
      </c>
      <c r="J64" s="174" t="s">
        <v>861</v>
      </c>
      <c r="K64" s="174" t="s">
        <v>94</v>
      </c>
      <c r="L64" s="174" t="s">
        <v>235</v>
      </c>
      <c r="M64" s="174" t="s">
        <v>2406</v>
      </c>
      <c r="N64" s="174" t="s">
        <v>103</v>
      </c>
      <c r="O64" s="174" t="s">
        <v>147</v>
      </c>
      <c r="P64" s="176" t="s">
        <v>2428</v>
      </c>
      <c r="Q64" s="174" t="s">
        <v>98</v>
      </c>
      <c r="R64" s="174" t="s">
        <v>908</v>
      </c>
      <c r="S64" s="174" t="s">
        <v>190</v>
      </c>
      <c r="T64" s="181" t="s">
        <v>2219</v>
      </c>
      <c r="U64" s="182">
        <v>3.718</v>
      </c>
      <c r="V64" s="183">
        <v>1424.4970000000001</v>
      </c>
      <c r="W64" s="183">
        <v>5296.2809999999999</v>
      </c>
      <c r="X64" s="184">
        <v>0</v>
      </c>
      <c r="Y64" s="184">
        <v>1.1379938644551E-2</v>
      </c>
      <c r="Z64" s="184">
        <v>1.8318756928991399E-3</v>
      </c>
    </row>
    <row r="65" spans="1:26">
      <c r="A65" s="174">
        <v>382</v>
      </c>
      <c r="B65" s="174">
        <v>382</v>
      </c>
      <c r="C65" s="174" t="s">
        <v>2411</v>
      </c>
      <c r="D65" s="174" t="s">
        <v>2429</v>
      </c>
      <c r="E65" s="174" t="s">
        <v>33</v>
      </c>
      <c r="F65" s="174" t="s">
        <v>2430</v>
      </c>
      <c r="G65" s="174">
        <v>27940002</v>
      </c>
      <c r="H65" s="174" t="s">
        <v>33</v>
      </c>
      <c r="I65" s="174" t="s">
        <v>1039</v>
      </c>
      <c r="J65" s="174" t="s">
        <v>847</v>
      </c>
      <c r="K65" s="174" t="s">
        <v>94</v>
      </c>
      <c r="L65" s="174" t="s">
        <v>2299</v>
      </c>
      <c r="M65" s="174" t="s">
        <v>2414</v>
      </c>
      <c r="N65" s="174" t="s">
        <v>103</v>
      </c>
      <c r="O65" s="174" t="s">
        <v>147</v>
      </c>
      <c r="P65" s="176" t="s">
        <v>2431</v>
      </c>
      <c r="Q65" s="174" t="s">
        <v>98</v>
      </c>
      <c r="R65" s="174" t="s">
        <v>906</v>
      </c>
      <c r="S65" s="174" t="s">
        <v>909</v>
      </c>
      <c r="T65" s="181" t="s">
        <v>2302</v>
      </c>
      <c r="U65" s="182">
        <v>3.718</v>
      </c>
      <c r="V65" s="183">
        <v>4157.4229999999998</v>
      </c>
      <c r="W65" s="183">
        <v>15457.299000000001</v>
      </c>
      <c r="X65" s="184">
        <v>0</v>
      </c>
      <c r="Y65" s="184">
        <v>3.3212568620971702E-2</v>
      </c>
      <c r="Z65" s="184">
        <v>5.3463642516768401E-3</v>
      </c>
    </row>
    <row r="66" spans="1:26">
      <c r="A66" s="174">
        <v>382</v>
      </c>
      <c r="B66" s="174">
        <v>9479</v>
      </c>
      <c r="C66" s="174" t="s">
        <v>2239</v>
      </c>
      <c r="D66" s="174" t="s">
        <v>2240</v>
      </c>
      <c r="E66" s="174" t="s">
        <v>33</v>
      </c>
      <c r="F66" s="174" t="s">
        <v>2241</v>
      </c>
      <c r="G66" s="174">
        <v>27940035</v>
      </c>
      <c r="H66" s="174" t="s">
        <v>33</v>
      </c>
      <c r="I66" s="174" t="s">
        <v>1039</v>
      </c>
      <c r="J66" s="174" t="s">
        <v>581</v>
      </c>
      <c r="K66" s="174" t="s">
        <v>30</v>
      </c>
      <c r="L66" s="174" t="s">
        <v>30</v>
      </c>
      <c r="M66" s="174" t="s">
        <v>2644</v>
      </c>
      <c r="N66" s="174" t="s">
        <v>30</v>
      </c>
      <c r="O66" s="174" t="s">
        <v>147</v>
      </c>
      <c r="P66" s="176" t="s">
        <v>2242</v>
      </c>
      <c r="Q66" s="174" t="s">
        <v>34</v>
      </c>
      <c r="R66" s="174" t="s">
        <v>95</v>
      </c>
      <c r="S66" s="174"/>
      <c r="T66" s="181" t="s">
        <v>2219</v>
      </c>
      <c r="U66" s="182">
        <v>1</v>
      </c>
      <c r="V66" s="183">
        <v>355.02</v>
      </c>
      <c r="W66" s="183">
        <v>355.02</v>
      </c>
      <c r="X66" s="184">
        <v>0</v>
      </c>
      <c r="Y66" s="184">
        <v>1</v>
      </c>
      <c r="Z66" s="184">
        <v>4.9648533450113398E-3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6A73BBA9-5902-44C5-95C9-C4BEC81C0327}">
      <formula1>Fund_Strategy</formula1>
    </dataValidation>
    <dataValidation type="list" allowBlank="1" showInputMessage="1" showErrorMessage="1" sqref="K2:K20" xr:uid="{67D95A82-56CE-4659-84AF-F8323B7E207B}">
      <formula1>israel_abroad</formula1>
    </dataValidation>
    <dataValidation type="list" allowBlank="1" showInputMessage="1" showErrorMessage="1" sqref="O2:O20" xr:uid="{99EBAEF7-E209-42B0-8860-534A549C9556}">
      <formula1>Holding_interest</formula1>
    </dataValidation>
    <dataValidation type="list" allowBlank="1" showInputMessage="1" showErrorMessage="1" sqref="R2:R20" xr:uid="{0DCD8F27-7126-449A-B401-76732136AF35}">
      <formula1>Valuation</formula1>
    </dataValidation>
    <dataValidation type="list" allowBlank="1" showInputMessage="1" showErrorMessage="1" sqref="S2:S20" xr:uid="{D02E4663-E4CF-4C7B-8E10-5BB18DAEC032}">
      <formula1>Dependence_Independence</formula1>
    </dataValidation>
    <dataValidation type="list" allowBlank="1" showInputMessage="1" showErrorMessage="1" sqref="L2:M20" xr:uid="{EBCBD15E-9AB1-4CE8-B660-684284121A62}">
      <formula1>Country_list</formula1>
    </dataValidation>
    <dataValidation type="list" allowBlank="1" showInputMessage="1" showErrorMessage="1" sqref="E2:E20" xr:uid="{EFFC783B-9C23-4778-A384-47E083BC7940}">
      <formula1>Issuer_Number_Fund</formula1>
    </dataValidation>
    <dataValidation type="list" allowBlank="1" showInputMessage="1" showErrorMessage="1" sqref="H2:H20" xr:uid="{56C25B0F-2E79-4604-9342-DD7548952E9C}">
      <formula1>Type_of_Security_ID_Fund</formula1>
    </dataValidation>
    <dataValidation type="list" allowBlank="1" showInputMessage="1" showErrorMessage="1" sqref="N2:N20" xr:uid="{11B0A88C-8B30-4159-AFBE-F8E11A893074}">
      <formula1>Country_list_funds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4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6</v>
      </c>
      <c r="J1" s="12" t="s">
        <v>7</v>
      </c>
      <c r="K1" s="12" t="s">
        <v>339</v>
      </c>
      <c r="L1" s="12" t="s">
        <v>1123</v>
      </c>
      <c r="M1" s="12" t="s">
        <v>157</v>
      </c>
      <c r="N1" s="155" t="s">
        <v>1124</v>
      </c>
      <c r="O1" s="12" t="s">
        <v>133</v>
      </c>
      <c r="P1" s="155" t="s">
        <v>165</v>
      </c>
      <c r="Q1" s="12" t="s">
        <v>11</v>
      </c>
      <c r="R1" s="12" t="s">
        <v>158</v>
      </c>
      <c r="S1" s="12" t="s">
        <v>159</v>
      </c>
      <c r="T1" s="155" t="s">
        <v>142</v>
      </c>
      <c r="U1" s="144" t="s">
        <v>1125</v>
      </c>
      <c r="V1" s="12" t="s">
        <v>1126</v>
      </c>
      <c r="W1" s="12" t="s">
        <v>17</v>
      </c>
      <c r="X1" s="144" t="s">
        <v>19</v>
      </c>
      <c r="Y1" s="133" t="s">
        <v>18</v>
      </c>
      <c r="Z1" s="12" t="s">
        <v>20</v>
      </c>
      <c r="AA1" s="139" t="s">
        <v>24</v>
      </c>
      <c r="AB1" s="139" t="s">
        <v>25</v>
      </c>
    </row>
    <row r="2" spans="1:28">
      <c r="A2" s="13">
        <v>382</v>
      </c>
      <c r="B2" s="13">
        <v>382</v>
      </c>
      <c r="C2" s="13" t="s">
        <v>1332</v>
      </c>
      <c r="D2" s="13" t="s">
        <v>1333</v>
      </c>
      <c r="E2" s="11" t="s">
        <v>1325</v>
      </c>
      <c r="F2" s="13" t="s">
        <v>1334</v>
      </c>
      <c r="G2" s="13" t="s">
        <v>1335</v>
      </c>
      <c r="H2" s="13" t="s">
        <v>33</v>
      </c>
      <c r="I2" s="11" t="s">
        <v>30</v>
      </c>
      <c r="J2" s="11"/>
      <c r="K2" s="13" t="s">
        <v>95</v>
      </c>
      <c r="L2" s="13" t="s">
        <v>1336</v>
      </c>
      <c r="M2" s="13" t="s">
        <v>458</v>
      </c>
      <c r="N2" s="13"/>
      <c r="O2" s="13" t="s">
        <v>147</v>
      </c>
      <c r="P2" s="156" t="s">
        <v>1337</v>
      </c>
      <c r="Q2" s="11" t="s">
        <v>34</v>
      </c>
      <c r="R2" s="13" t="s">
        <v>95</v>
      </c>
      <c r="S2" s="13" t="s">
        <v>909</v>
      </c>
      <c r="T2" s="156" t="s">
        <v>1313</v>
      </c>
      <c r="U2" s="150">
        <v>0</v>
      </c>
      <c r="V2" s="126">
        <v>0</v>
      </c>
      <c r="W2" s="126">
        <v>4332</v>
      </c>
      <c r="X2" s="150">
        <v>8.9</v>
      </c>
      <c r="Y2" s="149">
        <v>1</v>
      </c>
      <c r="Z2" s="126">
        <v>0.38600000000000001</v>
      </c>
      <c r="AA2" s="148">
        <v>1</v>
      </c>
      <c r="AB2" s="148">
        <v>1.3335318634976399E-7</v>
      </c>
    </row>
    <row r="3" spans="1:28">
      <c r="A3" s="13">
        <v>382</v>
      </c>
      <c r="B3" s="13">
        <v>7635</v>
      </c>
      <c r="C3" s="13" t="s">
        <v>1332</v>
      </c>
      <c r="D3" s="13" t="s">
        <v>1333</v>
      </c>
      <c r="E3" s="11" t="s">
        <v>1325</v>
      </c>
      <c r="F3" s="13" t="s">
        <v>1334</v>
      </c>
      <c r="G3" s="13" t="s">
        <v>1335</v>
      </c>
      <c r="H3" s="13" t="s">
        <v>33</v>
      </c>
      <c r="I3" s="11" t="s">
        <v>30</v>
      </c>
      <c r="J3" s="11"/>
      <c r="K3" s="13" t="s">
        <v>95</v>
      </c>
      <c r="L3" s="13" t="s">
        <v>1336</v>
      </c>
      <c r="M3" s="13" t="s">
        <v>458</v>
      </c>
      <c r="N3" s="13"/>
      <c r="O3" s="13" t="s">
        <v>147</v>
      </c>
      <c r="P3" s="156" t="s">
        <v>1337</v>
      </c>
      <c r="Q3" s="11" t="s">
        <v>34</v>
      </c>
      <c r="R3" s="13" t="s">
        <v>95</v>
      </c>
      <c r="S3" s="13" t="s">
        <v>909</v>
      </c>
      <c r="T3" s="156" t="s">
        <v>1313</v>
      </c>
      <c r="U3" s="150">
        <v>0</v>
      </c>
      <c r="V3" s="126">
        <v>0</v>
      </c>
      <c r="W3" s="126">
        <v>21</v>
      </c>
      <c r="X3" s="150">
        <v>8.9</v>
      </c>
      <c r="Y3" s="149">
        <v>1</v>
      </c>
      <c r="Z3" s="126">
        <v>2E-3</v>
      </c>
      <c r="AA3" s="148">
        <v>1</v>
      </c>
      <c r="AB3" s="148">
        <v>1.00636266220095E-7</v>
      </c>
    </row>
    <row r="4" spans="1:28">
      <c r="A4" s="13">
        <v>382</v>
      </c>
      <c r="B4" s="13">
        <v>9479</v>
      </c>
      <c r="C4" s="13" t="s">
        <v>1332</v>
      </c>
      <c r="D4" s="13" t="s">
        <v>1333</v>
      </c>
      <c r="E4" s="11" t="s">
        <v>1325</v>
      </c>
      <c r="F4" s="13" t="s">
        <v>1334</v>
      </c>
      <c r="G4" s="13" t="s">
        <v>1335</v>
      </c>
      <c r="H4" s="13" t="s">
        <v>33</v>
      </c>
      <c r="I4" s="11" t="s">
        <v>30</v>
      </c>
      <c r="J4" s="11"/>
      <c r="K4" s="13" t="s">
        <v>95</v>
      </c>
      <c r="L4" s="13" t="s">
        <v>1336</v>
      </c>
      <c r="M4" s="13" t="s">
        <v>458</v>
      </c>
      <c r="N4" s="13"/>
      <c r="O4" s="13" t="s">
        <v>147</v>
      </c>
      <c r="P4" s="156" t="s">
        <v>1337</v>
      </c>
      <c r="Q4" s="11" t="s">
        <v>34</v>
      </c>
      <c r="R4" s="13" t="s">
        <v>95</v>
      </c>
      <c r="S4" s="13" t="s">
        <v>909</v>
      </c>
      <c r="T4" s="156" t="s">
        <v>1313</v>
      </c>
      <c r="U4" s="150">
        <v>0</v>
      </c>
      <c r="V4" s="126">
        <v>0</v>
      </c>
      <c r="W4" s="126">
        <v>222</v>
      </c>
      <c r="X4" s="150">
        <v>8.9</v>
      </c>
      <c r="Y4" s="149">
        <v>1</v>
      </c>
      <c r="Z4" s="126">
        <v>0.02</v>
      </c>
      <c r="AA4" s="148">
        <v>1</v>
      </c>
      <c r="AB4" s="148">
        <v>2.7630998927027803E-7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4" xr:uid="{00000000-0002-0000-1400-000000000000}">
      <formula1>israel_abroad</formula1>
    </dataValidation>
    <dataValidation type="list" allowBlank="1" showInputMessage="1" showErrorMessage="1" sqref="O2:O4" xr:uid="{00000000-0002-0000-1400-000001000000}">
      <formula1>Holding_interest</formula1>
    </dataValidation>
    <dataValidation type="list" allowBlank="1" showInputMessage="1" showErrorMessage="1" sqref="R2:R4" xr:uid="{00000000-0002-0000-1400-000002000000}">
      <formula1>Valuation</formula1>
    </dataValidation>
    <dataValidation type="list" allowBlank="1" showInputMessage="1" showErrorMessage="1" sqref="S2:S4" xr:uid="{00000000-0002-0000-1400-000003000000}">
      <formula1>Dependence_Independence</formula1>
    </dataValidation>
    <dataValidation type="list" allowBlank="1" showInputMessage="1" showErrorMessage="1" sqref="J2:J4" xr:uid="{00000000-0002-0000-1400-000004000000}">
      <formula1>Country_list</formula1>
    </dataValidation>
    <dataValidation type="list" allowBlank="1" showInputMessage="1" showErrorMessage="1" sqref="H2:H4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4" xr:uid="{00000000-0002-0000-1400-000007000000}">
      <formula1>Issuer_Number_Type_2</formula1>
    </dataValidation>
    <dataValidation type="list" allowBlank="1" showInputMessage="1" showErrorMessage="1" sqref="M2:M4" xr:uid="{00000000-0002-0000-1400-000008000000}">
      <formula1>Industry_Sector</formula1>
    </dataValidation>
    <dataValidation type="list" allowBlank="1" showInputMessage="1" showErrorMessage="1" sqref="K2:K4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157</v>
      </c>
      <c r="M1" s="12" t="s">
        <v>180</v>
      </c>
      <c r="N1" s="12" t="s">
        <v>1124</v>
      </c>
      <c r="O1" s="12" t="s">
        <v>133</v>
      </c>
      <c r="P1" s="12" t="s">
        <v>165</v>
      </c>
      <c r="Q1" s="12" t="s">
        <v>11</v>
      </c>
      <c r="R1" s="12" t="s">
        <v>158</v>
      </c>
      <c r="S1" s="12" t="s">
        <v>159</v>
      </c>
      <c r="T1" s="12" t="s">
        <v>142</v>
      </c>
      <c r="U1" s="12" t="s">
        <v>1125</v>
      </c>
      <c r="V1" s="12" t="s">
        <v>1126</v>
      </c>
      <c r="W1" s="12" t="s">
        <v>17</v>
      </c>
      <c r="X1" s="12" t="s">
        <v>19</v>
      </c>
      <c r="Y1" s="12" t="s">
        <v>18</v>
      </c>
      <c r="Z1" s="12" t="s">
        <v>1346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9"/>
  <sheetViews>
    <sheetView rightToLeft="1" topLeftCell="N1" zoomScale="70" zoomScaleNormal="70" workbookViewId="0">
      <selection activeCell="T9" sqref="T9"/>
    </sheetView>
  </sheetViews>
  <sheetFormatPr defaultColWidth="0" defaultRowHeight="14.25" zeroHeight="1"/>
  <cols>
    <col min="1" max="41" width="11.625" customWidth="1"/>
  </cols>
  <sheetData>
    <row r="1" spans="1:41" ht="66.75" customHeight="1">
      <c r="A1" s="12" t="s">
        <v>0</v>
      </c>
      <c r="B1" s="12" t="s">
        <v>1</v>
      </c>
      <c r="C1" s="12" t="s">
        <v>5</v>
      </c>
      <c r="D1" s="12" t="s">
        <v>1139</v>
      </c>
      <c r="E1" s="12" t="s">
        <v>1140</v>
      </c>
      <c r="F1" s="144" t="s">
        <v>18</v>
      </c>
      <c r="G1" s="12" t="s">
        <v>1141</v>
      </c>
      <c r="H1" s="12" t="s">
        <v>1142</v>
      </c>
      <c r="I1" s="135" t="s">
        <v>1143</v>
      </c>
      <c r="J1" s="135" t="s">
        <v>1144</v>
      </c>
      <c r="K1" s="12" t="s">
        <v>1145</v>
      </c>
      <c r="L1" s="12" t="s">
        <v>1146</v>
      </c>
      <c r="M1" s="144" t="s">
        <v>18</v>
      </c>
      <c r="N1" s="12" t="s">
        <v>1147</v>
      </c>
      <c r="O1" s="12" t="s">
        <v>1148</v>
      </c>
      <c r="P1" s="135" t="s">
        <v>1296</v>
      </c>
      <c r="Q1" s="135" t="s">
        <v>1297</v>
      </c>
      <c r="R1" s="12" t="s">
        <v>1298</v>
      </c>
      <c r="S1" s="12" t="s">
        <v>6</v>
      </c>
      <c r="T1" s="12" t="s">
        <v>7</v>
      </c>
      <c r="U1" s="12" t="s">
        <v>1152</v>
      </c>
      <c r="V1" s="12" t="s">
        <v>940</v>
      </c>
      <c r="W1" s="12" t="s">
        <v>947</v>
      </c>
      <c r="X1" s="12" t="s">
        <v>337</v>
      </c>
      <c r="Y1" s="12" t="s">
        <v>133</v>
      </c>
      <c r="Z1" s="12" t="s">
        <v>1153</v>
      </c>
      <c r="AA1" s="12" t="s">
        <v>1154</v>
      </c>
      <c r="AB1" s="12" t="s">
        <v>911</v>
      </c>
      <c r="AC1" s="12" t="s">
        <v>919</v>
      </c>
      <c r="AD1" s="12" t="s">
        <v>1155</v>
      </c>
      <c r="AE1" s="12" t="s">
        <v>937</v>
      </c>
      <c r="AF1" s="12" t="s">
        <v>922</v>
      </c>
      <c r="AG1" s="12" t="s">
        <v>933</v>
      </c>
      <c r="AH1" s="120" t="s">
        <v>1156</v>
      </c>
      <c r="AI1" s="12" t="s">
        <v>1157</v>
      </c>
      <c r="AJ1" s="12" t="s">
        <v>1158</v>
      </c>
      <c r="AK1" s="12" t="s">
        <v>962</v>
      </c>
      <c r="AL1" s="12" t="s">
        <v>1159</v>
      </c>
      <c r="AM1" s="12" t="s">
        <v>1160</v>
      </c>
      <c r="AN1" s="139" t="s">
        <v>24</v>
      </c>
      <c r="AO1" s="139" t="s">
        <v>25</v>
      </c>
    </row>
    <row r="2" spans="1:41">
      <c r="A2" s="5" t="s">
        <v>1299</v>
      </c>
      <c r="B2" s="5" t="s">
        <v>1299</v>
      </c>
      <c r="C2" s="5" t="s">
        <v>1058</v>
      </c>
      <c r="D2" s="1" t="s">
        <v>1300</v>
      </c>
      <c r="E2" s="5" t="s">
        <v>98</v>
      </c>
      <c r="F2" s="162">
        <v>3.718</v>
      </c>
      <c r="G2" s="131">
        <v>-4000000</v>
      </c>
      <c r="H2" s="123">
        <v>-3998.4713555675094</v>
      </c>
      <c r="I2" s="137">
        <v>2.2800999999999998E-2</v>
      </c>
      <c r="J2" s="163">
        <v>-9.9999999999999995E-7</v>
      </c>
      <c r="K2" s="4" t="s">
        <v>1300</v>
      </c>
      <c r="L2" s="5" t="s">
        <v>34</v>
      </c>
      <c r="M2" s="164">
        <v>1</v>
      </c>
      <c r="N2" s="132">
        <v>14424000</v>
      </c>
      <c r="O2" s="132">
        <v>14424</v>
      </c>
      <c r="P2" s="137">
        <v>5.0000000000000004E-6</v>
      </c>
      <c r="Q2" s="137">
        <v>2.2166000000000002E-2</v>
      </c>
      <c r="R2" s="131">
        <v>-442.31650000000002</v>
      </c>
      <c r="S2" s="4" t="s">
        <v>30</v>
      </c>
      <c r="T2" s="11" t="s">
        <v>30</v>
      </c>
      <c r="U2" s="5" t="s">
        <v>759</v>
      </c>
      <c r="V2" s="5" t="s">
        <v>942</v>
      </c>
      <c r="W2" s="185" t="s">
        <v>2655</v>
      </c>
      <c r="X2" s="5" t="s">
        <v>1301</v>
      </c>
      <c r="Y2" s="5" t="s">
        <v>147</v>
      </c>
      <c r="Z2" s="1" t="s">
        <v>1302</v>
      </c>
      <c r="AA2" s="17" t="s">
        <v>1303</v>
      </c>
      <c r="AB2" s="5" t="s">
        <v>918</v>
      </c>
      <c r="AC2" s="5" t="s">
        <v>920</v>
      </c>
      <c r="AD2" s="5" t="s">
        <v>353</v>
      </c>
      <c r="AE2" s="5" t="s">
        <v>938</v>
      </c>
      <c r="AF2" s="5" t="s">
        <v>918</v>
      </c>
      <c r="AG2" s="5" t="s">
        <v>918</v>
      </c>
      <c r="AH2" s="122" t="s">
        <v>918</v>
      </c>
      <c r="AI2" s="131">
        <v>3.6059999999999999</v>
      </c>
      <c r="AJ2" s="4" t="s">
        <v>1304</v>
      </c>
      <c r="AK2" s="5" t="s">
        <v>147</v>
      </c>
      <c r="AL2" s="4" t="s">
        <v>1305</v>
      </c>
      <c r="AM2" s="4" t="s">
        <v>1306</v>
      </c>
      <c r="AN2" s="148">
        <v>4.9616E-2</v>
      </c>
      <c r="AO2" s="148">
        <v>0</v>
      </c>
    </row>
    <row r="3" spans="1:41">
      <c r="A3" s="5" t="s">
        <v>1299</v>
      </c>
      <c r="B3" s="5" t="s">
        <v>1299</v>
      </c>
      <c r="C3" s="5" t="s">
        <v>1058</v>
      </c>
      <c r="D3" s="1" t="s">
        <v>1307</v>
      </c>
      <c r="E3" s="5" t="s">
        <v>98</v>
      </c>
      <c r="F3" s="162">
        <v>3.718</v>
      </c>
      <c r="G3" s="131">
        <v>-90515000</v>
      </c>
      <c r="H3" s="123">
        <v>-90169.172732651961</v>
      </c>
      <c r="I3" s="137">
        <v>0.51418699999999995</v>
      </c>
      <c r="J3" s="163">
        <v>-3.1000000000000001E-5</v>
      </c>
      <c r="K3" s="4" t="s">
        <v>1307</v>
      </c>
      <c r="L3" s="5" t="s">
        <v>34</v>
      </c>
      <c r="M3" s="164">
        <v>1</v>
      </c>
      <c r="N3" s="132">
        <v>338842902.5</v>
      </c>
      <c r="O3" s="132">
        <v>338842.90250000003</v>
      </c>
      <c r="P3" s="137">
        <v>1.17E-4</v>
      </c>
      <c r="Q3" s="137">
        <v>0.52072600000000002</v>
      </c>
      <c r="R3" s="131">
        <v>3593.9182799999999</v>
      </c>
      <c r="S3" s="4" t="s">
        <v>30</v>
      </c>
      <c r="T3" s="11" t="s">
        <v>30</v>
      </c>
      <c r="U3" s="5" t="s">
        <v>759</v>
      </c>
      <c r="V3" s="5" t="s">
        <v>942</v>
      </c>
      <c r="W3" s="185" t="s">
        <v>2655</v>
      </c>
      <c r="X3" s="5" t="s">
        <v>1301</v>
      </c>
      <c r="Y3" s="5" t="s">
        <v>147</v>
      </c>
      <c r="Z3" s="1" t="s">
        <v>1308</v>
      </c>
      <c r="AA3" s="17" t="s">
        <v>1309</v>
      </c>
      <c r="AB3" s="5" t="s">
        <v>918</v>
      </c>
      <c r="AC3" s="5" t="s">
        <v>920</v>
      </c>
      <c r="AD3" s="5" t="s">
        <v>353</v>
      </c>
      <c r="AE3" s="5" t="s">
        <v>938</v>
      </c>
      <c r="AF3" s="5" t="s">
        <v>918</v>
      </c>
      <c r="AG3" s="5" t="s">
        <v>918</v>
      </c>
      <c r="AH3" s="121" t="s">
        <v>918</v>
      </c>
      <c r="AI3" s="131">
        <v>3.7435</v>
      </c>
      <c r="AJ3" s="5" t="s">
        <v>1304</v>
      </c>
      <c r="AK3" s="5" t="s">
        <v>147</v>
      </c>
      <c r="AL3" s="4" t="s">
        <v>1305</v>
      </c>
      <c r="AM3" s="4" t="s">
        <v>1306</v>
      </c>
      <c r="AN3" s="148">
        <v>-0.40314299999999997</v>
      </c>
      <c r="AO3" s="148">
        <v>9.9999999999999995E-7</v>
      </c>
    </row>
    <row r="4" spans="1:41">
      <c r="A4" s="5" t="s">
        <v>1299</v>
      </c>
      <c r="B4" s="5" t="s">
        <v>1299</v>
      </c>
      <c r="C4" s="5" t="s">
        <v>1058</v>
      </c>
      <c r="D4" s="1" t="s">
        <v>1310</v>
      </c>
      <c r="E4" s="5" t="s">
        <v>98</v>
      </c>
      <c r="F4" s="162">
        <v>3.718</v>
      </c>
      <c r="G4" s="131">
        <v>6500000</v>
      </c>
      <c r="H4" s="123">
        <v>6497.4503792361484</v>
      </c>
      <c r="I4" s="137">
        <v>-3.7051000000000001E-2</v>
      </c>
      <c r="J4" s="163">
        <v>1.9999999999999999E-6</v>
      </c>
      <c r="K4" s="4" t="s">
        <v>1310</v>
      </c>
      <c r="L4" s="5" t="s">
        <v>34</v>
      </c>
      <c r="M4" s="164">
        <v>1</v>
      </c>
      <c r="N4" s="132">
        <v>-23101000</v>
      </c>
      <c r="O4" s="132">
        <v>-23101</v>
      </c>
      <c r="P4" s="137">
        <v>-7.9999999999999996E-6</v>
      </c>
      <c r="Q4" s="137">
        <v>-3.5500999999999998E-2</v>
      </c>
      <c r="R4" s="131">
        <v>1056.5205100000001</v>
      </c>
      <c r="S4" s="4" t="s">
        <v>30</v>
      </c>
      <c r="T4" s="11" t="s">
        <v>30</v>
      </c>
      <c r="U4" s="5" t="s">
        <v>759</v>
      </c>
      <c r="V4" s="5" t="s">
        <v>942</v>
      </c>
      <c r="W4" s="185" t="s">
        <v>2655</v>
      </c>
      <c r="X4" s="5" t="s">
        <v>1301</v>
      </c>
      <c r="Y4" s="5" t="s">
        <v>147</v>
      </c>
      <c r="Z4" s="1" t="s">
        <v>1311</v>
      </c>
      <c r="AA4" s="17" t="s">
        <v>1303</v>
      </c>
      <c r="AB4" s="5" t="s">
        <v>918</v>
      </c>
      <c r="AC4" s="5" t="s">
        <v>920</v>
      </c>
      <c r="AD4" s="5" t="s">
        <v>353</v>
      </c>
      <c r="AE4" s="5" t="s">
        <v>938</v>
      </c>
      <c r="AF4" s="5" t="s">
        <v>918</v>
      </c>
      <c r="AG4" s="5" t="s">
        <v>918</v>
      </c>
      <c r="AH4" s="121" t="s">
        <v>918</v>
      </c>
      <c r="AI4" s="131">
        <v>3.5539999999999998</v>
      </c>
      <c r="AJ4" s="5" t="s">
        <v>1304</v>
      </c>
      <c r="AK4" s="5" t="s">
        <v>147</v>
      </c>
      <c r="AL4" s="4" t="s">
        <v>1305</v>
      </c>
      <c r="AM4" s="4" t="s">
        <v>1306</v>
      </c>
      <c r="AN4" s="148">
        <v>-0.11851399999999999</v>
      </c>
      <c r="AO4" s="148">
        <v>0</v>
      </c>
    </row>
    <row r="5" spans="1:41">
      <c r="A5" s="5" t="s">
        <v>1299</v>
      </c>
      <c r="B5" s="5" t="s">
        <v>1299</v>
      </c>
      <c r="C5" s="5" t="s">
        <v>1058</v>
      </c>
      <c r="D5" s="1" t="s">
        <v>1312</v>
      </c>
      <c r="E5" s="5" t="s">
        <v>98</v>
      </c>
      <c r="F5" s="162">
        <v>3.718</v>
      </c>
      <c r="G5" s="131">
        <v>4000000</v>
      </c>
      <c r="H5" s="123">
        <v>3998.4302259279184</v>
      </c>
      <c r="I5" s="137">
        <v>-2.2800999999999998E-2</v>
      </c>
      <c r="J5" s="163">
        <v>9.9999999999999995E-7</v>
      </c>
      <c r="K5" s="4" t="s">
        <v>1312</v>
      </c>
      <c r="L5" s="5" t="s">
        <v>34</v>
      </c>
      <c r="M5" s="164">
        <v>1</v>
      </c>
      <c r="N5" s="132">
        <v>-14212000</v>
      </c>
      <c r="O5" s="132">
        <v>-14212</v>
      </c>
      <c r="P5" s="137">
        <v>-5.0000000000000004E-6</v>
      </c>
      <c r="Q5" s="137">
        <v>-2.1840999999999999E-2</v>
      </c>
      <c r="R5" s="131">
        <v>654.16358000000002</v>
      </c>
      <c r="S5" s="4" t="s">
        <v>30</v>
      </c>
      <c r="T5" s="11" t="s">
        <v>30</v>
      </c>
      <c r="U5" s="5" t="s">
        <v>759</v>
      </c>
      <c r="V5" s="5" t="s">
        <v>942</v>
      </c>
      <c r="W5" s="185" t="s">
        <v>2655</v>
      </c>
      <c r="X5" s="5" t="s">
        <v>1301</v>
      </c>
      <c r="Y5" s="5" t="s">
        <v>147</v>
      </c>
      <c r="Z5" s="1" t="s">
        <v>1313</v>
      </c>
      <c r="AA5" s="17" t="s">
        <v>1303</v>
      </c>
      <c r="AB5" s="5" t="s">
        <v>918</v>
      </c>
      <c r="AC5" s="5" t="s">
        <v>920</v>
      </c>
      <c r="AD5" s="5" t="s">
        <v>353</v>
      </c>
      <c r="AE5" s="5" t="s">
        <v>938</v>
      </c>
      <c r="AF5" s="5" t="s">
        <v>918</v>
      </c>
      <c r="AG5" s="5" t="s">
        <v>918</v>
      </c>
      <c r="AH5" s="121" t="s">
        <v>918</v>
      </c>
      <c r="AI5" s="131">
        <v>3.5529999999999999</v>
      </c>
      <c r="AJ5" s="5" t="s">
        <v>1304</v>
      </c>
      <c r="AK5" s="5" t="s">
        <v>147</v>
      </c>
      <c r="AL5" s="4" t="s">
        <v>1305</v>
      </c>
      <c r="AM5" s="4" t="s">
        <v>1306</v>
      </c>
      <c r="AN5" s="148">
        <v>-7.3380000000000001E-2</v>
      </c>
      <c r="AO5" s="148">
        <v>0</v>
      </c>
    </row>
    <row r="6" spans="1:41">
      <c r="A6" s="5" t="s">
        <v>1299</v>
      </c>
      <c r="B6" s="5" t="s">
        <v>1299</v>
      </c>
      <c r="C6" s="5" t="s">
        <v>1058</v>
      </c>
      <c r="D6" s="1" t="s">
        <v>1314</v>
      </c>
      <c r="E6" s="5" t="s">
        <v>98</v>
      </c>
      <c r="F6" s="162">
        <v>3.718</v>
      </c>
      <c r="G6" s="131">
        <v>-6500000</v>
      </c>
      <c r="H6" s="123">
        <v>-6497.5020710059171</v>
      </c>
      <c r="I6" s="137">
        <v>3.7052000000000002E-2</v>
      </c>
      <c r="J6" s="163">
        <v>-1.9999999999999999E-6</v>
      </c>
      <c r="K6" s="4" t="s">
        <v>1314</v>
      </c>
      <c r="L6" s="5" t="s">
        <v>34</v>
      </c>
      <c r="M6" s="164">
        <v>1</v>
      </c>
      <c r="N6" s="132">
        <v>23367500</v>
      </c>
      <c r="O6" s="132">
        <v>23367.5</v>
      </c>
      <c r="P6" s="137">
        <v>7.9999999999999996E-6</v>
      </c>
      <c r="Q6" s="137">
        <v>3.5910999999999998E-2</v>
      </c>
      <c r="R6" s="131">
        <v>-790.21270000000004</v>
      </c>
      <c r="S6" s="4" t="s">
        <v>30</v>
      </c>
      <c r="T6" s="11" t="s">
        <v>30</v>
      </c>
      <c r="U6" s="5" t="s">
        <v>759</v>
      </c>
      <c r="V6" s="5" t="s">
        <v>942</v>
      </c>
      <c r="W6" s="185" t="s">
        <v>2655</v>
      </c>
      <c r="X6" s="5" t="s">
        <v>1301</v>
      </c>
      <c r="Y6" s="5" t="s">
        <v>147</v>
      </c>
      <c r="Z6" s="1" t="s">
        <v>1315</v>
      </c>
      <c r="AA6" s="17" t="s">
        <v>1303</v>
      </c>
      <c r="AB6" s="5" t="s">
        <v>918</v>
      </c>
      <c r="AC6" s="5" t="s">
        <v>920</v>
      </c>
      <c r="AD6" s="5" t="s">
        <v>353</v>
      </c>
      <c r="AE6" s="5" t="s">
        <v>938</v>
      </c>
      <c r="AF6" s="5" t="s">
        <v>918</v>
      </c>
      <c r="AG6" s="5" t="s">
        <v>918</v>
      </c>
      <c r="AH6" s="121" t="s">
        <v>918</v>
      </c>
      <c r="AI6" s="131">
        <v>3.5950000000000002</v>
      </c>
      <c r="AJ6" s="5" t="s">
        <v>1304</v>
      </c>
      <c r="AK6" s="5" t="s">
        <v>147</v>
      </c>
      <c r="AL6" s="4" t="s">
        <v>1305</v>
      </c>
      <c r="AM6" s="4" t="s">
        <v>1306</v>
      </c>
      <c r="AN6" s="148">
        <v>8.8640999999999998E-2</v>
      </c>
      <c r="AO6" s="148">
        <v>0</v>
      </c>
    </row>
    <row r="7" spans="1:41">
      <c r="A7" s="5" t="s">
        <v>1299</v>
      </c>
      <c r="B7" s="5" t="s">
        <v>1299</v>
      </c>
      <c r="C7" s="5" t="s">
        <v>1058</v>
      </c>
      <c r="D7" s="1" t="s">
        <v>1316</v>
      </c>
      <c r="E7" s="5" t="s">
        <v>98</v>
      </c>
      <c r="F7" s="162">
        <v>3.718</v>
      </c>
      <c r="G7" s="131">
        <v>-60115000</v>
      </c>
      <c r="H7" s="123">
        <v>-60092.224878967187</v>
      </c>
      <c r="I7" s="137">
        <v>0.34267399999999998</v>
      </c>
      <c r="J7" s="163">
        <v>-2.0999999999999999E-5</v>
      </c>
      <c r="K7" s="4" t="s">
        <v>1316</v>
      </c>
      <c r="L7" s="5" t="s">
        <v>34</v>
      </c>
      <c r="M7" s="164">
        <v>1</v>
      </c>
      <c r="N7" s="132">
        <v>217796645</v>
      </c>
      <c r="O7" s="132">
        <v>217796.64499999999</v>
      </c>
      <c r="P7" s="137">
        <v>7.4999999999999993E-5</v>
      </c>
      <c r="Q7" s="137">
        <v>0.33470499999999997</v>
      </c>
      <c r="R7" s="131">
        <v>-5626.2470999999996</v>
      </c>
      <c r="S7" s="4" t="s">
        <v>30</v>
      </c>
      <c r="T7" s="11" t="s">
        <v>30</v>
      </c>
      <c r="U7" s="5" t="s">
        <v>759</v>
      </c>
      <c r="V7" s="5" t="s">
        <v>942</v>
      </c>
      <c r="W7" s="185" t="s">
        <v>2655</v>
      </c>
      <c r="X7" s="5" t="s">
        <v>1301</v>
      </c>
      <c r="Y7" s="5" t="s">
        <v>147</v>
      </c>
      <c r="Z7" s="1" t="s">
        <v>1317</v>
      </c>
      <c r="AA7" s="17" t="s">
        <v>1303</v>
      </c>
      <c r="AB7" s="5" t="s">
        <v>918</v>
      </c>
      <c r="AC7" s="5" t="s">
        <v>920</v>
      </c>
      <c r="AD7" s="5" t="s">
        <v>353</v>
      </c>
      <c r="AE7" s="5" t="s">
        <v>938</v>
      </c>
      <c r="AF7" s="5" t="s">
        <v>918</v>
      </c>
      <c r="AG7" s="5" t="s">
        <v>918</v>
      </c>
      <c r="AH7" s="121" t="s">
        <v>918</v>
      </c>
      <c r="AI7" s="131">
        <v>3.6230000000000002</v>
      </c>
      <c r="AJ7" s="5" t="s">
        <v>1304</v>
      </c>
      <c r="AK7" s="5" t="s">
        <v>147</v>
      </c>
      <c r="AL7" s="4" t="s">
        <v>1305</v>
      </c>
      <c r="AM7" s="4" t="s">
        <v>1306</v>
      </c>
      <c r="AN7" s="148">
        <v>0.63111700000000004</v>
      </c>
      <c r="AO7" s="148">
        <v>-1.9999999999999999E-6</v>
      </c>
    </row>
    <row r="8" spans="1:41">
      <c r="A8" s="5" t="s">
        <v>1299</v>
      </c>
      <c r="B8" s="5" t="s">
        <v>1299</v>
      </c>
      <c r="C8" s="5" t="s">
        <v>1058</v>
      </c>
      <c r="D8" s="1" t="s">
        <v>1318</v>
      </c>
      <c r="E8" s="5" t="s">
        <v>1183</v>
      </c>
      <c r="F8" s="162">
        <v>4.0218999999999996</v>
      </c>
      <c r="G8" s="131">
        <v>-21000000</v>
      </c>
      <c r="H8" s="123">
        <v>-21001.007707799799</v>
      </c>
      <c r="I8" s="137">
        <v>0.119758</v>
      </c>
      <c r="J8" s="163">
        <v>-6.9999999999999999E-6</v>
      </c>
      <c r="K8" s="4" t="s">
        <v>1318</v>
      </c>
      <c r="L8" s="5" t="s">
        <v>34</v>
      </c>
      <c r="M8" s="164">
        <v>1</v>
      </c>
      <c r="N8" s="132">
        <v>78315300</v>
      </c>
      <c r="O8" s="132">
        <v>78315.3</v>
      </c>
      <c r="P8" s="137">
        <v>2.6999999999999999E-5</v>
      </c>
      <c r="Q8" s="137">
        <v>0.120353</v>
      </c>
      <c r="R8" s="131">
        <v>-6148.6529</v>
      </c>
      <c r="S8" s="4" t="s">
        <v>30</v>
      </c>
      <c r="T8" s="11" t="s">
        <v>30</v>
      </c>
      <c r="U8" s="5" t="s">
        <v>759</v>
      </c>
      <c r="V8" s="5" t="s">
        <v>942</v>
      </c>
      <c r="W8" s="185" t="s">
        <v>2655</v>
      </c>
      <c r="X8" s="5" t="s">
        <v>1319</v>
      </c>
      <c r="Y8" s="5" t="s">
        <v>147</v>
      </c>
      <c r="Z8" s="1" t="s">
        <v>1317</v>
      </c>
      <c r="AA8" s="17" t="s">
        <v>1303</v>
      </c>
      <c r="AB8" s="5" t="s">
        <v>918</v>
      </c>
      <c r="AC8" s="5" t="s">
        <v>920</v>
      </c>
      <c r="AD8" s="5" t="s">
        <v>353</v>
      </c>
      <c r="AE8" s="5" t="s">
        <v>938</v>
      </c>
      <c r="AF8" s="5" t="s">
        <v>918</v>
      </c>
      <c r="AG8" s="5" t="s">
        <v>918</v>
      </c>
      <c r="AH8" s="121" t="s">
        <v>918</v>
      </c>
      <c r="AI8" s="131">
        <v>3.7292999999999998</v>
      </c>
      <c r="AJ8" s="5" t="s">
        <v>1304</v>
      </c>
      <c r="AK8" s="5" t="s">
        <v>147</v>
      </c>
      <c r="AL8" s="4" t="s">
        <v>1305</v>
      </c>
      <c r="AM8" s="4" t="s">
        <v>1306</v>
      </c>
      <c r="AN8" s="148">
        <v>0.68971700000000002</v>
      </c>
      <c r="AO8" s="148">
        <v>-1.9999999999999999E-6</v>
      </c>
    </row>
    <row r="9" spans="1:41">
      <c r="A9" s="5" t="s">
        <v>1299</v>
      </c>
      <c r="B9" s="5" t="s">
        <v>1299</v>
      </c>
      <c r="C9" s="5" t="s">
        <v>1058</v>
      </c>
      <c r="D9" s="1" t="s">
        <v>1320</v>
      </c>
      <c r="E9" s="5" t="s">
        <v>1183</v>
      </c>
      <c r="F9" s="162">
        <v>4.0218999999999996</v>
      </c>
      <c r="G9" s="131">
        <v>-4100000</v>
      </c>
      <c r="H9" s="123">
        <v>-4100.1946841045283</v>
      </c>
      <c r="I9" s="137">
        <v>2.3380999999999999E-2</v>
      </c>
      <c r="J9" s="163">
        <v>-9.9999999999999995E-7</v>
      </c>
      <c r="K9" s="4" t="s">
        <v>1320</v>
      </c>
      <c r="L9" s="5" t="s">
        <v>34</v>
      </c>
      <c r="M9" s="164">
        <v>1</v>
      </c>
      <c r="N9" s="132">
        <v>15278650</v>
      </c>
      <c r="O9" s="132">
        <v>15278.65</v>
      </c>
      <c r="P9" s="137">
        <v>5.0000000000000004E-6</v>
      </c>
      <c r="Q9" s="137">
        <v>2.3480000000000001E-2</v>
      </c>
      <c r="R9" s="131">
        <v>-1211.923</v>
      </c>
      <c r="S9" s="4" t="s">
        <v>30</v>
      </c>
      <c r="T9" s="11" t="s">
        <v>30</v>
      </c>
      <c r="U9" s="5" t="s">
        <v>759</v>
      </c>
      <c r="V9" s="5" t="s">
        <v>942</v>
      </c>
      <c r="W9" s="185" t="s">
        <v>2655</v>
      </c>
      <c r="X9" s="5" t="s">
        <v>1319</v>
      </c>
      <c r="Y9" s="5" t="s">
        <v>147</v>
      </c>
      <c r="Z9" s="1" t="s">
        <v>1321</v>
      </c>
      <c r="AA9" s="17" t="s">
        <v>1303</v>
      </c>
      <c r="AB9" s="5" t="s">
        <v>918</v>
      </c>
      <c r="AC9" s="5" t="s">
        <v>920</v>
      </c>
      <c r="AD9" s="5" t="s">
        <v>353</v>
      </c>
      <c r="AE9" s="5" t="s">
        <v>938</v>
      </c>
      <c r="AF9" s="5" t="s">
        <v>918</v>
      </c>
      <c r="AG9" s="5" t="s">
        <v>918</v>
      </c>
      <c r="AH9" s="121" t="s">
        <v>918</v>
      </c>
      <c r="AI9" s="131">
        <v>3.7265000000000001</v>
      </c>
      <c r="AJ9" s="5" t="s">
        <v>1304</v>
      </c>
      <c r="AK9" s="5" t="s">
        <v>147</v>
      </c>
      <c r="AL9" s="4" t="s">
        <v>1305</v>
      </c>
      <c r="AM9" s="4" t="s">
        <v>1306</v>
      </c>
      <c r="AN9" s="148">
        <v>0.13594600000000001</v>
      </c>
      <c r="AO9" s="148">
        <v>0</v>
      </c>
    </row>
    <row r="10" spans="1:41">
      <c r="A10" s="5" t="s">
        <v>1299</v>
      </c>
      <c r="B10" s="5" t="s">
        <v>1322</v>
      </c>
      <c r="C10" s="5" t="s">
        <v>1058</v>
      </c>
      <c r="D10" s="1" t="s">
        <v>1316</v>
      </c>
      <c r="E10" s="5" t="s">
        <v>98</v>
      </c>
      <c r="F10" s="162">
        <v>3.718</v>
      </c>
      <c r="G10" s="131">
        <v>-47000</v>
      </c>
      <c r="H10" s="123">
        <v>-46.982194728348581</v>
      </c>
      <c r="I10" s="137">
        <v>0.81334399999999996</v>
      </c>
      <c r="J10" s="163">
        <v>-3.0000000000000001E-6</v>
      </c>
      <c r="K10" s="4" t="s">
        <v>1316</v>
      </c>
      <c r="L10" s="5" t="s">
        <v>34</v>
      </c>
      <c r="M10" s="164">
        <v>1</v>
      </c>
      <c r="N10" s="132">
        <v>170281</v>
      </c>
      <c r="O10" s="132">
        <v>170.28100000000001</v>
      </c>
      <c r="P10" s="137">
        <v>9.0000000000000002E-6</v>
      </c>
      <c r="Q10" s="137">
        <v>0.75566299999999997</v>
      </c>
      <c r="R10" s="131">
        <v>-4.3987999999999996</v>
      </c>
      <c r="S10" s="4" t="s">
        <v>30</v>
      </c>
      <c r="T10" s="11" t="s">
        <v>30</v>
      </c>
      <c r="U10" s="5" t="s">
        <v>759</v>
      </c>
      <c r="V10" s="5" t="s">
        <v>942</v>
      </c>
      <c r="W10" s="185" t="s">
        <v>2655</v>
      </c>
      <c r="X10" s="5" t="s">
        <v>1301</v>
      </c>
      <c r="Y10" s="5" t="s">
        <v>147</v>
      </c>
      <c r="Z10" s="1" t="s">
        <v>1317</v>
      </c>
      <c r="AA10" s="17" t="s">
        <v>1303</v>
      </c>
      <c r="AB10" s="5" t="s">
        <v>918</v>
      </c>
      <c r="AC10" s="5" t="s">
        <v>920</v>
      </c>
      <c r="AD10" s="5" t="s">
        <v>353</v>
      </c>
      <c r="AE10" s="5" t="s">
        <v>938</v>
      </c>
      <c r="AF10" s="5" t="s">
        <v>918</v>
      </c>
      <c r="AG10" s="5" t="s">
        <v>918</v>
      </c>
      <c r="AH10" s="121" t="s">
        <v>918</v>
      </c>
      <c r="AI10" s="131">
        <v>3.6230000000000002</v>
      </c>
      <c r="AJ10" s="5" t="s">
        <v>1304</v>
      </c>
      <c r="AK10" s="5" t="s">
        <v>147</v>
      </c>
      <c r="AL10" s="4" t="s">
        <v>1305</v>
      </c>
      <c r="AM10" s="4" t="s">
        <v>1306</v>
      </c>
      <c r="AN10" s="148">
        <v>-1.0497730000000001</v>
      </c>
      <c r="AO10" s="148">
        <v>0</v>
      </c>
    </row>
    <row r="11" spans="1:41">
      <c r="A11" s="5" t="s">
        <v>1299</v>
      </c>
      <c r="B11" s="5" t="s">
        <v>1322</v>
      </c>
      <c r="C11" s="5" t="s">
        <v>1058</v>
      </c>
      <c r="D11" s="1" t="s">
        <v>1307</v>
      </c>
      <c r="E11" s="5" t="s">
        <v>98</v>
      </c>
      <c r="F11" s="162">
        <v>3.718</v>
      </c>
      <c r="G11" s="131">
        <v>-65000</v>
      </c>
      <c r="H11" s="123">
        <v>-64.751656804733713</v>
      </c>
      <c r="I11" s="137">
        <v>1.1209640000000001</v>
      </c>
      <c r="J11" s="163">
        <v>-3.0000000000000001E-6</v>
      </c>
      <c r="K11" s="4" t="s">
        <v>1307</v>
      </c>
      <c r="L11" s="5" t="s">
        <v>34</v>
      </c>
      <c r="M11" s="164">
        <v>1</v>
      </c>
      <c r="N11" s="132">
        <v>243327.5</v>
      </c>
      <c r="O11" s="132">
        <v>243.32749999999999</v>
      </c>
      <c r="P11" s="137">
        <v>1.2999999999999999E-5</v>
      </c>
      <c r="Q11" s="137">
        <v>1.0798239999999999</v>
      </c>
      <c r="R11" s="131">
        <v>2.5808399999999998</v>
      </c>
      <c r="S11" s="4" t="s">
        <v>30</v>
      </c>
      <c r="T11" s="11" t="s">
        <v>30</v>
      </c>
      <c r="U11" s="5" t="s">
        <v>759</v>
      </c>
      <c r="V11" s="5" t="s">
        <v>942</v>
      </c>
      <c r="W11" s="185" t="s">
        <v>2655</v>
      </c>
      <c r="X11" s="5" t="s">
        <v>1301</v>
      </c>
      <c r="Y11" s="5" t="s">
        <v>147</v>
      </c>
      <c r="Z11" s="1" t="s">
        <v>1308</v>
      </c>
      <c r="AA11" s="17" t="s">
        <v>1309</v>
      </c>
      <c r="AB11" s="5" t="s">
        <v>918</v>
      </c>
      <c r="AC11" s="5" t="s">
        <v>920</v>
      </c>
      <c r="AD11" s="5" t="s">
        <v>353</v>
      </c>
      <c r="AE11" s="5" t="s">
        <v>938</v>
      </c>
      <c r="AF11" s="5" t="s">
        <v>918</v>
      </c>
      <c r="AG11" s="5" t="s">
        <v>918</v>
      </c>
      <c r="AH11" s="121" t="s">
        <v>918</v>
      </c>
      <c r="AI11" s="131">
        <v>3.7435</v>
      </c>
      <c r="AJ11" s="5" t="s">
        <v>1304</v>
      </c>
      <c r="AK11" s="5" t="s">
        <v>147</v>
      </c>
      <c r="AL11" s="4" t="s">
        <v>1305</v>
      </c>
      <c r="AM11" s="4" t="s">
        <v>1306</v>
      </c>
      <c r="AN11" s="148">
        <v>0.61591700000000005</v>
      </c>
      <c r="AO11" s="148">
        <v>0</v>
      </c>
    </row>
    <row r="12" spans="1:41">
      <c r="A12" s="5" t="s">
        <v>1299</v>
      </c>
      <c r="B12" s="5" t="s">
        <v>1322</v>
      </c>
      <c r="C12" s="5" t="s">
        <v>1058</v>
      </c>
      <c r="D12" s="1" t="s">
        <v>1310</v>
      </c>
      <c r="E12" s="5" t="s">
        <v>98</v>
      </c>
      <c r="F12" s="162">
        <v>3.718</v>
      </c>
      <c r="G12" s="131">
        <v>50000</v>
      </c>
      <c r="H12" s="123">
        <v>49.980387305002687</v>
      </c>
      <c r="I12" s="137">
        <v>-0.86524699999999999</v>
      </c>
      <c r="J12" s="163">
        <v>3.0000000000000001E-6</v>
      </c>
      <c r="K12" s="4" t="s">
        <v>1310</v>
      </c>
      <c r="L12" s="5" t="s">
        <v>34</v>
      </c>
      <c r="M12" s="164">
        <v>1</v>
      </c>
      <c r="N12" s="132">
        <v>-177700</v>
      </c>
      <c r="O12" s="132">
        <v>-177.7</v>
      </c>
      <c r="P12" s="137">
        <v>-1.0000000000000001E-5</v>
      </c>
      <c r="Q12" s="137">
        <v>-0.78858600000000001</v>
      </c>
      <c r="R12" s="131">
        <v>8.1270799999999994</v>
      </c>
      <c r="S12" s="4" t="s">
        <v>30</v>
      </c>
      <c r="T12" s="11" t="s">
        <v>30</v>
      </c>
      <c r="U12" s="5" t="s">
        <v>759</v>
      </c>
      <c r="V12" s="5" t="s">
        <v>942</v>
      </c>
      <c r="W12" s="185" t="s">
        <v>2655</v>
      </c>
      <c r="X12" s="5" t="s">
        <v>1301</v>
      </c>
      <c r="Y12" s="5" t="s">
        <v>147</v>
      </c>
      <c r="Z12" s="1" t="s">
        <v>1311</v>
      </c>
      <c r="AA12" s="17" t="s">
        <v>1303</v>
      </c>
      <c r="AB12" s="5" t="s">
        <v>918</v>
      </c>
      <c r="AC12" s="5" t="s">
        <v>920</v>
      </c>
      <c r="AD12" s="5" t="s">
        <v>353</v>
      </c>
      <c r="AE12" s="5" t="s">
        <v>938</v>
      </c>
      <c r="AF12" s="5" t="s">
        <v>918</v>
      </c>
      <c r="AG12" s="5" t="s">
        <v>918</v>
      </c>
      <c r="AH12" s="121" t="s">
        <v>918</v>
      </c>
      <c r="AI12" s="131">
        <v>3.5539999999999998</v>
      </c>
      <c r="AJ12" s="5" t="s">
        <v>1304</v>
      </c>
      <c r="AK12" s="5" t="s">
        <v>147</v>
      </c>
      <c r="AL12" s="4" t="s">
        <v>1305</v>
      </c>
      <c r="AM12" s="4" t="s">
        <v>1306</v>
      </c>
      <c r="AN12" s="148">
        <v>1.9395260000000001</v>
      </c>
      <c r="AO12" s="148">
        <v>0</v>
      </c>
    </row>
    <row r="13" spans="1:41">
      <c r="A13" s="5" t="s">
        <v>1299</v>
      </c>
      <c r="B13" s="5" t="s">
        <v>1322</v>
      </c>
      <c r="C13" s="5" t="s">
        <v>1058</v>
      </c>
      <c r="D13" s="1" t="s">
        <v>1312</v>
      </c>
      <c r="E13" s="5" t="s">
        <v>98</v>
      </c>
      <c r="F13" s="162">
        <v>3.718</v>
      </c>
      <c r="G13" s="131">
        <v>25000</v>
      </c>
      <c r="H13" s="123">
        <v>24.990188273265197</v>
      </c>
      <c r="I13" s="137">
        <v>-0.43262400000000001</v>
      </c>
      <c r="J13" s="163">
        <v>9.9999999999999995E-7</v>
      </c>
      <c r="K13" s="4" t="s">
        <v>1312</v>
      </c>
      <c r="L13" s="5" t="s">
        <v>34</v>
      </c>
      <c r="M13" s="164">
        <v>1</v>
      </c>
      <c r="N13" s="132">
        <v>-88825</v>
      </c>
      <c r="O13" s="132">
        <v>-88.825000000000003</v>
      </c>
      <c r="P13" s="137">
        <v>-5.0000000000000004E-6</v>
      </c>
      <c r="Q13" s="137">
        <v>-0.39418199999999998</v>
      </c>
      <c r="R13" s="131">
        <v>4.0885199999999999</v>
      </c>
      <c r="S13" s="4" t="s">
        <v>30</v>
      </c>
      <c r="T13" s="11" t="s">
        <v>30</v>
      </c>
      <c r="U13" s="5" t="s">
        <v>759</v>
      </c>
      <c r="V13" s="5" t="s">
        <v>942</v>
      </c>
      <c r="W13" s="185" t="s">
        <v>2655</v>
      </c>
      <c r="X13" s="5" t="s">
        <v>1301</v>
      </c>
      <c r="Y13" s="5" t="s">
        <v>147</v>
      </c>
      <c r="Z13" s="1" t="s">
        <v>1313</v>
      </c>
      <c r="AA13" s="17" t="s">
        <v>1303</v>
      </c>
      <c r="AB13" s="5" t="s">
        <v>918</v>
      </c>
      <c r="AC13" s="5" t="s">
        <v>920</v>
      </c>
      <c r="AD13" s="5" t="s">
        <v>353</v>
      </c>
      <c r="AE13" s="5" t="s">
        <v>938</v>
      </c>
      <c r="AF13" s="5" t="s">
        <v>918</v>
      </c>
      <c r="AG13" s="5" t="s">
        <v>918</v>
      </c>
      <c r="AH13" s="121" t="s">
        <v>918</v>
      </c>
      <c r="AI13" s="131">
        <v>3.5529999999999999</v>
      </c>
      <c r="AJ13" s="5" t="s">
        <v>1304</v>
      </c>
      <c r="AK13" s="5" t="s">
        <v>147</v>
      </c>
      <c r="AL13" s="4" t="s">
        <v>1305</v>
      </c>
      <c r="AM13" s="4" t="s">
        <v>1306</v>
      </c>
      <c r="AN13" s="148">
        <v>0.97572499999999995</v>
      </c>
      <c r="AO13" s="148">
        <v>0</v>
      </c>
    </row>
    <row r="14" spans="1:41">
      <c r="A14" s="5" t="s">
        <v>1299</v>
      </c>
      <c r="B14" s="5" t="s">
        <v>1322</v>
      </c>
      <c r="C14" s="5" t="s">
        <v>1058</v>
      </c>
      <c r="D14" s="1" t="s">
        <v>1320</v>
      </c>
      <c r="E14" s="5" t="s">
        <v>1183</v>
      </c>
      <c r="F14" s="162">
        <v>4.0218999999999996</v>
      </c>
      <c r="G14" s="131">
        <v>-21000</v>
      </c>
      <c r="H14" s="123">
        <v>-21.000994554812404</v>
      </c>
      <c r="I14" s="137">
        <v>0.363564</v>
      </c>
      <c r="J14" s="163">
        <v>-9.9999999999999995E-7</v>
      </c>
      <c r="K14" s="4" t="s">
        <v>1320</v>
      </c>
      <c r="L14" s="5" t="s">
        <v>34</v>
      </c>
      <c r="M14" s="164">
        <v>1</v>
      </c>
      <c r="N14" s="132">
        <v>78256.5</v>
      </c>
      <c r="O14" s="132">
        <v>78.256500000000003</v>
      </c>
      <c r="P14" s="137">
        <v>3.9999999999999998E-6</v>
      </c>
      <c r="Q14" s="137">
        <v>0.34728199999999998</v>
      </c>
      <c r="R14" s="131">
        <v>-6.2073999999999998</v>
      </c>
      <c r="S14" s="4" t="s">
        <v>30</v>
      </c>
      <c r="T14" s="11" t="s">
        <v>30</v>
      </c>
      <c r="U14" s="5" t="s">
        <v>759</v>
      </c>
      <c r="V14" s="5" t="s">
        <v>942</v>
      </c>
      <c r="W14" s="185" t="s">
        <v>2655</v>
      </c>
      <c r="X14" s="5" t="s">
        <v>1319</v>
      </c>
      <c r="Y14" s="5" t="s">
        <v>147</v>
      </c>
      <c r="Z14" s="1" t="s">
        <v>1321</v>
      </c>
      <c r="AA14" s="17" t="s">
        <v>1303</v>
      </c>
      <c r="AB14" s="5" t="s">
        <v>918</v>
      </c>
      <c r="AC14" s="5" t="s">
        <v>920</v>
      </c>
      <c r="AD14" s="5" t="s">
        <v>353</v>
      </c>
      <c r="AE14" s="5" t="s">
        <v>938</v>
      </c>
      <c r="AF14" s="5" t="s">
        <v>918</v>
      </c>
      <c r="AG14" s="5" t="s">
        <v>918</v>
      </c>
      <c r="AH14" s="121" t="s">
        <v>918</v>
      </c>
      <c r="AI14" s="131">
        <v>3.7265000000000001</v>
      </c>
      <c r="AJ14" s="5" t="s">
        <v>1304</v>
      </c>
      <c r="AK14" s="5" t="s">
        <v>147</v>
      </c>
      <c r="AL14" s="4" t="s">
        <v>1305</v>
      </c>
      <c r="AM14" s="4" t="s">
        <v>1306</v>
      </c>
      <c r="AN14" s="148">
        <v>-1.481395</v>
      </c>
      <c r="AO14" s="148">
        <v>0</v>
      </c>
    </row>
    <row r="15" spans="1:41">
      <c r="A15" s="5" t="s">
        <v>1299</v>
      </c>
      <c r="B15" s="5" t="s">
        <v>1323</v>
      </c>
      <c r="C15" s="5" t="s">
        <v>1058</v>
      </c>
      <c r="D15" s="1" t="s">
        <v>1307</v>
      </c>
      <c r="E15" s="5" t="s">
        <v>98</v>
      </c>
      <c r="F15" s="162">
        <v>3.718</v>
      </c>
      <c r="G15" s="131">
        <v>-814600</v>
      </c>
      <c r="H15" s="123">
        <v>-811.48768961807423</v>
      </c>
      <c r="I15" s="137">
        <v>0.487091</v>
      </c>
      <c r="J15" s="163">
        <v>-1.1E-5</v>
      </c>
      <c r="K15" s="4" t="s">
        <v>1307</v>
      </c>
      <c r="L15" s="5" t="s">
        <v>34</v>
      </c>
      <c r="M15" s="164">
        <v>1</v>
      </c>
      <c r="N15" s="132">
        <v>3049455.1</v>
      </c>
      <c r="O15" s="132">
        <v>3049.4551000000001</v>
      </c>
      <c r="P15" s="137">
        <v>4.3000000000000002E-5</v>
      </c>
      <c r="Q15" s="137">
        <v>0.49072700000000002</v>
      </c>
      <c r="R15" s="131">
        <v>32.343870000000003</v>
      </c>
      <c r="S15" s="4" t="s">
        <v>30</v>
      </c>
      <c r="T15" s="11" t="s">
        <v>30</v>
      </c>
      <c r="U15" s="5" t="s">
        <v>759</v>
      </c>
      <c r="V15" s="5" t="s">
        <v>942</v>
      </c>
      <c r="W15" s="185" t="s">
        <v>2655</v>
      </c>
      <c r="X15" s="5" t="s">
        <v>1301</v>
      </c>
      <c r="Y15" s="5" t="s">
        <v>147</v>
      </c>
      <c r="Z15" s="1" t="s">
        <v>1308</v>
      </c>
      <c r="AA15" s="17" t="s">
        <v>1309</v>
      </c>
      <c r="AB15" s="5" t="s">
        <v>918</v>
      </c>
      <c r="AC15" s="5" t="s">
        <v>920</v>
      </c>
      <c r="AD15" s="5" t="s">
        <v>353</v>
      </c>
      <c r="AE15" s="5" t="s">
        <v>938</v>
      </c>
      <c r="AF15" s="5" t="s">
        <v>918</v>
      </c>
      <c r="AG15" s="5" t="s">
        <v>918</v>
      </c>
      <c r="AH15" s="121" t="s">
        <v>918</v>
      </c>
      <c r="AI15" s="131">
        <v>3.7435</v>
      </c>
      <c r="AJ15" s="5" t="s">
        <v>1304</v>
      </c>
      <c r="AK15" s="5" t="s">
        <v>147</v>
      </c>
      <c r="AL15" s="4" t="s">
        <v>1305</v>
      </c>
      <c r="AM15" s="4" t="s">
        <v>1306</v>
      </c>
      <c r="AN15" s="148">
        <v>-0.23433899999999999</v>
      </c>
      <c r="AO15" s="148">
        <v>0</v>
      </c>
    </row>
    <row r="16" spans="1:41">
      <c r="A16" s="5" t="s">
        <v>1299</v>
      </c>
      <c r="B16" s="5" t="s">
        <v>1323</v>
      </c>
      <c r="C16" s="5" t="s">
        <v>1058</v>
      </c>
      <c r="D16" s="1" t="s">
        <v>1316</v>
      </c>
      <c r="E16" s="5" t="s">
        <v>98</v>
      </c>
      <c r="F16" s="162">
        <v>3.718</v>
      </c>
      <c r="G16" s="131">
        <v>-534600</v>
      </c>
      <c r="H16" s="123">
        <v>-534.3974448628295</v>
      </c>
      <c r="I16" s="137">
        <v>0.32076900000000003</v>
      </c>
      <c r="J16" s="163">
        <v>-6.9999999999999999E-6</v>
      </c>
      <c r="K16" s="4" t="s">
        <v>1316</v>
      </c>
      <c r="L16" s="5" t="s">
        <v>34</v>
      </c>
      <c r="M16" s="164">
        <v>1</v>
      </c>
      <c r="N16" s="132">
        <v>1936855.8</v>
      </c>
      <c r="O16" s="132">
        <v>1936.8558</v>
      </c>
      <c r="P16" s="137">
        <v>2.6999999999999999E-5</v>
      </c>
      <c r="Q16" s="137">
        <v>0.31168400000000002</v>
      </c>
      <c r="R16" s="131">
        <v>-50.033900000000003</v>
      </c>
      <c r="S16" s="4" t="s">
        <v>30</v>
      </c>
      <c r="T16" s="11" t="s">
        <v>30</v>
      </c>
      <c r="U16" s="5" t="s">
        <v>759</v>
      </c>
      <c r="V16" s="5" t="s">
        <v>942</v>
      </c>
      <c r="W16" s="185" t="s">
        <v>2655</v>
      </c>
      <c r="X16" s="5" t="s">
        <v>1301</v>
      </c>
      <c r="Y16" s="5" t="s">
        <v>147</v>
      </c>
      <c r="Z16" s="1" t="s">
        <v>1317</v>
      </c>
      <c r="AA16" s="17" t="s">
        <v>1303</v>
      </c>
      <c r="AB16" s="5" t="s">
        <v>918</v>
      </c>
      <c r="AC16" s="5" t="s">
        <v>920</v>
      </c>
      <c r="AD16" s="5" t="s">
        <v>353</v>
      </c>
      <c r="AE16" s="5" t="s">
        <v>938</v>
      </c>
      <c r="AF16" s="5" t="s">
        <v>918</v>
      </c>
      <c r="AG16" s="5" t="s">
        <v>918</v>
      </c>
      <c r="AH16" s="121" t="s">
        <v>918</v>
      </c>
      <c r="AI16" s="131">
        <v>3.6230000000000002</v>
      </c>
      <c r="AJ16" s="5" t="s">
        <v>1304</v>
      </c>
      <c r="AK16" s="5" t="s">
        <v>147</v>
      </c>
      <c r="AL16" s="4" t="s">
        <v>1305</v>
      </c>
      <c r="AM16" s="4" t="s">
        <v>1306</v>
      </c>
      <c r="AN16" s="148">
        <v>0.362508</v>
      </c>
      <c r="AO16" s="148">
        <v>-9.9999999999999995E-7</v>
      </c>
    </row>
    <row r="17" spans="1:41">
      <c r="A17" s="5" t="s">
        <v>1299</v>
      </c>
      <c r="B17" s="5" t="s">
        <v>1323</v>
      </c>
      <c r="C17" s="5" t="s">
        <v>1058</v>
      </c>
      <c r="D17" s="1" t="s">
        <v>1310</v>
      </c>
      <c r="E17" s="5" t="s">
        <v>98</v>
      </c>
      <c r="F17" s="162">
        <v>3.718</v>
      </c>
      <c r="G17" s="131">
        <v>200000</v>
      </c>
      <c r="H17" s="123">
        <v>199.92154922001075</v>
      </c>
      <c r="I17" s="137">
        <v>-0.120002</v>
      </c>
      <c r="J17" s="163">
        <v>3.0000000000000001E-6</v>
      </c>
      <c r="K17" s="4" t="s">
        <v>1310</v>
      </c>
      <c r="L17" s="5" t="s">
        <v>34</v>
      </c>
      <c r="M17" s="164">
        <v>1</v>
      </c>
      <c r="N17" s="132">
        <v>-710800</v>
      </c>
      <c r="O17" s="132">
        <v>-710.8</v>
      </c>
      <c r="P17" s="137">
        <v>-1.0000000000000001E-5</v>
      </c>
      <c r="Q17" s="137">
        <v>-0.114384</v>
      </c>
      <c r="R17" s="131">
        <v>32.508319999999998</v>
      </c>
      <c r="S17" s="4" t="s">
        <v>30</v>
      </c>
      <c r="T17" s="11" t="s">
        <v>30</v>
      </c>
      <c r="U17" s="5" t="s">
        <v>759</v>
      </c>
      <c r="V17" s="5" t="s">
        <v>942</v>
      </c>
      <c r="W17" s="185" t="s">
        <v>2655</v>
      </c>
      <c r="X17" s="5" t="s">
        <v>1301</v>
      </c>
      <c r="Y17" s="5" t="s">
        <v>147</v>
      </c>
      <c r="Z17" s="1" t="s">
        <v>1311</v>
      </c>
      <c r="AA17" s="17" t="s">
        <v>1303</v>
      </c>
      <c r="AB17" s="5" t="s">
        <v>918</v>
      </c>
      <c r="AC17" s="5" t="s">
        <v>920</v>
      </c>
      <c r="AD17" s="5" t="s">
        <v>353</v>
      </c>
      <c r="AE17" s="5" t="s">
        <v>938</v>
      </c>
      <c r="AF17" s="5" t="s">
        <v>918</v>
      </c>
      <c r="AG17" s="5" t="s">
        <v>918</v>
      </c>
      <c r="AH17" s="121" t="s">
        <v>918</v>
      </c>
      <c r="AI17" s="131">
        <v>3.5539999999999998</v>
      </c>
      <c r="AJ17" s="5" t="s">
        <v>1304</v>
      </c>
      <c r="AK17" s="5" t="s">
        <v>147</v>
      </c>
      <c r="AL17" s="4" t="s">
        <v>1305</v>
      </c>
      <c r="AM17" s="4" t="s">
        <v>1306</v>
      </c>
      <c r="AN17" s="148">
        <v>-0.23553099999999999</v>
      </c>
      <c r="AO17" s="148">
        <v>0</v>
      </c>
    </row>
    <row r="18" spans="1:41">
      <c r="A18" s="5" t="s">
        <v>1299</v>
      </c>
      <c r="B18" s="5" t="s">
        <v>1323</v>
      </c>
      <c r="C18" s="5" t="s">
        <v>1058</v>
      </c>
      <c r="D18" s="1" t="s">
        <v>1320</v>
      </c>
      <c r="E18" s="5" t="s">
        <v>1183</v>
      </c>
      <c r="F18" s="162">
        <v>4.0218999999999996</v>
      </c>
      <c r="G18" s="131">
        <v>-210000</v>
      </c>
      <c r="H18" s="123">
        <v>-210.00997041199437</v>
      </c>
      <c r="I18" s="137">
        <v>0.126057</v>
      </c>
      <c r="J18" s="163">
        <v>-3.0000000000000001E-6</v>
      </c>
      <c r="K18" s="4" t="s">
        <v>1320</v>
      </c>
      <c r="L18" s="5" t="s">
        <v>34</v>
      </c>
      <c r="M18" s="164">
        <v>1</v>
      </c>
      <c r="N18" s="132">
        <v>782565</v>
      </c>
      <c r="O18" s="132">
        <v>782.56500000000005</v>
      </c>
      <c r="P18" s="137">
        <v>1.1E-5</v>
      </c>
      <c r="Q18" s="137">
        <v>0.12593299999999999</v>
      </c>
      <c r="R18" s="131">
        <v>-62.074100000000001</v>
      </c>
      <c r="S18" s="4" t="s">
        <v>30</v>
      </c>
      <c r="T18" s="11" t="s">
        <v>30</v>
      </c>
      <c r="U18" s="5" t="s">
        <v>759</v>
      </c>
      <c r="V18" s="5" t="s">
        <v>942</v>
      </c>
      <c r="W18" s="185" t="s">
        <v>2655</v>
      </c>
      <c r="X18" s="5" t="s">
        <v>1319</v>
      </c>
      <c r="Y18" s="5" t="s">
        <v>147</v>
      </c>
      <c r="Z18" s="1" t="s">
        <v>1321</v>
      </c>
      <c r="AA18" s="17" t="s">
        <v>1303</v>
      </c>
      <c r="AB18" s="5" t="s">
        <v>918</v>
      </c>
      <c r="AC18" s="5" t="s">
        <v>920</v>
      </c>
      <c r="AD18" s="5" t="s">
        <v>353</v>
      </c>
      <c r="AE18" s="5" t="s">
        <v>938</v>
      </c>
      <c r="AF18" s="5" t="s">
        <v>918</v>
      </c>
      <c r="AG18" s="5" t="s">
        <v>918</v>
      </c>
      <c r="AH18" s="121" t="s">
        <v>918</v>
      </c>
      <c r="AI18" s="131">
        <v>3.7265000000000001</v>
      </c>
      <c r="AJ18" s="5" t="s">
        <v>1304</v>
      </c>
      <c r="AK18" s="5" t="s">
        <v>147</v>
      </c>
      <c r="AL18" s="4" t="s">
        <v>1305</v>
      </c>
      <c r="AM18" s="4" t="s">
        <v>1306</v>
      </c>
      <c r="AN18" s="148">
        <v>0.44974199999999998</v>
      </c>
      <c r="AO18" s="148">
        <v>-9.9999999999999995E-7</v>
      </c>
    </row>
    <row r="19" spans="1:41">
      <c r="A19" s="5" t="s">
        <v>1299</v>
      </c>
      <c r="B19" s="5" t="s">
        <v>1323</v>
      </c>
      <c r="C19" s="5" t="s">
        <v>1058</v>
      </c>
      <c r="D19" s="1" t="s">
        <v>1318</v>
      </c>
      <c r="E19" s="5" t="s">
        <v>1183</v>
      </c>
      <c r="F19" s="162">
        <v>4.0218999999999996</v>
      </c>
      <c r="G19" s="131">
        <v>-310000</v>
      </c>
      <c r="H19" s="123">
        <v>-310.01486859444549</v>
      </c>
      <c r="I19" s="137">
        <v>0.186085</v>
      </c>
      <c r="J19" s="163">
        <v>-3.9999999999999998E-6</v>
      </c>
      <c r="K19" s="4" t="s">
        <v>1318</v>
      </c>
      <c r="L19" s="5" t="s">
        <v>34</v>
      </c>
      <c r="M19" s="164">
        <v>1</v>
      </c>
      <c r="N19" s="132">
        <v>1156083</v>
      </c>
      <c r="O19" s="132">
        <v>1156.0830000000001</v>
      </c>
      <c r="P19" s="137">
        <v>1.5999999999999999E-5</v>
      </c>
      <c r="Q19" s="137">
        <v>0.18604000000000001</v>
      </c>
      <c r="R19" s="131">
        <v>-90.765799999999999</v>
      </c>
      <c r="S19" s="4" t="s">
        <v>30</v>
      </c>
      <c r="T19" s="11" t="s">
        <v>30</v>
      </c>
      <c r="U19" s="5" t="s">
        <v>759</v>
      </c>
      <c r="V19" s="5" t="s">
        <v>942</v>
      </c>
      <c r="W19" s="185" t="s">
        <v>2655</v>
      </c>
      <c r="X19" s="5" t="s">
        <v>1319</v>
      </c>
      <c r="Y19" s="5" t="s">
        <v>147</v>
      </c>
      <c r="Z19" s="1" t="s">
        <v>1317</v>
      </c>
      <c r="AA19" s="17" t="s">
        <v>1303</v>
      </c>
      <c r="AB19" s="5" t="s">
        <v>918</v>
      </c>
      <c r="AC19" s="5" t="s">
        <v>920</v>
      </c>
      <c r="AD19" s="5" t="s">
        <v>353</v>
      </c>
      <c r="AE19" s="5" t="s">
        <v>938</v>
      </c>
      <c r="AF19" s="5" t="s">
        <v>918</v>
      </c>
      <c r="AG19" s="5" t="s">
        <v>918</v>
      </c>
      <c r="AH19" s="121" t="s">
        <v>918</v>
      </c>
      <c r="AI19" s="131">
        <v>3.7292999999999998</v>
      </c>
      <c r="AJ19" s="5" t="s">
        <v>1304</v>
      </c>
      <c r="AK19" s="5" t="s">
        <v>147</v>
      </c>
      <c r="AL19" s="4" t="s">
        <v>1305</v>
      </c>
      <c r="AM19" s="4" t="s">
        <v>1306</v>
      </c>
      <c r="AN19" s="148">
        <v>0.65761999999999998</v>
      </c>
      <c r="AO19" s="148">
        <v>-9.9999999999999995E-7</v>
      </c>
    </row>
  </sheetData>
  <dataValidations count="11">
    <dataValidation type="list" allowBlank="1" showInputMessage="1" showErrorMessage="1" sqref="U2:U19" xr:uid="{00000000-0002-0000-1600-000000000000}">
      <formula1>Underlying_Asset</formula1>
    </dataValidation>
    <dataValidation type="list" allowBlank="1" showInputMessage="1" showErrorMessage="1" sqref="AG2:AG19 AB2:AB19" xr:uid="{00000000-0002-0000-1600-000001000000}">
      <formula1>Reset_frequency</formula1>
    </dataValidation>
    <dataValidation type="list" allowBlank="1" showInputMessage="1" showErrorMessage="1" sqref="S2:S19" xr:uid="{00000000-0002-0000-1600-000002000000}">
      <formula1>israel_abroad</formula1>
    </dataValidation>
    <dataValidation type="list" allowBlank="1" showInputMessage="1" showErrorMessage="1" sqref="Y2:Y19 AD2:AD19" xr:uid="{00000000-0002-0000-1600-000003000000}">
      <formula1>Holding_interest</formula1>
    </dataValidation>
    <dataValidation type="list" allowBlank="1" showInputMessage="1" showErrorMessage="1" sqref="AC2:AC19" xr:uid="{00000000-0002-0000-1600-000004000000}">
      <formula1>Delivery</formula1>
    </dataValidation>
    <dataValidation type="list" allowBlank="1" showInputMessage="1" showErrorMessage="1" sqref="V2:V19" xr:uid="{00000000-0002-0000-1600-000006000000}">
      <formula1>Leading_factor</formula1>
    </dataValidation>
    <dataValidation type="list" allowBlank="1" showInputMessage="1" showErrorMessage="1" sqref="T2:T19" xr:uid="{00000000-0002-0000-1600-000007000000}">
      <formula1>Country_list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:AF19" xr:uid="{00000000-0002-0000-1600-00000B000000}">
      <formula1>Underlying_Interest_Rates</formula1>
    </dataValidation>
    <dataValidation type="list" allowBlank="1" showInputMessage="1" showErrorMessage="1" sqref="AK2:AK19" xr:uid="{00000000-0002-0000-1600-00000C000000}">
      <formula1>Penalty</formula1>
    </dataValidation>
    <dataValidation type="list" allowBlank="1" showInputMessage="1" showErrorMessage="1" sqref="AE3:AE19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C2:C19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zoomScale="70" zoomScaleNormal="70" workbookViewId="0">
      <selection activeCell="P2" sqref="P2"/>
    </sheetView>
  </sheetViews>
  <sheetFormatPr defaultColWidth="0" defaultRowHeight="14.25" zeroHeight="1"/>
  <cols>
    <col min="1" max="53" width="11.625" customWidth="1"/>
  </cols>
  <sheetData>
    <row r="1" spans="1:53" ht="66.75" customHeight="1">
      <c r="A1" s="12" t="s">
        <v>0</v>
      </c>
      <c r="B1" s="12" t="s">
        <v>1</v>
      </c>
      <c r="C1" s="12" t="s">
        <v>128</v>
      </c>
      <c r="D1" s="12" t="s">
        <v>129</v>
      </c>
      <c r="E1" s="12" t="s">
        <v>130</v>
      </c>
      <c r="F1" s="12" t="s">
        <v>131</v>
      </c>
      <c r="G1" s="12" t="s">
        <v>5</v>
      </c>
      <c r="H1" s="12" t="s">
        <v>1161</v>
      </c>
      <c r="I1" s="12" t="s">
        <v>6</v>
      </c>
      <c r="J1" s="12" t="s">
        <v>7</v>
      </c>
      <c r="K1" s="12" t="s">
        <v>157</v>
      </c>
      <c r="L1" s="12" t="s">
        <v>133</v>
      </c>
      <c r="M1" s="12" t="s">
        <v>1162</v>
      </c>
      <c r="N1" s="12" t="s">
        <v>1163</v>
      </c>
      <c r="O1" s="155" t="s">
        <v>1164</v>
      </c>
      <c r="P1" s="12" t="s">
        <v>9</v>
      </c>
      <c r="Q1" s="12" t="s">
        <v>10</v>
      </c>
      <c r="R1" s="12" t="s">
        <v>134</v>
      </c>
      <c r="S1" s="12" t="s">
        <v>11</v>
      </c>
      <c r="T1" s="12" t="s">
        <v>12</v>
      </c>
      <c r="U1" s="12" t="s">
        <v>135</v>
      </c>
      <c r="V1" s="135" t="s">
        <v>14</v>
      </c>
      <c r="W1" s="12" t="s">
        <v>766</v>
      </c>
      <c r="X1" s="12" t="s">
        <v>922</v>
      </c>
      <c r="Y1" s="159" t="s">
        <v>1166</v>
      </c>
      <c r="Z1" s="139" t="s">
        <v>15</v>
      </c>
      <c r="AA1" s="12" t="s">
        <v>13</v>
      </c>
      <c r="AB1" s="12" t="s">
        <v>423</v>
      </c>
      <c r="AC1" s="12" t="s">
        <v>771</v>
      </c>
      <c r="AD1" s="161" t="s">
        <v>1167</v>
      </c>
      <c r="AE1" s="139" t="s">
        <v>1168</v>
      </c>
      <c r="AF1" s="155" t="s">
        <v>1169</v>
      </c>
      <c r="AG1" s="12" t="s">
        <v>794</v>
      </c>
      <c r="AH1" s="12" t="s">
        <v>795</v>
      </c>
      <c r="AI1" s="12" t="s">
        <v>1170</v>
      </c>
      <c r="AJ1" s="12" t="s">
        <v>801</v>
      </c>
      <c r="AK1" s="12" t="s">
        <v>158</v>
      </c>
      <c r="AL1" s="12" t="s">
        <v>171</v>
      </c>
      <c r="AM1" s="12" t="s">
        <v>159</v>
      </c>
      <c r="AN1" s="155" t="s">
        <v>142</v>
      </c>
      <c r="AO1" s="155" t="s">
        <v>160</v>
      </c>
      <c r="AP1" s="135" t="s">
        <v>1171</v>
      </c>
      <c r="AQ1" s="12" t="s">
        <v>1172</v>
      </c>
      <c r="AR1" s="144" t="s">
        <v>1173</v>
      </c>
      <c r="AS1" s="133" t="s">
        <v>18</v>
      </c>
      <c r="AT1" s="12" t="s">
        <v>20</v>
      </c>
      <c r="AU1" s="12" t="s">
        <v>172</v>
      </c>
      <c r="AV1" s="12" t="s">
        <v>21</v>
      </c>
      <c r="AW1" s="12" t="s">
        <v>173</v>
      </c>
      <c r="AX1" s="12" t="s">
        <v>844</v>
      </c>
      <c r="AY1" s="12" t="s">
        <v>22</v>
      </c>
      <c r="AZ1" s="139" t="s">
        <v>24</v>
      </c>
      <c r="BA1" s="139" t="s">
        <v>25</v>
      </c>
    </row>
    <row r="2" spans="1:53">
      <c r="A2" s="2">
        <v>382</v>
      </c>
      <c r="B2" s="2">
        <v>382</v>
      </c>
      <c r="C2" s="13" t="s">
        <v>1324</v>
      </c>
      <c r="D2" s="13" t="s">
        <v>1325</v>
      </c>
      <c r="E2" s="13" t="s">
        <v>1326</v>
      </c>
      <c r="F2" s="13" t="s">
        <v>1327</v>
      </c>
      <c r="G2" s="13" t="s">
        <v>1052</v>
      </c>
      <c r="H2" s="2"/>
      <c r="I2" s="11" t="s">
        <v>30</v>
      </c>
      <c r="J2" s="11" t="s">
        <v>30</v>
      </c>
      <c r="K2" s="13" t="s">
        <v>490</v>
      </c>
      <c r="L2" s="13" t="s">
        <v>147</v>
      </c>
      <c r="M2" s="13" t="s">
        <v>147</v>
      </c>
      <c r="N2" s="13"/>
      <c r="O2" s="156" t="s">
        <v>1328</v>
      </c>
      <c r="P2" s="13" t="s">
        <v>189</v>
      </c>
      <c r="Q2" s="13" t="s">
        <v>189</v>
      </c>
      <c r="R2" s="13" t="s">
        <v>421</v>
      </c>
      <c r="S2" s="11" t="s">
        <v>34</v>
      </c>
      <c r="T2" s="126">
        <v>2.52</v>
      </c>
      <c r="U2" s="13" t="s">
        <v>842</v>
      </c>
      <c r="V2" s="147">
        <v>5.5632000000000001E-2</v>
      </c>
      <c r="W2" s="13" t="s">
        <v>770</v>
      </c>
      <c r="X2" s="13" t="s">
        <v>918</v>
      </c>
      <c r="Y2" s="160">
        <v>0</v>
      </c>
      <c r="Z2" s="148">
        <v>5.1299999999999998E-2</v>
      </c>
      <c r="AA2" s="13" t="s">
        <v>1329</v>
      </c>
      <c r="AB2" s="11" t="s">
        <v>425</v>
      </c>
      <c r="AC2" s="13"/>
      <c r="AD2" s="13"/>
      <c r="AE2" s="148">
        <v>0</v>
      </c>
      <c r="AF2" s="13"/>
      <c r="AG2" s="13" t="s">
        <v>147</v>
      </c>
      <c r="AH2" s="13"/>
      <c r="AI2" s="2"/>
      <c r="AJ2" s="2" t="s">
        <v>147</v>
      </c>
      <c r="AK2" s="13" t="s">
        <v>907</v>
      </c>
      <c r="AL2" s="13" t="s">
        <v>1330</v>
      </c>
      <c r="AM2" s="13" t="s">
        <v>1331</v>
      </c>
      <c r="AN2" s="157" t="s">
        <v>148</v>
      </c>
      <c r="AO2" s="2"/>
      <c r="AP2" s="138">
        <v>0</v>
      </c>
      <c r="AQ2" s="124">
        <v>86789822.299999997</v>
      </c>
      <c r="AR2" s="150">
        <v>102.371</v>
      </c>
      <c r="AS2" s="149">
        <v>1</v>
      </c>
      <c r="AT2" s="126">
        <v>88847.241999999998</v>
      </c>
      <c r="AU2" s="130">
        <v>88847.241999999998</v>
      </c>
      <c r="AV2" s="18"/>
      <c r="AW2" s="18"/>
      <c r="AX2" s="11" t="s">
        <v>147</v>
      </c>
      <c r="AY2" s="13" t="s">
        <v>36</v>
      </c>
      <c r="AZ2" s="148">
        <v>1</v>
      </c>
      <c r="BA2" s="148">
        <v>3.0730448092560599E-2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" xr:uid="{00000000-0002-0000-1700-000000000000}">
      <formula1>Industry_sectors</formula1>
    </dataValidation>
    <dataValidation type="list" allowBlank="1" showInputMessage="1" showErrorMessage="1" sqref="L2" xr:uid="{00000000-0002-0000-1700-000001000000}">
      <formula1>Holding_interest</formula1>
    </dataValidation>
    <dataValidation type="list" allowBlank="1" showInputMessage="1" showErrorMessage="1" sqref="P2 Q2" xr:uid="{00000000-0002-0000-1700-000002000000}">
      <formula1>Rating_Agency</formula1>
    </dataValidation>
    <dataValidation type="list" allowBlank="1" showInputMessage="1" showErrorMessage="1" sqref="M2" xr:uid="{00000000-0002-0000-1700-000003000000}">
      <formula1>Consortium</formula1>
    </dataValidation>
    <dataValidation type="list" allowBlank="1" showInputMessage="1" showErrorMessage="1" sqref="W2" xr:uid="{00000000-0002-0000-1700-000004000000}">
      <formula1>Linked_Type</formula1>
    </dataValidation>
    <dataValidation type="list" allowBlank="1" showInputMessage="1" showErrorMessage="1" sqref="AC2" xr:uid="{00000000-0002-0000-1700-000005000000}">
      <formula1>Type_of_Security</formula1>
    </dataValidation>
    <dataValidation type="list" allowBlank="1" showInputMessage="1" showErrorMessage="1" sqref="AM2" xr:uid="{00000000-0002-0000-1700-000006000000}">
      <formula1>Dependence_Independence</formula1>
    </dataValidation>
    <dataValidation type="list" allowBlank="1" showInputMessage="1" showErrorMessage="1" sqref="J2" xr:uid="{00000000-0002-0000-1700-000007000000}">
      <formula1>Country_list</formula1>
    </dataValidation>
    <dataValidation type="list" allowBlank="1" showInputMessage="1" showErrorMessage="1" sqref="AH2" xr:uid="{00000000-0002-0000-1700-000008000000}">
      <formula1>Amoritization</formula1>
    </dataValidation>
    <dataValidation type="list" allowBlank="1" showInputMessage="1" showErrorMessage="1" sqref="U2" xr:uid="{00000000-0002-0000-1700-000009000000}">
      <formula1>Type_of_Interest_Rate</formula1>
    </dataValidation>
    <dataValidation type="list" allowBlank="1" showInputMessage="1" showErrorMessage="1" sqref="AK2" xr:uid="{00000000-0002-0000-1700-00000A000000}">
      <formula1>Valuation_Loans</formula1>
    </dataValidation>
    <dataValidation type="list" allowBlank="1" showInputMessage="1" showErrorMessage="1" sqref="X2" xr:uid="{00000000-0002-0000-1700-00000B000000}">
      <formula1>Underlying_Interest_Rates</formula1>
    </dataValidation>
    <dataValidation type="list" allowBlank="1" showInputMessage="1" showErrorMessage="1" sqref="AB2" xr:uid="{00000000-0002-0000-1700-00000C000000}">
      <formula1>Subordination_Risk</formula1>
    </dataValidation>
    <dataValidation type="list" allowBlank="1" showInputMessage="1" showErrorMessage="1" sqref="AX2" xr:uid="{00000000-0002-0000-1700-00000D000000}">
      <formula1>Yes_No_Bad_Debt</formula1>
    </dataValidation>
    <dataValidation type="list" allowBlank="1" showInputMessage="1" showErrorMessage="1" sqref="AG2" xr:uid="{00000000-0002-0000-1700-00000E000000}">
      <formula1>Recourse_Nonrecourse</formula1>
    </dataValidation>
    <dataValidation type="list" allowBlank="1" showInputMessage="1" showErrorMessage="1" sqref="AJ2" xr:uid="{00000000-0002-0000-1700-00000F000000}">
      <formula1>Repayment_Rights</formula1>
    </dataValidation>
    <dataValidation type="list" allowBlank="1" showInputMessage="1" showErrorMessage="1" sqref="D2" xr:uid="{00000000-0002-0000-1700-000010000000}">
      <formula1>issuer_number_loan</formula1>
    </dataValidation>
    <dataValidation type="list" allowBlank="1" showInputMessage="1" showErrorMessage="1" sqref="H2" xr:uid="{00000000-0002-0000-1700-000011000000}">
      <formula1>real_estate_loans</formula1>
    </dataValidation>
    <dataValidation type="list" allowBlank="1" showInputMessage="1" showErrorMessage="1" sqref="I2" xr:uid="{00000000-0002-0000-1700-000012000000}">
      <formula1>israel_abroad</formula1>
    </dataValidation>
    <dataValidation type="list" allowBlank="1" showInputMessage="1" showErrorMessage="1" sqref="AY2" xr:uid="{00000000-0002-0000-1700-000013000000}">
      <formula1 xml:space="preserve"> In_the_books</formula1>
    </dataValidation>
    <dataValidation type="list" allowBlank="1" showInputMessage="1" showErrorMessage="1" sqref="R2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zoomScale="70" zoomScaleNormal="70" workbookViewId="0">
      <selection activeCell="O2" sqref="O2"/>
    </sheetView>
  </sheetViews>
  <sheetFormatPr defaultColWidth="0" defaultRowHeight="14.25" zeroHeight="1"/>
  <cols>
    <col min="1" max="16" width="11.625" customWidth="1"/>
    <col min="17" max="17" width="13.375" customWidth="1"/>
    <col min="18" max="30" width="11.625" customWidth="1"/>
  </cols>
  <sheetData>
    <row r="1" spans="1:30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133</v>
      </c>
      <c r="M1" s="12" t="s">
        <v>180</v>
      </c>
      <c r="N1" s="155" t="s">
        <v>165</v>
      </c>
      <c r="O1" s="12" t="s">
        <v>9</v>
      </c>
      <c r="P1" s="12" t="s">
        <v>10</v>
      </c>
      <c r="Q1" s="12" t="s">
        <v>181</v>
      </c>
      <c r="R1" s="12" t="s">
        <v>11</v>
      </c>
      <c r="S1" s="12" t="s">
        <v>12</v>
      </c>
      <c r="T1" s="135" t="s">
        <v>14</v>
      </c>
      <c r="U1" s="139" t="s">
        <v>15</v>
      </c>
      <c r="V1" s="12" t="s">
        <v>158</v>
      </c>
      <c r="W1" s="12" t="s">
        <v>159</v>
      </c>
      <c r="X1" s="155" t="s">
        <v>142</v>
      </c>
      <c r="Y1" s="12" t="s">
        <v>17</v>
      </c>
      <c r="Z1" s="133" t="s">
        <v>18</v>
      </c>
      <c r="AA1" s="144" t="s">
        <v>19</v>
      </c>
      <c r="AB1" s="12" t="s">
        <v>20</v>
      </c>
      <c r="AC1" s="139" t="s">
        <v>24</v>
      </c>
      <c r="AD1" s="139" t="s">
        <v>25</v>
      </c>
    </row>
    <row r="2" spans="1:30">
      <c r="A2" s="13">
        <v>382</v>
      </c>
      <c r="B2" s="13">
        <v>382</v>
      </c>
      <c r="C2" s="13" t="s">
        <v>182</v>
      </c>
      <c r="D2" s="13" t="s">
        <v>183</v>
      </c>
      <c r="E2" s="11" t="s">
        <v>184</v>
      </c>
      <c r="F2" s="13" t="s">
        <v>185</v>
      </c>
      <c r="G2" s="13" t="s">
        <v>186</v>
      </c>
      <c r="H2" s="13" t="s">
        <v>187</v>
      </c>
      <c r="I2" s="13"/>
      <c r="J2" s="11" t="s">
        <v>94</v>
      </c>
      <c r="K2" s="11" t="s">
        <v>103</v>
      </c>
      <c r="L2" s="13" t="s">
        <v>147</v>
      </c>
      <c r="M2" s="13" t="s">
        <v>95</v>
      </c>
      <c r="N2" s="156" t="s">
        <v>188</v>
      </c>
      <c r="O2" s="13" t="s">
        <v>189</v>
      </c>
      <c r="P2" s="13" t="s">
        <v>189</v>
      </c>
      <c r="Q2" s="13" t="s">
        <v>189</v>
      </c>
      <c r="R2" s="11" t="s">
        <v>98</v>
      </c>
      <c r="S2" s="126">
        <v>0</v>
      </c>
      <c r="T2" s="147">
        <v>0</v>
      </c>
      <c r="U2" s="148">
        <v>0</v>
      </c>
      <c r="V2" s="13" t="s">
        <v>95</v>
      </c>
      <c r="W2" s="13" t="s">
        <v>190</v>
      </c>
      <c r="X2" s="157" t="s">
        <v>191</v>
      </c>
      <c r="Y2" s="126">
        <v>82</v>
      </c>
      <c r="Z2" s="149">
        <v>3.718</v>
      </c>
      <c r="AA2" s="150">
        <v>2.7E-2</v>
      </c>
      <c r="AB2" s="126">
        <v>0</v>
      </c>
      <c r="AC2" s="148">
        <v>1</v>
      </c>
      <c r="AD2" s="148">
        <v>2.8362126844596896E-11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" xr:uid="{00000000-0002-0000-1800-000000000000}">
      <formula1>israel_abroad</formula1>
    </dataValidation>
    <dataValidation type="list" allowBlank="1" showInputMessage="1" showErrorMessage="1" sqref="L2" xr:uid="{00000000-0002-0000-1800-000001000000}">
      <formula1>Holding_interest</formula1>
    </dataValidation>
    <dataValidation type="list" allowBlank="1" showInputMessage="1" showErrorMessage="1" sqref="O2 P2" xr:uid="{00000000-0002-0000-1800-000002000000}">
      <formula1>Rating_Agency</formula1>
    </dataValidation>
    <dataValidation type="list" allowBlank="1" showInputMessage="1" showErrorMessage="1" sqref="Q2" xr:uid="{00000000-0002-0000-1800-000003000000}">
      <formula1>What_is_rated</formula1>
    </dataValidation>
    <dataValidation type="list" allowBlank="1" showInputMessage="1" showErrorMessage="1" sqref="V2" xr:uid="{00000000-0002-0000-1800-000004000000}">
      <formula1>Valuation</formula1>
    </dataValidation>
    <dataValidation type="list" allowBlank="1" showInputMessage="1" showErrorMessage="1" sqref="W2" xr:uid="{00000000-0002-0000-1800-000005000000}">
      <formula1>Dependence_Independence</formula1>
    </dataValidation>
    <dataValidation type="list" allowBlank="1" showInputMessage="1" showErrorMessage="1" sqref="K2" xr:uid="{00000000-0002-0000-1800-000006000000}">
      <formula1>Country_list</formula1>
    </dataValidation>
    <dataValidation type="list" allowBlank="1" showInputMessage="1" showErrorMessage="1" sqref="H2" xr:uid="{00000000-0002-0000-1800-000007000000}">
      <formula1>Type_of_Security_ID_Fund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2" width="11.625" customWidth="1"/>
  </cols>
  <sheetData>
    <row r="1" spans="1:22" ht="66.75" customHeight="1">
      <c r="A1" s="12" t="s">
        <v>0</v>
      </c>
      <c r="B1" s="12" t="s">
        <v>1</v>
      </c>
      <c r="C1" s="12" t="s">
        <v>174</v>
      </c>
      <c r="D1" s="12" t="s">
        <v>175</v>
      </c>
      <c r="E1" s="12" t="s">
        <v>176</v>
      </c>
      <c r="F1" s="12" t="s">
        <v>5</v>
      </c>
      <c r="G1" s="12" t="s">
        <v>177</v>
      </c>
      <c r="H1" s="12" t="s">
        <v>6</v>
      </c>
      <c r="I1" s="12" t="s">
        <v>7</v>
      </c>
      <c r="J1" s="12" t="s">
        <v>133</v>
      </c>
      <c r="K1" s="12" t="s">
        <v>178</v>
      </c>
      <c r="L1" s="12" t="s">
        <v>10</v>
      </c>
      <c r="M1" s="12" t="s">
        <v>11</v>
      </c>
      <c r="N1" s="12" t="s">
        <v>12</v>
      </c>
      <c r="O1" s="120" t="s">
        <v>14</v>
      </c>
      <c r="P1" s="12" t="s">
        <v>15</v>
      </c>
      <c r="Q1" s="12" t="s">
        <v>143</v>
      </c>
      <c r="R1" s="12" t="s">
        <v>18</v>
      </c>
      <c r="S1" s="12" t="s">
        <v>179</v>
      </c>
      <c r="T1" s="12" t="s">
        <v>20</v>
      </c>
      <c r="U1" s="12" t="s">
        <v>24</v>
      </c>
      <c r="V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zoomScale="70" zoomScaleNormal="70" workbookViewId="0"/>
  </sheetViews>
  <sheetFormatPr defaultColWidth="0" defaultRowHeight="14.25" zeroHeight="1"/>
  <cols>
    <col min="1" max="24" width="11.625" customWidth="1"/>
  </cols>
  <sheetData>
    <row r="1" spans="1:24" ht="66.75" customHeight="1">
      <c r="A1" s="12" t="s">
        <v>0</v>
      </c>
      <c r="B1" s="12" t="s">
        <v>1</v>
      </c>
      <c r="C1" s="12" t="s">
        <v>163</v>
      </c>
      <c r="D1" s="12" t="s">
        <v>5</v>
      </c>
      <c r="E1" s="12" t="s">
        <v>164</v>
      </c>
      <c r="F1" s="12" t="s">
        <v>133</v>
      </c>
      <c r="G1" s="12" t="s">
        <v>165</v>
      </c>
      <c r="H1" s="12" t="s">
        <v>166</v>
      </c>
      <c r="I1" s="12" t="s">
        <v>167</v>
      </c>
      <c r="J1" s="12" t="s">
        <v>168</v>
      </c>
      <c r="K1" s="12" t="s">
        <v>169</v>
      </c>
      <c r="L1" s="12" t="s">
        <v>170</v>
      </c>
      <c r="M1" s="12" t="s">
        <v>158</v>
      </c>
      <c r="N1" s="12" t="s">
        <v>171</v>
      </c>
      <c r="O1" s="12" t="s">
        <v>159</v>
      </c>
      <c r="P1" s="12" t="s">
        <v>142</v>
      </c>
      <c r="Q1" s="12" t="s">
        <v>11</v>
      </c>
      <c r="R1" s="12" t="s">
        <v>172</v>
      </c>
      <c r="S1" s="12" t="s">
        <v>20</v>
      </c>
      <c r="T1" s="12" t="s">
        <v>21</v>
      </c>
      <c r="U1" s="12" t="s">
        <v>173</v>
      </c>
      <c r="V1" s="12" t="s">
        <v>22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/>
  <cols>
    <col min="1" max="23" width="11.625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157</v>
      </c>
      <c r="M1" s="12" t="s">
        <v>133</v>
      </c>
      <c r="N1" s="12" t="s">
        <v>11</v>
      </c>
      <c r="O1" s="12" t="s">
        <v>158</v>
      </c>
      <c r="P1" s="12" t="s">
        <v>159</v>
      </c>
      <c r="Q1" s="12" t="s">
        <v>142</v>
      </c>
      <c r="R1" s="12" t="s">
        <v>160</v>
      </c>
      <c r="S1" s="12" t="s">
        <v>161</v>
      </c>
      <c r="T1" s="12" t="s">
        <v>162</v>
      </c>
      <c r="U1" s="12" t="s">
        <v>20</v>
      </c>
      <c r="V1" s="12" t="s">
        <v>24</v>
      </c>
      <c r="W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6"/>
  <sheetViews>
    <sheetView rightToLeft="1" zoomScale="70" zoomScaleNormal="70" workbookViewId="0"/>
  </sheetViews>
  <sheetFormatPr defaultColWidth="0" defaultRowHeight="14.25" zeroHeight="1"/>
  <cols>
    <col min="1" max="18" width="11.625" customWidth="1"/>
  </cols>
  <sheetData>
    <row r="1" spans="1:18" ht="66.75" customHeight="1">
      <c r="A1" s="12" t="s">
        <v>0</v>
      </c>
      <c r="B1" s="12" t="s">
        <v>1</v>
      </c>
      <c r="C1" s="12" t="s">
        <v>139</v>
      </c>
      <c r="D1" s="12" t="s">
        <v>140</v>
      </c>
      <c r="E1" s="12" t="s">
        <v>5</v>
      </c>
      <c r="F1" s="12" t="s">
        <v>6</v>
      </c>
      <c r="G1" s="12" t="s">
        <v>7</v>
      </c>
      <c r="H1" s="12" t="s">
        <v>133</v>
      </c>
      <c r="I1" s="155" t="s">
        <v>141</v>
      </c>
      <c r="J1" s="12" t="s">
        <v>11</v>
      </c>
      <c r="K1" s="155" t="s">
        <v>142</v>
      </c>
      <c r="L1" s="12" t="s">
        <v>143</v>
      </c>
      <c r="M1" s="133" t="s">
        <v>18</v>
      </c>
      <c r="N1" s="12" t="s">
        <v>20</v>
      </c>
      <c r="O1" s="12" t="s">
        <v>21</v>
      </c>
      <c r="P1" s="12" t="s">
        <v>22</v>
      </c>
      <c r="Q1" s="139" t="s">
        <v>24</v>
      </c>
      <c r="R1" s="139" t="s">
        <v>25</v>
      </c>
    </row>
    <row r="2" spans="1:18">
      <c r="A2" s="13">
        <v>382</v>
      </c>
      <c r="B2" s="13">
        <v>382</v>
      </c>
      <c r="C2" s="18" t="s">
        <v>144</v>
      </c>
      <c r="D2" s="18" t="s">
        <v>145</v>
      </c>
      <c r="E2" s="18" t="s">
        <v>146</v>
      </c>
      <c r="F2" s="11" t="s">
        <v>30</v>
      </c>
      <c r="G2" s="11" t="s">
        <v>30</v>
      </c>
      <c r="H2" s="13" t="s">
        <v>147</v>
      </c>
      <c r="I2" s="13"/>
      <c r="J2" s="11" t="s">
        <v>34</v>
      </c>
      <c r="K2" s="156" t="s">
        <v>148</v>
      </c>
      <c r="L2" s="124">
        <v>-914.07500000000005</v>
      </c>
      <c r="M2" s="149">
        <v>1</v>
      </c>
      <c r="N2" s="126">
        <v>-914.07500000000005</v>
      </c>
      <c r="O2" s="13"/>
      <c r="P2" s="11" t="s">
        <v>36</v>
      </c>
      <c r="Q2" s="148">
        <v>0.93222306246860798</v>
      </c>
      <c r="R2" s="148">
        <v>-3.1615989486702699E-4</v>
      </c>
    </row>
    <row r="3" spans="1:18">
      <c r="A3" s="13">
        <v>382</v>
      </c>
      <c r="B3" s="13">
        <v>382</v>
      </c>
      <c r="C3" s="18" t="s">
        <v>149</v>
      </c>
      <c r="D3" s="13" t="s">
        <v>150</v>
      </c>
      <c r="E3" s="18" t="s">
        <v>146</v>
      </c>
      <c r="F3" s="11" t="s">
        <v>30</v>
      </c>
      <c r="G3" s="11" t="s">
        <v>30</v>
      </c>
      <c r="H3" s="13" t="s">
        <v>147</v>
      </c>
      <c r="I3" s="13"/>
      <c r="J3" s="11" t="s">
        <v>34</v>
      </c>
      <c r="K3" s="156" t="s">
        <v>148</v>
      </c>
      <c r="L3" s="124">
        <v>121.81</v>
      </c>
      <c r="M3" s="149">
        <v>1</v>
      </c>
      <c r="N3" s="126">
        <v>121.81</v>
      </c>
      <c r="O3" s="13"/>
      <c r="P3" s="11" t="s">
        <v>36</v>
      </c>
      <c r="Q3" s="148">
        <v>-0.124228304518208</v>
      </c>
      <c r="R3" s="148">
        <v>4.2131555501297502E-5</v>
      </c>
    </row>
    <row r="4" spans="1:18">
      <c r="A4" s="13">
        <v>382</v>
      </c>
      <c r="B4" s="13">
        <v>382</v>
      </c>
      <c r="C4" s="18" t="s">
        <v>151</v>
      </c>
      <c r="D4" s="13" t="s">
        <v>152</v>
      </c>
      <c r="E4" s="18" t="s">
        <v>153</v>
      </c>
      <c r="F4" s="11" t="s">
        <v>30</v>
      </c>
      <c r="G4" s="11" t="s">
        <v>30</v>
      </c>
      <c r="H4" s="13" t="s">
        <v>147</v>
      </c>
      <c r="I4" s="13"/>
      <c r="J4" s="11" t="s">
        <v>34</v>
      </c>
      <c r="K4" s="156" t="s">
        <v>148</v>
      </c>
      <c r="L4" s="124">
        <v>-188.267</v>
      </c>
      <c r="M4" s="149">
        <v>1</v>
      </c>
      <c r="N4" s="126">
        <v>-188.267</v>
      </c>
      <c r="O4" s="13"/>
      <c r="P4" s="11" t="s">
        <v>36</v>
      </c>
      <c r="Q4" s="148">
        <v>0.19200524204960101</v>
      </c>
      <c r="R4" s="148">
        <v>-6.5117845271462599E-5</v>
      </c>
    </row>
    <row r="5" spans="1:18">
      <c r="A5" s="13">
        <v>382</v>
      </c>
      <c r="B5" s="13">
        <v>1404</v>
      </c>
      <c r="C5" s="18" t="s">
        <v>144</v>
      </c>
      <c r="D5" s="13" t="s">
        <v>145</v>
      </c>
      <c r="E5" s="18" t="s">
        <v>146</v>
      </c>
      <c r="F5" s="11" t="s">
        <v>30</v>
      </c>
      <c r="G5" s="11" t="s">
        <v>30</v>
      </c>
      <c r="H5" s="13" t="s">
        <v>147</v>
      </c>
      <c r="I5" s="13"/>
      <c r="J5" s="11" t="s">
        <v>34</v>
      </c>
      <c r="K5" s="156" t="s">
        <v>148</v>
      </c>
      <c r="L5" s="124">
        <v>-8.4260000000000002</v>
      </c>
      <c r="M5" s="149">
        <v>1</v>
      </c>
      <c r="N5" s="126">
        <v>-8.4260000000000002</v>
      </c>
      <c r="O5" s="13"/>
      <c r="P5" s="11" t="s">
        <v>36</v>
      </c>
      <c r="Q5" s="148">
        <v>0.88141357231100403</v>
      </c>
      <c r="R5" s="148">
        <v>-3.1515810979532399E-4</v>
      </c>
    </row>
    <row r="6" spans="1:18">
      <c r="A6" s="13">
        <v>382</v>
      </c>
      <c r="B6" s="13">
        <v>1404</v>
      </c>
      <c r="C6" s="18" t="s">
        <v>149</v>
      </c>
      <c r="D6" s="13" t="s">
        <v>150</v>
      </c>
      <c r="E6" s="18" t="s">
        <v>146</v>
      </c>
      <c r="F6" s="11" t="s">
        <v>30</v>
      </c>
      <c r="G6" s="11" t="s">
        <v>30</v>
      </c>
      <c r="H6" s="13" t="s">
        <v>147</v>
      </c>
      <c r="I6" s="13"/>
      <c r="J6" s="11" t="s">
        <v>34</v>
      </c>
      <c r="K6" s="156" t="s">
        <v>148</v>
      </c>
      <c r="L6" s="124">
        <v>0</v>
      </c>
      <c r="M6" s="149">
        <v>1</v>
      </c>
      <c r="N6" s="126">
        <v>0</v>
      </c>
      <c r="O6" s="13"/>
      <c r="P6" s="11" t="s">
        <v>36</v>
      </c>
      <c r="Q6" s="148">
        <v>-3.5566304483132702E-5</v>
      </c>
      <c r="R6" s="148">
        <v>1.27170827015062E-8</v>
      </c>
    </row>
    <row r="7" spans="1:18">
      <c r="A7" s="13">
        <v>382</v>
      </c>
      <c r="B7" s="13">
        <v>1404</v>
      </c>
      <c r="C7" s="18" t="s">
        <v>151</v>
      </c>
      <c r="D7" s="13" t="s">
        <v>152</v>
      </c>
      <c r="E7" s="18" t="s">
        <v>153</v>
      </c>
      <c r="F7" s="11" t="s">
        <v>30</v>
      </c>
      <c r="G7" s="11" t="s">
        <v>30</v>
      </c>
      <c r="H7" s="13" t="s">
        <v>147</v>
      </c>
      <c r="I7" s="13"/>
      <c r="J7" s="11" t="s">
        <v>34</v>
      </c>
      <c r="K7" s="156" t="s">
        <v>148</v>
      </c>
      <c r="L7" s="124">
        <v>-1.1339999999999999</v>
      </c>
      <c r="M7" s="149">
        <v>1</v>
      </c>
      <c r="N7" s="126">
        <v>-1.1339999999999999</v>
      </c>
      <c r="O7" s="13"/>
      <c r="P7" s="11" t="s">
        <v>36</v>
      </c>
      <c r="Q7" s="148">
        <v>0.118621993993479</v>
      </c>
      <c r="R7" s="148">
        <v>-4.2414463064276503E-5</v>
      </c>
    </row>
    <row r="8" spans="1:18">
      <c r="A8" s="13">
        <v>382</v>
      </c>
      <c r="B8" s="13">
        <v>7635</v>
      </c>
      <c r="C8" s="18" t="s">
        <v>144</v>
      </c>
      <c r="D8" s="13" t="s">
        <v>145</v>
      </c>
      <c r="E8" s="18" t="s">
        <v>146</v>
      </c>
      <c r="F8" s="11" t="s">
        <v>30</v>
      </c>
      <c r="G8" s="11" t="s">
        <v>30</v>
      </c>
      <c r="H8" s="13" t="s">
        <v>147</v>
      </c>
      <c r="I8" s="13"/>
      <c r="J8" s="11" t="s">
        <v>34</v>
      </c>
      <c r="K8" s="156" t="s">
        <v>148</v>
      </c>
      <c r="L8" s="124">
        <v>-5.8819999999999997</v>
      </c>
      <c r="M8" s="149">
        <v>1</v>
      </c>
      <c r="N8" s="126">
        <v>-5.8819999999999997</v>
      </c>
      <c r="O8" s="13"/>
      <c r="P8" s="11" t="s">
        <v>36</v>
      </c>
      <c r="Q8" s="148">
        <v>1.04689908269943</v>
      </c>
      <c r="R8" s="148">
        <v>-3.1672532160077798E-4</v>
      </c>
    </row>
    <row r="9" spans="1:18">
      <c r="A9" s="13">
        <v>382</v>
      </c>
      <c r="B9" s="13">
        <v>7635</v>
      </c>
      <c r="C9" s="18" t="s">
        <v>149</v>
      </c>
      <c r="D9" s="13" t="s">
        <v>150</v>
      </c>
      <c r="E9" s="18" t="s">
        <v>146</v>
      </c>
      <c r="F9" s="11" t="s">
        <v>30</v>
      </c>
      <c r="G9" s="11" t="s">
        <v>30</v>
      </c>
      <c r="H9" s="13" t="s">
        <v>147</v>
      </c>
      <c r="I9" s="13"/>
      <c r="J9" s="11" t="s">
        <v>34</v>
      </c>
      <c r="K9" s="156" t="s">
        <v>148</v>
      </c>
      <c r="L9" s="124">
        <v>0.26400000000000001</v>
      </c>
      <c r="M9" s="149">
        <v>1</v>
      </c>
      <c r="N9" s="126">
        <v>0.26400000000000001</v>
      </c>
      <c r="O9" s="13"/>
      <c r="P9" s="11" t="s">
        <v>36</v>
      </c>
      <c r="Q9" s="148">
        <v>-4.7043245186574698E-2</v>
      </c>
      <c r="R9" s="148">
        <v>1.42323049156209E-5</v>
      </c>
    </row>
    <row r="10" spans="1:18">
      <c r="A10" s="13">
        <v>382</v>
      </c>
      <c r="B10" s="13">
        <v>7635</v>
      </c>
      <c r="C10" s="18" t="s">
        <v>151</v>
      </c>
      <c r="D10" s="13" t="s">
        <v>152</v>
      </c>
      <c r="E10" s="18" t="s">
        <v>153</v>
      </c>
      <c r="F10" s="11" t="s">
        <v>30</v>
      </c>
      <c r="G10" s="11" t="s">
        <v>30</v>
      </c>
      <c r="H10" s="13" t="s">
        <v>147</v>
      </c>
      <c r="I10" s="13"/>
      <c r="J10" s="11" t="s">
        <v>34</v>
      </c>
      <c r="K10" s="156" t="s">
        <v>148</v>
      </c>
      <c r="L10" s="124">
        <v>-1E-3</v>
      </c>
      <c r="M10" s="149">
        <v>1</v>
      </c>
      <c r="N10" s="126">
        <v>-1E-3</v>
      </c>
      <c r="O10" s="13"/>
      <c r="P10" s="11" t="s">
        <v>36</v>
      </c>
      <c r="Q10" s="148">
        <v>1.4416248714106201E-4</v>
      </c>
      <c r="R10" s="148">
        <v>-4.3614433193299402E-8</v>
      </c>
    </row>
    <row r="11" spans="1:18">
      <c r="A11" s="13">
        <v>382</v>
      </c>
      <c r="B11" s="13">
        <v>9479</v>
      </c>
      <c r="C11" s="18" t="s">
        <v>144</v>
      </c>
      <c r="D11" s="13" t="s">
        <v>145</v>
      </c>
      <c r="E11" s="18" t="s">
        <v>146</v>
      </c>
      <c r="F11" s="11" t="s">
        <v>30</v>
      </c>
      <c r="G11" s="11" t="s">
        <v>30</v>
      </c>
      <c r="H11" s="13" t="s">
        <v>147</v>
      </c>
      <c r="I11" s="13"/>
      <c r="J11" s="11" t="s">
        <v>34</v>
      </c>
      <c r="K11" s="156" t="s">
        <v>148</v>
      </c>
      <c r="L11" s="124">
        <v>-22.655000000000001</v>
      </c>
      <c r="M11" s="149">
        <v>1</v>
      </c>
      <c r="N11" s="126">
        <v>-22.655000000000001</v>
      </c>
      <c r="O11" s="13"/>
      <c r="P11" s="11" t="s">
        <v>36</v>
      </c>
      <c r="Q11" s="148">
        <v>0.98596149017017098</v>
      </c>
      <c r="R11" s="148">
        <v>-3.1682286812019397E-4</v>
      </c>
    </row>
    <row r="12" spans="1:18">
      <c r="A12" s="13">
        <v>382</v>
      </c>
      <c r="B12" s="13">
        <v>9479</v>
      </c>
      <c r="C12" s="18" t="s">
        <v>149</v>
      </c>
      <c r="D12" s="13" t="s">
        <v>150</v>
      </c>
      <c r="E12" s="18" t="s">
        <v>146</v>
      </c>
      <c r="F12" s="11" t="s">
        <v>30</v>
      </c>
      <c r="G12" s="11" t="s">
        <v>30</v>
      </c>
      <c r="H12" s="13" t="s">
        <v>147</v>
      </c>
      <c r="I12" s="13"/>
      <c r="J12" s="11" t="s">
        <v>34</v>
      </c>
      <c r="K12" s="156" t="s">
        <v>148</v>
      </c>
      <c r="L12" s="124">
        <v>1.0189999999999999</v>
      </c>
      <c r="M12" s="149">
        <v>1</v>
      </c>
      <c r="N12" s="126">
        <v>1.0189999999999999</v>
      </c>
      <c r="O12" s="13"/>
      <c r="P12" s="11" t="s">
        <v>36</v>
      </c>
      <c r="Q12" s="148">
        <v>-4.4328563016619298E-2</v>
      </c>
      <c r="R12" s="148">
        <v>1.4244270810362101E-5</v>
      </c>
    </row>
    <row r="13" spans="1:18">
      <c r="A13" s="13">
        <v>382</v>
      </c>
      <c r="B13" s="13">
        <v>9479</v>
      </c>
      <c r="C13" s="18" t="s">
        <v>151</v>
      </c>
      <c r="D13" s="13" t="s">
        <v>152</v>
      </c>
      <c r="E13" s="18" t="s">
        <v>153</v>
      </c>
      <c r="F13" s="11" t="s">
        <v>30</v>
      </c>
      <c r="G13" s="11" t="s">
        <v>30</v>
      </c>
      <c r="H13" s="13" t="s">
        <v>147</v>
      </c>
      <c r="I13" s="13"/>
      <c r="J13" s="11" t="s">
        <v>34</v>
      </c>
      <c r="K13" s="156" t="s">
        <v>148</v>
      </c>
      <c r="L13" s="124">
        <v>-1.341</v>
      </c>
      <c r="M13" s="149">
        <v>1</v>
      </c>
      <c r="N13" s="126">
        <v>-1.341</v>
      </c>
      <c r="O13" s="13"/>
      <c r="P13" s="11" t="s">
        <v>36</v>
      </c>
      <c r="Q13" s="148">
        <v>5.8367072846448598E-2</v>
      </c>
      <c r="R13" s="148">
        <v>-1.8755320169554002E-5</v>
      </c>
    </row>
    <row r="14" spans="1:18">
      <c r="A14" s="13">
        <v>382</v>
      </c>
      <c r="B14" s="13">
        <v>11414</v>
      </c>
      <c r="C14" s="18" t="s">
        <v>144</v>
      </c>
      <c r="D14" s="13" t="s">
        <v>145</v>
      </c>
      <c r="E14" s="18" t="s">
        <v>146</v>
      </c>
      <c r="F14" s="11" t="s">
        <v>30</v>
      </c>
      <c r="G14" s="11" t="s">
        <v>30</v>
      </c>
      <c r="H14" s="13" t="s">
        <v>147</v>
      </c>
      <c r="I14" s="13"/>
      <c r="J14" s="11" t="s">
        <v>34</v>
      </c>
      <c r="K14" s="156" t="s">
        <v>148</v>
      </c>
      <c r="L14" s="124">
        <v>-4.8170000000000002</v>
      </c>
      <c r="M14" s="149">
        <v>1</v>
      </c>
      <c r="N14" s="126">
        <v>-4.8170000000000002</v>
      </c>
      <c r="O14" s="13"/>
      <c r="P14" s="11" t="s">
        <v>36</v>
      </c>
      <c r="Q14" s="148">
        <v>0.99980074182159395</v>
      </c>
      <c r="R14" s="148">
        <v>-3.1259566824615501E-4</v>
      </c>
    </row>
    <row r="15" spans="1:18">
      <c r="A15" s="13">
        <v>382</v>
      </c>
      <c r="B15" s="13">
        <v>11414</v>
      </c>
      <c r="C15" s="18" t="s">
        <v>151</v>
      </c>
      <c r="D15" s="13" t="s">
        <v>152</v>
      </c>
      <c r="E15" s="18" t="s">
        <v>153</v>
      </c>
      <c r="F15" s="11" t="s">
        <v>30</v>
      </c>
      <c r="G15" s="11" t="s">
        <v>30</v>
      </c>
      <c r="H15" s="13" t="s">
        <v>147</v>
      </c>
      <c r="I15" s="13"/>
      <c r="J15" s="11" t="s">
        <v>34</v>
      </c>
      <c r="K15" s="156" t="s">
        <v>148</v>
      </c>
      <c r="L15" s="124">
        <v>-1E-3</v>
      </c>
      <c r="M15" s="149">
        <v>1</v>
      </c>
      <c r="N15" s="126">
        <v>-1E-3</v>
      </c>
      <c r="O15" s="13"/>
      <c r="P15" s="11" t="s">
        <v>36</v>
      </c>
      <c r="Q15" s="148">
        <v>1.9925817840664E-4</v>
      </c>
      <c r="R15" s="148">
        <v>-6.2299657148734097E-8</v>
      </c>
    </row>
    <row r="16" spans="1:18">
      <c r="A16" s="13">
        <v>382</v>
      </c>
      <c r="B16" s="13">
        <v>15404</v>
      </c>
      <c r="C16" s="18" t="s">
        <v>144</v>
      </c>
      <c r="D16" s="13" t="s">
        <v>145</v>
      </c>
      <c r="E16" s="18" t="s">
        <v>146</v>
      </c>
      <c r="F16" s="11" t="s">
        <v>30</v>
      </c>
      <c r="G16" s="11" t="s">
        <v>30</v>
      </c>
      <c r="H16" s="13" t="s">
        <v>147</v>
      </c>
      <c r="I16" s="13"/>
      <c r="J16" s="11" t="s">
        <v>34</v>
      </c>
      <c r="K16" s="156" t="s">
        <v>148</v>
      </c>
      <c r="L16" s="124">
        <v>-4.6749999999999998</v>
      </c>
      <c r="M16" s="149">
        <v>1</v>
      </c>
      <c r="N16" s="126">
        <v>-4.6749999999999998</v>
      </c>
      <c r="O16" s="13"/>
      <c r="P16" s="11" t="s">
        <v>36</v>
      </c>
      <c r="Q16" s="148">
        <v>1</v>
      </c>
      <c r="R16" s="148">
        <v>-2.8043981493923703E-4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16" xr:uid="{00000000-0002-0000-1C00-000000000000}">
      <formula1>israel_abroad</formula1>
    </dataValidation>
    <dataValidation type="list" allowBlank="1" showInputMessage="1" showErrorMessage="1" sqref="H2:H16" xr:uid="{00000000-0002-0000-1C00-000001000000}">
      <formula1>Holding_interest</formula1>
    </dataValidation>
    <dataValidation type="list" allowBlank="1" showInputMessage="1" showErrorMessage="1" sqref="P2:P16" xr:uid="{00000000-0002-0000-1C00-000002000000}">
      <formula1>In_the_books</formula1>
    </dataValidation>
    <dataValidation type="list" allowBlank="1" showInputMessage="1" showErrorMessage="1" sqref="G2:G16" xr:uid="{00000000-0002-0000-1C00-000003000000}">
      <formula1>Country_list</formula1>
    </dataValidation>
    <dataValidation type="list" allowBlank="1" showInputMessage="1" showErrorMessage="1" sqref="E2:E16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20" width="11.625" customWidth="1"/>
    <col min="21" max="22" width="0" hidden="1" customWidth="1"/>
  </cols>
  <sheetData>
    <row r="1" spans="1:20" ht="66.75" customHeight="1">
      <c r="A1" s="12" t="s">
        <v>0</v>
      </c>
      <c r="B1" s="12" t="s">
        <v>1</v>
      </c>
      <c r="C1" s="12" t="s">
        <v>128</v>
      </c>
      <c r="D1" s="12" t="s">
        <v>129</v>
      </c>
      <c r="E1" s="12" t="s">
        <v>130</v>
      </c>
      <c r="F1" s="12" t="s">
        <v>131</v>
      </c>
      <c r="G1" s="12" t="s">
        <v>132</v>
      </c>
      <c r="H1" s="12" t="s">
        <v>6</v>
      </c>
      <c r="I1" s="12" t="s">
        <v>7</v>
      </c>
      <c r="J1" s="12" t="s">
        <v>133</v>
      </c>
      <c r="K1" s="12" t="s">
        <v>9</v>
      </c>
      <c r="L1" s="12" t="s">
        <v>10</v>
      </c>
      <c r="M1" s="12" t="s">
        <v>134</v>
      </c>
      <c r="N1" s="12" t="s">
        <v>11</v>
      </c>
      <c r="O1" s="12" t="s">
        <v>18</v>
      </c>
      <c r="P1" s="120" t="s">
        <v>14</v>
      </c>
      <c r="Q1" s="12" t="s">
        <v>135</v>
      </c>
      <c r="R1" s="12" t="s">
        <v>136</v>
      </c>
      <c r="S1" s="12" t="s">
        <v>137</v>
      </c>
      <c r="T1" s="12" t="s">
        <v>138</v>
      </c>
    </row>
    <row r="10" spans="1:20" ht="13.5" hidden="1" customHeight="1"/>
    <row r="11" spans="1:20" ht="13.5" hidden="1" customHeight="1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69"/>
  <sheetViews>
    <sheetView rightToLeft="1" zoomScale="70" zoomScaleNormal="70" workbookViewId="0">
      <selection activeCell="O2" sqref="O2:O74"/>
    </sheetView>
  </sheetViews>
  <sheetFormatPr defaultColWidth="0" defaultRowHeight="14.1" customHeight="1" zeroHeight="1"/>
  <cols>
    <col min="1" max="8" width="11.625" customWidth="1"/>
    <col min="9" max="9" width="12.625" customWidth="1"/>
    <col min="10" max="17" width="11.625" customWidth="1"/>
  </cols>
  <sheetData>
    <row r="1" spans="1:17" ht="66.75" customHeight="1">
      <c r="A1" s="12" t="s">
        <v>0</v>
      </c>
      <c r="B1" s="12" t="s">
        <v>1</v>
      </c>
      <c r="C1" s="12" t="s">
        <v>5</v>
      </c>
      <c r="D1" s="12" t="s">
        <v>207</v>
      </c>
      <c r="E1" s="12" t="s">
        <v>208</v>
      </c>
      <c r="F1" s="12" t="s">
        <v>209</v>
      </c>
      <c r="G1" s="12" t="s">
        <v>210</v>
      </c>
      <c r="H1" s="12" t="s">
        <v>211</v>
      </c>
      <c r="I1" s="12" t="s">
        <v>212</v>
      </c>
      <c r="J1" s="12" t="s">
        <v>11</v>
      </c>
      <c r="K1" s="12" t="s">
        <v>213</v>
      </c>
      <c r="L1" s="12" t="s">
        <v>214</v>
      </c>
      <c r="M1" s="12" t="s">
        <v>215</v>
      </c>
      <c r="N1" s="12" t="s">
        <v>216</v>
      </c>
      <c r="O1" s="12" t="s">
        <v>217</v>
      </c>
      <c r="P1" s="12" t="s">
        <v>218</v>
      </c>
      <c r="Q1" s="12" t="s">
        <v>219</v>
      </c>
    </row>
    <row r="2" spans="1:17" ht="14.1" customHeight="1">
      <c r="A2" s="165">
        <v>9479</v>
      </c>
      <c r="B2" s="165">
        <v>9479</v>
      </c>
      <c r="C2" s="166" t="s">
        <v>2524</v>
      </c>
      <c r="D2" s="166" t="s">
        <v>2214</v>
      </c>
      <c r="E2" s="166" t="s">
        <v>2525</v>
      </c>
      <c r="F2" s="166" t="s">
        <v>1325</v>
      </c>
      <c r="G2" s="166" t="s">
        <v>2214</v>
      </c>
      <c r="H2" s="167">
        <v>27940035</v>
      </c>
      <c r="I2" s="166" t="s">
        <v>33</v>
      </c>
      <c r="J2" s="167" t="s">
        <v>34</v>
      </c>
      <c r="K2" s="168">
        <v>45371</v>
      </c>
      <c r="L2" s="169">
        <v>300</v>
      </c>
      <c r="M2" s="169">
        <v>300</v>
      </c>
      <c r="N2" s="169">
        <v>0</v>
      </c>
      <c r="O2" s="169">
        <v>0</v>
      </c>
      <c r="P2" s="167" t="s">
        <v>2526</v>
      </c>
      <c r="Q2" s="170" t="s">
        <v>2527</v>
      </c>
    </row>
    <row r="3" spans="1:17" ht="14.1" customHeight="1">
      <c r="A3" s="171"/>
      <c r="B3" s="171"/>
      <c r="C3" s="172"/>
      <c r="D3" s="172"/>
      <c r="E3" s="172">
        <v>1</v>
      </c>
      <c r="F3" s="172"/>
      <c r="G3" s="172"/>
      <c r="H3" s="171"/>
      <c r="I3" s="171"/>
      <c r="J3" s="171"/>
      <c r="K3" s="171"/>
      <c r="L3" s="171"/>
      <c r="M3" s="171"/>
      <c r="N3" s="171"/>
      <c r="O3" s="171"/>
      <c r="P3" s="171"/>
      <c r="Q3" s="171"/>
    </row>
    <row r="4" spans="1:17" ht="13.5" customHeight="1">
      <c r="A4" s="170">
        <v>382</v>
      </c>
      <c r="B4" s="170">
        <v>382</v>
      </c>
      <c r="C4" s="166" t="s">
        <v>2528</v>
      </c>
      <c r="D4" s="166" t="s">
        <v>2280</v>
      </c>
      <c r="E4" s="166" t="s">
        <v>2276</v>
      </c>
      <c r="F4" s="166" t="s">
        <v>33</v>
      </c>
      <c r="G4" s="166" t="s">
        <v>2280</v>
      </c>
      <c r="H4" s="167">
        <v>603880223</v>
      </c>
      <c r="I4" s="166" t="s">
        <v>33</v>
      </c>
      <c r="J4" s="167" t="s">
        <v>98</v>
      </c>
      <c r="K4" s="168">
        <v>42156</v>
      </c>
      <c r="L4" s="169">
        <v>1500</v>
      </c>
      <c r="M4" s="169">
        <v>5577</v>
      </c>
      <c r="N4" s="169">
        <v>0</v>
      </c>
      <c r="O4" s="169">
        <v>0</v>
      </c>
      <c r="P4" s="167" t="s">
        <v>2526</v>
      </c>
      <c r="Q4" s="168">
        <v>45544</v>
      </c>
    </row>
    <row r="5" spans="1:17" ht="13.5" customHeight="1">
      <c r="A5" s="170">
        <v>382</v>
      </c>
      <c r="B5" s="170">
        <v>382</v>
      </c>
      <c r="C5" s="166" t="s">
        <v>2528</v>
      </c>
      <c r="D5" s="166" t="s">
        <v>2275</v>
      </c>
      <c r="E5" s="166" t="s">
        <v>2276</v>
      </c>
      <c r="F5" s="166" t="s">
        <v>33</v>
      </c>
      <c r="G5" s="166" t="s">
        <v>2529</v>
      </c>
      <c r="H5" s="167">
        <v>620000732</v>
      </c>
      <c r="I5" s="166" t="s">
        <v>33</v>
      </c>
      <c r="J5" s="167" t="s">
        <v>98</v>
      </c>
      <c r="K5" s="168">
        <v>42744</v>
      </c>
      <c r="L5" s="169">
        <v>1250</v>
      </c>
      <c r="M5" s="169">
        <v>4647.5</v>
      </c>
      <c r="N5" s="169">
        <v>0</v>
      </c>
      <c r="O5" s="169">
        <v>0</v>
      </c>
      <c r="P5" s="167" t="s">
        <v>2526</v>
      </c>
      <c r="Q5" s="168">
        <v>46020</v>
      </c>
    </row>
    <row r="6" spans="1:17" ht="14.1" customHeight="1">
      <c r="A6" s="170">
        <v>382</v>
      </c>
      <c r="B6" s="170">
        <v>382</v>
      </c>
      <c r="C6" s="166" t="s">
        <v>2530</v>
      </c>
      <c r="D6" s="166" t="s">
        <v>2169</v>
      </c>
      <c r="E6" s="166" t="s">
        <v>2531</v>
      </c>
      <c r="F6" s="166" t="s">
        <v>2532</v>
      </c>
      <c r="G6" s="166" t="s">
        <v>2169</v>
      </c>
      <c r="H6" s="167">
        <v>603978741</v>
      </c>
      <c r="I6" s="166" t="s">
        <v>33</v>
      </c>
      <c r="J6" s="167" t="s">
        <v>98</v>
      </c>
      <c r="K6" s="168">
        <v>42352</v>
      </c>
      <c r="L6" s="169">
        <v>2500</v>
      </c>
      <c r="M6" s="169">
        <v>9295</v>
      </c>
      <c r="N6" s="169">
        <v>605.37673000000007</v>
      </c>
      <c r="O6" s="169">
        <v>2250.7906821400002</v>
      </c>
      <c r="P6" s="167" t="s">
        <v>2533</v>
      </c>
      <c r="Q6" s="168">
        <v>46351</v>
      </c>
    </row>
    <row r="7" spans="1:17" ht="14.1" customHeight="1">
      <c r="A7" s="170">
        <v>382</v>
      </c>
      <c r="B7" s="170">
        <v>382</v>
      </c>
      <c r="C7" s="166" t="s">
        <v>2528</v>
      </c>
      <c r="D7" s="166" t="s">
        <v>2287</v>
      </c>
      <c r="E7" s="166" t="s">
        <v>2534</v>
      </c>
      <c r="F7" s="166" t="s">
        <v>184</v>
      </c>
      <c r="G7" s="166" t="s">
        <v>2535</v>
      </c>
      <c r="H7" s="167">
        <v>9840572</v>
      </c>
      <c r="I7" s="166" t="s">
        <v>33</v>
      </c>
      <c r="J7" s="167" t="s">
        <v>98</v>
      </c>
      <c r="K7" s="168">
        <v>39335</v>
      </c>
      <c r="L7" s="169">
        <v>1500</v>
      </c>
      <c r="M7" s="169">
        <v>5577</v>
      </c>
      <c r="N7" s="169">
        <v>17.091000000000001</v>
      </c>
      <c r="O7" s="169">
        <v>63.544338000000003</v>
      </c>
      <c r="P7" s="167" t="s">
        <v>2536</v>
      </c>
      <c r="Q7" s="168">
        <v>45736</v>
      </c>
    </row>
    <row r="8" spans="1:17" ht="14.1" customHeight="1">
      <c r="A8" s="170">
        <v>382</v>
      </c>
      <c r="B8" s="170">
        <v>382</v>
      </c>
      <c r="C8" s="166" t="s">
        <v>2530</v>
      </c>
      <c r="D8" s="166" t="s">
        <v>2537</v>
      </c>
      <c r="E8" s="166" t="s">
        <v>2538</v>
      </c>
      <c r="F8" s="166" t="s">
        <v>327</v>
      </c>
      <c r="G8" s="166" t="s">
        <v>2295</v>
      </c>
      <c r="H8" s="167">
        <v>27940040</v>
      </c>
      <c r="I8" s="166" t="s">
        <v>33</v>
      </c>
      <c r="J8" s="167" t="s">
        <v>98</v>
      </c>
      <c r="K8" s="168">
        <v>45716</v>
      </c>
      <c r="L8" s="169">
        <v>3200</v>
      </c>
      <c r="M8" s="169">
        <v>11897.6</v>
      </c>
      <c r="N8" s="169">
        <v>2377.1390000000001</v>
      </c>
      <c r="O8" s="169">
        <v>8838.2028019999998</v>
      </c>
      <c r="P8" s="167" t="s">
        <v>2539</v>
      </c>
      <c r="Q8" s="168">
        <v>49096</v>
      </c>
    </row>
    <row r="9" spans="1:17" ht="14.1" customHeight="1">
      <c r="A9" s="170">
        <v>382</v>
      </c>
      <c r="B9" s="170">
        <v>382</v>
      </c>
      <c r="C9" s="166" t="s">
        <v>2530</v>
      </c>
      <c r="D9" s="166" t="s">
        <v>2313</v>
      </c>
      <c r="E9" s="166" t="s">
        <v>2540</v>
      </c>
      <c r="F9" s="166" t="s">
        <v>2532</v>
      </c>
      <c r="G9" s="166" t="s">
        <v>2541</v>
      </c>
      <c r="H9" s="167">
        <v>27940031</v>
      </c>
      <c r="I9" s="166" t="s">
        <v>33</v>
      </c>
      <c r="J9" s="167" t="s">
        <v>1183</v>
      </c>
      <c r="K9" s="168">
        <v>45173</v>
      </c>
      <c r="L9" s="169">
        <v>3000</v>
      </c>
      <c r="M9" s="169">
        <v>12065.7</v>
      </c>
      <c r="N9" s="169">
        <v>1973.13859</v>
      </c>
      <c r="O9" s="169">
        <v>7935.7660951209991</v>
      </c>
      <c r="P9" s="167" t="s">
        <v>2542</v>
      </c>
      <c r="Q9" s="168">
        <v>48700</v>
      </c>
    </row>
    <row r="10" spans="1:17" ht="14.1" customHeight="1">
      <c r="A10" s="170">
        <v>382</v>
      </c>
      <c r="B10" s="170">
        <v>382</v>
      </c>
      <c r="C10" s="166" t="s">
        <v>497</v>
      </c>
      <c r="D10" s="166" t="s">
        <v>2313</v>
      </c>
      <c r="E10" s="166" t="s">
        <v>2540</v>
      </c>
      <c r="F10" s="166" t="s">
        <v>2532</v>
      </c>
      <c r="G10" s="166" t="s">
        <v>2543</v>
      </c>
      <c r="H10" s="167">
        <v>27940014</v>
      </c>
      <c r="I10" s="166" t="s">
        <v>33</v>
      </c>
      <c r="J10" s="167" t="s">
        <v>1183</v>
      </c>
      <c r="K10" s="168">
        <v>44421</v>
      </c>
      <c r="L10" s="169">
        <v>2850</v>
      </c>
      <c r="M10" s="169">
        <v>11462.415000000001</v>
      </c>
      <c r="N10" s="169">
        <v>559.11374999999975</v>
      </c>
      <c r="O10" s="169">
        <v>2248.6995911249992</v>
      </c>
      <c r="P10" s="167" t="s">
        <v>2544</v>
      </c>
      <c r="Q10" s="168">
        <v>48061</v>
      </c>
    </row>
    <row r="11" spans="1:17" ht="14.1" customHeight="1">
      <c r="A11" s="170">
        <v>382</v>
      </c>
      <c r="B11" s="170">
        <v>382</v>
      </c>
      <c r="C11" s="166" t="s">
        <v>497</v>
      </c>
      <c r="D11" s="166" t="s">
        <v>2313</v>
      </c>
      <c r="E11" s="166" t="s">
        <v>2540</v>
      </c>
      <c r="F11" s="166" t="s">
        <v>2532</v>
      </c>
      <c r="G11" s="166" t="s">
        <v>2545</v>
      </c>
      <c r="H11" s="167">
        <v>27940033</v>
      </c>
      <c r="I11" s="166" t="s">
        <v>33</v>
      </c>
      <c r="J11" s="167" t="s">
        <v>1183</v>
      </c>
      <c r="K11" s="168">
        <v>45316</v>
      </c>
      <c r="L11" s="169">
        <v>3000</v>
      </c>
      <c r="M11" s="169">
        <v>12065.7</v>
      </c>
      <c r="N11" s="169">
        <v>2108.1374900000001</v>
      </c>
      <c r="O11" s="169">
        <v>8478.7181710309997</v>
      </c>
      <c r="P11" s="167" t="s">
        <v>2546</v>
      </c>
      <c r="Q11" s="168">
        <v>49675</v>
      </c>
    </row>
    <row r="12" spans="1:17" ht="14.1" customHeight="1">
      <c r="A12" s="170">
        <v>382</v>
      </c>
      <c r="B12" s="170">
        <v>382</v>
      </c>
      <c r="C12" s="166" t="s">
        <v>2528</v>
      </c>
      <c r="D12" s="166" t="s">
        <v>2303</v>
      </c>
      <c r="E12" s="166" t="s">
        <v>2547</v>
      </c>
      <c r="F12" s="166" t="s">
        <v>2532</v>
      </c>
      <c r="G12" s="166" t="s">
        <v>2311</v>
      </c>
      <c r="H12" s="167">
        <v>27940034</v>
      </c>
      <c r="I12" s="166" t="s">
        <v>33</v>
      </c>
      <c r="J12" s="167" t="s">
        <v>1185</v>
      </c>
      <c r="K12" s="168">
        <v>45362</v>
      </c>
      <c r="L12" s="169">
        <v>1400</v>
      </c>
      <c r="M12" s="169">
        <v>6735.1200000000008</v>
      </c>
      <c r="N12" s="169">
        <v>1120</v>
      </c>
      <c r="O12" s="169">
        <v>5388.0959999999995</v>
      </c>
      <c r="P12" s="167" t="s">
        <v>2548</v>
      </c>
      <c r="Q12" s="168">
        <v>47178</v>
      </c>
    </row>
    <row r="13" spans="1:17" ht="14.1" customHeight="1">
      <c r="A13" s="170">
        <v>382</v>
      </c>
      <c r="B13" s="170">
        <v>382</v>
      </c>
      <c r="C13" s="166" t="s">
        <v>2528</v>
      </c>
      <c r="D13" s="166" t="s">
        <v>2323</v>
      </c>
      <c r="E13" s="166" t="s">
        <v>2324</v>
      </c>
      <c r="F13" s="166" t="s">
        <v>2532</v>
      </c>
      <c r="G13" s="166" t="s">
        <v>2325</v>
      </c>
      <c r="H13" s="167">
        <v>27940030</v>
      </c>
      <c r="I13" s="166" t="s">
        <v>33</v>
      </c>
      <c r="J13" s="167" t="s">
        <v>98</v>
      </c>
      <c r="K13" s="168">
        <v>45078</v>
      </c>
      <c r="L13" s="169">
        <v>1800</v>
      </c>
      <c r="M13" s="169">
        <v>6692.4</v>
      </c>
      <c r="N13" s="169">
        <v>648.01</v>
      </c>
      <c r="O13" s="169">
        <v>2409.3011799999999</v>
      </c>
      <c r="P13" s="167" t="s">
        <v>2549</v>
      </c>
      <c r="Q13" s="168">
        <v>47757</v>
      </c>
    </row>
    <row r="14" spans="1:17" ht="14.1" customHeight="1">
      <c r="A14" s="170">
        <v>382</v>
      </c>
      <c r="B14" s="170">
        <v>382</v>
      </c>
      <c r="C14" s="166" t="s">
        <v>2530</v>
      </c>
      <c r="D14" s="166" t="s">
        <v>2347</v>
      </c>
      <c r="E14" s="166" t="s">
        <v>2550</v>
      </c>
      <c r="F14" s="166" t="s">
        <v>2532</v>
      </c>
      <c r="G14" s="166" t="s">
        <v>2551</v>
      </c>
      <c r="H14" s="167">
        <v>62010971</v>
      </c>
      <c r="I14" s="166" t="s">
        <v>33</v>
      </c>
      <c r="J14" s="167" t="s">
        <v>98</v>
      </c>
      <c r="K14" s="168">
        <v>43721</v>
      </c>
      <c r="L14" s="169">
        <v>2800</v>
      </c>
      <c r="M14" s="169">
        <v>10410.4</v>
      </c>
      <c r="N14" s="169">
        <v>630</v>
      </c>
      <c r="O14" s="169">
        <v>2342.34</v>
      </c>
      <c r="P14" s="167" t="s">
        <v>2552</v>
      </c>
      <c r="Q14" s="168">
        <v>47362</v>
      </c>
    </row>
    <row r="15" spans="1:17" ht="14.1" customHeight="1">
      <c r="A15" s="170">
        <v>382</v>
      </c>
      <c r="B15" s="170">
        <v>382</v>
      </c>
      <c r="C15" s="166" t="s">
        <v>2530</v>
      </c>
      <c r="D15" s="166" t="s">
        <v>2347</v>
      </c>
      <c r="E15" s="166" t="s">
        <v>2550</v>
      </c>
      <c r="F15" s="166" t="s">
        <v>2532</v>
      </c>
      <c r="G15" s="166" t="s">
        <v>2553</v>
      </c>
      <c r="H15" s="167">
        <v>27940004</v>
      </c>
      <c r="I15" s="166" t="s">
        <v>33</v>
      </c>
      <c r="J15" s="167" t="s">
        <v>98</v>
      </c>
      <c r="K15" s="168">
        <v>43843</v>
      </c>
      <c r="L15" s="169">
        <v>4200</v>
      </c>
      <c r="M15" s="169">
        <v>15615.6</v>
      </c>
      <c r="N15" s="169">
        <v>798</v>
      </c>
      <c r="O15" s="169">
        <v>2966.9639999999999</v>
      </c>
      <c r="P15" s="167" t="s">
        <v>2554</v>
      </c>
      <c r="Q15" s="168">
        <v>47484</v>
      </c>
    </row>
    <row r="16" spans="1:17" ht="14.1" customHeight="1">
      <c r="A16" s="170">
        <v>382</v>
      </c>
      <c r="B16" s="170">
        <v>382</v>
      </c>
      <c r="C16" s="166" t="s">
        <v>2528</v>
      </c>
      <c r="D16" s="166" t="s">
        <v>2355</v>
      </c>
      <c r="E16" s="166" t="s">
        <v>2365</v>
      </c>
      <c r="F16" s="166" t="s">
        <v>1325</v>
      </c>
      <c r="G16" s="166" t="s">
        <v>2366</v>
      </c>
      <c r="H16" s="167">
        <v>27940016</v>
      </c>
      <c r="I16" s="166" t="s">
        <v>33</v>
      </c>
      <c r="J16" s="167" t="s">
        <v>1183</v>
      </c>
      <c r="K16" s="168">
        <v>44452</v>
      </c>
      <c r="L16" s="169">
        <v>1500</v>
      </c>
      <c r="M16" s="169">
        <v>6032.8499999999995</v>
      </c>
      <c r="N16" s="169">
        <v>0</v>
      </c>
      <c r="O16" s="169">
        <v>0</v>
      </c>
      <c r="P16" s="167" t="s">
        <v>2526</v>
      </c>
      <c r="Q16" s="168">
        <v>46631</v>
      </c>
    </row>
    <row r="17" spans="1:17" ht="14.1" customHeight="1">
      <c r="A17" s="170">
        <v>382</v>
      </c>
      <c r="B17" s="170">
        <v>382</v>
      </c>
      <c r="C17" s="166" t="s">
        <v>2555</v>
      </c>
      <c r="D17" s="166" t="s">
        <v>2369</v>
      </c>
      <c r="E17" s="166" t="s">
        <v>2370</v>
      </c>
      <c r="F17" s="166" t="s">
        <v>33</v>
      </c>
      <c r="G17" s="166" t="s">
        <v>2556</v>
      </c>
      <c r="H17" s="167">
        <v>27940012</v>
      </c>
      <c r="I17" s="166" t="s">
        <v>33</v>
      </c>
      <c r="J17" s="167" t="s">
        <v>98</v>
      </c>
      <c r="K17" s="168">
        <v>44392</v>
      </c>
      <c r="L17" s="169">
        <v>4000</v>
      </c>
      <c r="M17" s="169">
        <v>14872</v>
      </c>
      <c r="N17" s="169">
        <v>316</v>
      </c>
      <c r="O17" s="169">
        <v>1174.8879999999999</v>
      </c>
      <c r="P17" s="167" t="s">
        <v>2557</v>
      </c>
      <c r="Q17" s="168">
        <v>48030</v>
      </c>
    </row>
    <row r="18" spans="1:17" ht="14.1" customHeight="1">
      <c r="A18" s="170">
        <v>382</v>
      </c>
      <c r="B18" s="170">
        <v>382</v>
      </c>
      <c r="C18" s="166" t="s">
        <v>497</v>
      </c>
      <c r="D18" s="166" t="s">
        <v>2383</v>
      </c>
      <c r="E18" s="166" t="s">
        <v>2558</v>
      </c>
      <c r="F18" s="166" t="s">
        <v>2532</v>
      </c>
      <c r="G18" s="166" t="s">
        <v>2559</v>
      </c>
      <c r="H18" s="167">
        <v>620109701</v>
      </c>
      <c r="I18" s="166" t="s">
        <v>33</v>
      </c>
      <c r="J18" s="167" t="s">
        <v>98</v>
      </c>
      <c r="K18" s="168">
        <v>43504</v>
      </c>
      <c r="L18" s="169">
        <v>3000</v>
      </c>
      <c r="M18" s="169">
        <v>11154</v>
      </c>
      <c r="N18" s="169">
        <v>112.78838999999989</v>
      </c>
      <c r="O18" s="169">
        <v>419.3472340199998</v>
      </c>
      <c r="P18" s="167" t="s">
        <v>2560</v>
      </c>
      <c r="Q18" s="168">
        <v>47119</v>
      </c>
    </row>
    <row r="19" spans="1:17" ht="14.1" customHeight="1">
      <c r="A19" s="170">
        <v>382</v>
      </c>
      <c r="B19" s="170">
        <v>382</v>
      </c>
      <c r="C19" s="166" t="s">
        <v>2530</v>
      </c>
      <c r="D19" s="166" t="s">
        <v>2411</v>
      </c>
      <c r="E19" s="166" t="s">
        <v>2561</v>
      </c>
      <c r="F19" s="166" t="s">
        <v>2532</v>
      </c>
      <c r="G19" s="166" t="s">
        <v>2562</v>
      </c>
      <c r="H19" s="167">
        <v>27940002</v>
      </c>
      <c r="I19" s="166" t="s">
        <v>33</v>
      </c>
      <c r="J19" s="167" t="s">
        <v>98</v>
      </c>
      <c r="K19" s="168">
        <v>43787</v>
      </c>
      <c r="L19" s="169">
        <v>3400</v>
      </c>
      <c r="M19" s="169">
        <v>12641.2</v>
      </c>
      <c r="N19" s="169">
        <v>294.95800000000003</v>
      </c>
      <c r="O19" s="169">
        <v>1096.6538439999999</v>
      </c>
      <c r="P19" s="167" t="s">
        <v>2563</v>
      </c>
      <c r="Q19" s="168">
        <v>46997</v>
      </c>
    </row>
    <row r="20" spans="1:17" ht="14.1" customHeight="1">
      <c r="A20" s="170">
        <v>382</v>
      </c>
      <c r="B20" s="170">
        <v>382</v>
      </c>
      <c r="C20" s="166" t="s">
        <v>2530</v>
      </c>
      <c r="D20" s="166" t="s">
        <v>2411</v>
      </c>
      <c r="E20" s="166" t="s">
        <v>2561</v>
      </c>
      <c r="F20" s="166" t="s">
        <v>2532</v>
      </c>
      <c r="G20" s="166" t="s">
        <v>2564</v>
      </c>
      <c r="H20" s="167">
        <v>27940000</v>
      </c>
      <c r="I20" s="166" t="s">
        <v>33</v>
      </c>
      <c r="J20" s="167" t="s">
        <v>98</v>
      </c>
      <c r="K20" s="168">
        <v>43753</v>
      </c>
      <c r="L20" s="169">
        <v>3400</v>
      </c>
      <c r="M20" s="169">
        <v>12641.2</v>
      </c>
      <c r="N20" s="169">
        <v>925.69100000000003</v>
      </c>
      <c r="O20" s="169">
        <v>3441.7191379999999</v>
      </c>
      <c r="P20" s="167" t="s">
        <v>2565</v>
      </c>
      <c r="Q20" s="168">
        <v>47392</v>
      </c>
    </row>
    <row r="21" spans="1:17" ht="14.1" customHeight="1">
      <c r="A21" s="170">
        <v>382</v>
      </c>
      <c r="B21" s="170">
        <v>382</v>
      </c>
      <c r="C21" s="166" t="s">
        <v>2555</v>
      </c>
      <c r="D21" s="166" t="s">
        <v>2203</v>
      </c>
      <c r="E21" s="166" t="s">
        <v>2566</v>
      </c>
      <c r="F21" s="166" t="s">
        <v>1325</v>
      </c>
      <c r="G21" s="166" t="s">
        <v>2567</v>
      </c>
      <c r="H21" s="167">
        <v>27940011</v>
      </c>
      <c r="I21" s="166" t="s">
        <v>33</v>
      </c>
      <c r="J21" s="167" t="s">
        <v>98</v>
      </c>
      <c r="K21" s="168">
        <v>44354</v>
      </c>
      <c r="L21" s="169">
        <v>2250</v>
      </c>
      <c r="M21" s="169">
        <v>8365.5</v>
      </c>
      <c r="N21" s="169">
        <v>101.25</v>
      </c>
      <c r="O21" s="169">
        <v>376.44749999999999</v>
      </c>
      <c r="P21" s="167" t="s">
        <v>2568</v>
      </c>
      <c r="Q21" s="168">
        <v>48000</v>
      </c>
    </row>
    <row r="22" spans="1:17" ht="14.1" customHeight="1">
      <c r="A22" s="170">
        <v>382</v>
      </c>
      <c r="B22" s="170">
        <v>382</v>
      </c>
      <c r="C22" s="166" t="s">
        <v>2569</v>
      </c>
      <c r="D22" s="166" t="s">
        <v>2570</v>
      </c>
      <c r="E22" s="166" t="s">
        <v>2571</v>
      </c>
      <c r="F22" s="166" t="s">
        <v>33</v>
      </c>
      <c r="G22" s="166" t="s">
        <v>2570</v>
      </c>
      <c r="H22" s="167">
        <v>62006168</v>
      </c>
      <c r="I22" s="166" t="s">
        <v>33</v>
      </c>
      <c r="J22" s="167" t="s">
        <v>98</v>
      </c>
      <c r="K22" s="168">
        <v>43186</v>
      </c>
      <c r="L22" s="169">
        <v>1500</v>
      </c>
      <c r="M22" s="169">
        <v>5577</v>
      </c>
      <c r="N22" s="169">
        <v>186</v>
      </c>
      <c r="O22" s="169">
        <v>691.548</v>
      </c>
      <c r="P22" s="167" t="s">
        <v>2572</v>
      </c>
      <c r="Q22" s="168">
        <v>45689</v>
      </c>
    </row>
    <row r="23" spans="1:17" ht="14.1" customHeight="1">
      <c r="A23" s="170">
        <v>382</v>
      </c>
      <c r="B23" s="170">
        <v>382</v>
      </c>
      <c r="C23" s="166" t="s">
        <v>2573</v>
      </c>
      <c r="D23" s="166" t="s">
        <v>2574</v>
      </c>
      <c r="E23" s="166" t="s">
        <v>2575</v>
      </c>
      <c r="F23" s="166" t="s">
        <v>2532</v>
      </c>
      <c r="G23" s="166" t="s">
        <v>2576</v>
      </c>
      <c r="H23" s="167">
        <v>27940038</v>
      </c>
      <c r="I23" s="166" t="s">
        <v>33</v>
      </c>
      <c r="J23" s="167" t="s">
        <v>98</v>
      </c>
      <c r="K23" s="168">
        <v>45523</v>
      </c>
      <c r="L23" s="169">
        <v>1800</v>
      </c>
      <c r="M23" s="169">
        <v>6692.4</v>
      </c>
      <c r="N23" s="169">
        <v>0</v>
      </c>
      <c r="O23" s="169">
        <v>0</v>
      </c>
      <c r="P23" s="167" t="s">
        <v>2526</v>
      </c>
      <c r="Q23" s="167" t="s">
        <v>2527</v>
      </c>
    </row>
    <row r="24" spans="1:17" ht="14.1" customHeight="1">
      <c r="A24" s="170">
        <v>382</v>
      </c>
      <c r="B24" s="170">
        <v>382</v>
      </c>
      <c r="C24" s="166" t="s">
        <v>2555</v>
      </c>
      <c r="D24" s="166" t="s">
        <v>2390</v>
      </c>
      <c r="E24" s="166" t="s">
        <v>2391</v>
      </c>
      <c r="F24" s="166" t="s">
        <v>1325</v>
      </c>
      <c r="G24" s="166" t="s">
        <v>2390</v>
      </c>
      <c r="H24" s="167">
        <v>620107071</v>
      </c>
      <c r="I24" s="166" t="s">
        <v>33</v>
      </c>
      <c r="J24" s="167" t="s">
        <v>98</v>
      </c>
      <c r="K24" s="168">
        <v>43489</v>
      </c>
      <c r="L24" s="169">
        <v>1250</v>
      </c>
      <c r="M24" s="169">
        <v>4647.5</v>
      </c>
      <c r="N24" s="169">
        <v>46.875</v>
      </c>
      <c r="O24" s="169">
        <v>174.28125</v>
      </c>
      <c r="P24" s="167" t="s">
        <v>2577</v>
      </c>
      <c r="Q24" s="168">
        <v>46388</v>
      </c>
    </row>
    <row r="25" spans="1:17" ht="14.1" customHeight="1">
      <c r="A25" s="170">
        <v>382</v>
      </c>
      <c r="B25" s="170">
        <v>382</v>
      </c>
      <c r="C25" s="166" t="s">
        <v>2528</v>
      </c>
      <c r="D25" s="166" t="s">
        <v>2578</v>
      </c>
      <c r="E25" s="166" t="s">
        <v>2232</v>
      </c>
      <c r="F25" s="166" t="s">
        <v>1325</v>
      </c>
      <c r="G25" s="166" t="s">
        <v>2578</v>
      </c>
      <c r="H25" s="167">
        <v>620005541</v>
      </c>
      <c r="I25" s="166" t="s">
        <v>33</v>
      </c>
      <c r="J25" s="167" t="s">
        <v>1183</v>
      </c>
      <c r="K25" s="168">
        <v>42778</v>
      </c>
      <c r="L25" s="169">
        <v>1600</v>
      </c>
      <c r="M25" s="169">
        <v>6435.0399999999991</v>
      </c>
      <c r="N25" s="169">
        <v>79.073999999999998</v>
      </c>
      <c r="O25" s="169">
        <v>318.02772060000001</v>
      </c>
      <c r="P25" s="167" t="s">
        <v>2579</v>
      </c>
      <c r="Q25" s="168">
        <v>46046</v>
      </c>
    </row>
    <row r="26" spans="1:17" ht="14.1" customHeight="1">
      <c r="A26" s="170">
        <v>382</v>
      </c>
      <c r="B26" s="170">
        <v>382</v>
      </c>
      <c r="C26" s="166" t="s">
        <v>497</v>
      </c>
      <c r="D26" s="166" t="s">
        <v>2225</v>
      </c>
      <c r="E26" s="166" t="s">
        <v>2226</v>
      </c>
      <c r="F26" s="166" t="s">
        <v>1325</v>
      </c>
      <c r="G26" s="166" t="s">
        <v>2225</v>
      </c>
      <c r="H26" s="167">
        <v>32623</v>
      </c>
      <c r="I26" s="166" t="s">
        <v>33</v>
      </c>
      <c r="J26" s="167" t="s">
        <v>34</v>
      </c>
      <c r="K26" s="168">
        <v>40681</v>
      </c>
      <c r="L26" s="169">
        <v>4000</v>
      </c>
      <c r="M26" s="169">
        <v>4000</v>
      </c>
      <c r="N26" s="169">
        <v>161.85900000000001</v>
      </c>
      <c r="O26" s="169">
        <v>161.85900000000001</v>
      </c>
      <c r="P26" s="167" t="s">
        <v>2580</v>
      </c>
      <c r="Q26" s="168">
        <v>45413</v>
      </c>
    </row>
    <row r="27" spans="1:17" ht="14.1" customHeight="1">
      <c r="A27" s="170">
        <v>382</v>
      </c>
      <c r="B27" s="170">
        <v>382</v>
      </c>
      <c r="C27" s="166" t="s">
        <v>497</v>
      </c>
      <c r="D27" s="166" t="s">
        <v>2269</v>
      </c>
      <c r="E27" s="166" t="s">
        <v>2581</v>
      </c>
      <c r="F27" s="166" t="s">
        <v>327</v>
      </c>
      <c r="G27" s="166" t="s">
        <v>2582</v>
      </c>
      <c r="H27" s="167">
        <v>47852</v>
      </c>
      <c r="I27" s="166" t="s">
        <v>33</v>
      </c>
      <c r="J27" s="167" t="s">
        <v>34</v>
      </c>
      <c r="K27" s="168">
        <v>42327</v>
      </c>
      <c r="L27" s="169">
        <v>8318.5949999999993</v>
      </c>
      <c r="M27" s="169">
        <v>8318.5949999999993</v>
      </c>
      <c r="N27" s="169">
        <v>820.14700000000005</v>
      </c>
      <c r="O27" s="169">
        <v>820.14700000000005</v>
      </c>
      <c r="P27" s="167" t="s">
        <v>2583</v>
      </c>
      <c r="Q27" s="168">
        <v>45976</v>
      </c>
    </row>
    <row r="28" spans="1:17" ht="14.1" customHeight="1">
      <c r="A28" s="170">
        <v>382</v>
      </c>
      <c r="B28" s="170">
        <v>382</v>
      </c>
      <c r="C28" s="166" t="s">
        <v>2528</v>
      </c>
      <c r="D28" s="166" t="s">
        <v>2235</v>
      </c>
      <c r="E28" s="166" t="s">
        <v>2232</v>
      </c>
      <c r="F28" s="166" t="s">
        <v>1325</v>
      </c>
      <c r="G28" s="166" t="s">
        <v>2235</v>
      </c>
      <c r="H28" s="167">
        <v>27940018</v>
      </c>
      <c r="I28" s="166" t="s">
        <v>33</v>
      </c>
      <c r="J28" s="167" t="s">
        <v>34</v>
      </c>
      <c r="K28" s="168">
        <v>44545</v>
      </c>
      <c r="L28" s="169">
        <v>6500</v>
      </c>
      <c r="M28" s="169">
        <v>6500</v>
      </c>
      <c r="N28" s="169">
        <v>0</v>
      </c>
      <c r="O28" s="169">
        <v>0</v>
      </c>
      <c r="P28" s="167" t="s">
        <v>2526</v>
      </c>
      <c r="Q28" s="168">
        <v>47088</v>
      </c>
    </row>
    <row r="29" spans="1:17" ht="14.1" customHeight="1">
      <c r="A29" s="170">
        <v>382</v>
      </c>
      <c r="B29" s="170">
        <v>382</v>
      </c>
      <c r="C29" s="166" t="s">
        <v>2530</v>
      </c>
      <c r="D29" s="166" t="s">
        <v>2251</v>
      </c>
      <c r="E29" s="166" t="s">
        <v>2252</v>
      </c>
      <c r="F29" s="166" t="s">
        <v>1325</v>
      </c>
      <c r="G29" s="166" t="s">
        <v>2584</v>
      </c>
      <c r="H29" s="167">
        <v>201400031</v>
      </c>
      <c r="I29" s="166" t="s">
        <v>33</v>
      </c>
      <c r="J29" s="167" t="s">
        <v>98</v>
      </c>
      <c r="K29" s="168">
        <v>43937</v>
      </c>
      <c r="L29" s="169">
        <v>3500</v>
      </c>
      <c r="M29" s="169">
        <v>13013</v>
      </c>
      <c r="N29" s="169">
        <v>105</v>
      </c>
      <c r="O29" s="169">
        <v>390.39</v>
      </c>
      <c r="P29" s="167" t="s">
        <v>2585</v>
      </c>
      <c r="Q29" s="168">
        <v>47574</v>
      </c>
    </row>
    <row r="30" spans="1:17" ht="14.1" customHeight="1">
      <c r="A30" s="170">
        <v>382</v>
      </c>
      <c r="B30" s="170">
        <v>382</v>
      </c>
      <c r="C30" s="166" t="s">
        <v>2530</v>
      </c>
      <c r="D30" s="166" t="s">
        <v>2251</v>
      </c>
      <c r="E30" s="166" t="s">
        <v>2252</v>
      </c>
      <c r="F30" s="166" t="s">
        <v>1325</v>
      </c>
      <c r="G30" s="166" t="s">
        <v>2586</v>
      </c>
      <c r="H30" s="167">
        <v>27940032</v>
      </c>
      <c r="I30" s="166" t="s">
        <v>33</v>
      </c>
      <c r="J30" s="167" t="s">
        <v>98</v>
      </c>
      <c r="K30" s="168">
        <v>45224</v>
      </c>
      <c r="L30" s="169">
        <v>3700</v>
      </c>
      <c r="M30" s="169">
        <v>13756.6</v>
      </c>
      <c r="N30" s="169">
        <v>2090.5</v>
      </c>
      <c r="O30" s="169">
        <v>7772.4790000000003</v>
      </c>
      <c r="P30" s="167" t="s">
        <v>2587</v>
      </c>
      <c r="Q30" s="168">
        <v>48853</v>
      </c>
    </row>
    <row r="31" spans="1:17" ht="14.1" customHeight="1">
      <c r="A31" s="170">
        <v>382</v>
      </c>
      <c r="B31" s="170">
        <v>382</v>
      </c>
      <c r="C31" s="166" t="s">
        <v>2528</v>
      </c>
      <c r="D31" s="166" t="s">
        <v>2328</v>
      </c>
      <c r="E31" s="166" t="s">
        <v>2329</v>
      </c>
      <c r="F31" s="166" t="s">
        <v>1325</v>
      </c>
      <c r="G31" s="166" t="s">
        <v>2328</v>
      </c>
      <c r="H31" s="167">
        <v>620020351</v>
      </c>
      <c r="I31" s="166" t="s">
        <v>33</v>
      </c>
      <c r="J31" s="167" t="s">
        <v>1183</v>
      </c>
      <c r="K31" s="168">
        <v>42901</v>
      </c>
      <c r="L31" s="169">
        <v>2500</v>
      </c>
      <c r="M31" s="169">
        <v>10054.75</v>
      </c>
      <c r="N31" s="169">
        <v>15.426</v>
      </c>
      <c r="O31" s="169">
        <v>62.041829399999997</v>
      </c>
      <c r="P31" s="167" t="s">
        <v>2588</v>
      </c>
      <c r="Q31" s="168">
        <v>45814</v>
      </c>
    </row>
    <row r="32" spans="1:17" ht="14.1" customHeight="1">
      <c r="A32" s="170">
        <v>382</v>
      </c>
      <c r="B32" s="170">
        <v>382</v>
      </c>
      <c r="C32" s="166" t="s">
        <v>2528</v>
      </c>
      <c r="D32" s="166" t="s">
        <v>2328</v>
      </c>
      <c r="E32" s="166" t="s">
        <v>2391</v>
      </c>
      <c r="F32" s="166" t="s">
        <v>1325</v>
      </c>
      <c r="G32" s="166" t="s">
        <v>2589</v>
      </c>
      <c r="H32" s="167">
        <v>620020352</v>
      </c>
      <c r="I32" s="166" t="s">
        <v>33</v>
      </c>
      <c r="J32" s="167" t="s">
        <v>1183</v>
      </c>
      <c r="K32" s="168">
        <v>44387</v>
      </c>
      <c r="L32" s="169">
        <v>1500</v>
      </c>
      <c r="M32" s="169">
        <v>6032.8499999999995</v>
      </c>
      <c r="N32" s="169">
        <v>276.19799999999998</v>
      </c>
      <c r="O32" s="169">
        <v>1110.8407362</v>
      </c>
      <c r="P32" s="167" t="s">
        <v>2590</v>
      </c>
      <c r="Q32" s="168">
        <v>47333</v>
      </c>
    </row>
    <row r="33" spans="1:17" ht="14.1" customHeight="1">
      <c r="A33" s="170">
        <v>382</v>
      </c>
      <c r="B33" s="170">
        <v>382</v>
      </c>
      <c r="C33" s="166" t="s">
        <v>2530</v>
      </c>
      <c r="D33" s="166" t="s">
        <v>2190</v>
      </c>
      <c r="E33" s="166" t="s">
        <v>2591</v>
      </c>
      <c r="F33" s="166" t="s">
        <v>1325</v>
      </c>
      <c r="G33" s="166" t="s">
        <v>2592</v>
      </c>
      <c r="H33" s="167">
        <v>620120592</v>
      </c>
      <c r="I33" s="166" t="s">
        <v>33</v>
      </c>
      <c r="J33" s="167" t="s">
        <v>98</v>
      </c>
      <c r="K33" s="168">
        <v>43575</v>
      </c>
      <c r="L33" s="169">
        <v>2000</v>
      </c>
      <c r="M33" s="169">
        <v>7436</v>
      </c>
      <c r="N33" s="169">
        <v>614.72900000000004</v>
      </c>
      <c r="O33" s="169">
        <v>2285.562422</v>
      </c>
      <c r="P33" s="167" t="s">
        <v>2593</v>
      </c>
      <c r="Q33" s="168">
        <v>47178</v>
      </c>
    </row>
    <row r="34" spans="1:17" ht="14.1" customHeight="1">
      <c r="A34" s="170">
        <v>382</v>
      </c>
      <c r="B34" s="170">
        <v>382</v>
      </c>
      <c r="C34" s="166" t="s">
        <v>2530</v>
      </c>
      <c r="D34" s="166" t="s">
        <v>2190</v>
      </c>
      <c r="E34" s="166" t="s">
        <v>2591</v>
      </c>
      <c r="F34" s="166" t="s">
        <v>1325</v>
      </c>
      <c r="G34" s="166" t="s">
        <v>2594</v>
      </c>
      <c r="H34" s="167">
        <v>27940039</v>
      </c>
      <c r="I34" s="166" t="s">
        <v>33</v>
      </c>
      <c r="J34" s="167" t="s">
        <v>98</v>
      </c>
      <c r="K34" s="168">
        <v>45713</v>
      </c>
      <c r="L34" s="169">
        <v>4000</v>
      </c>
      <c r="M34" s="169">
        <v>14872</v>
      </c>
      <c r="N34" s="169">
        <v>3230.7370000000001</v>
      </c>
      <c r="O34" s="169">
        <v>12011.880166000001</v>
      </c>
      <c r="P34" s="167" t="s">
        <v>2595</v>
      </c>
      <c r="Q34" s="168">
        <v>49218</v>
      </c>
    </row>
    <row r="35" spans="1:17" ht="14.1" customHeight="1">
      <c r="A35" s="170">
        <v>382</v>
      </c>
      <c r="B35" s="170">
        <v>382</v>
      </c>
      <c r="C35" s="166" t="s">
        <v>497</v>
      </c>
      <c r="D35" s="166" t="s">
        <v>2181</v>
      </c>
      <c r="E35" s="166" t="s">
        <v>2596</v>
      </c>
      <c r="F35" s="166" t="s">
        <v>1325</v>
      </c>
      <c r="G35" s="166" t="s">
        <v>2597</v>
      </c>
      <c r="H35" s="167">
        <v>27940008</v>
      </c>
      <c r="I35" s="166" t="s">
        <v>33</v>
      </c>
      <c r="J35" s="167" t="s">
        <v>98</v>
      </c>
      <c r="K35" s="168">
        <v>44118</v>
      </c>
      <c r="L35" s="169">
        <v>3600</v>
      </c>
      <c r="M35" s="169">
        <v>13384.8</v>
      </c>
      <c r="N35" s="169">
        <v>504</v>
      </c>
      <c r="O35" s="169">
        <v>1873.8720000000001</v>
      </c>
      <c r="P35" s="167" t="s">
        <v>2598</v>
      </c>
      <c r="Q35" s="168">
        <v>47757</v>
      </c>
    </row>
    <row r="36" spans="1:17" ht="14.1" customHeight="1">
      <c r="A36" s="170">
        <v>382</v>
      </c>
      <c r="B36" s="170">
        <v>382</v>
      </c>
      <c r="C36" s="166" t="s">
        <v>2573</v>
      </c>
      <c r="D36" s="166" t="s">
        <v>2283</v>
      </c>
      <c r="E36" s="166" t="s">
        <v>2284</v>
      </c>
      <c r="F36" s="166" t="s">
        <v>33</v>
      </c>
      <c r="G36" s="166" t="s">
        <v>2599</v>
      </c>
      <c r="H36" s="167">
        <v>27940006</v>
      </c>
      <c r="I36" s="166" t="s">
        <v>33</v>
      </c>
      <c r="J36" s="167" t="s">
        <v>98</v>
      </c>
      <c r="K36" s="168">
        <v>44004</v>
      </c>
      <c r="L36" s="169">
        <v>2000</v>
      </c>
      <c r="M36" s="169">
        <v>7436</v>
      </c>
      <c r="N36" s="169">
        <v>687.20299999999997</v>
      </c>
      <c r="O36" s="169">
        <v>2555.0207540000001</v>
      </c>
      <c r="P36" s="167" t="s">
        <v>2600</v>
      </c>
      <c r="Q36" s="168">
        <v>47635</v>
      </c>
    </row>
    <row r="37" spans="1:17" ht="14.1" customHeight="1">
      <c r="A37" s="170">
        <v>382</v>
      </c>
      <c r="B37" s="170">
        <v>382</v>
      </c>
      <c r="C37" s="166" t="s">
        <v>2573</v>
      </c>
      <c r="D37" s="166" t="s">
        <v>2296</v>
      </c>
      <c r="E37" s="166" t="s">
        <v>2601</v>
      </c>
      <c r="F37" s="166" t="s">
        <v>2532</v>
      </c>
      <c r="G37" s="166" t="s">
        <v>2298</v>
      </c>
      <c r="H37" s="167">
        <v>27940026</v>
      </c>
      <c r="I37" s="166" t="s">
        <v>33</v>
      </c>
      <c r="J37" s="167" t="s">
        <v>1183</v>
      </c>
      <c r="K37" s="168">
        <v>44915</v>
      </c>
      <c r="L37" s="169">
        <v>6000</v>
      </c>
      <c r="M37" s="169">
        <v>24131.4</v>
      </c>
      <c r="N37" s="169">
        <v>2608.9255699999999</v>
      </c>
      <c r="O37" s="169">
        <v>10492.837749983</v>
      </c>
      <c r="P37" s="167" t="s">
        <v>2602</v>
      </c>
      <c r="Q37" s="168">
        <v>47453</v>
      </c>
    </row>
    <row r="38" spans="1:17" ht="14.1" customHeight="1">
      <c r="A38" s="170">
        <v>382</v>
      </c>
      <c r="B38" s="170">
        <v>382</v>
      </c>
      <c r="C38" s="166" t="s">
        <v>2573</v>
      </c>
      <c r="D38" s="166" t="s">
        <v>2303</v>
      </c>
      <c r="E38" s="166" t="s">
        <v>2603</v>
      </c>
      <c r="F38" s="166" t="s">
        <v>2532</v>
      </c>
      <c r="G38" s="166" t="s">
        <v>2604</v>
      </c>
      <c r="H38" s="167">
        <v>27940007</v>
      </c>
      <c r="I38" s="166" t="s">
        <v>33</v>
      </c>
      <c r="J38" s="167" t="s">
        <v>98</v>
      </c>
      <c r="K38" s="168">
        <v>44010</v>
      </c>
      <c r="L38" s="169">
        <v>2100</v>
      </c>
      <c r="M38" s="169">
        <v>7807.8</v>
      </c>
      <c r="N38" s="169">
        <v>0</v>
      </c>
      <c r="O38" s="169">
        <v>0</v>
      </c>
      <c r="P38" s="167" t="s">
        <v>2526</v>
      </c>
      <c r="Q38" s="168">
        <v>46539</v>
      </c>
    </row>
    <row r="39" spans="1:17" ht="14.1" customHeight="1">
      <c r="A39" s="170">
        <v>382</v>
      </c>
      <c r="B39" s="170">
        <v>382</v>
      </c>
      <c r="C39" s="166" t="s">
        <v>2573</v>
      </c>
      <c r="D39" s="166" t="s">
        <v>2303</v>
      </c>
      <c r="E39" s="166" t="s">
        <v>2605</v>
      </c>
      <c r="F39" s="166" t="s">
        <v>2532</v>
      </c>
      <c r="G39" s="166" t="s">
        <v>2606</v>
      </c>
      <c r="H39" s="167">
        <v>27940029</v>
      </c>
      <c r="I39" s="166" t="s">
        <v>33</v>
      </c>
      <c r="J39" s="167" t="s">
        <v>98</v>
      </c>
      <c r="K39" s="168">
        <v>45054</v>
      </c>
      <c r="L39" s="169">
        <v>2000</v>
      </c>
      <c r="M39" s="169">
        <v>7436</v>
      </c>
      <c r="N39" s="169">
        <v>200</v>
      </c>
      <c r="O39" s="169">
        <v>743.6</v>
      </c>
      <c r="P39" s="167" t="s">
        <v>2607</v>
      </c>
      <c r="Q39" s="168">
        <v>47453</v>
      </c>
    </row>
    <row r="40" spans="1:17" ht="14.1" customHeight="1">
      <c r="A40" s="170">
        <v>382</v>
      </c>
      <c r="B40" s="170">
        <v>382</v>
      </c>
      <c r="C40" s="166" t="s">
        <v>2573</v>
      </c>
      <c r="D40" s="166" t="s">
        <v>2336</v>
      </c>
      <c r="E40" s="166" t="s">
        <v>2429</v>
      </c>
      <c r="F40" s="166" t="s">
        <v>2532</v>
      </c>
      <c r="G40" s="166" t="s">
        <v>2608</v>
      </c>
      <c r="H40" s="167">
        <v>60408895</v>
      </c>
      <c r="I40" s="166" t="s">
        <v>33</v>
      </c>
      <c r="J40" s="167" t="s">
        <v>98</v>
      </c>
      <c r="K40" s="168">
        <v>42535</v>
      </c>
      <c r="L40" s="169">
        <v>1250</v>
      </c>
      <c r="M40" s="169">
        <v>4647.5</v>
      </c>
      <c r="N40" s="169">
        <v>454.25200000000001</v>
      </c>
      <c r="O40" s="169">
        <v>1688.908936</v>
      </c>
      <c r="P40" s="167" t="s">
        <v>2609</v>
      </c>
      <c r="Q40" s="168">
        <v>45777</v>
      </c>
    </row>
    <row r="41" spans="1:17" ht="14.1" customHeight="1">
      <c r="A41" s="170">
        <v>382</v>
      </c>
      <c r="B41" s="170">
        <v>382</v>
      </c>
      <c r="C41" s="166" t="s">
        <v>2573</v>
      </c>
      <c r="D41" s="166" t="s">
        <v>2336</v>
      </c>
      <c r="E41" s="166" t="s">
        <v>2429</v>
      </c>
      <c r="F41" s="166" t="s">
        <v>2532</v>
      </c>
      <c r="G41" s="166" t="s">
        <v>2610</v>
      </c>
      <c r="H41" s="167">
        <v>27940009</v>
      </c>
      <c r="I41" s="166" t="s">
        <v>33</v>
      </c>
      <c r="J41" s="167" t="s">
        <v>98</v>
      </c>
      <c r="K41" s="168">
        <v>44284</v>
      </c>
      <c r="L41" s="169">
        <v>2250</v>
      </c>
      <c r="M41" s="169">
        <v>8365.5</v>
      </c>
      <c r="N41" s="169">
        <v>201.24600000000001</v>
      </c>
      <c r="O41" s="169">
        <v>748.23262799999998</v>
      </c>
      <c r="P41" s="167" t="s">
        <v>2611</v>
      </c>
      <c r="Q41" s="168">
        <v>46082</v>
      </c>
    </row>
    <row r="42" spans="1:17" ht="14.1" customHeight="1">
      <c r="A42" s="170">
        <v>382</v>
      </c>
      <c r="B42" s="170">
        <v>382</v>
      </c>
      <c r="C42" s="166" t="s">
        <v>2573</v>
      </c>
      <c r="D42" s="166" t="s">
        <v>2336</v>
      </c>
      <c r="E42" s="166" t="s">
        <v>2429</v>
      </c>
      <c r="F42" s="166" t="s">
        <v>2532</v>
      </c>
      <c r="G42" s="166" t="s">
        <v>2341</v>
      </c>
      <c r="H42" s="167">
        <v>27940023</v>
      </c>
      <c r="I42" s="166" t="s">
        <v>33</v>
      </c>
      <c r="J42" s="167" t="s">
        <v>98</v>
      </c>
      <c r="K42" s="168">
        <v>44736</v>
      </c>
      <c r="L42" s="169">
        <v>5000</v>
      </c>
      <c r="M42" s="169">
        <v>18590</v>
      </c>
      <c r="N42" s="169">
        <v>861.55200000000002</v>
      </c>
      <c r="O42" s="169">
        <v>3203.2503360000001</v>
      </c>
      <c r="P42" s="167" t="s">
        <v>2612</v>
      </c>
      <c r="Q42" s="168">
        <v>46539</v>
      </c>
    </row>
    <row r="43" spans="1:17" ht="14.1" customHeight="1">
      <c r="A43" s="170">
        <v>382</v>
      </c>
      <c r="B43" s="170">
        <v>382</v>
      </c>
      <c r="C43" s="166" t="s">
        <v>2573</v>
      </c>
      <c r="D43" s="166" t="s">
        <v>2613</v>
      </c>
      <c r="E43" s="166" t="s">
        <v>2614</v>
      </c>
      <c r="F43" s="166" t="s">
        <v>184</v>
      </c>
      <c r="G43" s="166" t="s">
        <v>2615</v>
      </c>
      <c r="H43" s="167">
        <v>27940028</v>
      </c>
      <c r="I43" s="166" t="s">
        <v>33</v>
      </c>
      <c r="J43" s="167" t="s">
        <v>34</v>
      </c>
      <c r="K43" s="168">
        <v>45046</v>
      </c>
      <c r="L43" s="169">
        <v>7500</v>
      </c>
      <c r="M43" s="169">
        <v>7500</v>
      </c>
      <c r="N43" s="169">
        <v>3635.2930000000001</v>
      </c>
      <c r="O43" s="169">
        <v>3635.2930000000001</v>
      </c>
      <c r="P43" s="167" t="s">
        <v>2616</v>
      </c>
      <c r="Q43" s="168">
        <v>47574</v>
      </c>
    </row>
    <row r="44" spans="1:17" ht="14.1" customHeight="1">
      <c r="A44" s="170">
        <v>382</v>
      </c>
      <c r="B44" s="170">
        <v>382</v>
      </c>
      <c r="C44" s="166" t="s">
        <v>2573</v>
      </c>
      <c r="D44" s="166" t="s">
        <v>2357</v>
      </c>
      <c r="E44" s="166" t="s">
        <v>2617</v>
      </c>
      <c r="F44" s="166" t="s">
        <v>2532</v>
      </c>
      <c r="G44" s="166" t="s">
        <v>2357</v>
      </c>
      <c r="H44" s="167">
        <v>27940010</v>
      </c>
      <c r="I44" s="166" t="s">
        <v>33</v>
      </c>
      <c r="J44" s="167" t="s">
        <v>98</v>
      </c>
      <c r="K44" s="168">
        <v>42915</v>
      </c>
      <c r="L44" s="169">
        <v>2000</v>
      </c>
      <c r="M44" s="169">
        <v>7436</v>
      </c>
      <c r="N44" s="169">
        <v>0</v>
      </c>
      <c r="O44" s="169">
        <v>0</v>
      </c>
      <c r="P44" s="167" t="s">
        <v>2526</v>
      </c>
      <c r="Q44" s="167" t="s">
        <v>2527</v>
      </c>
    </row>
    <row r="45" spans="1:17" ht="14.1" customHeight="1">
      <c r="A45" s="170">
        <v>382</v>
      </c>
      <c r="B45" s="170">
        <v>382</v>
      </c>
      <c r="C45" s="166" t="s">
        <v>2573</v>
      </c>
      <c r="D45" s="166" t="s">
        <v>2355</v>
      </c>
      <c r="E45" s="166" t="s">
        <v>2617</v>
      </c>
      <c r="F45" s="166" t="s">
        <v>33</v>
      </c>
      <c r="G45" s="166" t="s">
        <v>2618</v>
      </c>
      <c r="H45" s="167">
        <v>620022591</v>
      </c>
      <c r="I45" s="166" t="s">
        <v>33</v>
      </c>
      <c r="J45" s="167" t="s">
        <v>98</v>
      </c>
      <c r="K45" s="168">
        <v>45379</v>
      </c>
      <c r="L45" s="169">
        <v>4200</v>
      </c>
      <c r="M45" s="169">
        <v>15615.6</v>
      </c>
      <c r="N45" s="169">
        <v>0</v>
      </c>
      <c r="O45" s="169">
        <v>0</v>
      </c>
      <c r="P45" s="167" t="s">
        <v>2526</v>
      </c>
      <c r="Q45" s="167" t="s">
        <v>2527</v>
      </c>
    </row>
    <row r="46" spans="1:17" ht="14.1" customHeight="1">
      <c r="A46" s="170">
        <v>382</v>
      </c>
      <c r="B46" s="170">
        <v>382</v>
      </c>
      <c r="C46" s="166" t="s">
        <v>2573</v>
      </c>
      <c r="D46" s="166" t="s">
        <v>2374</v>
      </c>
      <c r="E46" s="166" t="s">
        <v>2619</v>
      </c>
      <c r="F46" s="166" t="s">
        <v>2532</v>
      </c>
      <c r="G46" s="166" t="s">
        <v>2375</v>
      </c>
      <c r="H46" s="167">
        <v>27940024</v>
      </c>
      <c r="I46" s="166" t="s">
        <v>33</v>
      </c>
      <c r="J46" s="167" t="s">
        <v>98</v>
      </c>
      <c r="K46" s="168">
        <v>44757</v>
      </c>
      <c r="L46" s="169">
        <v>1600</v>
      </c>
      <c r="M46" s="169">
        <v>5948.8</v>
      </c>
      <c r="N46" s="169">
        <v>195.19300000000001</v>
      </c>
      <c r="O46" s="169">
        <v>725.727574</v>
      </c>
      <c r="P46" s="167" t="s">
        <v>2620</v>
      </c>
      <c r="Q46" s="168">
        <v>46935</v>
      </c>
    </row>
    <row r="47" spans="1:17" ht="14.1" customHeight="1">
      <c r="A47" s="170">
        <v>382</v>
      </c>
      <c r="B47" s="170">
        <v>382</v>
      </c>
      <c r="C47" s="166" t="s">
        <v>2573</v>
      </c>
      <c r="D47" s="166" t="s">
        <v>2621</v>
      </c>
      <c r="E47" s="166" t="s">
        <v>2619</v>
      </c>
      <c r="F47" s="166" t="s">
        <v>2532</v>
      </c>
      <c r="G47" s="166" t="s">
        <v>2380</v>
      </c>
      <c r="H47" s="167">
        <v>27940036</v>
      </c>
      <c r="I47" s="166" t="s">
        <v>33</v>
      </c>
      <c r="J47" s="167" t="s">
        <v>98</v>
      </c>
      <c r="K47" s="168">
        <v>45392</v>
      </c>
      <c r="L47" s="169">
        <v>2000</v>
      </c>
      <c r="M47" s="169">
        <v>7436</v>
      </c>
      <c r="N47" s="169">
        <v>1344.5429999999999</v>
      </c>
      <c r="O47" s="169">
        <v>4999.0108739999996</v>
      </c>
      <c r="P47" s="167" t="s">
        <v>2622</v>
      </c>
      <c r="Q47" s="168">
        <v>47574</v>
      </c>
    </row>
    <row r="48" spans="1:17" ht="14.1" customHeight="1">
      <c r="A48" s="170">
        <v>382</v>
      </c>
      <c r="B48" s="170">
        <v>382</v>
      </c>
      <c r="C48" s="166" t="s">
        <v>2573</v>
      </c>
      <c r="D48" s="166" t="s">
        <v>2195</v>
      </c>
      <c r="E48" s="166" t="s">
        <v>2623</v>
      </c>
      <c r="F48" s="166" t="s">
        <v>2532</v>
      </c>
      <c r="G48" s="166" t="s">
        <v>2624</v>
      </c>
      <c r="H48" s="167">
        <v>27940001</v>
      </c>
      <c r="I48" s="166" t="s">
        <v>33</v>
      </c>
      <c r="J48" s="167" t="s">
        <v>34</v>
      </c>
      <c r="K48" s="168">
        <v>43782</v>
      </c>
      <c r="L48" s="169">
        <v>12200</v>
      </c>
      <c r="M48" s="169">
        <v>12200</v>
      </c>
      <c r="N48" s="169">
        <v>3660</v>
      </c>
      <c r="O48" s="169">
        <v>3660</v>
      </c>
      <c r="P48" s="167" t="s">
        <v>2625</v>
      </c>
      <c r="Q48" s="168">
        <v>46692</v>
      </c>
    </row>
    <row r="49" spans="1:17" ht="14.1" customHeight="1">
      <c r="A49" s="170">
        <v>382</v>
      </c>
      <c r="B49" s="170">
        <v>382</v>
      </c>
      <c r="C49" s="166" t="s">
        <v>2573</v>
      </c>
      <c r="D49" s="166" t="s">
        <v>2195</v>
      </c>
      <c r="E49" s="166" t="s">
        <v>2626</v>
      </c>
      <c r="F49" s="166" t="s">
        <v>2532</v>
      </c>
      <c r="G49" s="166" t="s">
        <v>2200</v>
      </c>
      <c r="H49" s="167">
        <v>27940027</v>
      </c>
      <c r="I49" s="166" t="s">
        <v>33</v>
      </c>
      <c r="J49" s="167" t="s">
        <v>34</v>
      </c>
      <c r="K49" s="168">
        <v>45040</v>
      </c>
      <c r="L49" s="169">
        <v>12000</v>
      </c>
      <c r="M49" s="169">
        <v>12000</v>
      </c>
      <c r="N49" s="169">
        <v>8400</v>
      </c>
      <c r="O49" s="169">
        <v>8400</v>
      </c>
      <c r="P49" s="167" t="s">
        <v>2627</v>
      </c>
      <c r="Q49" s="168">
        <v>47939</v>
      </c>
    </row>
    <row r="50" spans="1:17" ht="14.1" customHeight="1">
      <c r="A50" s="170">
        <v>382</v>
      </c>
      <c r="B50" s="170">
        <v>382</v>
      </c>
      <c r="C50" s="166" t="s">
        <v>2573</v>
      </c>
      <c r="D50" s="166" t="s">
        <v>2398</v>
      </c>
      <c r="E50" s="166" t="s">
        <v>2628</v>
      </c>
      <c r="F50" s="166" t="s">
        <v>2532</v>
      </c>
      <c r="G50" s="166" t="s">
        <v>2400</v>
      </c>
      <c r="H50" s="167">
        <v>27940013</v>
      </c>
      <c r="I50" s="166" t="s">
        <v>33</v>
      </c>
      <c r="J50" s="167" t="s">
        <v>1183</v>
      </c>
      <c r="K50" s="168">
        <v>44376</v>
      </c>
      <c r="L50" s="169">
        <v>1850</v>
      </c>
      <c r="M50" s="169">
        <v>7440.5149999999994</v>
      </c>
      <c r="N50" s="169">
        <v>164.44529999999997</v>
      </c>
      <c r="O50" s="169">
        <v>661.38255207000009</v>
      </c>
      <c r="P50" s="167" t="s">
        <v>2629</v>
      </c>
      <c r="Q50" s="168">
        <v>46753</v>
      </c>
    </row>
    <row r="51" spans="1:17" ht="14.1" customHeight="1">
      <c r="A51" s="170">
        <v>382</v>
      </c>
      <c r="B51" s="170">
        <v>382</v>
      </c>
      <c r="C51" s="166" t="s">
        <v>2573</v>
      </c>
      <c r="D51" s="166" t="s">
        <v>2630</v>
      </c>
      <c r="E51" s="166" t="s">
        <v>2631</v>
      </c>
      <c r="F51" s="166" t="s">
        <v>1325</v>
      </c>
      <c r="G51" s="166" t="s">
        <v>2632</v>
      </c>
      <c r="H51" s="167">
        <v>27940037</v>
      </c>
      <c r="I51" s="166" t="s">
        <v>33</v>
      </c>
      <c r="J51" s="167" t="s">
        <v>98</v>
      </c>
      <c r="K51" s="168">
        <v>45502</v>
      </c>
      <c r="L51" s="169">
        <v>1800</v>
      </c>
      <c r="M51" s="169">
        <v>6692.4</v>
      </c>
      <c r="N51" s="169">
        <v>0</v>
      </c>
      <c r="O51" s="169">
        <v>0</v>
      </c>
      <c r="P51" s="167" t="s">
        <v>2526</v>
      </c>
      <c r="Q51" s="167" t="s">
        <v>2527</v>
      </c>
    </row>
    <row r="52" spans="1:17" ht="14.1" customHeight="1">
      <c r="A52" s="170">
        <v>382</v>
      </c>
      <c r="B52" s="170">
        <v>382</v>
      </c>
      <c r="C52" s="166" t="s">
        <v>2573</v>
      </c>
      <c r="D52" s="166" t="s">
        <v>2419</v>
      </c>
      <c r="E52" s="166" t="s">
        <v>2420</v>
      </c>
      <c r="F52" s="166" t="s">
        <v>33</v>
      </c>
      <c r="G52" s="166" t="s">
        <v>2421</v>
      </c>
      <c r="H52" s="167">
        <v>27940021</v>
      </c>
      <c r="I52" s="166" t="s">
        <v>33</v>
      </c>
      <c r="J52" s="167" t="s">
        <v>98</v>
      </c>
      <c r="K52" s="168">
        <v>44578</v>
      </c>
      <c r="L52" s="169">
        <v>3300</v>
      </c>
      <c r="M52" s="169">
        <v>12269.4</v>
      </c>
      <c r="N52" s="169">
        <v>0</v>
      </c>
      <c r="O52" s="169">
        <v>0</v>
      </c>
      <c r="P52" s="167" t="s">
        <v>2526</v>
      </c>
      <c r="Q52" s="168">
        <v>47027</v>
      </c>
    </row>
    <row r="53" spans="1:17" ht="14.1" customHeight="1">
      <c r="A53" s="170">
        <v>382</v>
      </c>
      <c r="B53" s="170">
        <v>382</v>
      </c>
      <c r="C53" s="166" t="s">
        <v>2573</v>
      </c>
      <c r="D53" s="166" t="s">
        <v>2246</v>
      </c>
      <c r="E53" s="166" t="s">
        <v>2247</v>
      </c>
      <c r="F53" s="166" t="s">
        <v>1325</v>
      </c>
      <c r="G53" s="166" t="s">
        <v>2246</v>
      </c>
      <c r="H53" s="167">
        <v>18978</v>
      </c>
      <c r="I53" s="166" t="s">
        <v>33</v>
      </c>
      <c r="J53" s="167" t="s">
        <v>34</v>
      </c>
      <c r="K53" s="168">
        <v>43089</v>
      </c>
      <c r="L53" s="169">
        <v>8000</v>
      </c>
      <c r="M53" s="169">
        <v>8000</v>
      </c>
      <c r="N53" s="169">
        <v>1186.6030000000001</v>
      </c>
      <c r="O53" s="169">
        <v>1186.6030000000001</v>
      </c>
      <c r="P53" s="167" t="s">
        <v>2633</v>
      </c>
      <c r="Q53" s="168">
        <v>46539</v>
      </c>
    </row>
    <row r="54" spans="1:17" ht="14.1" customHeight="1">
      <c r="A54" s="170">
        <v>382</v>
      </c>
      <c r="B54" s="170">
        <v>382</v>
      </c>
      <c r="C54" s="166" t="s">
        <v>2573</v>
      </c>
      <c r="D54" s="166" t="s">
        <v>2220</v>
      </c>
      <c r="E54" s="166" t="s">
        <v>2634</v>
      </c>
      <c r="F54" s="166" t="s">
        <v>1325</v>
      </c>
      <c r="G54" s="166" t="s">
        <v>2222</v>
      </c>
      <c r="H54" s="167">
        <v>27940003</v>
      </c>
      <c r="I54" s="166" t="s">
        <v>33</v>
      </c>
      <c r="J54" s="167" t="s">
        <v>34</v>
      </c>
      <c r="K54" s="168">
        <v>43803</v>
      </c>
      <c r="L54" s="169">
        <v>8400</v>
      </c>
      <c r="M54" s="169">
        <v>8400</v>
      </c>
      <c r="N54" s="169">
        <v>2491.145</v>
      </c>
      <c r="O54" s="169">
        <v>2491.145</v>
      </c>
      <c r="P54" s="167" t="s">
        <v>2635</v>
      </c>
      <c r="Q54" s="168">
        <v>46327</v>
      </c>
    </row>
    <row r="55" spans="1:17" ht="14.1" customHeight="1">
      <c r="A55" s="170">
        <v>382</v>
      </c>
      <c r="B55" s="170">
        <v>382</v>
      </c>
      <c r="C55" s="166" t="s">
        <v>2573</v>
      </c>
      <c r="D55" s="166" t="s">
        <v>2404</v>
      </c>
      <c r="E55" s="166" t="s">
        <v>1304</v>
      </c>
      <c r="F55" s="166" t="s">
        <v>33</v>
      </c>
      <c r="G55" s="166" t="s">
        <v>2636</v>
      </c>
      <c r="H55" s="167">
        <v>27940020</v>
      </c>
      <c r="I55" s="166" t="s">
        <v>33</v>
      </c>
      <c r="J55" s="167" t="s">
        <v>98</v>
      </c>
      <c r="K55" s="168">
        <v>44559</v>
      </c>
      <c r="L55" s="169">
        <v>2000</v>
      </c>
      <c r="M55" s="169">
        <v>7436</v>
      </c>
      <c r="N55" s="169">
        <v>0</v>
      </c>
      <c r="O55" s="169">
        <v>0</v>
      </c>
      <c r="P55" s="167" t="s">
        <v>2526</v>
      </c>
      <c r="Q55" s="167" t="s">
        <v>2527</v>
      </c>
    </row>
    <row r="56" spans="1:17" ht="14.1" customHeight="1">
      <c r="A56" s="170">
        <v>382</v>
      </c>
      <c r="B56" s="170">
        <v>382</v>
      </c>
      <c r="C56" s="166" t="s">
        <v>2573</v>
      </c>
      <c r="D56" s="166" t="s">
        <v>2404</v>
      </c>
      <c r="E56" s="166" t="s">
        <v>1304</v>
      </c>
      <c r="F56" s="166" t="s">
        <v>33</v>
      </c>
      <c r="G56" s="166" t="s">
        <v>2636</v>
      </c>
      <c r="H56" s="167">
        <v>27940020</v>
      </c>
      <c r="I56" s="166" t="s">
        <v>33</v>
      </c>
      <c r="J56" s="167" t="s">
        <v>98</v>
      </c>
      <c r="K56" s="168">
        <v>44559</v>
      </c>
      <c r="L56" s="169">
        <v>2000</v>
      </c>
      <c r="M56" s="169">
        <v>7436</v>
      </c>
      <c r="N56" s="169">
        <v>0</v>
      </c>
      <c r="O56" s="169">
        <v>0</v>
      </c>
      <c r="P56" s="167" t="s">
        <v>2526</v>
      </c>
      <c r="Q56" s="167" t="s">
        <v>2527</v>
      </c>
    </row>
    <row r="57" spans="1:17" ht="14.1" customHeight="1">
      <c r="A57" s="170">
        <v>382</v>
      </c>
      <c r="B57" s="170">
        <v>382</v>
      </c>
      <c r="C57" s="166" t="s">
        <v>2573</v>
      </c>
      <c r="D57" s="166" t="s">
        <v>2427</v>
      </c>
      <c r="E57" s="166" t="s">
        <v>2637</v>
      </c>
      <c r="F57" s="166" t="s">
        <v>2532</v>
      </c>
      <c r="G57" s="166" t="s">
        <v>2427</v>
      </c>
      <c r="H57" s="167">
        <v>27940017</v>
      </c>
      <c r="I57" s="166" t="s">
        <v>33</v>
      </c>
      <c r="J57" s="167" t="s">
        <v>98</v>
      </c>
      <c r="K57" s="168">
        <v>44501</v>
      </c>
      <c r="L57" s="169">
        <v>3800</v>
      </c>
      <c r="M57" s="169">
        <v>14128.4</v>
      </c>
      <c r="N57" s="169">
        <v>0</v>
      </c>
      <c r="O57" s="169">
        <v>0</v>
      </c>
      <c r="P57" s="167" t="s">
        <v>2526</v>
      </c>
      <c r="Q57" s="167" t="s">
        <v>2527</v>
      </c>
    </row>
    <row r="58" spans="1:17" ht="14.1" customHeight="1">
      <c r="A58" s="170">
        <v>382</v>
      </c>
      <c r="B58" s="170">
        <v>382</v>
      </c>
      <c r="C58" s="166" t="s">
        <v>2573</v>
      </c>
      <c r="D58" s="166" t="s">
        <v>2427</v>
      </c>
      <c r="E58" s="166" t="s">
        <v>2637</v>
      </c>
      <c r="F58" s="166" t="s">
        <v>2532</v>
      </c>
      <c r="G58" s="166" t="s">
        <v>2427</v>
      </c>
      <c r="H58" s="167">
        <v>27940017</v>
      </c>
      <c r="I58" s="166" t="s">
        <v>33</v>
      </c>
      <c r="J58" s="167" t="s">
        <v>98</v>
      </c>
      <c r="K58" s="168">
        <v>44501</v>
      </c>
      <c r="L58" s="169">
        <v>3800</v>
      </c>
      <c r="M58" s="169">
        <v>14128.4</v>
      </c>
      <c r="N58" s="169">
        <v>0</v>
      </c>
      <c r="O58" s="169">
        <v>0</v>
      </c>
      <c r="P58" s="167" t="s">
        <v>2526</v>
      </c>
      <c r="Q58" s="167" t="s">
        <v>2527</v>
      </c>
    </row>
    <row r="59" spans="1:17" ht="14.1" customHeight="1">
      <c r="A59" s="170">
        <v>382</v>
      </c>
      <c r="B59" s="170">
        <v>382</v>
      </c>
      <c r="C59" s="166" t="s">
        <v>2524</v>
      </c>
      <c r="D59" s="166" t="s">
        <v>2638</v>
      </c>
      <c r="E59" s="166" t="s">
        <v>2639</v>
      </c>
      <c r="F59" s="166" t="s">
        <v>1325</v>
      </c>
      <c r="G59" s="166" t="s">
        <v>2638</v>
      </c>
      <c r="H59" s="167">
        <v>27940019</v>
      </c>
      <c r="I59" s="166" t="s">
        <v>33</v>
      </c>
      <c r="J59" s="167" t="s">
        <v>34</v>
      </c>
      <c r="K59" s="168">
        <v>44551</v>
      </c>
      <c r="L59" s="169">
        <v>5000</v>
      </c>
      <c r="M59" s="169">
        <v>5000</v>
      </c>
      <c r="N59" s="169">
        <v>0</v>
      </c>
      <c r="O59" s="169">
        <v>0</v>
      </c>
      <c r="P59" s="167" t="s">
        <v>2526</v>
      </c>
      <c r="Q59" s="167" t="s">
        <v>2527</v>
      </c>
    </row>
    <row r="60" spans="1:17" ht="14.1" customHeight="1">
      <c r="A60" s="170">
        <v>382</v>
      </c>
      <c r="B60" s="170">
        <v>382</v>
      </c>
      <c r="C60" s="166" t="s">
        <v>2524</v>
      </c>
      <c r="D60" s="166" t="s">
        <v>2214</v>
      </c>
      <c r="E60" s="166" t="s">
        <v>2525</v>
      </c>
      <c r="F60" s="166" t="s">
        <v>1325</v>
      </c>
      <c r="G60" s="166" t="s">
        <v>2214</v>
      </c>
      <c r="H60" s="167">
        <v>35170</v>
      </c>
      <c r="I60" s="166" t="s">
        <v>33</v>
      </c>
      <c r="J60" s="167" t="s">
        <v>34</v>
      </c>
      <c r="K60" s="168">
        <v>41394</v>
      </c>
      <c r="L60" s="169">
        <v>9331.8979999999992</v>
      </c>
      <c r="M60" s="169">
        <v>9331.8979999999992</v>
      </c>
      <c r="N60" s="169">
        <v>0</v>
      </c>
      <c r="O60" s="169">
        <v>0</v>
      </c>
      <c r="P60" s="167" t="s">
        <v>2526</v>
      </c>
      <c r="Q60" s="167" t="s">
        <v>2527</v>
      </c>
    </row>
    <row r="61" spans="1:17" ht="14.1" customHeight="1">
      <c r="A61" s="170">
        <v>382</v>
      </c>
      <c r="B61" s="170">
        <v>382</v>
      </c>
      <c r="C61" s="166" t="s">
        <v>2524</v>
      </c>
      <c r="D61" s="166" t="s">
        <v>2214</v>
      </c>
      <c r="E61" s="166" t="s">
        <v>2525</v>
      </c>
      <c r="F61" s="166" t="s">
        <v>1325</v>
      </c>
      <c r="G61" s="166" t="s">
        <v>2214</v>
      </c>
      <c r="H61" s="167">
        <v>35170</v>
      </c>
      <c r="I61" s="166" t="s">
        <v>33</v>
      </c>
      <c r="J61" s="167" t="s">
        <v>34</v>
      </c>
      <c r="K61" s="168">
        <v>41394</v>
      </c>
      <c r="L61" s="169">
        <v>9331.8979999999992</v>
      </c>
      <c r="M61" s="169">
        <v>9331.8979999999992</v>
      </c>
      <c r="N61" s="169">
        <v>0</v>
      </c>
      <c r="O61" s="169">
        <v>0</v>
      </c>
      <c r="P61" s="167" t="s">
        <v>2526</v>
      </c>
      <c r="Q61" s="167" t="s">
        <v>2527</v>
      </c>
    </row>
    <row r="62" spans="1:17" ht="14.1" customHeight="1">
      <c r="A62" s="170">
        <v>382</v>
      </c>
      <c r="B62" s="170">
        <v>382</v>
      </c>
      <c r="C62" s="166" t="s">
        <v>2524</v>
      </c>
      <c r="D62" s="166" t="s">
        <v>2214</v>
      </c>
      <c r="E62" s="166" t="s">
        <v>2525</v>
      </c>
      <c r="F62" s="166" t="s">
        <v>1325</v>
      </c>
      <c r="G62" s="166" t="s">
        <v>2214</v>
      </c>
      <c r="H62" s="167">
        <v>35170</v>
      </c>
      <c r="I62" s="166" t="s">
        <v>33</v>
      </c>
      <c r="J62" s="167" t="s">
        <v>34</v>
      </c>
      <c r="K62" s="168">
        <v>41394</v>
      </c>
      <c r="L62" s="169">
        <v>9331.8979999999992</v>
      </c>
      <c r="M62" s="169">
        <v>9331.8979999999992</v>
      </c>
      <c r="N62" s="169">
        <v>0</v>
      </c>
      <c r="O62" s="169">
        <v>0</v>
      </c>
      <c r="P62" s="167" t="s">
        <v>2526</v>
      </c>
      <c r="Q62" s="167" t="s">
        <v>2527</v>
      </c>
    </row>
    <row r="63" spans="1:17" ht="14.1" customHeight="1">
      <c r="A63" s="170">
        <v>382</v>
      </c>
      <c r="B63" s="170">
        <v>382</v>
      </c>
      <c r="C63" s="166" t="s">
        <v>2524</v>
      </c>
      <c r="D63" s="166" t="s">
        <v>2214</v>
      </c>
      <c r="E63" s="166" t="s">
        <v>2525</v>
      </c>
      <c r="F63" s="166" t="s">
        <v>1325</v>
      </c>
      <c r="G63" s="166" t="s">
        <v>2640</v>
      </c>
      <c r="H63" s="167">
        <v>36996</v>
      </c>
      <c r="I63" s="166" t="s">
        <v>33</v>
      </c>
      <c r="J63" s="167" t="s">
        <v>34</v>
      </c>
      <c r="K63" s="168">
        <v>42887</v>
      </c>
      <c r="L63" s="169">
        <v>5000</v>
      </c>
      <c r="M63" s="169">
        <v>5000</v>
      </c>
      <c r="N63" s="169">
        <v>0</v>
      </c>
      <c r="O63" s="169">
        <v>0</v>
      </c>
      <c r="P63" s="167" t="s">
        <v>2526</v>
      </c>
      <c r="Q63" s="167" t="s">
        <v>2527</v>
      </c>
    </row>
    <row r="64" spans="1:17" ht="14.1" customHeight="1">
      <c r="A64" s="170">
        <v>382</v>
      </c>
      <c r="B64" s="170">
        <v>382</v>
      </c>
      <c r="C64" s="166" t="s">
        <v>2524</v>
      </c>
      <c r="D64" s="166" t="s">
        <v>2257</v>
      </c>
      <c r="E64" s="166" t="s">
        <v>2258</v>
      </c>
      <c r="F64" s="166" t="s">
        <v>2532</v>
      </c>
      <c r="G64" s="166" t="s">
        <v>2257</v>
      </c>
      <c r="H64" s="167">
        <v>500052</v>
      </c>
      <c r="I64" s="166" t="s">
        <v>33</v>
      </c>
      <c r="J64" s="167" t="s">
        <v>34</v>
      </c>
      <c r="K64" s="168">
        <v>42887</v>
      </c>
      <c r="L64" s="169">
        <v>8000</v>
      </c>
      <c r="M64" s="169">
        <v>8000</v>
      </c>
      <c r="N64" s="169">
        <v>0</v>
      </c>
      <c r="O64" s="169">
        <v>0</v>
      </c>
      <c r="P64" s="167" t="s">
        <v>2526</v>
      </c>
      <c r="Q64" s="167" t="s">
        <v>2527</v>
      </c>
    </row>
    <row r="65" spans="1:17" ht="14.1" customHeight="1">
      <c r="A65" s="170">
        <v>382</v>
      </c>
      <c r="B65" s="170">
        <v>382</v>
      </c>
      <c r="C65" s="166" t="s">
        <v>2524</v>
      </c>
      <c r="D65" s="166" t="s">
        <v>2257</v>
      </c>
      <c r="E65" s="166" t="s">
        <v>2258</v>
      </c>
      <c r="F65" s="166" t="s">
        <v>2532</v>
      </c>
      <c r="G65" s="166" t="s">
        <v>2257</v>
      </c>
      <c r="H65" s="167">
        <v>500052</v>
      </c>
      <c r="I65" s="166" t="s">
        <v>33</v>
      </c>
      <c r="J65" s="167" t="s">
        <v>34</v>
      </c>
      <c r="K65" s="168">
        <v>42887</v>
      </c>
      <c r="L65" s="169">
        <v>8000</v>
      </c>
      <c r="M65" s="169">
        <v>8000</v>
      </c>
      <c r="N65" s="169">
        <v>0</v>
      </c>
      <c r="O65" s="169">
        <v>0</v>
      </c>
      <c r="P65" s="167" t="s">
        <v>2526</v>
      </c>
      <c r="Q65" s="167" t="s">
        <v>2527</v>
      </c>
    </row>
    <row r="66" spans="1:17" ht="14.1" customHeight="1">
      <c r="A66" s="170">
        <v>382</v>
      </c>
      <c r="B66" s="170">
        <v>382</v>
      </c>
      <c r="C66" s="166" t="s">
        <v>2524</v>
      </c>
      <c r="D66" s="166" t="s">
        <v>2264</v>
      </c>
      <c r="E66" s="166" t="s">
        <v>2265</v>
      </c>
      <c r="F66" s="166" t="s">
        <v>1325</v>
      </c>
      <c r="G66" s="166" t="s">
        <v>2641</v>
      </c>
      <c r="H66" s="167">
        <v>36459</v>
      </c>
      <c r="I66" s="166" t="s">
        <v>33</v>
      </c>
      <c r="J66" s="167" t="s">
        <v>34</v>
      </c>
      <c r="K66" s="168">
        <v>42309</v>
      </c>
      <c r="L66" s="169">
        <v>5000</v>
      </c>
      <c r="M66" s="169">
        <v>5000</v>
      </c>
      <c r="N66" s="169">
        <v>0</v>
      </c>
      <c r="O66" s="169">
        <v>0</v>
      </c>
      <c r="P66" s="167" t="s">
        <v>2526</v>
      </c>
      <c r="Q66" s="167" t="s">
        <v>2527</v>
      </c>
    </row>
    <row r="67" spans="1:17" ht="14.1" customHeight="1">
      <c r="A67" s="170">
        <v>382</v>
      </c>
      <c r="B67" s="170">
        <v>382</v>
      </c>
      <c r="C67" s="166" t="s">
        <v>2524</v>
      </c>
      <c r="D67" s="166" t="s">
        <v>2264</v>
      </c>
      <c r="E67" s="166" t="s">
        <v>2265</v>
      </c>
      <c r="F67" s="166" t="s">
        <v>1325</v>
      </c>
      <c r="G67" s="166" t="s">
        <v>2641</v>
      </c>
      <c r="H67" s="167">
        <v>36459</v>
      </c>
      <c r="I67" s="166" t="s">
        <v>33</v>
      </c>
      <c r="J67" s="167" t="s">
        <v>34</v>
      </c>
      <c r="K67" s="168">
        <v>42309</v>
      </c>
      <c r="L67" s="169">
        <v>5000</v>
      </c>
      <c r="M67" s="169">
        <v>5000</v>
      </c>
      <c r="N67" s="169">
        <v>0</v>
      </c>
      <c r="O67" s="169">
        <v>0</v>
      </c>
      <c r="P67" s="167" t="s">
        <v>2526</v>
      </c>
      <c r="Q67" s="167" t="s">
        <v>2527</v>
      </c>
    </row>
    <row r="68" spans="1:17" ht="14.1" customHeight="1">
      <c r="A68" s="170">
        <v>382</v>
      </c>
      <c r="B68" s="170">
        <v>382</v>
      </c>
      <c r="C68" s="166" t="s">
        <v>2524</v>
      </c>
      <c r="D68" s="166" t="s">
        <v>2231</v>
      </c>
      <c r="E68" s="166" t="s">
        <v>2232</v>
      </c>
      <c r="F68" s="166" t="s">
        <v>1325</v>
      </c>
      <c r="G68" s="166" t="s">
        <v>2642</v>
      </c>
      <c r="H68" s="167">
        <v>34934</v>
      </c>
      <c r="I68" s="166" t="s">
        <v>33</v>
      </c>
      <c r="J68" s="167" t="s">
        <v>34</v>
      </c>
      <c r="K68" s="168">
        <v>41306</v>
      </c>
      <c r="L68" s="169">
        <v>5000</v>
      </c>
      <c r="M68" s="169">
        <v>5000</v>
      </c>
      <c r="N68" s="169">
        <v>0</v>
      </c>
      <c r="O68" s="169">
        <v>0</v>
      </c>
      <c r="P68" s="167" t="s">
        <v>2526</v>
      </c>
      <c r="Q68" s="167" t="s">
        <v>2527</v>
      </c>
    </row>
    <row r="69" spans="1:17" ht="14.1" customHeight="1">
      <c r="A69" s="170">
        <v>382</v>
      </c>
      <c r="B69" s="170">
        <v>382</v>
      </c>
      <c r="C69" s="166" t="s">
        <v>2524</v>
      </c>
      <c r="D69" s="166" t="s">
        <v>2231</v>
      </c>
      <c r="E69" s="166" t="s">
        <v>2232</v>
      </c>
      <c r="F69" s="166" t="s">
        <v>1325</v>
      </c>
      <c r="G69" s="166" t="s">
        <v>2642</v>
      </c>
      <c r="H69" s="167">
        <v>34934</v>
      </c>
      <c r="I69" s="166" t="s">
        <v>33</v>
      </c>
      <c r="J69" s="167" t="s">
        <v>34</v>
      </c>
      <c r="K69" s="168">
        <v>41306</v>
      </c>
      <c r="L69" s="169">
        <v>5000</v>
      </c>
      <c r="M69" s="169">
        <v>5000</v>
      </c>
      <c r="N69" s="169">
        <v>0</v>
      </c>
      <c r="O69" s="169">
        <v>0</v>
      </c>
      <c r="P69" s="167" t="s">
        <v>2526</v>
      </c>
      <c r="Q69" s="167" t="s">
        <v>2527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682" activePane="bottomLeft" state="frozen"/>
      <selection pane="bottomLeft" activeCell="B701" sqref="B701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>
      <c r="A1" s="37" t="s">
        <v>220</v>
      </c>
      <c r="B1" s="37" t="s">
        <v>221</v>
      </c>
      <c r="C1" s="37" t="s">
        <v>222</v>
      </c>
      <c r="D1" s="37" t="s">
        <v>223</v>
      </c>
    </row>
    <row r="2" spans="1:4">
      <c r="A2" s="70"/>
      <c r="B2" s="70" t="s">
        <v>224</v>
      </c>
      <c r="C2" s="14" t="s">
        <v>30</v>
      </c>
      <c r="D2" s="14"/>
    </row>
    <row r="3" spans="1:4">
      <c r="A3" s="71"/>
      <c r="B3" s="71"/>
      <c r="C3" s="14" t="s">
        <v>94</v>
      </c>
      <c r="D3" s="14"/>
    </row>
    <row r="4" spans="1:4" ht="42.75">
      <c r="A4" s="63"/>
      <c r="B4" s="84" t="s">
        <v>225</v>
      </c>
      <c r="C4" s="15" t="s">
        <v>30</v>
      </c>
      <c r="D4" s="15"/>
    </row>
    <row r="5" spans="1:4">
      <c r="A5" s="64"/>
      <c r="B5" s="85"/>
      <c r="C5" s="15" t="s">
        <v>226</v>
      </c>
      <c r="D5" s="15"/>
    </row>
    <row r="6" spans="1:4">
      <c r="A6" s="64"/>
      <c r="B6" s="85"/>
      <c r="C6" s="15" t="s">
        <v>227</v>
      </c>
      <c r="D6" s="15"/>
    </row>
    <row r="7" spans="1:4">
      <c r="A7" s="64"/>
      <c r="B7" s="85"/>
      <c r="C7" s="15" t="s">
        <v>228</v>
      </c>
      <c r="D7" s="15"/>
    </row>
    <row r="8" spans="1:4">
      <c r="A8" s="64"/>
      <c r="B8" s="85"/>
      <c r="C8" s="15" t="s">
        <v>229</v>
      </c>
      <c r="D8" s="15"/>
    </row>
    <row r="9" spans="1:4">
      <c r="A9" s="64"/>
      <c r="B9" s="85"/>
      <c r="C9" s="15" t="s">
        <v>230</v>
      </c>
      <c r="D9" s="15"/>
    </row>
    <row r="10" spans="1:4">
      <c r="A10" s="64"/>
      <c r="B10" s="85"/>
      <c r="C10" s="15" t="s">
        <v>231</v>
      </c>
      <c r="D10" s="15"/>
    </row>
    <row r="11" spans="1:4">
      <c r="A11" s="64"/>
      <c r="B11" s="85"/>
      <c r="C11" s="15" t="s">
        <v>232</v>
      </c>
      <c r="D11" s="15"/>
    </row>
    <row r="12" spans="1:4">
      <c r="A12" s="64"/>
      <c r="B12" s="85"/>
      <c r="C12" s="15" t="s">
        <v>233</v>
      </c>
      <c r="D12" s="15"/>
    </row>
    <row r="13" spans="1:4">
      <c r="A13" s="64"/>
      <c r="B13" s="85"/>
      <c r="C13" s="15" t="s">
        <v>234</v>
      </c>
      <c r="D13" s="15"/>
    </row>
    <row r="14" spans="1:4">
      <c r="A14" s="64"/>
      <c r="B14" s="85"/>
      <c r="C14" s="15" t="s">
        <v>235</v>
      </c>
      <c r="D14" s="15"/>
    </row>
    <row r="15" spans="1:4">
      <c r="A15" s="64"/>
      <c r="B15" s="85"/>
      <c r="C15" s="15" t="s">
        <v>236</v>
      </c>
      <c r="D15" s="15"/>
    </row>
    <row r="16" spans="1:4">
      <c r="A16" s="64"/>
      <c r="B16" s="85"/>
      <c r="C16" s="15" t="s">
        <v>237</v>
      </c>
      <c r="D16" s="15"/>
    </row>
    <row r="17" spans="1:4">
      <c r="A17" s="64"/>
      <c r="B17" s="85"/>
      <c r="C17" s="15" t="s">
        <v>238</v>
      </c>
      <c r="D17" s="15"/>
    </row>
    <row r="18" spans="1:4">
      <c r="A18" s="64"/>
      <c r="B18" s="85"/>
      <c r="C18" s="15" t="s">
        <v>239</v>
      </c>
      <c r="D18" s="15"/>
    </row>
    <row r="19" spans="1:4">
      <c r="A19" s="64"/>
      <c r="B19" s="85"/>
      <c r="C19" s="15" t="s">
        <v>240</v>
      </c>
      <c r="D19" s="15"/>
    </row>
    <row r="20" spans="1:4">
      <c r="A20" s="64"/>
      <c r="B20" s="85"/>
      <c r="C20" s="15" t="s">
        <v>241</v>
      </c>
      <c r="D20" s="15"/>
    </row>
    <row r="21" spans="1:4">
      <c r="A21" s="64"/>
      <c r="B21" s="85"/>
      <c r="C21" s="15" t="s">
        <v>103</v>
      </c>
      <c r="D21" s="15"/>
    </row>
    <row r="22" spans="1:4">
      <c r="A22" s="64"/>
      <c r="B22" s="85"/>
      <c r="C22" s="15" t="s">
        <v>242</v>
      </c>
      <c r="D22" s="15"/>
    </row>
    <row r="23" spans="1:4">
      <c r="A23" s="64"/>
      <c r="B23" s="85"/>
      <c r="C23" s="15" t="s">
        <v>243</v>
      </c>
      <c r="D23" s="15"/>
    </row>
    <row r="24" spans="1:4">
      <c r="A24" s="64"/>
      <c r="B24" s="85"/>
      <c r="C24" s="15" t="s">
        <v>244</v>
      </c>
      <c r="D24" s="15"/>
    </row>
    <row r="25" spans="1:4">
      <c r="A25" s="64"/>
      <c r="B25" s="85"/>
      <c r="C25" s="15" t="s">
        <v>245</v>
      </c>
      <c r="D25" s="15"/>
    </row>
    <row r="26" spans="1:4">
      <c r="A26" s="64"/>
      <c r="B26" s="85"/>
      <c r="C26" s="15" t="s">
        <v>246</v>
      </c>
      <c r="D26" s="15"/>
    </row>
    <row r="27" spans="1:4">
      <c r="A27" s="64"/>
      <c r="B27" s="85"/>
      <c r="C27" s="15" t="s">
        <v>247</v>
      </c>
      <c r="D27" s="15"/>
    </row>
    <row r="28" spans="1:4">
      <c r="A28" s="64"/>
      <c r="B28" s="85"/>
      <c r="C28" s="15" t="s">
        <v>248</v>
      </c>
      <c r="D28" s="15"/>
    </row>
    <row r="29" spans="1:4">
      <c r="A29" s="64"/>
      <c r="B29" s="85"/>
      <c r="C29" s="15" t="s">
        <v>249</v>
      </c>
      <c r="D29" s="15"/>
    </row>
    <row r="30" spans="1:4">
      <c r="A30" s="64"/>
      <c r="B30" s="85"/>
      <c r="C30" s="15" t="s">
        <v>250</v>
      </c>
      <c r="D30" s="15"/>
    </row>
    <row r="31" spans="1:4">
      <c r="A31" s="64"/>
      <c r="B31" s="85"/>
      <c r="C31" s="15" t="s">
        <v>251</v>
      </c>
      <c r="D31" s="15"/>
    </row>
    <row r="32" spans="1:4">
      <c r="A32" s="64"/>
      <c r="B32" s="85"/>
      <c r="C32" s="15" t="s">
        <v>252</v>
      </c>
      <c r="D32" s="15"/>
    </row>
    <row r="33" spans="1:4">
      <c r="A33" s="64"/>
      <c r="B33" s="85"/>
      <c r="C33" s="15" t="s">
        <v>253</v>
      </c>
      <c r="D33" s="15"/>
    </row>
    <row r="34" spans="1:4">
      <c r="A34" s="64"/>
      <c r="B34" s="85"/>
      <c r="C34" s="15" t="s">
        <v>254</v>
      </c>
      <c r="D34" s="15"/>
    </row>
    <row r="35" spans="1:4">
      <c r="A35" s="64"/>
      <c r="B35" s="85"/>
      <c r="C35" s="15" t="s">
        <v>255</v>
      </c>
      <c r="D35" s="15"/>
    </row>
    <row r="36" spans="1:4">
      <c r="A36" s="64"/>
      <c r="B36" s="85"/>
      <c r="C36" s="15" t="s">
        <v>256</v>
      </c>
      <c r="D36" s="15"/>
    </row>
    <row r="37" spans="1:4">
      <c r="A37" s="64"/>
      <c r="B37" s="85"/>
      <c r="C37" s="4" t="s">
        <v>257</v>
      </c>
      <c r="D37" s="15"/>
    </row>
    <row r="38" spans="1:4">
      <c r="A38" s="64"/>
      <c r="B38" s="85"/>
      <c r="C38" s="15" t="s">
        <v>258</v>
      </c>
      <c r="D38" s="15"/>
    </row>
    <row r="39" spans="1:4">
      <c r="A39" s="64"/>
      <c r="B39" s="85"/>
      <c r="C39" s="15" t="s">
        <v>259</v>
      </c>
      <c r="D39" s="15"/>
    </row>
    <row r="40" spans="1:4">
      <c r="A40" s="64"/>
      <c r="B40" s="85"/>
      <c r="C40" s="15" t="s">
        <v>260</v>
      </c>
      <c r="D40" s="15"/>
    </row>
    <row r="41" spans="1:4">
      <c r="A41" s="64"/>
      <c r="B41" s="85"/>
      <c r="C41" s="15" t="s">
        <v>261</v>
      </c>
      <c r="D41" s="15"/>
    </row>
    <row r="42" spans="1:4">
      <c r="A42" s="64"/>
      <c r="B42" s="85"/>
      <c r="C42" s="15" t="s">
        <v>262</v>
      </c>
      <c r="D42" s="15"/>
    </row>
    <row r="43" spans="1:4">
      <c r="A43" s="64"/>
      <c r="B43" s="85"/>
      <c r="C43" s="15" t="s">
        <v>263</v>
      </c>
      <c r="D43" s="15"/>
    </row>
    <row r="44" spans="1:4">
      <c r="A44" s="64"/>
      <c r="B44" s="85"/>
      <c r="C44" s="15" t="s">
        <v>264</v>
      </c>
      <c r="D44" s="15"/>
    </row>
    <row r="45" spans="1:4">
      <c r="A45" s="64"/>
      <c r="B45" s="85"/>
      <c r="C45" s="15" t="s">
        <v>265</v>
      </c>
      <c r="D45" s="15"/>
    </row>
    <row r="46" spans="1:4">
      <c r="A46" s="64"/>
      <c r="B46" s="85"/>
      <c r="C46" s="15" t="s">
        <v>266</v>
      </c>
      <c r="D46" s="15"/>
    </row>
    <row r="47" spans="1:4">
      <c r="A47" s="64"/>
      <c r="B47" s="85"/>
      <c r="C47" s="15" t="s">
        <v>267</v>
      </c>
      <c r="D47" s="15"/>
    </row>
    <row r="48" spans="1:4">
      <c r="A48" s="64"/>
      <c r="B48" s="85"/>
      <c r="C48" s="15" t="s">
        <v>268</v>
      </c>
      <c r="D48" s="15"/>
    </row>
    <row r="49" spans="1:4">
      <c r="A49" s="64"/>
      <c r="B49" s="85"/>
      <c r="C49" s="15" t="s">
        <v>269</v>
      </c>
      <c r="D49" s="15"/>
    </row>
    <row r="50" spans="1:4">
      <c r="A50" s="64"/>
      <c r="B50" s="85"/>
      <c r="C50" s="15" t="s">
        <v>270</v>
      </c>
      <c r="D50" s="15"/>
    </row>
    <row r="51" spans="1:4">
      <c r="A51" s="64"/>
      <c r="B51" s="85"/>
      <c r="C51" s="15" t="s">
        <v>271</v>
      </c>
      <c r="D51" s="15"/>
    </row>
    <row r="52" spans="1:4">
      <c r="A52" s="64"/>
      <c r="B52" s="85"/>
      <c r="C52" s="15" t="s">
        <v>272</v>
      </c>
      <c r="D52" s="15"/>
    </row>
    <row r="53" spans="1:4">
      <c r="A53" s="64"/>
      <c r="B53" s="85"/>
      <c r="C53" s="15" t="s">
        <v>273</v>
      </c>
      <c r="D53" s="15"/>
    </row>
    <row r="54" spans="1:4">
      <c r="A54" s="64"/>
      <c r="B54" s="85"/>
      <c r="C54" s="15" t="s">
        <v>274</v>
      </c>
      <c r="D54" s="15"/>
    </row>
    <row r="55" spans="1:4">
      <c r="A55" s="64"/>
      <c r="B55" s="85"/>
      <c r="C55" s="15" t="s">
        <v>275</v>
      </c>
      <c r="D55" s="15"/>
    </row>
    <row r="56" spans="1:4">
      <c r="A56" s="64"/>
      <c r="B56" s="85"/>
      <c r="C56" s="15" t="s">
        <v>276</v>
      </c>
      <c r="D56" s="15"/>
    </row>
    <row r="57" spans="1:4">
      <c r="A57" s="64"/>
      <c r="B57" s="85"/>
      <c r="C57" s="15" t="s">
        <v>277</v>
      </c>
      <c r="D57" s="15"/>
    </row>
    <row r="58" spans="1:4">
      <c r="A58" s="64"/>
      <c r="B58" s="85"/>
      <c r="C58" s="15" t="s">
        <v>278</v>
      </c>
      <c r="D58" s="15"/>
    </row>
    <row r="59" spans="1:4">
      <c r="A59" s="64"/>
      <c r="B59" s="85"/>
      <c r="C59" s="15" t="s">
        <v>279</v>
      </c>
      <c r="D59" s="15"/>
    </row>
    <row r="60" spans="1:4">
      <c r="A60" s="64"/>
      <c r="B60" s="85"/>
      <c r="C60" s="15" t="s">
        <v>280</v>
      </c>
      <c r="D60" s="15"/>
    </row>
    <row r="61" spans="1:4">
      <c r="A61" s="64"/>
      <c r="B61" s="85"/>
      <c r="C61" s="15" t="s">
        <v>281</v>
      </c>
      <c r="D61" s="15"/>
    </row>
    <row r="62" spans="1:4">
      <c r="A62" s="64"/>
      <c r="B62" s="85"/>
      <c r="C62" s="15" t="s">
        <v>282</v>
      </c>
      <c r="D62" s="15"/>
    </row>
    <row r="63" spans="1:4">
      <c r="A63" s="64"/>
      <c r="B63" s="85"/>
      <c r="C63" s="15" t="s">
        <v>283</v>
      </c>
      <c r="D63" s="15"/>
    </row>
    <row r="64" spans="1:4">
      <c r="A64" s="64"/>
      <c r="B64" s="85"/>
      <c r="C64" s="15" t="s">
        <v>284</v>
      </c>
      <c r="D64" s="15"/>
    </row>
    <row r="65" spans="1:4">
      <c r="A65" s="64"/>
      <c r="B65" s="85"/>
      <c r="C65" s="15" t="s">
        <v>285</v>
      </c>
      <c r="D65" s="15"/>
    </row>
    <row r="66" spans="1:4">
      <c r="A66" s="64"/>
      <c r="B66" s="85"/>
      <c r="C66" s="15" t="s">
        <v>286</v>
      </c>
      <c r="D66" s="15"/>
    </row>
    <row r="67" spans="1:4">
      <c r="A67" s="64"/>
      <c r="B67" s="85"/>
      <c r="C67" s="15" t="s">
        <v>287</v>
      </c>
      <c r="D67" s="15"/>
    </row>
    <row r="68" spans="1:4">
      <c r="A68" s="64"/>
      <c r="B68" s="85"/>
      <c r="C68" s="15" t="s">
        <v>288</v>
      </c>
      <c r="D68" s="15"/>
    </row>
    <row r="69" spans="1:4">
      <c r="A69" s="64"/>
      <c r="B69" s="85"/>
      <c r="C69" s="15" t="s">
        <v>289</v>
      </c>
      <c r="D69" s="15"/>
    </row>
    <row r="70" spans="1:4">
      <c r="A70" s="64"/>
      <c r="B70" s="85"/>
      <c r="C70" s="15" t="s">
        <v>290</v>
      </c>
      <c r="D70" s="15"/>
    </row>
    <row r="71" spans="1:4">
      <c r="A71" s="64"/>
      <c r="B71" s="85"/>
      <c r="C71" s="15" t="s">
        <v>291</v>
      </c>
      <c r="D71" s="15"/>
    </row>
    <row r="72" spans="1:4">
      <c r="A72" s="64"/>
      <c r="B72" s="85"/>
      <c r="C72" s="15" t="s">
        <v>292</v>
      </c>
      <c r="D72" s="15"/>
    </row>
    <row r="73" spans="1:4">
      <c r="A73" s="64"/>
      <c r="B73" s="85"/>
      <c r="C73" s="15" t="s">
        <v>293</v>
      </c>
      <c r="D73" s="15"/>
    </row>
    <row r="74" spans="1:4">
      <c r="A74" s="64"/>
      <c r="B74" s="85"/>
      <c r="C74" s="15" t="s">
        <v>294</v>
      </c>
      <c r="D74" s="15"/>
    </row>
    <row r="75" spans="1:4">
      <c r="A75" s="64"/>
      <c r="B75" s="85"/>
      <c r="C75" s="15" t="s">
        <v>295</v>
      </c>
      <c r="D75" s="15"/>
    </row>
    <row r="76" spans="1:4">
      <c r="A76" s="64"/>
      <c r="B76" s="85"/>
      <c r="C76" s="15" t="s">
        <v>296</v>
      </c>
      <c r="D76" s="15"/>
    </row>
    <row r="77" spans="1:4">
      <c r="A77" s="64"/>
      <c r="B77" s="85"/>
      <c r="C77" s="15" t="s">
        <v>297</v>
      </c>
      <c r="D77" s="15"/>
    </row>
    <row r="78" spans="1:4">
      <c r="A78" s="64"/>
      <c r="B78" s="85"/>
      <c r="C78" s="15" t="s">
        <v>298</v>
      </c>
      <c r="D78" s="15"/>
    </row>
    <row r="79" spans="1:4">
      <c r="A79" s="64"/>
      <c r="B79" s="85"/>
      <c r="C79" s="15" t="s">
        <v>299</v>
      </c>
      <c r="D79" s="15"/>
    </row>
    <row r="80" spans="1:4">
      <c r="A80" s="64"/>
      <c r="B80" s="85"/>
      <c r="C80" s="15" t="s">
        <v>300</v>
      </c>
      <c r="D80" s="15"/>
    </row>
    <row r="81" spans="1:4">
      <c r="A81" s="64"/>
      <c r="B81" s="85"/>
      <c r="C81" s="15" t="s">
        <v>301</v>
      </c>
      <c r="D81" s="15"/>
    </row>
    <row r="82" spans="1:4">
      <c r="A82" s="64"/>
      <c r="B82" s="85"/>
      <c r="C82" s="15" t="s">
        <v>302</v>
      </c>
      <c r="D82" s="15"/>
    </row>
    <row r="83" spans="1:4">
      <c r="A83" s="64"/>
      <c r="B83" s="85"/>
      <c r="C83" s="15" t="s">
        <v>303</v>
      </c>
      <c r="D83" s="15"/>
    </row>
    <row r="84" spans="1:4">
      <c r="A84" s="64"/>
      <c r="B84" s="85"/>
      <c r="C84" s="15" t="s">
        <v>304</v>
      </c>
      <c r="D84" s="15"/>
    </row>
    <row r="85" spans="1:4">
      <c r="A85" s="64"/>
      <c r="B85" s="85"/>
      <c r="C85" s="15" t="s">
        <v>305</v>
      </c>
      <c r="D85" s="15"/>
    </row>
    <row r="86" spans="1:4">
      <c r="A86" s="64"/>
      <c r="B86" s="85"/>
      <c r="C86" s="15" t="s">
        <v>306</v>
      </c>
      <c r="D86" s="15"/>
    </row>
    <row r="87" spans="1:4">
      <c r="A87" s="64"/>
      <c r="B87" s="85"/>
      <c r="C87" s="15" t="s">
        <v>307</v>
      </c>
      <c r="D87" s="15"/>
    </row>
    <row r="88" spans="1:4">
      <c r="A88" s="64"/>
      <c r="B88" s="85"/>
      <c r="C88" s="15" t="s">
        <v>308</v>
      </c>
      <c r="D88" s="15"/>
    </row>
    <row r="89" spans="1:4">
      <c r="A89" s="64"/>
      <c r="B89" s="85"/>
      <c r="C89" s="15" t="s">
        <v>309</v>
      </c>
      <c r="D89" s="15"/>
    </row>
    <row r="90" spans="1:4">
      <c r="A90" s="64"/>
      <c r="B90" s="85"/>
      <c r="C90" s="15" t="s">
        <v>310</v>
      </c>
      <c r="D90" s="15"/>
    </row>
    <row r="91" spans="1:4">
      <c r="A91" s="64"/>
      <c r="B91" s="85"/>
      <c r="C91" s="15" t="s">
        <v>311</v>
      </c>
      <c r="D91" s="15"/>
    </row>
    <row r="92" spans="1:4">
      <c r="A92" s="64"/>
      <c r="B92" s="85"/>
      <c r="C92" s="15" t="s">
        <v>312</v>
      </c>
      <c r="D92" s="15"/>
    </row>
    <row r="93" spans="1:4">
      <c r="A93" s="64"/>
      <c r="B93" s="85"/>
      <c r="C93" s="15" t="s">
        <v>313</v>
      </c>
      <c r="D93" s="15"/>
    </row>
    <row r="94" spans="1:4">
      <c r="A94" s="64"/>
      <c r="B94" s="85"/>
      <c r="C94" s="15" t="s">
        <v>314</v>
      </c>
      <c r="D94" s="15" t="s">
        <v>315</v>
      </c>
    </row>
    <row r="95" spans="1:4">
      <c r="A95" s="64"/>
      <c r="B95" s="85"/>
      <c r="C95" s="15" t="s">
        <v>316</v>
      </c>
      <c r="D95" s="15" t="s">
        <v>317</v>
      </c>
    </row>
    <row r="96" spans="1:4">
      <c r="A96" s="64"/>
      <c r="B96" s="85"/>
      <c r="C96" s="15" t="s">
        <v>318</v>
      </c>
      <c r="D96" s="15" t="s">
        <v>317</v>
      </c>
    </row>
    <row r="97" spans="1:4">
      <c r="A97" s="64"/>
      <c r="B97" s="85"/>
      <c r="C97" s="15" t="s">
        <v>319</v>
      </c>
      <c r="D97" s="15" t="s">
        <v>317</v>
      </c>
    </row>
    <row r="98" spans="1:4">
      <c r="A98" s="64"/>
      <c r="B98" s="85"/>
      <c r="C98" s="15" t="s">
        <v>320</v>
      </c>
      <c r="D98" s="15" t="s">
        <v>317</v>
      </c>
    </row>
    <row r="99" spans="1:4">
      <c r="A99" s="64"/>
      <c r="B99" s="85"/>
      <c r="C99" s="15" t="s">
        <v>321</v>
      </c>
      <c r="D99" s="15" t="s">
        <v>317</v>
      </c>
    </row>
    <row r="100" spans="1:4">
      <c r="A100" s="64"/>
      <c r="B100" s="85"/>
      <c r="C100" s="15" t="s">
        <v>322</v>
      </c>
      <c r="D100" s="15" t="s">
        <v>317</v>
      </c>
    </row>
    <row r="101" spans="1:4">
      <c r="A101" s="64"/>
      <c r="B101" s="85"/>
      <c r="C101" s="15" t="s">
        <v>323</v>
      </c>
      <c r="D101" s="15" t="s">
        <v>317</v>
      </c>
    </row>
    <row r="102" spans="1:4">
      <c r="A102" s="64"/>
      <c r="B102" s="85"/>
      <c r="C102" s="15" t="s">
        <v>324</v>
      </c>
      <c r="D102" s="15" t="s">
        <v>317</v>
      </c>
    </row>
    <row r="103" spans="1:4">
      <c r="A103" s="64"/>
      <c r="B103" s="85"/>
      <c r="C103" s="15" t="s">
        <v>325</v>
      </c>
      <c r="D103" s="15" t="s">
        <v>317</v>
      </c>
    </row>
    <row r="104" spans="1:4">
      <c r="A104" s="59"/>
      <c r="B104" s="59" t="s">
        <v>155</v>
      </c>
      <c r="C104" s="14" t="s">
        <v>326</v>
      </c>
      <c r="D104" s="14"/>
    </row>
    <row r="105" spans="1:4">
      <c r="A105" s="60"/>
      <c r="B105" s="60"/>
      <c r="C105" s="14" t="s">
        <v>154</v>
      </c>
      <c r="D105" s="14"/>
    </row>
    <row r="106" spans="1:4">
      <c r="A106" s="60"/>
      <c r="B106" s="60"/>
      <c r="C106" s="14" t="s">
        <v>327</v>
      </c>
      <c r="D106" s="14"/>
    </row>
    <row r="107" spans="1:4">
      <c r="A107" s="60"/>
      <c r="B107" s="60"/>
      <c r="C107" s="14" t="s">
        <v>328</v>
      </c>
      <c r="D107" s="14"/>
    </row>
    <row r="108" spans="1:4">
      <c r="A108" s="60"/>
      <c r="B108" s="60"/>
      <c r="C108" s="14" t="s">
        <v>33</v>
      </c>
      <c r="D108" s="14"/>
    </row>
    <row r="109" spans="1:4">
      <c r="A109" s="60"/>
      <c r="B109" s="60"/>
      <c r="C109" s="14" t="s">
        <v>184</v>
      </c>
      <c r="D109" s="14"/>
    </row>
    <row r="110" spans="1:4">
      <c r="A110" s="61"/>
      <c r="B110" s="61"/>
      <c r="C110" s="14" t="s">
        <v>95</v>
      </c>
      <c r="D110" s="14"/>
    </row>
    <row r="111" spans="1:4">
      <c r="A111" s="64"/>
      <c r="B111" s="50" t="s">
        <v>176</v>
      </c>
      <c r="C111" s="15" t="s">
        <v>326</v>
      </c>
      <c r="D111" s="15"/>
    </row>
    <row r="112" spans="1:4">
      <c r="A112" s="64"/>
      <c r="B112" s="51"/>
      <c r="C112" s="15" t="s">
        <v>329</v>
      </c>
      <c r="D112" s="15"/>
    </row>
    <row r="113" spans="1:4">
      <c r="A113" s="64"/>
      <c r="B113" s="52"/>
      <c r="C113" s="15" t="s">
        <v>330</v>
      </c>
      <c r="D113" s="15"/>
    </row>
    <row r="114" spans="1:4">
      <c r="A114" s="77"/>
      <c r="B114" s="77" t="s">
        <v>331</v>
      </c>
      <c r="C114" s="14" t="s">
        <v>326</v>
      </c>
      <c r="D114" s="14"/>
    </row>
    <row r="115" spans="1:4">
      <c r="A115" s="77"/>
      <c r="B115" s="77"/>
      <c r="C115" s="14" t="s">
        <v>327</v>
      </c>
      <c r="D115" s="14"/>
    </row>
    <row r="116" spans="1:4">
      <c r="A116" s="77"/>
      <c r="B116" s="77"/>
      <c r="C116" s="14" t="s">
        <v>328</v>
      </c>
      <c r="D116" s="14"/>
    </row>
    <row r="117" spans="1:4">
      <c r="A117" s="77"/>
      <c r="B117" s="77"/>
      <c r="C117" s="14" t="s">
        <v>184</v>
      </c>
      <c r="D117" s="14"/>
    </row>
    <row r="118" spans="1:4">
      <c r="A118" s="63"/>
      <c r="B118" s="78" t="s">
        <v>129</v>
      </c>
      <c r="C118" s="15" t="s">
        <v>326</v>
      </c>
      <c r="D118" s="15"/>
    </row>
    <row r="119" spans="1:4">
      <c r="A119" s="5"/>
      <c r="B119" s="98"/>
      <c r="C119" s="15" t="s">
        <v>332</v>
      </c>
      <c r="D119" s="15"/>
    </row>
    <row r="120" spans="1:4">
      <c r="A120" s="5"/>
      <c r="B120" s="98"/>
      <c r="C120" s="15" t="s">
        <v>328</v>
      </c>
      <c r="D120" s="15"/>
    </row>
    <row r="121" spans="1:4">
      <c r="A121" s="5"/>
      <c r="B121" s="98"/>
      <c r="C121" s="15" t="s">
        <v>33</v>
      </c>
      <c r="D121" s="15"/>
    </row>
    <row r="122" spans="1:4">
      <c r="A122" s="5"/>
      <c r="B122" s="98"/>
      <c r="C122" s="15" t="s">
        <v>327</v>
      </c>
      <c r="D122" s="15"/>
    </row>
    <row r="123" spans="1:4">
      <c r="A123" s="5"/>
      <c r="B123" s="98"/>
      <c r="C123" s="15" t="s">
        <v>333</v>
      </c>
      <c r="D123" s="15"/>
    </row>
    <row r="124" spans="1:4">
      <c r="A124" s="5"/>
      <c r="B124" s="98"/>
      <c r="C124" s="15" t="s">
        <v>334</v>
      </c>
      <c r="D124" s="15"/>
    </row>
    <row r="125" spans="1:4">
      <c r="A125" s="5"/>
      <c r="B125" s="98"/>
      <c r="C125" s="15" t="s">
        <v>184</v>
      </c>
      <c r="D125" s="15"/>
    </row>
    <row r="126" spans="1:4">
      <c r="A126" s="64"/>
      <c r="B126" s="79"/>
      <c r="C126" s="15" t="s">
        <v>95</v>
      </c>
      <c r="D126" s="15"/>
    </row>
    <row r="127" spans="1:4">
      <c r="A127" s="59"/>
      <c r="B127" s="59" t="s">
        <v>156</v>
      </c>
      <c r="C127" s="14" t="s">
        <v>187</v>
      </c>
      <c r="D127" s="14"/>
    </row>
    <row r="128" spans="1:4">
      <c r="A128" s="60"/>
      <c r="B128" s="60"/>
      <c r="C128" s="14" t="s">
        <v>335</v>
      </c>
      <c r="D128" s="14"/>
    </row>
    <row r="129" spans="1:4">
      <c r="A129" s="60"/>
      <c r="B129" s="60"/>
      <c r="C129" s="14" t="s">
        <v>336</v>
      </c>
      <c r="D129" s="14"/>
    </row>
    <row r="130" spans="1:4">
      <c r="A130" s="60"/>
      <c r="B130" s="60"/>
      <c r="C130" s="14" t="s">
        <v>337</v>
      </c>
      <c r="D130" s="14"/>
    </row>
    <row r="131" spans="1:4">
      <c r="A131" s="60"/>
      <c r="B131" s="60"/>
      <c r="C131" s="14" t="s">
        <v>33</v>
      </c>
      <c r="D131" s="14"/>
    </row>
    <row r="132" spans="1:4">
      <c r="A132" s="64"/>
      <c r="B132" s="51" t="s">
        <v>338</v>
      </c>
      <c r="C132" s="15" t="s">
        <v>187</v>
      </c>
      <c r="D132" s="15"/>
    </row>
    <row r="133" spans="1:4">
      <c r="A133" s="64"/>
      <c r="B133" s="51"/>
      <c r="C133" s="15" t="s">
        <v>33</v>
      </c>
      <c r="D133" s="15"/>
    </row>
    <row r="134" spans="1:4">
      <c r="A134" s="65"/>
      <c r="B134" s="52"/>
      <c r="C134" s="15" t="s">
        <v>95</v>
      </c>
      <c r="D134" s="15"/>
    </row>
    <row r="135" spans="1:4">
      <c r="A135" s="66"/>
      <c r="B135" s="66" t="s">
        <v>339</v>
      </c>
      <c r="C135" s="14" t="s">
        <v>340</v>
      </c>
      <c r="D135" s="14"/>
    </row>
    <row r="136" spans="1:4">
      <c r="A136" s="67"/>
      <c r="B136" s="67"/>
      <c r="C136" s="14" t="s">
        <v>341</v>
      </c>
      <c r="D136" s="14"/>
    </row>
    <row r="137" spans="1:4">
      <c r="A137" s="67"/>
      <c r="B137" s="67"/>
      <c r="C137" s="14" t="s">
        <v>342</v>
      </c>
      <c r="D137" s="14" t="s">
        <v>343</v>
      </c>
    </row>
    <row r="138" spans="1:4">
      <c r="A138" s="67"/>
      <c r="B138" s="67"/>
      <c r="C138" s="14" t="s">
        <v>344</v>
      </c>
      <c r="D138" s="14" t="s">
        <v>345</v>
      </c>
    </row>
    <row r="139" spans="1:4">
      <c r="A139" s="67"/>
      <c r="B139" s="67"/>
      <c r="C139" s="14" t="s">
        <v>346</v>
      </c>
      <c r="D139" s="14"/>
    </row>
    <row r="140" spans="1:4">
      <c r="A140" s="67"/>
      <c r="B140" s="67"/>
      <c r="C140" s="14" t="s">
        <v>347</v>
      </c>
      <c r="D140" s="14"/>
    </row>
    <row r="141" spans="1:4">
      <c r="A141" s="67"/>
      <c r="B141" s="67"/>
      <c r="C141" s="14" t="s">
        <v>348</v>
      </c>
      <c r="D141" s="14"/>
    </row>
    <row r="142" spans="1:4">
      <c r="A142" s="67"/>
      <c r="B142" s="67"/>
      <c r="C142" s="14" t="s">
        <v>349</v>
      </c>
      <c r="D142" s="14"/>
    </row>
    <row r="143" spans="1:4">
      <c r="A143" s="67"/>
      <c r="B143" s="67"/>
      <c r="C143" s="14" t="s">
        <v>350</v>
      </c>
      <c r="D143" s="14"/>
    </row>
    <row r="144" spans="1:4">
      <c r="A144" s="67"/>
      <c r="B144" s="67"/>
      <c r="C144" s="14" t="s">
        <v>351</v>
      </c>
      <c r="D144" s="14"/>
    </row>
    <row r="145" spans="1:4">
      <c r="A145" s="67"/>
      <c r="B145" s="67"/>
      <c r="C145" s="14" t="s">
        <v>95</v>
      </c>
      <c r="D145" s="14"/>
    </row>
    <row r="146" spans="1:4">
      <c r="A146" s="63"/>
      <c r="B146" s="56" t="s">
        <v>352</v>
      </c>
      <c r="C146" s="15" t="s">
        <v>353</v>
      </c>
      <c r="D146" s="15"/>
    </row>
    <row r="147" spans="1:4">
      <c r="A147" s="65"/>
      <c r="B147" s="58"/>
      <c r="C147" s="15" t="s">
        <v>147</v>
      </c>
      <c r="D147" s="15"/>
    </row>
    <row r="148" spans="1:4">
      <c r="A148" s="45"/>
      <c r="B148" s="97" t="s">
        <v>8</v>
      </c>
      <c r="C148" s="14" t="s">
        <v>47</v>
      </c>
      <c r="D148" s="14" t="s">
        <v>354</v>
      </c>
    </row>
    <row r="149" spans="1:4">
      <c r="A149" s="46"/>
      <c r="B149" s="46"/>
      <c r="C149" s="14" t="s">
        <v>355</v>
      </c>
      <c r="D149" s="14" t="s">
        <v>356</v>
      </c>
    </row>
    <row r="150" spans="1:4">
      <c r="A150" s="46"/>
      <c r="B150" s="46"/>
      <c r="C150" s="14" t="s">
        <v>357</v>
      </c>
      <c r="D150" s="14" t="s">
        <v>358</v>
      </c>
    </row>
    <row r="151" spans="1:4">
      <c r="A151" s="46"/>
      <c r="B151" s="46"/>
      <c r="C151" s="14" t="s">
        <v>359</v>
      </c>
      <c r="D151" s="14" t="s">
        <v>360</v>
      </c>
    </row>
    <row r="152" spans="1:4">
      <c r="A152" s="46"/>
      <c r="B152" s="46"/>
      <c r="C152" s="14" t="s">
        <v>361</v>
      </c>
      <c r="D152" s="14" t="s">
        <v>362</v>
      </c>
    </row>
    <row r="153" spans="1:4">
      <c r="A153" s="46"/>
      <c r="B153" s="46"/>
      <c r="C153" s="14" t="s">
        <v>363</v>
      </c>
      <c r="D153" s="14" t="s">
        <v>364</v>
      </c>
    </row>
    <row r="154" spans="1:4">
      <c r="A154" s="46"/>
      <c r="B154" s="46"/>
      <c r="C154" s="14" t="s">
        <v>365</v>
      </c>
      <c r="D154" s="14" t="s">
        <v>366</v>
      </c>
    </row>
    <row r="155" spans="1:4">
      <c r="A155" s="46"/>
      <c r="B155" s="46"/>
      <c r="C155" s="14" t="s">
        <v>367</v>
      </c>
      <c r="D155" s="14" t="s">
        <v>368</v>
      </c>
    </row>
    <row r="156" spans="1:4">
      <c r="A156" s="46"/>
      <c r="B156" s="46"/>
      <c r="C156" s="14" t="s">
        <v>369</v>
      </c>
      <c r="D156" s="14" t="s">
        <v>370</v>
      </c>
    </row>
    <row r="157" spans="1:4">
      <c r="A157" s="46"/>
      <c r="B157" s="46"/>
      <c r="C157" s="14" t="s">
        <v>371</v>
      </c>
      <c r="D157" s="14" t="s">
        <v>372</v>
      </c>
    </row>
    <row r="158" spans="1:4">
      <c r="A158" s="46"/>
      <c r="B158" s="46"/>
      <c r="C158" s="14" t="s">
        <v>373</v>
      </c>
      <c r="D158" s="14" t="s">
        <v>374</v>
      </c>
    </row>
    <row r="159" spans="1:4">
      <c r="A159" s="46"/>
      <c r="B159" s="46"/>
      <c r="C159" s="14" t="s">
        <v>375</v>
      </c>
      <c r="D159" s="14" t="s">
        <v>376</v>
      </c>
    </row>
    <row r="160" spans="1:4">
      <c r="A160" s="46"/>
      <c r="B160" s="46"/>
      <c r="C160" s="14" t="s">
        <v>377</v>
      </c>
      <c r="D160" s="14" t="s">
        <v>378</v>
      </c>
    </row>
    <row r="161" spans="1:4">
      <c r="A161" s="46"/>
      <c r="B161" s="46"/>
      <c r="C161" s="14" t="s">
        <v>379</v>
      </c>
      <c r="D161" s="14" t="s">
        <v>380</v>
      </c>
    </row>
    <row r="162" spans="1:4">
      <c r="A162" s="46"/>
      <c r="B162" s="46"/>
      <c r="C162" s="14" t="s">
        <v>381</v>
      </c>
      <c r="D162" s="14" t="s">
        <v>382</v>
      </c>
    </row>
    <row r="163" spans="1:4">
      <c r="A163" s="46"/>
      <c r="B163" s="46"/>
      <c r="C163" s="14" t="s">
        <v>383</v>
      </c>
      <c r="D163" s="14" t="s">
        <v>384</v>
      </c>
    </row>
    <row r="164" spans="1:4">
      <c r="A164" s="46"/>
      <c r="B164" s="46"/>
      <c r="C164" s="14" t="s">
        <v>385</v>
      </c>
      <c r="D164" s="14" t="s">
        <v>386</v>
      </c>
    </row>
    <row r="165" spans="1:4">
      <c r="A165" s="46"/>
      <c r="B165" s="46"/>
      <c r="C165" s="14" t="s">
        <v>387</v>
      </c>
      <c r="D165" s="14" t="s">
        <v>388</v>
      </c>
    </row>
    <row r="166" spans="1:4">
      <c r="A166" s="46"/>
      <c r="B166" s="46"/>
      <c r="C166" s="14" t="s">
        <v>389</v>
      </c>
      <c r="D166" s="14" t="s">
        <v>390</v>
      </c>
    </row>
    <row r="167" spans="1:4">
      <c r="A167" s="46"/>
      <c r="B167" s="46"/>
      <c r="C167" s="14" t="s">
        <v>391</v>
      </c>
      <c r="D167" s="14" t="s">
        <v>392</v>
      </c>
    </row>
    <row r="168" spans="1:4">
      <c r="A168" s="46"/>
      <c r="B168" s="46"/>
      <c r="C168" s="14" t="s">
        <v>393</v>
      </c>
      <c r="D168" s="14" t="s">
        <v>394</v>
      </c>
    </row>
    <row r="169" spans="1:4">
      <c r="A169" s="46"/>
      <c r="B169" s="46"/>
      <c r="C169" s="14" t="s">
        <v>395</v>
      </c>
      <c r="D169" s="14" t="s">
        <v>396</v>
      </c>
    </row>
    <row r="170" spans="1:4">
      <c r="A170" s="46"/>
      <c r="B170" s="46"/>
      <c r="C170" s="14" t="s">
        <v>397</v>
      </c>
      <c r="D170" s="14" t="s">
        <v>398</v>
      </c>
    </row>
    <row r="171" spans="1:4">
      <c r="A171" s="46"/>
      <c r="B171" s="46"/>
      <c r="C171" s="14" t="s">
        <v>399</v>
      </c>
      <c r="D171" s="14" t="s">
        <v>400</v>
      </c>
    </row>
    <row r="172" spans="1:4">
      <c r="A172" s="46"/>
      <c r="B172" s="46"/>
      <c r="C172" s="14" t="s">
        <v>401</v>
      </c>
      <c r="D172" s="14" t="s">
        <v>402</v>
      </c>
    </row>
    <row r="173" spans="1:4">
      <c r="A173" s="46"/>
      <c r="B173" s="46"/>
      <c r="C173" s="14" t="s">
        <v>403</v>
      </c>
      <c r="D173" s="14" t="s">
        <v>404</v>
      </c>
    </row>
    <row r="174" spans="1:4">
      <c r="A174" s="46"/>
      <c r="B174" s="46"/>
      <c r="C174" s="14" t="s">
        <v>405</v>
      </c>
      <c r="D174" s="14" t="s">
        <v>406</v>
      </c>
    </row>
    <row r="175" spans="1:4">
      <c r="A175" s="46"/>
      <c r="B175" s="46"/>
      <c r="C175" s="14" t="s">
        <v>407</v>
      </c>
      <c r="D175" s="14" t="s">
        <v>408</v>
      </c>
    </row>
    <row r="176" spans="1:4">
      <c r="A176" s="46"/>
      <c r="B176" s="46"/>
      <c r="C176" s="14" t="s">
        <v>409</v>
      </c>
      <c r="D176" s="14" t="s">
        <v>410</v>
      </c>
    </row>
    <row r="177" spans="1:4">
      <c r="A177" s="46"/>
      <c r="B177" s="46"/>
      <c r="C177" s="14" t="s">
        <v>411</v>
      </c>
      <c r="D177" s="14" t="s">
        <v>412</v>
      </c>
    </row>
    <row r="178" spans="1:4">
      <c r="A178" s="46"/>
      <c r="B178" s="46"/>
      <c r="C178" s="14" t="s">
        <v>413</v>
      </c>
      <c r="D178" s="14" t="s">
        <v>414</v>
      </c>
    </row>
    <row r="179" spans="1:4">
      <c r="A179" s="46"/>
      <c r="B179" s="46"/>
      <c r="C179" s="14" t="s">
        <v>415</v>
      </c>
      <c r="D179" s="14" t="s">
        <v>416</v>
      </c>
    </row>
    <row r="180" spans="1:4">
      <c r="A180" s="46"/>
      <c r="B180" s="46"/>
      <c r="C180" s="14" t="s">
        <v>417</v>
      </c>
      <c r="D180" s="14" t="s">
        <v>418</v>
      </c>
    </row>
    <row r="181" spans="1:4">
      <c r="A181" s="46"/>
      <c r="B181" s="46"/>
      <c r="C181" s="14" t="s">
        <v>95</v>
      </c>
      <c r="D181" s="14" t="s">
        <v>95</v>
      </c>
    </row>
    <row r="182" spans="1:4">
      <c r="A182" s="63"/>
      <c r="B182" s="56" t="s">
        <v>419</v>
      </c>
      <c r="C182" s="39" t="s">
        <v>420</v>
      </c>
      <c r="D182" s="39"/>
    </row>
    <row r="183" spans="1:4">
      <c r="A183" s="64"/>
      <c r="B183" s="57"/>
      <c r="C183" s="39" t="s">
        <v>421</v>
      </c>
      <c r="D183" s="39"/>
    </row>
    <row r="184" spans="1:4">
      <c r="A184" s="64"/>
      <c r="B184" s="57"/>
      <c r="C184" s="39" t="s">
        <v>422</v>
      </c>
      <c r="D184" s="39"/>
    </row>
    <row r="185" spans="1:4">
      <c r="A185" s="65"/>
      <c r="B185" s="58"/>
      <c r="C185" s="40" t="s">
        <v>189</v>
      </c>
      <c r="D185" s="40"/>
    </row>
    <row r="186" spans="1:4">
      <c r="A186" s="59"/>
      <c r="B186" s="59" t="s">
        <v>423</v>
      </c>
      <c r="C186" s="38" t="s">
        <v>424</v>
      </c>
      <c r="D186" s="38"/>
    </row>
    <row r="187" spans="1:4">
      <c r="A187" s="60"/>
      <c r="B187" s="60"/>
      <c r="C187" s="38" t="s">
        <v>425</v>
      </c>
      <c r="D187" s="38"/>
    </row>
    <row r="188" spans="1:4">
      <c r="A188" s="63"/>
      <c r="B188" s="56" t="s">
        <v>10</v>
      </c>
      <c r="C188" s="40" t="s">
        <v>426</v>
      </c>
      <c r="D188" s="40" t="s">
        <v>427</v>
      </c>
    </row>
    <row r="189" spans="1:4">
      <c r="A189" s="64"/>
      <c r="B189" s="57"/>
      <c r="C189" s="40" t="s">
        <v>428</v>
      </c>
      <c r="D189" s="40" t="s">
        <v>429</v>
      </c>
    </row>
    <row r="190" spans="1:4">
      <c r="A190" s="64"/>
      <c r="B190" s="57"/>
      <c r="C190" s="40" t="s">
        <v>33</v>
      </c>
      <c r="D190" s="40" t="s">
        <v>33</v>
      </c>
    </row>
    <row r="191" spans="1:4">
      <c r="A191" s="64"/>
      <c r="B191" s="57"/>
      <c r="C191" s="40" t="s">
        <v>430</v>
      </c>
      <c r="D191" s="40" t="s">
        <v>431</v>
      </c>
    </row>
    <row r="192" spans="1:4">
      <c r="A192" s="64"/>
      <c r="B192" s="57"/>
      <c r="C192" s="40" t="s">
        <v>432</v>
      </c>
      <c r="D192" s="40" t="s">
        <v>433</v>
      </c>
    </row>
    <row r="193" spans="1:4">
      <c r="A193" s="64"/>
      <c r="B193" s="57"/>
      <c r="C193" s="40" t="s">
        <v>434</v>
      </c>
      <c r="D193" s="40" t="s">
        <v>435</v>
      </c>
    </row>
    <row r="194" spans="1:4">
      <c r="A194" s="64"/>
      <c r="B194" s="57"/>
      <c r="C194" s="40" t="s">
        <v>105</v>
      </c>
      <c r="D194" s="40" t="s">
        <v>436</v>
      </c>
    </row>
    <row r="195" spans="1:4">
      <c r="A195" s="64"/>
      <c r="B195" s="57"/>
      <c r="C195" s="40" t="s">
        <v>437</v>
      </c>
      <c r="D195" s="40" t="s">
        <v>438</v>
      </c>
    </row>
    <row r="196" spans="1:4">
      <c r="A196" s="64"/>
      <c r="B196" s="57"/>
      <c r="C196" s="40" t="s">
        <v>439</v>
      </c>
      <c r="D196" s="40" t="s">
        <v>440</v>
      </c>
    </row>
    <row r="197" spans="1:4">
      <c r="A197" s="64"/>
      <c r="B197" s="57"/>
      <c r="C197" s="40" t="s">
        <v>441</v>
      </c>
      <c r="D197" s="40" t="s">
        <v>442</v>
      </c>
    </row>
    <row r="198" spans="1:4">
      <c r="A198" s="64"/>
      <c r="B198" s="57"/>
      <c r="C198" s="40" t="s">
        <v>97</v>
      </c>
      <c r="D198" s="40" t="s">
        <v>443</v>
      </c>
    </row>
    <row r="199" spans="1:4">
      <c r="A199" s="64"/>
      <c r="B199" s="57"/>
      <c r="C199" s="40" t="s">
        <v>444</v>
      </c>
      <c r="D199" s="40" t="s">
        <v>445</v>
      </c>
    </row>
    <row r="200" spans="1:4">
      <c r="A200" s="64"/>
      <c r="B200" s="57"/>
      <c r="C200" s="40" t="s">
        <v>95</v>
      </c>
      <c r="D200" s="40" t="s">
        <v>95</v>
      </c>
    </row>
    <row r="201" spans="1:4">
      <c r="A201" s="65"/>
      <c r="B201" s="58"/>
      <c r="C201" s="40" t="s">
        <v>189</v>
      </c>
      <c r="D201" s="40" t="s">
        <v>446</v>
      </c>
    </row>
    <row r="202" spans="1:4">
      <c r="A202" s="97"/>
      <c r="B202" s="97" t="s">
        <v>157</v>
      </c>
      <c r="C202" s="14" t="s">
        <v>447</v>
      </c>
      <c r="D202" s="14"/>
    </row>
    <row r="203" spans="1:4">
      <c r="A203" s="46"/>
      <c r="B203" s="46"/>
      <c r="C203" s="14" t="s">
        <v>448</v>
      </c>
      <c r="D203" s="14"/>
    </row>
    <row r="204" spans="1:4">
      <c r="A204" s="46"/>
      <c r="B204" s="46"/>
      <c r="C204" s="14" t="s">
        <v>449</v>
      </c>
      <c r="D204" s="14"/>
    </row>
    <row r="205" spans="1:4">
      <c r="A205" s="46"/>
      <c r="B205" s="46"/>
      <c r="C205" s="14" t="s">
        <v>450</v>
      </c>
      <c r="D205" s="14"/>
    </row>
    <row r="206" spans="1:4">
      <c r="A206" s="46"/>
      <c r="B206" s="46"/>
      <c r="C206" s="14" t="s">
        <v>451</v>
      </c>
      <c r="D206" s="14"/>
    </row>
    <row r="207" spans="1:4">
      <c r="A207" s="46"/>
      <c r="B207" s="46"/>
      <c r="C207" s="14" t="s">
        <v>452</v>
      </c>
      <c r="D207" s="14"/>
    </row>
    <row r="208" spans="1:4">
      <c r="A208" s="46"/>
      <c r="B208" s="46"/>
      <c r="C208" s="14" t="s">
        <v>453</v>
      </c>
      <c r="D208" s="14"/>
    </row>
    <row r="209" spans="1:4">
      <c r="A209" s="46"/>
      <c r="B209" s="46"/>
      <c r="C209" s="14" t="s">
        <v>454</v>
      </c>
      <c r="D209" s="14"/>
    </row>
    <row r="210" spans="1:4">
      <c r="A210" s="46"/>
      <c r="B210" s="46"/>
      <c r="C210" s="14" t="s">
        <v>455</v>
      </c>
      <c r="D210" s="14"/>
    </row>
    <row r="211" spans="1:4">
      <c r="A211" s="46"/>
      <c r="B211" s="46"/>
      <c r="C211" s="14" t="s">
        <v>456</v>
      </c>
      <c r="D211" s="14"/>
    </row>
    <row r="212" spans="1:4">
      <c r="A212" s="46"/>
      <c r="B212" s="46"/>
      <c r="C212" s="14" t="s">
        <v>457</v>
      </c>
      <c r="D212" s="14"/>
    </row>
    <row r="213" spans="1:4">
      <c r="A213" s="46"/>
      <c r="B213" s="46"/>
      <c r="C213" s="14" t="s">
        <v>458</v>
      </c>
      <c r="D213" s="14"/>
    </row>
    <row r="214" spans="1:4">
      <c r="A214" s="46"/>
      <c r="B214" s="46"/>
      <c r="C214" s="14" t="s">
        <v>459</v>
      </c>
      <c r="D214" s="14"/>
    </row>
    <row r="215" spans="1:4">
      <c r="A215" s="46"/>
      <c r="B215" s="46"/>
      <c r="C215" s="14" t="s">
        <v>460</v>
      </c>
      <c r="D215" s="14"/>
    </row>
    <row r="216" spans="1:4">
      <c r="A216" s="46"/>
      <c r="B216" s="46"/>
      <c r="C216" s="14" t="s">
        <v>461</v>
      </c>
      <c r="D216" s="14"/>
    </row>
    <row r="217" spans="1:4">
      <c r="A217" s="46"/>
      <c r="B217" s="46"/>
      <c r="C217" s="14" t="s">
        <v>462</v>
      </c>
      <c r="D217" s="14"/>
    </row>
    <row r="218" spans="1:4">
      <c r="A218" s="46"/>
      <c r="B218" s="46"/>
      <c r="C218" s="14" t="s">
        <v>463</v>
      </c>
      <c r="D218" s="14" t="s">
        <v>464</v>
      </c>
    </row>
    <row r="219" spans="1:4">
      <c r="A219" s="46"/>
      <c r="B219" s="46"/>
      <c r="C219" s="14" t="s">
        <v>465</v>
      </c>
      <c r="D219" s="14"/>
    </row>
    <row r="220" spans="1:4">
      <c r="A220" s="46"/>
      <c r="B220" s="46"/>
      <c r="C220" s="14" t="s">
        <v>466</v>
      </c>
      <c r="D220" s="14"/>
    </row>
    <row r="221" spans="1:4">
      <c r="A221" s="46"/>
      <c r="B221" s="46"/>
      <c r="C221" s="14" t="s">
        <v>467</v>
      </c>
      <c r="D221" s="14"/>
    </row>
    <row r="222" spans="1:4">
      <c r="A222" s="46"/>
      <c r="B222" s="46"/>
      <c r="C222" s="14" t="s">
        <v>468</v>
      </c>
      <c r="D222" s="14"/>
    </row>
    <row r="223" spans="1:4">
      <c r="A223" s="46"/>
      <c r="B223" s="46"/>
      <c r="C223" s="14" t="s">
        <v>469</v>
      </c>
      <c r="D223" s="14"/>
    </row>
    <row r="224" spans="1:4">
      <c r="A224" s="46"/>
      <c r="B224" s="46"/>
      <c r="C224" s="14" t="s">
        <v>470</v>
      </c>
      <c r="D224" s="14"/>
    </row>
    <row r="225" spans="1:4">
      <c r="A225" s="46"/>
      <c r="B225" s="46"/>
      <c r="C225" s="14" t="s">
        <v>471</v>
      </c>
      <c r="D225" s="14"/>
    </row>
    <row r="226" spans="1:4">
      <c r="A226" s="46"/>
      <c r="B226" s="46"/>
      <c r="C226" s="14" t="s">
        <v>472</v>
      </c>
      <c r="D226" s="14"/>
    </row>
    <row r="227" spans="1:4">
      <c r="A227" s="46"/>
      <c r="B227" s="46"/>
      <c r="C227" s="14" t="s">
        <v>473</v>
      </c>
      <c r="D227" s="14"/>
    </row>
    <row r="228" spans="1:4">
      <c r="A228" s="46"/>
      <c r="B228" s="46"/>
      <c r="C228" s="14" t="s">
        <v>474</v>
      </c>
      <c r="D228" s="14"/>
    </row>
    <row r="229" spans="1:4">
      <c r="A229" s="46"/>
      <c r="B229" s="46"/>
      <c r="C229" s="14" t="s">
        <v>475</v>
      </c>
      <c r="D229" s="14"/>
    </row>
    <row r="230" spans="1:4">
      <c r="A230" s="46"/>
      <c r="B230" s="46"/>
      <c r="C230" s="14" t="s">
        <v>476</v>
      </c>
      <c r="D230" s="14"/>
    </row>
    <row r="231" spans="1:4">
      <c r="A231" s="46"/>
      <c r="B231" s="46"/>
      <c r="C231" s="14" t="s">
        <v>477</v>
      </c>
      <c r="D231" s="14"/>
    </row>
    <row r="232" spans="1:4">
      <c r="A232" s="46"/>
      <c r="B232" s="46"/>
      <c r="C232" s="14" t="s">
        <v>478</v>
      </c>
      <c r="D232" s="14"/>
    </row>
    <row r="233" spans="1:4">
      <c r="A233" s="46"/>
      <c r="B233" s="46"/>
      <c r="C233" s="14" t="s">
        <v>479</v>
      </c>
      <c r="D233" s="14"/>
    </row>
    <row r="234" spans="1:4">
      <c r="A234" s="46"/>
      <c r="B234" s="46"/>
      <c r="C234" s="14" t="s">
        <v>480</v>
      </c>
      <c r="D234" s="14"/>
    </row>
    <row r="235" spans="1:4">
      <c r="A235" s="46"/>
      <c r="B235" s="46"/>
      <c r="C235" s="14" t="s">
        <v>481</v>
      </c>
      <c r="D235" s="14"/>
    </row>
    <row r="236" spans="1:4">
      <c r="A236" s="46"/>
      <c r="B236" s="46"/>
      <c r="C236" s="14" t="s">
        <v>482</v>
      </c>
      <c r="D236" s="14"/>
    </row>
    <row r="237" spans="1:4">
      <c r="A237" s="46"/>
      <c r="B237" s="46"/>
      <c r="C237" s="14" t="s">
        <v>483</v>
      </c>
      <c r="D237" s="14"/>
    </row>
    <row r="238" spans="1:4">
      <c r="A238" s="46"/>
      <c r="B238" s="46"/>
      <c r="C238" s="14" t="s">
        <v>484</v>
      </c>
      <c r="D238" s="14"/>
    </row>
    <row r="239" spans="1:4">
      <c r="A239" s="46"/>
      <c r="B239" s="46"/>
      <c r="C239" s="14" t="s">
        <v>485</v>
      </c>
      <c r="D239" s="14"/>
    </row>
    <row r="240" spans="1:4">
      <c r="A240" s="46"/>
      <c r="B240" s="46"/>
      <c r="C240" s="14" t="s">
        <v>486</v>
      </c>
      <c r="D240" s="14"/>
    </row>
    <row r="241" spans="1:4">
      <c r="A241" s="46"/>
      <c r="B241" s="46"/>
      <c r="C241" s="14" t="s">
        <v>487</v>
      </c>
      <c r="D241" s="14"/>
    </row>
    <row r="242" spans="1:4">
      <c r="A242" s="46"/>
      <c r="B242" s="46"/>
      <c r="C242" s="14" t="s">
        <v>488</v>
      </c>
      <c r="D242" s="14"/>
    </row>
    <row r="243" spans="1:4">
      <c r="A243" s="46"/>
      <c r="B243" s="46"/>
      <c r="C243" s="14" t="s">
        <v>489</v>
      </c>
      <c r="D243" s="14"/>
    </row>
    <row r="244" spans="1:4">
      <c r="A244" s="46"/>
      <c r="B244" s="46"/>
      <c r="C244" s="14" t="s">
        <v>490</v>
      </c>
      <c r="D244" s="14"/>
    </row>
    <row r="245" spans="1:4">
      <c r="A245" s="46"/>
      <c r="B245" s="46"/>
      <c r="C245" s="14" t="s">
        <v>491</v>
      </c>
      <c r="D245" s="14"/>
    </row>
    <row r="246" spans="1:4">
      <c r="A246" s="46"/>
      <c r="B246" s="46"/>
      <c r="C246" s="14" t="s">
        <v>492</v>
      </c>
      <c r="D246" s="14"/>
    </row>
    <row r="247" spans="1:4">
      <c r="A247" s="46"/>
      <c r="B247" s="46"/>
      <c r="C247" s="14" t="s">
        <v>493</v>
      </c>
      <c r="D247" s="14"/>
    </row>
    <row r="248" spans="1:4">
      <c r="A248" s="46"/>
      <c r="B248" s="46"/>
      <c r="C248" s="14" t="s">
        <v>494</v>
      </c>
      <c r="D248" s="14"/>
    </row>
    <row r="249" spans="1:4">
      <c r="A249" s="46"/>
      <c r="B249" s="46"/>
      <c r="C249" s="14" t="s">
        <v>495</v>
      </c>
      <c r="D249" s="14"/>
    </row>
    <row r="250" spans="1:4">
      <c r="A250" s="46"/>
      <c r="B250" s="46"/>
      <c r="C250" s="14" t="s">
        <v>496</v>
      </c>
      <c r="D250" s="14"/>
    </row>
    <row r="251" spans="1:4">
      <c r="A251" s="46"/>
      <c r="B251" s="46"/>
      <c r="C251" s="14" t="s">
        <v>497</v>
      </c>
      <c r="D251" s="14"/>
    </row>
    <row r="252" spans="1:4">
      <c r="A252" s="46"/>
      <c r="B252" s="46"/>
      <c r="C252" s="14" t="s">
        <v>95</v>
      </c>
      <c r="D252" s="14"/>
    </row>
    <row r="253" spans="1:4">
      <c r="A253" s="46"/>
      <c r="B253" s="46"/>
      <c r="C253" s="14" t="s">
        <v>498</v>
      </c>
      <c r="D253" s="14"/>
    </row>
    <row r="254" spans="1:4">
      <c r="A254" s="46"/>
      <c r="B254" s="46"/>
      <c r="C254" s="14" t="s">
        <v>499</v>
      </c>
      <c r="D254" s="14"/>
    </row>
    <row r="255" spans="1:4">
      <c r="A255" s="46"/>
      <c r="B255" s="46"/>
      <c r="C255" s="14" t="s">
        <v>500</v>
      </c>
      <c r="D255" s="14"/>
    </row>
    <row r="256" spans="1:4">
      <c r="A256" s="46"/>
      <c r="B256" s="46"/>
      <c r="C256" s="14" t="s">
        <v>501</v>
      </c>
      <c r="D256" s="14"/>
    </row>
    <row r="257" spans="1:4">
      <c r="A257" s="46"/>
      <c r="B257" s="46"/>
      <c r="C257" s="14" t="s">
        <v>502</v>
      </c>
      <c r="D257" s="14"/>
    </row>
    <row r="258" spans="1:4">
      <c r="A258" s="46"/>
      <c r="B258" s="46"/>
      <c r="C258" s="14" t="s">
        <v>503</v>
      </c>
      <c r="D258" s="14"/>
    </row>
    <row r="259" spans="1:4">
      <c r="A259" s="46"/>
      <c r="B259" s="46"/>
      <c r="C259" s="14" t="s">
        <v>504</v>
      </c>
      <c r="D259" s="14"/>
    </row>
    <row r="260" spans="1:4">
      <c r="A260" s="46"/>
      <c r="B260" s="46"/>
      <c r="C260" s="14" t="s">
        <v>505</v>
      </c>
      <c r="D260" s="14"/>
    </row>
    <row r="261" spans="1:4">
      <c r="A261" s="46"/>
      <c r="B261" s="46"/>
      <c r="C261" s="14" t="s">
        <v>506</v>
      </c>
      <c r="D261" s="14"/>
    </row>
    <row r="262" spans="1:4">
      <c r="A262" s="46"/>
      <c r="B262" s="46"/>
      <c r="C262" s="14" t="s">
        <v>507</v>
      </c>
      <c r="D262" s="14"/>
    </row>
    <row r="263" spans="1:4">
      <c r="A263" s="46"/>
      <c r="B263" s="46"/>
      <c r="C263" s="14" t="s">
        <v>508</v>
      </c>
      <c r="D263" s="14"/>
    </row>
    <row r="264" spans="1:4">
      <c r="A264" s="46"/>
      <c r="B264" s="46"/>
      <c r="C264" s="14" t="s">
        <v>509</v>
      </c>
      <c r="D264" s="14"/>
    </row>
    <row r="265" spans="1:4">
      <c r="A265" s="46"/>
      <c r="B265" s="46"/>
      <c r="C265" s="14" t="s">
        <v>510</v>
      </c>
      <c r="D265" s="14"/>
    </row>
    <row r="266" spans="1:4">
      <c r="A266" s="46"/>
      <c r="B266" s="46"/>
      <c r="C266" s="14" t="s">
        <v>511</v>
      </c>
      <c r="D266" s="14"/>
    </row>
    <row r="267" spans="1:4">
      <c r="A267" s="46"/>
      <c r="B267" s="46"/>
      <c r="C267" s="14" t="s">
        <v>512</v>
      </c>
      <c r="D267" s="14"/>
    </row>
    <row r="268" spans="1:4">
      <c r="A268" s="46"/>
      <c r="B268" s="46"/>
      <c r="C268" s="14" t="s">
        <v>513</v>
      </c>
      <c r="D268" s="14"/>
    </row>
    <row r="269" spans="1:4">
      <c r="A269" s="46"/>
      <c r="B269" s="46"/>
      <c r="C269" s="14" t="s">
        <v>514</v>
      </c>
      <c r="D269" s="14"/>
    </row>
    <row r="270" spans="1:4">
      <c r="A270" s="46"/>
      <c r="B270" s="46"/>
      <c r="C270" s="14" t="s">
        <v>515</v>
      </c>
      <c r="D270" s="14" t="s">
        <v>516</v>
      </c>
    </row>
    <row r="271" spans="1:4">
      <c r="A271" s="46"/>
      <c r="B271" s="46"/>
      <c r="C271" s="14" t="s">
        <v>517</v>
      </c>
      <c r="D271" s="14" t="s">
        <v>518</v>
      </c>
    </row>
    <row r="272" spans="1:4">
      <c r="A272" s="46"/>
      <c r="B272" s="46"/>
      <c r="C272" s="14" t="s">
        <v>519</v>
      </c>
      <c r="D272" s="14" t="s">
        <v>520</v>
      </c>
    </row>
    <row r="273" spans="1:4">
      <c r="A273" s="46"/>
      <c r="B273" s="46"/>
      <c r="C273" s="14" t="s">
        <v>521</v>
      </c>
      <c r="D273" s="14"/>
    </row>
    <row r="274" spans="1:4">
      <c r="A274" s="46"/>
      <c r="B274" s="46"/>
      <c r="C274" s="14" t="s">
        <v>522</v>
      </c>
      <c r="D274" s="14" t="s">
        <v>523</v>
      </c>
    </row>
    <row r="275" spans="1:4">
      <c r="A275" s="46"/>
      <c r="B275" s="46"/>
      <c r="C275" s="14" t="s">
        <v>524</v>
      </c>
      <c r="D275" s="14"/>
    </row>
    <row r="276" spans="1:4">
      <c r="A276" s="46"/>
      <c r="B276" s="46"/>
      <c r="C276" s="14" t="s">
        <v>525</v>
      </c>
      <c r="D276" s="14"/>
    </row>
    <row r="277" spans="1:4">
      <c r="A277" s="46"/>
      <c r="B277" s="46"/>
      <c r="C277" s="14" t="s">
        <v>526</v>
      </c>
      <c r="D277" s="14"/>
    </row>
    <row r="278" spans="1:4">
      <c r="A278" s="46"/>
      <c r="B278" s="46"/>
      <c r="C278" s="14" t="s">
        <v>527</v>
      </c>
      <c r="D278" s="14"/>
    </row>
    <row r="279" spans="1:4">
      <c r="A279" s="46"/>
      <c r="B279" s="46"/>
      <c r="C279" s="14" t="s">
        <v>528</v>
      </c>
      <c r="D279" s="14"/>
    </row>
    <row r="280" spans="1:4">
      <c r="A280" s="46"/>
      <c r="B280" s="46"/>
      <c r="C280" s="14" t="s">
        <v>529</v>
      </c>
      <c r="D280" s="14"/>
    </row>
    <row r="281" spans="1:4">
      <c r="A281" s="46"/>
      <c r="B281" s="46"/>
      <c r="C281" s="14" t="s">
        <v>530</v>
      </c>
      <c r="D281" s="14"/>
    </row>
    <row r="282" spans="1:4">
      <c r="A282" s="46"/>
      <c r="B282" s="46"/>
      <c r="C282" s="14" t="s">
        <v>531</v>
      </c>
      <c r="D282" s="14" t="s">
        <v>532</v>
      </c>
    </row>
    <row r="283" spans="1:4">
      <c r="A283" s="46"/>
      <c r="B283" s="46"/>
      <c r="C283" s="14" t="s">
        <v>533</v>
      </c>
      <c r="D283" s="14"/>
    </row>
    <row r="284" spans="1:4">
      <c r="A284" s="46"/>
      <c r="B284" s="46"/>
      <c r="C284" s="14" t="s">
        <v>534</v>
      </c>
      <c r="D284" s="14" t="s">
        <v>535</v>
      </c>
    </row>
    <row r="285" spans="1:4">
      <c r="A285" s="46"/>
      <c r="B285" s="46"/>
      <c r="C285" s="14" t="s">
        <v>536</v>
      </c>
      <c r="D285" s="14"/>
    </row>
    <row r="286" spans="1:4">
      <c r="A286" s="46"/>
      <c r="B286" s="46"/>
      <c r="C286" s="14" t="s">
        <v>537</v>
      </c>
      <c r="D286" s="14"/>
    </row>
    <row r="287" spans="1:4">
      <c r="A287" s="46"/>
      <c r="B287" s="46"/>
      <c r="C287" s="14" t="s">
        <v>538</v>
      </c>
      <c r="D287" s="14"/>
    </row>
    <row r="288" spans="1:4">
      <c r="A288" s="46"/>
      <c r="B288" s="46"/>
      <c r="C288" s="14" t="s">
        <v>539</v>
      </c>
      <c r="D288" s="14"/>
    </row>
    <row r="289" spans="1:4">
      <c r="A289" s="46"/>
      <c r="B289" s="46"/>
      <c r="C289" s="14" t="s">
        <v>540</v>
      </c>
      <c r="D289" s="14" t="s">
        <v>541</v>
      </c>
    </row>
    <row r="290" spans="1:4">
      <c r="A290" s="46"/>
      <c r="B290" s="46"/>
      <c r="C290" s="14" t="s">
        <v>542</v>
      </c>
      <c r="D290" s="14"/>
    </row>
    <row r="291" spans="1:4">
      <c r="A291" s="46"/>
      <c r="B291" s="46"/>
      <c r="C291" s="14" t="s">
        <v>543</v>
      </c>
      <c r="D291" s="14"/>
    </row>
    <row r="292" spans="1:4">
      <c r="A292" s="46"/>
      <c r="B292" s="46"/>
      <c r="C292" s="14" t="s">
        <v>544</v>
      </c>
      <c r="D292" s="14"/>
    </row>
    <row r="293" spans="1:4">
      <c r="A293" s="46"/>
      <c r="B293" s="46"/>
      <c r="C293" s="14" t="s">
        <v>545</v>
      </c>
      <c r="D293" s="14"/>
    </row>
    <row r="294" spans="1:4">
      <c r="A294" s="46"/>
      <c r="B294" s="46"/>
      <c r="C294" s="14" t="s">
        <v>546</v>
      </c>
      <c r="D294" s="14"/>
    </row>
    <row r="295" spans="1:4">
      <c r="A295" s="46"/>
      <c r="B295" s="46"/>
      <c r="C295" s="14" t="s">
        <v>547</v>
      </c>
      <c r="D295" s="14"/>
    </row>
    <row r="296" spans="1:4">
      <c r="A296" s="46"/>
      <c r="B296" s="46"/>
      <c r="C296" s="14" t="s">
        <v>548</v>
      </c>
      <c r="D296" s="14"/>
    </row>
    <row r="297" spans="1:4">
      <c r="A297" s="46"/>
      <c r="B297" s="46"/>
      <c r="C297" s="14" t="s">
        <v>549</v>
      </c>
      <c r="D297" s="14" t="s">
        <v>550</v>
      </c>
    </row>
    <row r="298" spans="1:4">
      <c r="A298" s="46"/>
      <c r="B298" s="46"/>
      <c r="C298" s="14" t="s">
        <v>551</v>
      </c>
      <c r="D298" s="14"/>
    </row>
    <row r="299" spans="1:4">
      <c r="A299" s="46"/>
      <c r="B299" s="46"/>
      <c r="C299" s="14" t="s">
        <v>552</v>
      </c>
      <c r="D299" s="14"/>
    </row>
    <row r="300" spans="1:4">
      <c r="A300" s="46"/>
      <c r="B300" s="46"/>
      <c r="C300" s="113" t="s">
        <v>553</v>
      </c>
      <c r="D300" s="14"/>
    </row>
    <row r="301" spans="1:4">
      <c r="A301" s="46"/>
      <c r="B301" s="46"/>
      <c r="C301" s="14" t="s">
        <v>554</v>
      </c>
      <c r="D301" s="14"/>
    </row>
    <row r="302" spans="1:4">
      <c r="A302" s="46"/>
      <c r="B302" s="46"/>
      <c r="C302" s="14" t="s">
        <v>555</v>
      </c>
      <c r="D302" s="14"/>
    </row>
    <row r="303" spans="1:4">
      <c r="A303" s="46"/>
      <c r="B303" s="46"/>
      <c r="C303" s="14" t="s">
        <v>556</v>
      </c>
      <c r="D303" s="14"/>
    </row>
    <row r="304" spans="1:4">
      <c r="A304" s="46"/>
      <c r="B304" s="46"/>
      <c r="C304" s="14" t="s">
        <v>557</v>
      </c>
      <c r="D304" s="14"/>
    </row>
    <row r="305" spans="1:4">
      <c r="A305" s="46"/>
      <c r="B305" s="46"/>
      <c r="C305" s="14" t="s">
        <v>558</v>
      </c>
      <c r="D305" s="14"/>
    </row>
    <row r="306" spans="1:4">
      <c r="A306" s="46"/>
      <c r="B306" s="46"/>
      <c r="C306" s="14" t="s">
        <v>559</v>
      </c>
      <c r="D306" s="14"/>
    </row>
    <row r="307" spans="1:4">
      <c r="A307" s="46"/>
      <c r="B307" s="46"/>
      <c r="C307" s="14" t="s">
        <v>560</v>
      </c>
      <c r="D307" s="14"/>
    </row>
    <row r="308" spans="1:4">
      <c r="A308" s="46"/>
      <c r="B308" s="46"/>
      <c r="C308" s="14" t="s">
        <v>561</v>
      </c>
      <c r="D308" s="14"/>
    </row>
    <row r="309" spans="1:4">
      <c r="A309" s="46"/>
      <c r="B309" s="46"/>
      <c r="C309" s="14" t="s">
        <v>562</v>
      </c>
      <c r="D309" s="14"/>
    </row>
    <row r="310" spans="1:4">
      <c r="A310" s="46"/>
      <c r="B310" s="46"/>
      <c r="C310" s="113" t="s">
        <v>563</v>
      </c>
      <c r="D310" s="14"/>
    </row>
    <row r="311" spans="1:4">
      <c r="A311" s="46"/>
      <c r="B311" s="46"/>
      <c r="C311" s="113" t="s">
        <v>564</v>
      </c>
      <c r="D311" s="14"/>
    </row>
    <row r="312" spans="1:4">
      <c r="A312" s="46"/>
      <c r="B312" s="46"/>
      <c r="C312" s="113" t="s">
        <v>565</v>
      </c>
      <c r="D312" s="14"/>
    </row>
    <row r="313" spans="1:4">
      <c r="A313" s="46"/>
      <c r="B313" s="46"/>
      <c r="C313" s="14" t="s">
        <v>566</v>
      </c>
      <c r="D313" s="14"/>
    </row>
    <row r="314" spans="1:4">
      <c r="A314" s="46"/>
      <c r="B314" s="46"/>
      <c r="C314" s="14" t="s">
        <v>567</v>
      </c>
      <c r="D314" s="14"/>
    </row>
    <row r="315" spans="1:4">
      <c r="A315" s="46"/>
      <c r="B315" s="46"/>
      <c r="C315" s="14" t="s">
        <v>568</v>
      </c>
      <c r="D315" s="14"/>
    </row>
    <row r="316" spans="1:4">
      <c r="A316" s="46"/>
      <c r="B316" s="46"/>
      <c r="C316" s="14" t="s">
        <v>569</v>
      </c>
      <c r="D316" s="14"/>
    </row>
    <row r="317" spans="1:4">
      <c r="A317" s="46"/>
      <c r="B317" s="46"/>
      <c r="C317" s="14" t="s">
        <v>570</v>
      </c>
      <c r="D317" s="14"/>
    </row>
    <row r="318" spans="1:4">
      <c r="A318" s="46"/>
      <c r="B318" s="46"/>
      <c r="C318" s="14" t="s">
        <v>571</v>
      </c>
      <c r="D318" s="109" t="s">
        <v>572</v>
      </c>
    </row>
    <row r="319" spans="1:4">
      <c r="A319" s="46"/>
      <c r="B319" s="46"/>
      <c r="C319" s="14" t="s">
        <v>573</v>
      </c>
      <c r="D319" s="14"/>
    </row>
    <row r="320" spans="1:4">
      <c r="A320" s="46"/>
      <c r="B320" s="46"/>
      <c r="C320" s="14" t="s">
        <v>574</v>
      </c>
      <c r="D320" s="14"/>
    </row>
    <row r="321" spans="1:4">
      <c r="A321" s="46"/>
      <c r="B321" s="46"/>
      <c r="C321" s="14" t="s">
        <v>575</v>
      </c>
      <c r="D321" s="14"/>
    </row>
    <row r="322" spans="1:4">
      <c r="A322" s="46"/>
      <c r="B322" s="46"/>
      <c r="C322" s="14" t="s">
        <v>576</v>
      </c>
      <c r="D322" s="14"/>
    </row>
    <row r="323" spans="1:4">
      <c r="A323" s="46"/>
      <c r="B323" s="46"/>
      <c r="C323" s="14" t="s">
        <v>577</v>
      </c>
      <c r="D323" s="14"/>
    </row>
    <row r="324" spans="1:4">
      <c r="A324" s="46"/>
      <c r="B324" s="46"/>
      <c r="C324" s="14" t="s">
        <v>578</v>
      </c>
      <c r="D324" s="14"/>
    </row>
    <row r="325" spans="1:4">
      <c r="A325" s="46"/>
      <c r="B325" s="46"/>
      <c r="C325" s="14" t="s">
        <v>579</v>
      </c>
      <c r="D325" s="14"/>
    </row>
    <row r="326" spans="1:4">
      <c r="A326" s="46"/>
      <c r="B326" s="46"/>
      <c r="C326" s="14" t="s">
        <v>580</v>
      </c>
      <c r="D326" s="14"/>
    </row>
    <row r="327" spans="1:4">
      <c r="A327" s="46"/>
      <c r="B327" s="46"/>
      <c r="C327" s="14" t="s">
        <v>581</v>
      </c>
      <c r="D327" s="14"/>
    </row>
    <row r="328" spans="1:4">
      <c r="A328" s="63"/>
      <c r="B328" s="53" t="s">
        <v>582</v>
      </c>
      <c r="C328" s="40" t="s">
        <v>583</v>
      </c>
      <c r="D328" s="40"/>
    </row>
    <row r="329" spans="1:4">
      <c r="A329" s="64"/>
      <c r="B329" s="54"/>
      <c r="C329" s="40" t="s">
        <v>584</v>
      </c>
      <c r="D329" s="40"/>
    </row>
    <row r="330" spans="1:4">
      <c r="A330" s="64"/>
      <c r="B330" s="54"/>
      <c r="C330" s="111" t="s">
        <v>585</v>
      </c>
      <c r="D330" s="40"/>
    </row>
    <row r="331" spans="1:4">
      <c r="A331" s="64"/>
      <c r="B331" s="54"/>
      <c r="C331" s="110" t="s">
        <v>586</v>
      </c>
      <c r="D331" s="40"/>
    </row>
    <row r="332" spans="1:4">
      <c r="A332" s="64"/>
      <c r="B332" s="54"/>
      <c r="C332" s="110" t="s">
        <v>587</v>
      </c>
      <c r="D332" s="40"/>
    </row>
    <row r="333" spans="1:4">
      <c r="A333" s="64"/>
      <c r="B333" s="54"/>
      <c r="C333" s="110" t="s">
        <v>588</v>
      </c>
      <c r="D333" s="40"/>
    </row>
    <row r="334" spans="1:4">
      <c r="A334" s="64"/>
      <c r="B334" s="54"/>
      <c r="C334" s="110" t="s">
        <v>589</v>
      </c>
      <c r="D334" s="40"/>
    </row>
    <row r="335" spans="1:4">
      <c r="A335" s="64"/>
      <c r="B335" s="54"/>
      <c r="C335" s="40" t="s">
        <v>590</v>
      </c>
      <c r="D335" s="40"/>
    </row>
    <row r="336" spans="1:4">
      <c r="A336" s="64"/>
      <c r="B336" s="54"/>
      <c r="C336" s="40" t="s">
        <v>591</v>
      </c>
      <c r="D336" s="40"/>
    </row>
    <row r="337" spans="1:4">
      <c r="A337" s="64"/>
      <c r="B337" s="54"/>
      <c r="C337" s="40" t="s">
        <v>592</v>
      </c>
      <c r="D337" s="40"/>
    </row>
    <row r="338" spans="1:4">
      <c r="A338" s="64"/>
      <c r="B338" s="54"/>
      <c r="C338" s="40" t="s">
        <v>593</v>
      </c>
      <c r="D338" s="40"/>
    </row>
    <row r="339" spans="1:4">
      <c r="A339" s="64"/>
      <c r="B339" s="54"/>
      <c r="C339" s="40" t="s">
        <v>594</v>
      </c>
      <c r="D339" s="40"/>
    </row>
    <row r="340" spans="1:4">
      <c r="A340" s="64"/>
      <c r="B340" s="54"/>
      <c r="C340" s="40" t="s">
        <v>595</v>
      </c>
      <c r="D340" s="40"/>
    </row>
    <row r="341" spans="1:4">
      <c r="A341" s="64"/>
      <c r="B341" s="54"/>
      <c r="C341" s="40" t="s">
        <v>596</v>
      </c>
      <c r="D341" s="40"/>
    </row>
    <row r="342" spans="1:4">
      <c r="A342" s="64"/>
      <c r="B342" s="54"/>
      <c r="C342" s="40" t="s">
        <v>597</v>
      </c>
      <c r="D342" s="40"/>
    </row>
    <row r="343" spans="1:4">
      <c r="A343" s="64"/>
      <c r="B343" s="54"/>
      <c r="C343" s="40" t="s">
        <v>598</v>
      </c>
      <c r="D343" s="40"/>
    </row>
    <row r="344" spans="1:4">
      <c r="A344" s="64"/>
      <c r="B344" s="54"/>
      <c r="C344" s="40" t="s">
        <v>599</v>
      </c>
      <c r="D344" s="40"/>
    </row>
    <row r="345" spans="1:4">
      <c r="A345" s="64"/>
      <c r="B345" s="54"/>
      <c r="C345" s="40" t="s">
        <v>600</v>
      </c>
      <c r="D345" s="40"/>
    </row>
    <row r="346" spans="1:4">
      <c r="A346" s="64"/>
      <c r="B346" s="54"/>
      <c r="C346" s="40" t="s">
        <v>601</v>
      </c>
      <c r="D346" s="40"/>
    </row>
    <row r="347" spans="1:4">
      <c r="A347" s="64"/>
      <c r="B347" s="54"/>
      <c r="C347" s="40" t="s">
        <v>602</v>
      </c>
      <c r="D347" s="40"/>
    </row>
    <row r="348" spans="1:4">
      <c r="A348" s="64"/>
      <c r="B348" s="54"/>
      <c r="C348" s="40" t="s">
        <v>603</v>
      </c>
      <c r="D348" s="40"/>
    </row>
    <row r="349" spans="1:4">
      <c r="A349" s="64"/>
      <c r="B349" s="54"/>
      <c r="C349" s="40" t="s">
        <v>604</v>
      </c>
      <c r="D349" s="40"/>
    </row>
    <row r="350" spans="1:4">
      <c r="A350" s="64"/>
      <c r="B350" s="54"/>
      <c r="C350" s="40" t="s">
        <v>605</v>
      </c>
      <c r="D350" s="40"/>
    </row>
    <row r="351" spans="1:4">
      <c r="A351" s="64"/>
      <c r="B351" s="54"/>
      <c r="C351" s="40" t="s">
        <v>606</v>
      </c>
      <c r="D351" s="40"/>
    </row>
    <row r="352" spans="1:4">
      <c r="A352" s="64"/>
      <c r="B352" s="54"/>
      <c r="C352" s="40" t="s">
        <v>607</v>
      </c>
      <c r="D352" s="40"/>
    </row>
    <row r="353" spans="1:4">
      <c r="A353" s="64"/>
      <c r="B353" s="54"/>
      <c r="C353" s="40" t="s">
        <v>608</v>
      </c>
      <c r="D353" s="40"/>
    </row>
    <row r="354" spans="1:4">
      <c r="A354" s="64"/>
      <c r="B354" s="54"/>
      <c r="C354" s="40" t="s">
        <v>609</v>
      </c>
      <c r="D354" s="40"/>
    </row>
    <row r="355" spans="1:4">
      <c r="A355" s="64"/>
      <c r="B355" s="54"/>
      <c r="C355" s="40" t="s">
        <v>610</v>
      </c>
      <c r="D355" s="40"/>
    </row>
    <row r="356" spans="1:4">
      <c r="A356" s="64"/>
      <c r="B356" s="54"/>
      <c r="C356" s="40" t="s">
        <v>611</v>
      </c>
      <c r="D356" s="40"/>
    </row>
    <row r="357" spans="1:4">
      <c r="A357" s="64"/>
      <c r="B357" s="54"/>
      <c r="C357" s="40" t="s">
        <v>612</v>
      </c>
      <c r="D357" s="40"/>
    </row>
    <row r="358" spans="1:4">
      <c r="A358" s="64"/>
      <c r="B358" s="54"/>
      <c r="C358" s="40" t="s">
        <v>613</v>
      </c>
      <c r="D358" s="40"/>
    </row>
    <row r="359" spans="1:4">
      <c r="A359" s="64"/>
      <c r="B359" s="54"/>
      <c r="C359" s="40" t="s">
        <v>614</v>
      </c>
      <c r="D359" s="40"/>
    </row>
    <row r="360" spans="1:4">
      <c r="A360" s="64"/>
      <c r="B360" s="54"/>
      <c r="C360" s="40" t="s">
        <v>615</v>
      </c>
      <c r="D360" s="40"/>
    </row>
    <row r="361" spans="1:4">
      <c r="A361" s="64"/>
      <c r="B361" s="54"/>
      <c r="C361" s="40" t="s">
        <v>616</v>
      </c>
      <c r="D361" s="40"/>
    </row>
    <row r="362" spans="1:4">
      <c r="A362" s="64"/>
      <c r="B362" s="54"/>
      <c r="C362" s="40" t="s">
        <v>617</v>
      </c>
      <c r="D362" s="40"/>
    </row>
    <row r="363" spans="1:4">
      <c r="A363" s="64"/>
      <c r="B363" s="54"/>
      <c r="C363" s="40" t="s">
        <v>618</v>
      </c>
      <c r="D363" s="40"/>
    </row>
    <row r="364" spans="1:4">
      <c r="A364" s="64"/>
      <c r="B364" s="54"/>
      <c r="C364" s="40" t="s">
        <v>619</v>
      </c>
      <c r="D364" s="40"/>
    </row>
    <row r="365" spans="1:4">
      <c r="A365" s="64"/>
      <c r="B365" s="54"/>
      <c r="C365" s="40" t="s">
        <v>620</v>
      </c>
      <c r="D365" s="40"/>
    </row>
    <row r="366" spans="1:4">
      <c r="A366" s="64"/>
      <c r="B366" s="54"/>
      <c r="C366" s="40" t="s">
        <v>621</v>
      </c>
      <c r="D366" s="40"/>
    </row>
    <row r="367" spans="1:4">
      <c r="A367" s="64"/>
      <c r="B367" s="54"/>
      <c r="C367" s="40" t="s">
        <v>622</v>
      </c>
      <c r="D367" s="40"/>
    </row>
    <row r="368" spans="1:4">
      <c r="A368" s="64"/>
      <c r="B368" s="54"/>
      <c r="C368" s="40" t="s">
        <v>623</v>
      </c>
      <c r="D368" s="40"/>
    </row>
    <row r="369" spans="1:4">
      <c r="A369" s="64"/>
      <c r="B369" s="54"/>
      <c r="C369" s="40" t="s">
        <v>624</v>
      </c>
      <c r="D369" s="40"/>
    </row>
    <row r="370" spans="1:4">
      <c r="A370" s="64"/>
      <c r="B370" s="54"/>
      <c r="C370" s="40" t="s">
        <v>625</v>
      </c>
      <c r="D370" s="40"/>
    </row>
    <row r="371" spans="1:4">
      <c r="A371" s="64"/>
      <c r="B371" s="54"/>
      <c r="C371" s="40" t="s">
        <v>626</v>
      </c>
      <c r="D371" s="40"/>
    </row>
    <row r="372" spans="1:4">
      <c r="A372" s="64"/>
      <c r="B372" s="54"/>
      <c r="C372" s="40" t="s">
        <v>627</v>
      </c>
      <c r="D372" s="40"/>
    </row>
    <row r="373" spans="1:4">
      <c r="A373" s="64"/>
      <c r="B373" s="54"/>
      <c r="C373" s="40" t="s">
        <v>628</v>
      </c>
      <c r="D373" s="40"/>
    </row>
    <row r="374" spans="1:4">
      <c r="A374" s="64"/>
      <c r="B374" s="54"/>
      <c r="C374" s="40" t="s">
        <v>629</v>
      </c>
      <c r="D374" s="40"/>
    </row>
    <row r="375" spans="1:4">
      <c r="A375" s="64"/>
      <c r="B375" s="54"/>
      <c r="C375" s="40" t="s">
        <v>630</v>
      </c>
      <c r="D375" s="40"/>
    </row>
    <row r="376" spans="1:4">
      <c r="A376" s="64"/>
      <c r="B376" s="54"/>
      <c r="C376" s="40" t="s">
        <v>631</v>
      </c>
      <c r="D376" s="40"/>
    </row>
    <row r="377" spans="1:4">
      <c r="A377" s="64"/>
      <c r="B377" s="54"/>
      <c r="C377" s="40" t="s">
        <v>632</v>
      </c>
      <c r="D377" s="40"/>
    </row>
    <row r="378" spans="1:4">
      <c r="A378" s="64"/>
      <c r="B378" s="54"/>
      <c r="C378" s="40" t="s">
        <v>633</v>
      </c>
      <c r="D378" s="40"/>
    </row>
    <row r="379" spans="1:4">
      <c r="A379" s="64"/>
      <c r="B379" s="54"/>
      <c r="C379" s="40" t="s">
        <v>634</v>
      </c>
      <c r="D379" s="40"/>
    </row>
    <row r="380" spans="1:4">
      <c r="A380" s="64"/>
      <c r="B380" s="54"/>
      <c r="C380" s="40" t="s">
        <v>635</v>
      </c>
      <c r="D380" s="40"/>
    </row>
    <row r="381" spans="1:4">
      <c r="A381" s="64"/>
      <c r="B381" s="54"/>
      <c r="C381" s="40" t="s">
        <v>636</v>
      </c>
      <c r="D381" s="40"/>
    </row>
    <row r="382" spans="1:4">
      <c r="A382" s="64"/>
      <c r="B382" s="54"/>
      <c r="C382" s="40" t="s">
        <v>637</v>
      </c>
      <c r="D382" s="40"/>
    </row>
    <row r="383" spans="1:4">
      <c r="A383" s="64"/>
      <c r="B383" s="54"/>
      <c r="C383" s="40" t="s">
        <v>638</v>
      </c>
      <c r="D383" s="40"/>
    </row>
    <row r="384" spans="1:4">
      <c r="A384" s="64"/>
      <c r="B384" s="54"/>
      <c r="C384" s="40" t="s">
        <v>639</v>
      </c>
      <c r="D384" s="40"/>
    </row>
    <row r="385" spans="1:4">
      <c r="A385" s="64"/>
      <c r="B385" s="54"/>
      <c r="C385" s="40" t="s">
        <v>640</v>
      </c>
      <c r="D385" s="40"/>
    </row>
    <row r="386" spans="1:4">
      <c r="A386" s="64"/>
      <c r="B386" s="54"/>
      <c r="C386" s="40" t="s">
        <v>641</v>
      </c>
      <c r="D386" s="40"/>
    </row>
    <row r="387" spans="1:4">
      <c r="A387" s="64"/>
      <c r="B387" s="54"/>
      <c r="C387" s="40" t="s">
        <v>642</v>
      </c>
      <c r="D387" s="40"/>
    </row>
    <row r="388" spans="1:4">
      <c r="A388" s="64"/>
      <c r="B388" s="54"/>
      <c r="C388" s="40" t="s">
        <v>643</v>
      </c>
      <c r="D388" s="40"/>
    </row>
    <row r="389" spans="1:4">
      <c r="A389" s="64"/>
      <c r="B389" s="54"/>
      <c r="C389" s="40" t="s">
        <v>644</v>
      </c>
      <c r="D389" s="40"/>
    </row>
    <row r="390" spans="1:4">
      <c r="A390" s="64"/>
      <c r="B390" s="54"/>
      <c r="C390" s="40" t="s">
        <v>645</v>
      </c>
      <c r="D390" s="40"/>
    </row>
    <row r="391" spans="1:4">
      <c r="A391" s="64"/>
      <c r="B391" s="54"/>
      <c r="C391" s="40" t="s">
        <v>646</v>
      </c>
      <c r="D391" s="40"/>
    </row>
    <row r="392" spans="1:4">
      <c r="A392" s="64"/>
      <c r="B392" s="54"/>
      <c r="C392" s="40" t="s">
        <v>647</v>
      </c>
      <c r="D392" s="40"/>
    </row>
    <row r="393" spans="1:4">
      <c r="A393" s="64"/>
      <c r="B393" s="54"/>
      <c r="C393" s="40" t="s">
        <v>648</v>
      </c>
      <c r="D393" s="40"/>
    </row>
    <row r="394" spans="1:4">
      <c r="A394" s="64"/>
      <c r="B394" s="54"/>
      <c r="C394" s="40" t="s">
        <v>649</v>
      </c>
      <c r="D394" s="40"/>
    </row>
    <row r="395" spans="1:4">
      <c r="A395" s="64"/>
      <c r="B395" s="54"/>
      <c r="C395" s="40" t="s">
        <v>650</v>
      </c>
      <c r="D395" s="40"/>
    </row>
    <row r="396" spans="1:4">
      <c r="A396" s="64"/>
      <c r="B396" s="54"/>
      <c r="C396" s="40" t="s">
        <v>651</v>
      </c>
      <c r="D396" s="40"/>
    </row>
    <row r="397" spans="1:4">
      <c r="A397" s="64"/>
      <c r="B397" s="54"/>
      <c r="C397" s="40" t="s">
        <v>652</v>
      </c>
      <c r="D397" s="40"/>
    </row>
    <row r="398" spans="1:4">
      <c r="A398" s="64"/>
      <c r="B398" s="54"/>
      <c r="C398" s="40" t="s">
        <v>653</v>
      </c>
      <c r="D398" s="40"/>
    </row>
    <row r="399" spans="1:4">
      <c r="A399" s="64"/>
      <c r="B399" s="54"/>
      <c r="C399" s="40" t="s">
        <v>654</v>
      </c>
      <c r="D399" s="40"/>
    </row>
    <row r="400" spans="1:4">
      <c r="A400" s="64"/>
      <c r="B400" s="54"/>
      <c r="C400" s="40" t="s">
        <v>655</v>
      </c>
      <c r="D400" s="40"/>
    </row>
    <row r="401" spans="1:4">
      <c r="A401" s="64"/>
      <c r="B401" s="54"/>
      <c r="C401" s="40" t="s">
        <v>656</v>
      </c>
      <c r="D401" s="40"/>
    </row>
    <row r="402" spans="1:4">
      <c r="A402" s="64"/>
      <c r="B402" s="54"/>
      <c r="C402" s="40" t="s">
        <v>657</v>
      </c>
      <c r="D402" s="40"/>
    </row>
    <row r="403" spans="1:4">
      <c r="A403" s="64"/>
      <c r="B403" s="54"/>
      <c r="C403" s="40" t="s">
        <v>658</v>
      </c>
      <c r="D403" s="40"/>
    </row>
    <row r="404" spans="1:4">
      <c r="A404" s="64"/>
      <c r="B404" s="54"/>
      <c r="C404" s="40" t="s">
        <v>659</v>
      </c>
      <c r="D404" s="40"/>
    </row>
    <row r="405" spans="1:4">
      <c r="A405" s="64"/>
      <c r="B405" s="54"/>
      <c r="C405" s="40" t="s">
        <v>660</v>
      </c>
      <c r="D405" s="40"/>
    </row>
    <row r="406" spans="1:4">
      <c r="A406" s="64"/>
      <c r="B406" s="54"/>
      <c r="C406" s="40" t="s">
        <v>661</v>
      </c>
      <c r="D406" s="40"/>
    </row>
    <row r="407" spans="1:4">
      <c r="A407" s="64"/>
      <c r="B407" s="54"/>
      <c r="C407" s="40" t="s">
        <v>662</v>
      </c>
      <c r="D407" s="40"/>
    </row>
    <row r="408" spans="1:4">
      <c r="A408" s="64"/>
      <c r="B408" s="54"/>
      <c r="C408" s="40" t="s">
        <v>663</v>
      </c>
      <c r="D408" s="40"/>
    </row>
    <row r="409" spans="1:4">
      <c r="A409" s="64"/>
      <c r="B409" s="54"/>
      <c r="C409" s="40" t="s">
        <v>664</v>
      </c>
      <c r="D409" s="40"/>
    </row>
    <row r="410" spans="1:4">
      <c r="A410" s="64"/>
      <c r="B410" s="54"/>
      <c r="C410" s="40" t="s">
        <v>665</v>
      </c>
      <c r="D410" s="40"/>
    </row>
    <row r="411" spans="1:4">
      <c r="A411" s="64"/>
      <c r="B411" s="54"/>
      <c r="C411" s="40" t="s">
        <v>666</v>
      </c>
      <c r="D411" s="40"/>
    </row>
    <row r="412" spans="1:4">
      <c r="A412" s="64"/>
      <c r="B412" s="54"/>
      <c r="C412" s="40" t="s">
        <v>667</v>
      </c>
      <c r="D412" s="40"/>
    </row>
    <row r="413" spans="1:4">
      <c r="A413" s="64"/>
      <c r="B413" s="54"/>
      <c r="C413" s="40" t="s">
        <v>668</v>
      </c>
      <c r="D413" s="40"/>
    </row>
    <row r="414" spans="1:4">
      <c r="A414" s="64"/>
      <c r="B414" s="54"/>
      <c r="C414" s="40" t="s">
        <v>669</v>
      </c>
      <c r="D414" s="40"/>
    </row>
    <row r="415" spans="1:4">
      <c r="A415" s="64"/>
      <c r="B415" s="54"/>
      <c r="C415" s="40" t="s">
        <v>670</v>
      </c>
      <c r="D415" s="40"/>
    </row>
    <row r="416" spans="1:4">
      <c r="A416" s="64"/>
      <c r="B416" s="54"/>
      <c r="C416" s="40" t="s">
        <v>671</v>
      </c>
      <c r="D416" s="40"/>
    </row>
    <row r="417" spans="1:4">
      <c r="A417" s="64"/>
      <c r="B417" s="54"/>
      <c r="C417" s="40" t="s">
        <v>672</v>
      </c>
      <c r="D417" s="40"/>
    </row>
    <row r="418" spans="1:4">
      <c r="A418" s="64"/>
      <c r="B418" s="54"/>
      <c r="C418" s="40" t="s">
        <v>673</v>
      </c>
      <c r="D418" s="40"/>
    </row>
    <row r="419" spans="1:4">
      <c r="A419" s="64"/>
      <c r="B419" s="54"/>
      <c r="C419" s="40" t="s">
        <v>674</v>
      </c>
      <c r="D419" s="40"/>
    </row>
    <row r="420" spans="1:4">
      <c r="A420" s="64"/>
      <c r="B420" s="54"/>
      <c r="C420" s="40" t="s">
        <v>675</v>
      </c>
      <c r="D420" s="40"/>
    </row>
    <row r="421" spans="1:4">
      <c r="A421" s="64"/>
      <c r="B421" s="54"/>
      <c r="C421" s="40" t="s">
        <v>676</v>
      </c>
      <c r="D421" s="40"/>
    </row>
    <row r="422" spans="1:4">
      <c r="A422" s="64"/>
      <c r="B422" s="54"/>
      <c r="C422" s="40" t="s">
        <v>677</v>
      </c>
      <c r="D422" s="40"/>
    </row>
    <row r="423" spans="1:4">
      <c r="A423" s="64"/>
      <c r="B423" s="54"/>
      <c r="C423" s="40" t="s">
        <v>678</v>
      </c>
      <c r="D423" s="40"/>
    </row>
    <row r="424" spans="1:4">
      <c r="A424" s="64"/>
      <c r="B424" s="54"/>
      <c r="C424" s="40" t="s">
        <v>679</v>
      </c>
      <c r="D424" s="40"/>
    </row>
    <row r="425" spans="1:4">
      <c r="A425" s="64"/>
      <c r="B425" s="54"/>
      <c r="C425" s="40" t="s">
        <v>680</v>
      </c>
      <c r="D425" s="40"/>
    </row>
    <row r="426" spans="1:4">
      <c r="A426" s="64"/>
      <c r="B426" s="54"/>
      <c r="C426" s="40" t="s">
        <v>681</v>
      </c>
      <c r="D426" s="40"/>
    </row>
    <row r="427" spans="1:4">
      <c r="A427" s="64"/>
      <c r="B427" s="54"/>
      <c r="C427" s="40" t="s">
        <v>682</v>
      </c>
      <c r="D427" s="40"/>
    </row>
    <row r="428" spans="1:4">
      <c r="A428" s="64"/>
      <c r="B428" s="54"/>
      <c r="C428" s="40" t="s">
        <v>683</v>
      </c>
      <c r="D428" s="40"/>
    </row>
    <row r="429" spans="1:4">
      <c r="A429" s="64"/>
      <c r="B429" s="54"/>
      <c r="C429" s="40" t="s">
        <v>684</v>
      </c>
      <c r="D429" s="40"/>
    </row>
    <row r="430" spans="1:4">
      <c r="A430" s="64"/>
      <c r="B430" s="54"/>
      <c r="C430" s="40" t="s">
        <v>685</v>
      </c>
      <c r="D430" s="40"/>
    </row>
    <row r="431" spans="1:4">
      <c r="A431" s="64"/>
      <c r="B431" s="54"/>
      <c r="C431" s="40" t="s">
        <v>686</v>
      </c>
      <c r="D431" s="40"/>
    </row>
    <row r="432" spans="1:4">
      <c r="A432" s="64"/>
      <c r="B432" s="54"/>
      <c r="C432" s="40" t="s">
        <v>687</v>
      </c>
      <c r="D432" s="40"/>
    </row>
    <row r="433" spans="1:4">
      <c r="A433" s="64"/>
      <c r="B433" s="54"/>
      <c r="C433" s="40" t="s">
        <v>688</v>
      </c>
      <c r="D433" s="40"/>
    </row>
    <row r="434" spans="1:4">
      <c r="A434" s="64"/>
      <c r="B434" s="54"/>
      <c r="C434" s="40" t="s">
        <v>689</v>
      </c>
      <c r="D434" s="40"/>
    </row>
    <row r="435" spans="1:4">
      <c r="A435" s="64"/>
      <c r="B435" s="54"/>
      <c r="C435" s="40" t="s">
        <v>690</v>
      </c>
      <c r="D435" s="40"/>
    </row>
    <row r="436" spans="1:4">
      <c r="A436" s="64"/>
      <c r="B436" s="54"/>
      <c r="C436" s="40" t="s">
        <v>691</v>
      </c>
      <c r="D436" s="40"/>
    </row>
    <row r="437" spans="1:4">
      <c r="A437" s="64"/>
      <c r="B437" s="54"/>
      <c r="C437" s="40" t="s">
        <v>692</v>
      </c>
      <c r="D437" s="40"/>
    </row>
    <row r="438" spans="1:4">
      <c r="A438" s="64"/>
      <c r="B438" s="54"/>
      <c r="C438" s="40" t="s">
        <v>693</v>
      </c>
      <c r="D438" s="40"/>
    </row>
    <row r="439" spans="1:4">
      <c r="A439" s="64"/>
      <c r="B439" s="54"/>
      <c r="C439" s="40" t="s">
        <v>694</v>
      </c>
      <c r="D439" s="40"/>
    </row>
    <row r="440" spans="1:4">
      <c r="A440" s="64"/>
      <c r="B440" s="54"/>
      <c r="C440" s="40" t="s">
        <v>695</v>
      </c>
      <c r="D440" s="40"/>
    </row>
    <row r="441" spans="1:4">
      <c r="A441" s="64"/>
      <c r="B441" s="54"/>
      <c r="C441" s="40" t="s">
        <v>696</v>
      </c>
      <c r="D441" s="40"/>
    </row>
    <row r="442" spans="1:4">
      <c r="A442" s="64"/>
      <c r="B442" s="54"/>
      <c r="C442" s="40" t="s">
        <v>697</v>
      </c>
      <c r="D442" s="40"/>
    </row>
    <row r="443" spans="1:4">
      <c r="A443" s="64"/>
      <c r="B443" s="54"/>
      <c r="C443" s="40" t="s">
        <v>698</v>
      </c>
      <c r="D443" s="40"/>
    </row>
    <row r="444" spans="1:4">
      <c r="A444" s="64"/>
      <c r="B444" s="54"/>
      <c r="C444" s="40" t="s">
        <v>699</v>
      </c>
      <c r="D444" s="40"/>
    </row>
    <row r="445" spans="1:4">
      <c r="A445" s="64"/>
      <c r="B445" s="54"/>
      <c r="C445" s="40" t="s">
        <v>700</v>
      </c>
      <c r="D445" s="40"/>
    </row>
    <row r="446" spans="1:4">
      <c r="A446" s="64"/>
      <c r="B446" s="54"/>
      <c r="C446" s="40" t="s">
        <v>701</v>
      </c>
      <c r="D446" s="40"/>
    </row>
    <row r="447" spans="1:4">
      <c r="A447" s="64"/>
      <c r="B447" s="54"/>
      <c r="C447" s="40" t="s">
        <v>702</v>
      </c>
      <c r="D447" s="40"/>
    </row>
    <row r="448" spans="1:4">
      <c r="A448" s="64"/>
      <c r="B448" s="54"/>
      <c r="C448" s="40" t="s">
        <v>703</v>
      </c>
      <c r="D448" s="40"/>
    </row>
    <row r="449" spans="1:4">
      <c r="A449" s="64"/>
      <c r="B449" s="54"/>
      <c r="C449" s="40" t="s">
        <v>704</v>
      </c>
      <c r="D449" s="40"/>
    </row>
    <row r="450" spans="1:4">
      <c r="A450" s="64"/>
      <c r="B450" s="54"/>
      <c r="C450" s="40" t="s">
        <v>705</v>
      </c>
      <c r="D450" s="40"/>
    </row>
    <row r="451" spans="1:4">
      <c r="A451" s="64"/>
      <c r="B451" s="54"/>
      <c r="C451" s="40" t="s">
        <v>706</v>
      </c>
      <c r="D451" s="40"/>
    </row>
    <row r="452" spans="1:4">
      <c r="A452" s="64"/>
      <c r="B452" s="54"/>
      <c r="C452" s="40" t="s">
        <v>707</v>
      </c>
      <c r="D452" s="40"/>
    </row>
    <row r="453" spans="1:4">
      <c r="A453" s="64"/>
      <c r="B453" s="54"/>
      <c r="C453" s="40" t="s">
        <v>708</v>
      </c>
      <c r="D453" s="40"/>
    </row>
    <row r="454" spans="1:4">
      <c r="A454" s="64"/>
      <c r="B454" s="54"/>
      <c r="C454" s="40" t="s">
        <v>709</v>
      </c>
      <c r="D454" s="40"/>
    </row>
    <row r="455" spans="1:4">
      <c r="A455" s="64"/>
      <c r="B455" s="54"/>
      <c r="C455" s="40" t="s">
        <v>710</v>
      </c>
      <c r="D455" s="40"/>
    </row>
    <row r="456" spans="1:4">
      <c r="A456" s="64"/>
      <c r="B456" s="54"/>
      <c r="C456" s="40" t="s">
        <v>711</v>
      </c>
      <c r="D456" s="40"/>
    </row>
    <row r="457" spans="1:4">
      <c r="A457" s="64"/>
      <c r="B457" s="54"/>
      <c r="C457" s="40" t="s">
        <v>712</v>
      </c>
      <c r="D457" s="40"/>
    </row>
    <row r="458" spans="1:4">
      <c r="A458" s="64"/>
      <c r="B458" s="54"/>
      <c r="C458" s="40" t="s">
        <v>713</v>
      </c>
      <c r="D458" s="40"/>
    </row>
    <row r="459" spans="1:4">
      <c r="A459" s="64"/>
      <c r="B459" s="54"/>
      <c r="C459" s="40" t="s">
        <v>714</v>
      </c>
      <c r="D459" s="40"/>
    </row>
    <row r="460" spans="1:4">
      <c r="A460" s="64"/>
      <c r="B460" s="54"/>
      <c r="C460" s="40" t="s">
        <v>715</v>
      </c>
      <c r="D460" s="40"/>
    </row>
    <row r="461" spans="1:4">
      <c r="A461" s="64"/>
      <c r="B461" s="54"/>
      <c r="C461" s="40" t="s">
        <v>716</v>
      </c>
      <c r="D461" s="40"/>
    </row>
    <row r="462" spans="1:4">
      <c r="A462" s="64"/>
      <c r="B462" s="54"/>
      <c r="C462" s="40" t="s">
        <v>717</v>
      </c>
      <c r="D462" s="40"/>
    </row>
    <row r="463" spans="1:4">
      <c r="A463" s="64"/>
      <c r="B463" s="54"/>
      <c r="C463" s="40" t="s">
        <v>718</v>
      </c>
      <c r="D463" s="40"/>
    </row>
    <row r="464" spans="1:4">
      <c r="A464" s="64"/>
      <c r="B464" s="54"/>
      <c r="C464" s="40" t="s">
        <v>719</v>
      </c>
      <c r="D464" s="40"/>
    </row>
    <row r="465" spans="1:4">
      <c r="A465" s="64"/>
      <c r="B465" s="54"/>
      <c r="C465" s="40" t="s">
        <v>720</v>
      </c>
      <c r="D465" s="40"/>
    </row>
    <row r="466" spans="1:4">
      <c r="A466" s="64"/>
      <c r="B466" s="54"/>
      <c r="C466" s="40" t="s">
        <v>721</v>
      </c>
      <c r="D466" s="40"/>
    </row>
    <row r="467" spans="1:4">
      <c r="A467" s="64"/>
      <c r="B467" s="54"/>
      <c r="C467" s="40" t="s">
        <v>722</v>
      </c>
      <c r="D467" s="40"/>
    </row>
    <row r="468" spans="1:4">
      <c r="A468" s="64"/>
      <c r="B468" s="54"/>
      <c r="C468" s="40" t="s">
        <v>723</v>
      </c>
      <c r="D468" s="40"/>
    </row>
    <row r="469" spans="1:4">
      <c r="A469" s="64"/>
      <c r="B469" s="54"/>
      <c r="C469" s="40" t="s">
        <v>724</v>
      </c>
      <c r="D469" s="40"/>
    </row>
    <row r="470" spans="1:4">
      <c r="A470" s="64"/>
      <c r="B470" s="54"/>
      <c r="C470" s="40" t="s">
        <v>725</v>
      </c>
      <c r="D470" s="40"/>
    </row>
    <row r="471" spans="1:4">
      <c r="A471" s="64"/>
      <c r="B471" s="54"/>
      <c r="C471" s="40" t="s">
        <v>726</v>
      </c>
      <c r="D471" s="40"/>
    </row>
    <row r="472" spans="1:4">
      <c r="A472" s="64"/>
      <c r="B472" s="54"/>
      <c r="C472" s="40" t="s">
        <v>727</v>
      </c>
      <c r="D472" s="40"/>
    </row>
    <row r="473" spans="1:4">
      <c r="A473" s="64"/>
      <c r="B473" s="54"/>
      <c r="C473" s="40" t="s">
        <v>728</v>
      </c>
      <c r="D473" s="40"/>
    </row>
    <row r="474" spans="1:4">
      <c r="A474" s="64"/>
      <c r="B474" s="54"/>
      <c r="C474" s="40" t="s">
        <v>729</v>
      </c>
      <c r="D474" s="40"/>
    </row>
    <row r="475" spans="1:4">
      <c r="A475" s="64"/>
      <c r="B475" s="54"/>
      <c r="C475" s="40" t="s">
        <v>730</v>
      </c>
      <c r="D475" s="40"/>
    </row>
    <row r="476" spans="1:4">
      <c r="A476" s="64"/>
      <c r="B476" s="54"/>
      <c r="C476" s="40" t="s">
        <v>731</v>
      </c>
      <c r="D476" s="40"/>
    </row>
    <row r="477" spans="1:4">
      <c r="A477" s="64"/>
      <c r="B477" s="54"/>
      <c r="C477" s="40" t="s">
        <v>732</v>
      </c>
      <c r="D477" s="40"/>
    </row>
    <row r="478" spans="1:4">
      <c r="A478" s="64"/>
      <c r="B478" s="54"/>
      <c r="C478" s="40" t="s">
        <v>733</v>
      </c>
      <c r="D478" s="40"/>
    </row>
    <row r="479" spans="1:4">
      <c r="A479" s="64"/>
      <c r="B479" s="54"/>
      <c r="C479" s="40" t="s">
        <v>734</v>
      </c>
      <c r="D479" s="40"/>
    </row>
    <row r="480" spans="1:4">
      <c r="A480" s="64"/>
      <c r="B480" s="54"/>
      <c r="C480" s="40" t="s">
        <v>735</v>
      </c>
      <c r="D480" s="40"/>
    </row>
    <row r="481" spans="1:4">
      <c r="A481" s="64"/>
      <c r="B481" s="54"/>
      <c r="C481" s="40" t="s">
        <v>736</v>
      </c>
      <c r="D481" s="40"/>
    </row>
    <row r="482" spans="1:4">
      <c r="A482" s="64"/>
      <c r="B482" s="54"/>
      <c r="C482" s="40" t="s">
        <v>737</v>
      </c>
      <c r="D482" s="40"/>
    </row>
    <row r="483" spans="1:4">
      <c r="A483" s="64"/>
      <c r="B483" s="54"/>
      <c r="C483" s="40" t="s">
        <v>738</v>
      </c>
      <c r="D483" s="40"/>
    </row>
    <row r="484" spans="1:4">
      <c r="A484" s="64"/>
      <c r="B484" s="54"/>
      <c r="C484" s="40" t="s">
        <v>739</v>
      </c>
      <c r="D484" s="40"/>
    </row>
    <row r="485" spans="1:4">
      <c r="A485" s="64"/>
      <c r="B485" s="54"/>
      <c r="C485" s="40" t="s">
        <v>740</v>
      </c>
      <c r="D485" s="40"/>
    </row>
    <row r="486" spans="1:4">
      <c r="A486" s="64"/>
      <c r="B486" s="54"/>
      <c r="C486" s="40" t="s">
        <v>741</v>
      </c>
      <c r="D486" s="40"/>
    </row>
    <row r="487" spans="1:4">
      <c r="A487" s="64"/>
      <c r="B487" s="54"/>
      <c r="C487" s="40" t="s">
        <v>742</v>
      </c>
      <c r="D487" s="40"/>
    </row>
    <row r="488" spans="1:4">
      <c r="A488" s="64"/>
      <c r="B488" s="54"/>
      <c r="C488" s="40" t="s">
        <v>743</v>
      </c>
      <c r="D488" s="40"/>
    </row>
    <row r="489" spans="1:4">
      <c r="A489" s="64"/>
      <c r="B489" s="54"/>
      <c r="C489" s="40" t="s">
        <v>95</v>
      </c>
      <c r="D489" s="40"/>
    </row>
    <row r="490" spans="1:4">
      <c r="A490" s="64"/>
      <c r="B490" s="54"/>
      <c r="C490" s="40" t="s">
        <v>744</v>
      </c>
      <c r="D490" s="40"/>
    </row>
    <row r="491" spans="1:4">
      <c r="A491" s="64"/>
      <c r="B491" s="54"/>
      <c r="C491" s="40" t="s">
        <v>745</v>
      </c>
      <c r="D491" s="40"/>
    </row>
    <row r="492" spans="1:4">
      <c r="A492" s="64"/>
      <c r="B492" s="54"/>
      <c r="C492" s="40" t="s">
        <v>746</v>
      </c>
      <c r="D492" s="40"/>
    </row>
    <row r="493" spans="1:4">
      <c r="A493" s="64"/>
      <c r="B493" s="54"/>
      <c r="C493" s="40" t="s">
        <v>747</v>
      </c>
      <c r="D493" s="40"/>
    </row>
    <row r="494" spans="1:4">
      <c r="A494" s="64"/>
      <c r="B494" s="54"/>
      <c r="C494" s="40" t="s">
        <v>748</v>
      </c>
      <c r="D494" s="40"/>
    </row>
    <row r="495" spans="1:4">
      <c r="A495" s="64"/>
      <c r="B495" s="54"/>
      <c r="C495" s="40" t="s">
        <v>749</v>
      </c>
      <c r="D495" s="40"/>
    </row>
    <row r="496" spans="1:4">
      <c r="A496" s="64"/>
      <c r="B496" s="54"/>
      <c r="C496" s="40" t="s">
        <v>750</v>
      </c>
      <c r="D496" s="40"/>
    </row>
    <row r="497" spans="1:4">
      <c r="A497" s="64"/>
      <c r="B497" s="54"/>
      <c r="C497" s="40" t="s">
        <v>751</v>
      </c>
      <c r="D497" s="40"/>
    </row>
    <row r="498" spans="1:4">
      <c r="A498" s="65"/>
      <c r="B498" s="55"/>
      <c r="C498" s="40" t="s">
        <v>581</v>
      </c>
      <c r="D498" s="40"/>
    </row>
    <row r="499" spans="1:4">
      <c r="A499" s="97"/>
      <c r="B499" s="101" t="s">
        <v>752</v>
      </c>
      <c r="C499" s="38" t="s">
        <v>451</v>
      </c>
      <c r="D499" s="38"/>
    </row>
    <row r="500" spans="1:4">
      <c r="A500" s="46"/>
      <c r="B500" s="101"/>
      <c r="C500" s="38" t="s">
        <v>753</v>
      </c>
      <c r="D500" s="38"/>
    </row>
    <row r="501" spans="1:4">
      <c r="A501" s="46"/>
      <c r="B501" s="101"/>
      <c r="C501" s="38" t="s">
        <v>754</v>
      </c>
      <c r="D501" s="38"/>
    </row>
    <row r="502" spans="1:4">
      <c r="A502" s="46"/>
      <c r="B502" s="101"/>
      <c r="C502" s="38" t="s">
        <v>755</v>
      </c>
      <c r="D502" s="38"/>
    </row>
    <row r="503" spans="1:4">
      <c r="A503" s="46"/>
      <c r="B503" s="101"/>
      <c r="C503" s="38" t="s">
        <v>756</v>
      </c>
      <c r="D503" s="38"/>
    </row>
    <row r="504" spans="1:4">
      <c r="A504" s="46"/>
      <c r="B504" s="101"/>
      <c r="C504" s="38" t="s">
        <v>757</v>
      </c>
      <c r="D504" s="38"/>
    </row>
    <row r="505" spans="1:4">
      <c r="A505" s="46"/>
      <c r="B505" s="101"/>
      <c r="C505" s="38" t="s">
        <v>758</v>
      </c>
      <c r="D505" s="38"/>
    </row>
    <row r="506" spans="1:4">
      <c r="A506" s="46"/>
      <c r="B506" s="101"/>
      <c r="C506" s="38" t="s">
        <v>759</v>
      </c>
      <c r="D506" s="38"/>
    </row>
    <row r="507" spans="1:4">
      <c r="A507" s="46"/>
      <c r="B507" s="101"/>
      <c r="C507" s="38" t="s">
        <v>760</v>
      </c>
      <c r="D507" s="38"/>
    </row>
    <row r="508" spans="1:4">
      <c r="A508" s="46"/>
      <c r="B508" s="101"/>
      <c r="C508" s="38" t="s">
        <v>761</v>
      </c>
      <c r="D508" s="38"/>
    </row>
    <row r="509" spans="1:4">
      <c r="A509" s="46"/>
      <c r="B509" s="101"/>
      <c r="C509" s="38" t="s">
        <v>762</v>
      </c>
      <c r="D509" s="38"/>
    </row>
    <row r="510" spans="1:4">
      <c r="A510" s="46"/>
      <c r="B510" s="101"/>
      <c r="C510" s="38" t="s">
        <v>763</v>
      </c>
      <c r="D510" s="38"/>
    </row>
    <row r="511" spans="1:4">
      <c r="A511" s="46"/>
      <c r="B511" s="101"/>
      <c r="C511" s="38" t="s">
        <v>764</v>
      </c>
      <c r="D511" s="38"/>
    </row>
    <row r="512" spans="1:4">
      <c r="A512" s="46"/>
      <c r="B512" s="101"/>
      <c r="C512" s="38" t="s">
        <v>497</v>
      </c>
      <c r="D512" s="38"/>
    </row>
    <row r="513" spans="1:4">
      <c r="A513" s="46"/>
      <c r="B513" s="101"/>
      <c r="C513" s="38" t="s">
        <v>95</v>
      </c>
      <c r="D513" s="38"/>
    </row>
    <row r="514" spans="1:4">
      <c r="A514" s="64"/>
      <c r="B514" s="50" t="s">
        <v>765</v>
      </c>
      <c r="C514" s="40" t="s">
        <v>353</v>
      </c>
      <c r="D514" s="40"/>
    </row>
    <row r="515" spans="1:4">
      <c r="A515" s="65"/>
      <c r="B515" s="52"/>
      <c r="C515" s="40" t="s">
        <v>147</v>
      </c>
      <c r="D515" s="40"/>
    </row>
    <row r="516" spans="1:4">
      <c r="A516" s="46"/>
      <c r="B516" s="101" t="s">
        <v>766</v>
      </c>
      <c r="C516" s="38" t="s">
        <v>767</v>
      </c>
      <c r="D516" s="38"/>
    </row>
    <row r="517" spans="1:4">
      <c r="A517" s="46"/>
      <c r="B517" s="101"/>
      <c r="C517" s="38" t="s">
        <v>768</v>
      </c>
      <c r="D517" s="38"/>
    </row>
    <row r="518" spans="1:4">
      <c r="A518" s="46"/>
      <c r="B518" s="101"/>
      <c r="C518" s="38" t="s">
        <v>769</v>
      </c>
      <c r="D518" s="38"/>
    </row>
    <row r="519" spans="1:4">
      <c r="A519" s="46"/>
      <c r="B519" s="101"/>
      <c r="C519" s="38" t="s">
        <v>770</v>
      </c>
      <c r="D519" s="38"/>
    </row>
    <row r="520" spans="1:4">
      <c r="A520" s="99"/>
      <c r="B520" s="50" t="s">
        <v>771</v>
      </c>
      <c r="C520" s="40" t="s">
        <v>772</v>
      </c>
      <c r="D520" s="40"/>
    </row>
    <row r="521" spans="1:4">
      <c r="A521" s="62"/>
      <c r="B521" s="51"/>
      <c r="C521" s="40" t="s">
        <v>773</v>
      </c>
      <c r="D521" s="40"/>
    </row>
    <row r="522" spans="1:4">
      <c r="A522" s="62"/>
      <c r="B522" s="51"/>
      <c r="C522" s="40" t="s">
        <v>774</v>
      </c>
      <c r="D522" s="40"/>
    </row>
    <row r="523" spans="1:4">
      <c r="A523" s="62"/>
      <c r="B523" s="51"/>
      <c r="C523" s="40" t="s">
        <v>775</v>
      </c>
      <c r="D523" s="40"/>
    </row>
    <row r="524" spans="1:4">
      <c r="A524" s="62"/>
      <c r="B524" s="51"/>
      <c r="C524" s="40" t="s">
        <v>776</v>
      </c>
      <c r="D524" s="40"/>
    </row>
    <row r="525" spans="1:4">
      <c r="A525" s="62"/>
      <c r="B525" s="51"/>
      <c r="C525" s="40" t="s">
        <v>777</v>
      </c>
      <c r="D525" s="40"/>
    </row>
    <row r="526" spans="1:4">
      <c r="A526" s="62"/>
      <c r="B526" s="51"/>
      <c r="C526" s="40" t="s">
        <v>778</v>
      </c>
      <c r="D526" s="40"/>
    </row>
    <row r="527" spans="1:4">
      <c r="A527" s="62"/>
      <c r="B527" s="51"/>
      <c r="C527" s="40" t="s">
        <v>779</v>
      </c>
      <c r="D527" s="40"/>
    </row>
    <row r="528" spans="1:4">
      <c r="A528" s="62"/>
      <c r="B528" s="51"/>
      <c r="C528" s="40" t="s">
        <v>780</v>
      </c>
      <c r="D528" s="40"/>
    </row>
    <row r="529" spans="1:4">
      <c r="A529" s="62"/>
      <c r="B529" s="51"/>
      <c r="C529" s="40" t="s">
        <v>761</v>
      </c>
      <c r="D529" s="40"/>
    </row>
    <row r="530" spans="1:4">
      <c r="A530" s="4"/>
      <c r="B530" s="51"/>
      <c r="C530" s="40" t="s">
        <v>781</v>
      </c>
      <c r="D530" s="40"/>
    </row>
    <row r="531" spans="1:4" ht="15">
      <c r="A531" s="62"/>
      <c r="B531" s="51"/>
      <c r="C531" s="40" t="s">
        <v>782</v>
      </c>
      <c r="D531" s="40" t="s">
        <v>783</v>
      </c>
    </row>
    <row r="532" spans="1:4" ht="15">
      <c r="A532" s="62"/>
      <c r="B532" s="51"/>
      <c r="C532" s="40" t="s">
        <v>784</v>
      </c>
      <c r="D532" s="40" t="s">
        <v>783</v>
      </c>
    </row>
    <row r="533" spans="1:4" ht="15">
      <c r="A533" s="62"/>
      <c r="B533" s="51"/>
      <c r="C533" s="40" t="s">
        <v>785</v>
      </c>
      <c r="D533" s="40" t="s">
        <v>783</v>
      </c>
    </row>
    <row r="534" spans="1:4">
      <c r="A534" s="62"/>
      <c r="B534" s="51"/>
      <c r="C534" s="40" t="s">
        <v>786</v>
      </c>
      <c r="D534" s="40"/>
    </row>
    <row r="535" spans="1:4">
      <c r="A535" s="62"/>
      <c r="B535" s="51"/>
      <c r="C535" s="40" t="s">
        <v>787</v>
      </c>
      <c r="D535" s="40"/>
    </row>
    <row r="536" spans="1:4">
      <c r="A536" s="62"/>
      <c r="B536" s="51"/>
      <c r="C536" s="40" t="s">
        <v>788</v>
      </c>
      <c r="D536" s="40"/>
    </row>
    <row r="537" spans="1:4">
      <c r="A537" s="62"/>
      <c r="B537" s="51"/>
      <c r="C537" s="40" t="s">
        <v>789</v>
      </c>
      <c r="D537" s="40"/>
    </row>
    <row r="538" spans="1:4">
      <c r="A538" s="62"/>
      <c r="B538" s="51"/>
      <c r="C538" s="40" t="s">
        <v>790</v>
      </c>
      <c r="D538" s="40"/>
    </row>
    <row r="539" spans="1:4">
      <c r="A539" s="62"/>
      <c r="B539" s="51"/>
      <c r="C539" s="40" t="s">
        <v>791</v>
      </c>
      <c r="D539" s="40"/>
    </row>
    <row r="540" spans="1:4">
      <c r="A540" s="62"/>
      <c r="B540" s="51"/>
      <c r="C540" s="40" t="s">
        <v>792</v>
      </c>
      <c r="D540" s="40"/>
    </row>
    <row r="541" spans="1:4">
      <c r="A541" s="62"/>
      <c r="B541" s="51"/>
      <c r="C541" s="40" t="s">
        <v>793</v>
      </c>
      <c r="D541" s="40"/>
    </row>
    <row r="542" spans="1:4">
      <c r="A542" s="62"/>
      <c r="B542" s="51"/>
      <c r="C542" s="40" t="s">
        <v>497</v>
      </c>
      <c r="D542" s="40"/>
    </row>
    <row r="543" spans="1:4">
      <c r="A543" s="62"/>
      <c r="B543" s="51"/>
      <c r="C543" s="40" t="s">
        <v>95</v>
      </c>
      <c r="D543" s="41"/>
    </row>
    <row r="544" spans="1:4">
      <c r="A544" s="68"/>
      <c r="B544" s="42" t="s">
        <v>794</v>
      </c>
      <c r="C544" s="38" t="s">
        <v>353</v>
      </c>
      <c r="D544" s="38"/>
    </row>
    <row r="545" spans="1:4">
      <c r="A545" s="69"/>
      <c r="B545" s="100"/>
      <c r="C545" s="38" t="s">
        <v>147</v>
      </c>
      <c r="D545" s="38"/>
    </row>
    <row r="546" spans="1:4">
      <c r="A546" s="62"/>
      <c r="B546" s="50" t="s">
        <v>795</v>
      </c>
      <c r="C546" s="40" t="s">
        <v>796</v>
      </c>
      <c r="D546" s="40"/>
    </row>
    <row r="547" spans="1:4">
      <c r="A547" s="62"/>
      <c r="B547" s="51"/>
      <c r="C547" s="40" t="s">
        <v>797</v>
      </c>
      <c r="D547" s="40"/>
    </row>
    <row r="548" spans="1:4">
      <c r="A548" s="62"/>
      <c r="B548" s="51"/>
      <c r="C548" s="40" t="s">
        <v>798</v>
      </c>
      <c r="D548" s="40"/>
    </row>
    <row r="549" spans="1:4">
      <c r="A549" s="62"/>
      <c r="B549" s="51"/>
      <c r="C549" s="40" t="s">
        <v>799</v>
      </c>
      <c r="D549" s="40"/>
    </row>
    <row r="550" spans="1:4">
      <c r="A550" s="62"/>
      <c r="B550" s="51"/>
      <c r="C550" s="40" t="s">
        <v>800</v>
      </c>
      <c r="D550" s="40"/>
    </row>
    <row r="551" spans="1:4">
      <c r="A551" s="68"/>
      <c r="B551" s="42" t="s">
        <v>801</v>
      </c>
      <c r="C551" s="38" t="s">
        <v>353</v>
      </c>
      <c r="D551" s="38"/>
    </row>
    <row r="552" spans="1:4">
      <c r="A552" s="69"/>
      <c r="B552" s="100"/>
      <c r="C552" s="38" t="s">
        <v>147</v>
      </c>
      <c r="D552" s="38"/>
    </row>
    <row r="553" spans="1:4">
      <c r="A553" s="47"/>
      <c r="B553" s="50" t="s">
        <v>802</v>
      </c>
      <c r="C553" s="40" t="s">
        <v>803</v>
      </c>
      <c r="D553" s="40"/>
    </row>
    <row r="554" spans="1:4">
      <c r="A554" s="48"/>
      <c r="B554" s="48"/>
      <c r="C554" s="40" t="s">
        <v>804</v>
      </c>
      <c r="D554" s="40"/>
    </row>
    <row r="555" spans="1:4">
      <c r="A555" s="48"/>
      <c r="B555" s="48"/>
      <c r="C555" s="40" t="s">
        <v>805</v>
      </c>
      <c r="D555" s="40"/>
    </row>
    <row r="556" spans="1:4">
      <c r="A556" s="48"/>
      <c r="B556" s="48"/>
      <c r="C556" s="40" t="s">
        <v>806</v>
      </c>
      <c r="D556" s="40"/>
    </row>
    <row r="557" spans="1:4">
      <c r="A557" s="48"/>
      <c r="B557" s="48"/>
      <c r="C557" s="40" t="s">
        <v>807</v>
      </c>
      <c r="D557" s="40"/>
    </row>
    <row r="558" spans="1:4">
      <c r="A558" s="48"/>
      <c r="B558" s="48"/>
      <c r="C558" s="40" t="s">
        <v>808</v>
      </c>
      <c r="D558" s="40"/>
    </row>
    <row r="559" spans="1:4">
      <c r="A559" s="48"/>
      <c r="B559" s="48"/>
      <c r="C559" s="40" t="s">
        <v>809</v>
      </c>
      <c r="D559" s="40"/>
    </row>
    <row r="560" spans="1:4">
      <c r="A560" s="48"/>
      <c r="B560" s="48"/>
      <c r="C560" s="40" t="s">
        <v>810</v>
      </c>
      <c r="D560" s="40"/>
    </row>
    <row r="561" spans="1:4">
      <c r="A561" s="48"/>
      <c r="B561" s="48"/>
      <c r="C561" s="40" t="s">
        <v>811</v>
      </c>
      <c r="D561" s="40"/>
    </row>
    <row r="562" spans="1:4">
      <c r="A562" s="48"/>
      <c r="B562" s="48"/>
      <c r="C562" s="40" t="s">
        <v>812</v>
      </c>
      <c r="D562" s="40"/>
    </row>
    <row r="563" spans="1:4">
      <c r="A563" s="48"/>
      <c r="B563" s="48"/>
      <c r="C563" s="40" t="s">
        <v>813</v>
      </c>
      <c r="D563" s="40"/>
    </row>
    <row r="564" spans="1:4">
      <c r="A564" s="48"/>
      <c r="B564" s="48"/>
      <c r="C564" s="40" t="s">
        <v>814</v>
      </c>
      <c r="D564" s="40"/>
    </row>
    <row r="565" spans="1:4">
      <c r="A565" s="48"/>
      <c r="B565" s="48"/>
      <c r="C565" s="40" t="s">
        <v>815</v>
      </c>
      <c r="D565" s="40"/>
    </row>
    <row r="566" spans="1:4">
      <c r="A566" s="48"/>
      <c r="B566" s="48"/>
      <c r="C566" s="40" t="s">
        <v>816</v>
      </c>
      <c r="D566" s="40"/>
    </row>
    <row r="567" spans="1:4">
      <c r="A567" s="48"/>
      <c r="B567" s="48"/>
      <c r="C567" s="40" t="s">
        <v>817</v>
      </c>
      <c r="D567" s="40"/>
    </row>
    <row r="568" spans="1:4">
      <c r="A568" s="48"/>
      <c r="B568" s="48"/>
      <c r="C568" s="40" t="s">
        <v>818</v>
      </c>
      <c r="D568" s="40"/>
    </row>
    <row r="569" spans="1:4">
      <c r="A569" s="48"/>
      <c r="B569" s="48"/>
      <c r="C569" s="40" t="s">
        <v>819</v>
      </c>
      <c r="D569" s="40"/>
    </row>
    <row r="570" spans="1:4">
      <c r="A570" s="48"/>
      <c r="B570" s="48"/>
      <c r="C570" s="40" t="s">
        <v>820</v>
      </c>
      <c r="D570" s="40"/>
    </row>
    <row r="571" spans="1:4">
      <c r="A571" s="48"/>
      <c r="B571" s="48"/>
      <c r="C571" s="40" t="s">
        <v>821</v>
      </c>
      <c r="D571" s="40"/>
    </row>
    <row r="572" spans="1:4">
      <c r="A572" s="48"/>
      <c r="B572" s="48"/>
      <c r="C572" s="40" t="s">
        <v>822</v>
      </c>
      <c r="D572" s="40"/>
    </row>
    <row r="573" spans="1:4">
      <c r="A573" s="48"/>
      <c r="B573" s="48"/>
      <c r="C573" s="40" t="s">
        <v>823</v>
      </c>
      <c r="D573" s="40"/>
    </row>
    <row r="574" spans="1:4">
      <c r="A574" s="48"/>
      <c r="B574" s="48"/>
      <c r="C574" s="40" t="s">
        <v>824</v>
      </c>
      <c r="D574" s="40"/>
    </row>
    <row r="575" spans="1:4">
      <c r="A575" s="48"/>
      <c r="B575" s="48"/>
      <c r="C575" s="40" t="s">
        <v>825</v>
      </c>
      <c r="D575" s="40"/>
    </row>
    <row r="576" spans="1:4">
      <c r="A576" s="48"/>
      <c r="B576" s="48"/>
      <c r="C576" s="40" t="s">
        <v>826</v>
      </c>
      <c r="D576" s="40"/>
    </row>
    <row r="577" spans="1:4">
      <c r="A577" s="48"/>
      <c r="B577" s="48"/>
      <c r="C577" s="40" t="s">
        <v>827</v>
      </c>
      <c r="D577" s="40"/>
    </row>
    <row r="578" spans="1:4">
      <c r="A578" s="48"/>
      <c r="B578" s="48"/>
      <c r="C578" s="40" t="s">
        <v>828</v>
      </c>
      <c r="D578" s="40"/>
    </row>
    <row r="579" spans="1:4">
      <c r="A579" s="48"/>
      <c r="B579" s="48"/>
      <c r="C579" s="40" t="s">
        <v>829</v>
      </c>
      <c r="D579" s="40"/>
    </row>
    <row r="580" spans="1:4">
      <c r="A580" s="48"/>
      <c r="B580" s="48"/>
      <c r="C580" s="40" t="s">
        <v>830</v>
      </c>
      <c r="D580" s="40"/>
    </row>
    <row r="581" spans="1:4">
      <c r="A581" s="48"/>
      <c r="B581" s="48"/>
      <c r="C581" s="40" t="s">
        <v>831</v>
      </c>
      <c r="D581" s="40"/>
    </row>
    <row r="582" spans="1:4">
      <c r="A582" s="48"/>
      <c r="B582" s="48"/>
      <c r="C582" s="40" t="s">
        <v>832</v>
      </c>
      <c r="D582" s="40"/>
    </row>
    <row r="583" spans="1:4">
      <c r="A583" s="48"/>
      <c r="B583" s="48"/>
      <c r="C583" s="40" t="s">
        <v>833</v>
      </c>
      <c r="D583" s="40"/>
    </row>
    <row r="584" spans="1:4">
      <c r="A584" s="48"/>
      <c r="B584" s="48"/>
      <c r="C584" s="40" t="s">
        <v>834</v>
      </c>
      <c r="D584" s="40"/>
    </row>
    <row r="585" spans="1:4">
      <c r="A585" s="48"/>
      <c r="B585" s="48"/>
      <c r="C585" s="40" t="s">
        <v>835</v>
      </c>
      <c r="D585" s="40"/>
    </row>
    <row r="586" spans="1:4">
      <c r="A586" s="48"/>
      <c r="B586" s="48"/>
      <c r="C586" s="40" t="s">
        <v>836</v>
      </c>
      <c r="D586" s="40"/>
    </row>
    <row r="587" spans="1:4">
      <c r="A587" s="48"/>
      <c r="B587" s="48"/>
      <c r="C587" s="40" t="s">
        <v>837</v>
      </c>
      <c r="D587" s="40"/>
    </row>
    <row r="588" spans="1:4">
      <c r="A588" s="48"/>
      <c r="B588" s="48"/>
      <c r="C588" s="40" t="s">
        <v>838</v>
      </c>
      <c r="D588" s="40"/>
    </row>
    <row r="589" spans="1:4">
      <c r="A589" s="48"/>
      <c r="B589" s="48"/>
      <c r="C589" s="40" t="s">
        <v>839</v>
      </c>
      <c r="D589" s="40"/>
    </row>
    <row r="590" spans="1:4">
      <c r="A590" s="48"/>
      <c r="B590" s="48"/>
      <c r="C590" s="40" t="s">
        <v>840</v>
      </c>
      <c r="D590" s="40"/>
    </row>
    <row r="591" spans="1:4">
      <c r="A591" s="49"/>
      <c r="B591" s="49"/>
      <c r="C591" s="40" t="s">
        <v>841</v>
      </c>
      <c r="D591" s="40"/>
    </row>
    <row r="592" spans="1:4">
      <c r="A592" s="46"/>
      <c r="B592" s="101" t="s">
        <v>135</v>
      </c>
      <c r="C592" s="38" t="s">
        <v>842</v>
      </c>
      <c r="D592" s="38"/>
    </row>
    <row r="593" spans="1:4">
      <c r="A593" s="46"/>
      <c r="B593" s="101"/>
      <c r="C593" s="38" t="s">
        <v>843</v>
      </c>
      <c r="D593" s="38"/>
    </row>
    <row r="594" spans="1:4">
      <c r="A594" s="46"/>
      <c r="B594" s="101"/>
      <c r="C594" s="38" t="s">
        <v>95</v>
      </c>
      <c r="D594" s="38"/>
    </row>
    <row r="595" spans="1:4">
      <c r="A595" s="50"/>
      <c r="B595" s="56" t="s">
        <v>844</v>
      </c>
      <c r="C595" s="40" t="s">
        <v>353</v>
      </c>
      <c r="D595" s="40"/>
    </row>
    <row r="596" spans="1:4">
      <c r="A596" s="102"/>
      <c r="B596" s="104"/>
      <c r="C596" s="103" t="s">
        <v>147</v>
      </c>
      <c r="D596" s="40"/>
    </row>
    <row r="597" spans="1:4">
      <c r="A597" s="97"/>
      <c r="B597" s="97" t="s">
        <v>845</v>
      </c>
      <c r="C597" s="38" t="s">
        <v>846</v>
      </c>
      <c r="D597" s="38"/>
    </row>
    <row r="598" spans="1:4">
      <c r="A598" s="46"/>
      <c r="B598" s="46"/>
      <c r="C598" s="38" t="s">
        <v>847</v>
      </c>
      <c r="D598" s="38"/>
    </row>
    <row r="599" spans="1:4">
      <c r="A599" s="46"/>
      <c r="B599" s="46"/>
      <c r="C599" s="38" t="s">
        <v>848</v>
      </c>
      <c r="D599" s="38"/>
    </row>
    <row r="600" spans="1:4">
      <c r="A600" s="46"/>
      <c r="B600" s="46"/>
      <c r="C600" s="38" t="s">
        <v>849</v>
      </c>
      <c r="D600" s="38"/>
    </row>
    <row r="601" spans="1:4">
      <c r="A601" s="46"/>
      <c r="B601" s="46"/>
      <c r="C601" s="38" t="s">
        <v>850</v>
      </c>
      <c r="D601" s="38"/>
    </row>
    <row r="602" spans="1:4">
      <c r="A602" s="46"/>
      <c r="B602" s="46"/>
      <c r="C602" s="38" t="s">
        <v>851</v>
      </c>
      <c r="D602" s="38"/>
    </row>
    <row r="603" spans="1:4">
      <c r="A603" s="46"/>
      <c r="B603" s="46"/>
      <c r="C603" s="38" t="s">
        <v>852</v>
      </c>
      <c r="D603" s="38"/>
    </row>
    <row r="604" spans="1:4">
      <c r="A604" s="46"/>
      <c r="B604" s="46"/>
      <c r="C604" s="38" t="s">
        <v>853</v>
      </c>
      <c r="D604" s="38"/>
    </row>
    <row r="605" spans="1:4">
      <c r="A605" s="46"/>
      <c r="B605" s="46"/>
      <c r="C605" s="38" t="s">
        <v>854</v>
      </c>
      <c r="D605" s="38"/>
    </row>
    <row r="606" spans="1:4">
      <c r="A606" s="46"/>
      <c r="B606" s="46"/>
      <c r="C606" s="38" t="s">
        <v>855</v>
      </c>
      <c r="D606" s="38"/>
    </row>
    <row r="607" spans="1:4">
      <c r="A607" s="46"/>
      <c r="B607" s="46"/>
      <c r="C607" s="38" t="s">
        <v>856</v>
      </c>
      <c r="D607" s="38"/>
    </row>
    <row r="608" spans="1:4">
      <c r="A608" s="46"/>
      <c r="B608" s="46"/>
      <c r="C608" s="38" t="s">
        <v>857</v>
      </c>
      <c r="D608" s="38"/>
    </row>
    <row r="609" spans="1:4">
      <c r="A609" s="46"/>
      <c r="B609" s="46"/>
      <c r="C609" s="38" t="s">
        <v>858</v>
      </c>
      <c r="D609" s="38"/>
    </row>
    <row r="610" spans="1:4">
      <c r="A610" s="46"/>
      <c r="B610" s="46"/>
      <c r="C610" s="38" t="s">
        <v>859</v>
      </c>
      <c r="D610" s="38"/>
    </row>
    <row r="611" spans="1:4">
      <c r="A611" s="46"/>
      <c r="B611" s="46"/>
      <c r="C611" s="38" t="s">
        <v>860</v>
      </c>
      <c r="D611" s="38"/>
    </row>
    <row r="612" spans="1:4">
      <c r="A612" s="46"/>
      <c r="B612" s="46"/>
      <c r="C612" s="38" t="s">
        <v>861</v>
      </c>
      <c r="D612" s="38"/>
    </row>
    <row r="613" spans="1:4">
      <c r="A613" s="46"/>
      <c r="B613" s="46"/>
      <c r="C613" s="38" t="s">
        <v>862</v>
      </c>
      <c r="D613" s="38"/>
    </row>
    <row r="614" spans="1:4">
      <c r="A614" s="46"/>
      <c r="B614" s="46"/>
      <c r="C614" s="38" t="s">
        <v>863</v>
      </c>
      <c r="D614" s="38"/>
    </row>
    <row r="615" spans="1:4">
      <c r="A615" s="46"/>
      <c r="B615" s="46"/>
      <c r="C615" s="38" t="s">
        <v>864</v>
      </c>
      <c r="D615" s="38"/>
    </row>
    <row r="616" spans="1:4">
      <c r="A616" s="46"/>
      <c r="B616" s="46"/>
      <c r="C616" s="38" t="s">
        <v>865</v>
      </c>
      <c r="D616" s="38"/>
    </row>
    <row r="617" spans="1:4">
      <c r="A617" s="46"/>
      <c r="B617" s="46"/>
      <c r="C617" s="38" t="s">
        <v>866</v>
      </c>
      <c r="D617" s="38"/>
    </row>
    <row r="618" spans="1:4">
      <c r="A618" s="46"/>
      <c r="B618" s="46"/>
      <c r="C618" s="38" t="s">
        <v>867</v>
      </c>
      <c r="D618" s="38"/>
    </row>
    <row r="619" spans="1:4">
      <c r="A619" s="46"/>
      <c r="B619" s="46"/>
      <c r="C619" s="38" t="s">
        <v>868</v>
      </c>
      <c r="D619" s="38"/>
    </row>
    <row r="620" spans="1:4">
      <c r="A620" s="46"/>
      <c r="B620" s="46"/>
      <c r="C620" s="38" t="s">
        <v>581</v>
      </c>
      <c r="D620" s="38"/>
    </row>
    <row r="621" spans="1:4">
      <c r="A621" s="46"/>
      <c r="B621" s="46"/>
      <c r="C621" s="38" t="s">
        <v>869</v>
      </c>
      <c r="D621" s="38"/>
    </row>
    <row r="622" spans="1:4">
      <c r="A622" s="50"/>
      <c r="B622" s="50" t="s">
        <v>166</v>
      </c>
      <c r="C622" s="40" t="s">
        <v>870</v>
      </c>
      <c r="D622" s="40"/>
    </row>
    <row r="623" spans="1:4">
      <c r="A623" s="51"/>
      <c r="B623" s="51"/>
      <c r="C623" s="40" t="s">
        <v>871</v>
      </c>
      <c r="D623" s="40"/>
    </row>
    <row r="624" spans="1:4">
      <c r="A624" s="51"/>
      <c r="B624" s="51"/>
      <c r="C624" s="40" t="s">
        <v>872</v>
      </c>
      <c r="D624" s="40"/>
    </row>
    <row r="625" spans="1:4">
      <c r="A625" s="51"/>
      <c r="B625" s="51"/>
      <c r="C625" s="40" t="s">
        <v>873</v>
      </c>
      <c r="D625" s="40"/>
    </row>
    <row r="626" spans="1:4">
      <c r="A626" s="51"/>
      <c r="B626" s="51"/>
      <c r="C626" s="40" t="s">
        <v>874</v>
      </c>
      <c r="D626" s="40"/>
    </row>
    <row r="627" spans="1:4">
      <c r="A627" s="51"/>
      <c r="B627" s="51"/>
      <c r="C627" s="40" t="s">
        <v>875</v>
      </c>
      <c r="D627" s="40"/>
    </row>
    <row r="628" spans="1:4">
      <c r="A628" s="51"/>
      <c r="B628" s="51"/>
      <c r="C628" s="40" t="s">
        <v>876</v>
      </c>
      <c r="D628" s="40"/>
    </row>
    <row r="629" spans="1:4">
      <c r="A629" s="51"/>
      <c r="B629" s="51"/>
      <c r="C629" s="40" t="s">
        <v>473</v>
      </c>
      <c r="D629" s="40"/>
    </row>
    <row r="630" spans="1:4">
      <c r="A630" s="51"/>
      <c r="B630" s="51"/>
      <c r="C630" s="40" t="s">
        <v>877</v>
      </c>
      <c r="D630" s="40"/>
    </row>
    <row r="631" spans="1:4">
      <c r="A631" s="51"/>
      <c r="B631" s="51"/>
      <c r="C631" s="40" t="s">
        <v>878</v>
      </c>
      <c r="D631" s="40"/>
    </row>
    <row r="632" spans="1:4">
      <c r="A632" s="51"/>
      <c r="B632" s="51"/>
      <c r="C632" s="40" t="s">
        <v>879</v>
      </c>
      <c r="D632" s="40"/>
    </row>
    <row r="633" spans="1:4">
      <c r="A633" s="52"/>
      <c r="B633" s="52"/>
      <c r="C633" s="40" t="s">
        <v>95</v>
      </c>
      <c r="D633" s="40"/>
    </row>
    <row r="634" spans="1:4">
      <c r="A634" s="46"/>
      <c r="B634" s="101" t="s">
        <v>167</v>
      </c>
      <c r="C634" s="38" t="s">
        <v>880</v>
      </c>
      <c r="D634" s="38" t="s">
        <v>881</v>
      </c>
    </row>
    <row r="635" spans="1:4">
      <c r="A635" s="46"/>
      <c r="B635" s="101"/>
      <c r="C635" s="38" t="s">
        <v>882</v>
      </c>
      <c r="D635" s="38" t="s">
        <v>883</v>
      </c>
    </row>
    <row r="636" spans="1:4">
      <c r="A636" s="46"/>
      <c r="B636" s="101"/>
      <c r="C636" s="38" t="s">
        <v>884</v>
      </c>
      <c r="D636" s="38" t="s">
        <v>885</v>
      </c>
    </row>
    <row r="637" spans="1:4">
      <c r="A637" s="46"/>
      <c r="B637" s="101"/>
      <c r="C637" s="38" t="s">
        <v>886</v>
      </c>
      <c r="D637" s="38" t="s">
        <v>887</v>
      </c>
    </row>
    <row r="638" spans="1:4">
      <c r="A638" s="46"/>
      <c r="B638" s="101"/>
      <c r="C638" s="38" t="s">
        <v>888</v>
      </c>
      <c r="D638" s="38" t="s">
        <v>889</v>
      </c>
    </row>
    <row r="639" spans="1:4">
      <c r="A639" s="46"/>
      <c r="B639" s="101"/>
      <c r="C639" s="38" t="s">
        <v>890</v>
      </c>
      <c r="D639" s="38" t="s">
        <v>891</v>
      </c>
    </row>
    <row r="640" spans="1:4">
      <c r="A640" s="46"/>
      <c r="B640" s="101"/>
      <c r="C640" s="38" t="s">
        <v>892</v>
      </c>
      <c r="D640" s="38" t="s">
        <v>893</v>
      </c>
    </row>
    <row r="641" spans="1:4">
      <c r="A641" s="46"/>
      <c r="B641" s="101"/>
      <c r="C641" s="38" t="s">
        <v>894</v>
      </c>
      <c r="D641" s="38" t="s">
        <v>894</v>
      </c>
    </row>
    <row r="642" spans="1:4">
      <c r="A642" s="46"/>
      <c r="B642" s="101"/>
      <c r="C642" s="38" t="s">
        <v>95</v>
      </c>
      <c r="D642" s="38"/>
    </row>
    <row r="643" spans="1:4">
      <c r="A643" s="53"/>
      <c r="B643" s="53" t="s">
        <v>895</v>
      </c>
      <c r="C643" s="40" t="s">
        <v>896</v>
      </c>
      <c r="D643" s="40" t="s">
        <v>897</v>
      </c>
    </row>
    <row r="644" spans="1:4">
      <c r="A644" s="54"/>
      <c r="B644" s="54"/>
      <c r="C644" s="40" t="s">
        <v>898</v>
      </c>
      <c r="D644" s="40" t="s">
        <v>899</v>
      </c>
    </row>
    <row r="645" spans="1:4">
      <c r="A645" s="54"/>
      <c r="B645" s="54"/>
      <c r="C645" s="40" t="s">
        <v>900</v>
      </c>
      <c r="D645" s="40" t="s">
        <v>901</v>
      </c>
    </row>
    <row r="646" spans="1:4">
      <c r="A646" s="54"/>
      <c r="B646" s="54"/>
      <c r="C646" s="40" t="s">
        <v>902</v>
      </c>
      <c r="D646" s="40" t="s">
        <v>903</v>
      </c>
    </row>
    <row r="647" spans="1:4">
      <c r="A647" s="54"/>
      <c r="B647" s="54"/>
      <c r="C647" s="40" t="s">
        <v>904</v>
      </c>
      <c r="D647" s="40"/>
    </row>
    <row r="648" spans="1:4">
      <c r="A648" s="55"/>
      <c r="B648" s="55"/>
      <c r="C648" s="40" t="s">
        <v>95</v>
      </c>
      <c r="D648" s="40"/>
    </row>
    <row r="649" spans="1:4">
      <c r="A649" s="46"/>
      <c r="B649" s="101" t="s">
        <v>158</v>
      </c>
      <c r="C649" s="38" t="s">
        <v>905</v>
      </c>
      <c r="D649" s="38"/>
    </row>
    <row r="650" spans="1:4">
      <c r="A650" s="46"/>
      <c r="B650" s="101"/>
      <c r="C650" s="38" t="s">
        <v>906</v>
      </c>
      <c r="D650" s="38"/>
    </row>
    <row r="651" spans="1:4">
      <c r="A651" s="46"/>
      <c r="B651" s="101"/>
      <c r="C651" s="38" t="s">
        <v>907</v>
      </c>
      <c r="D651" s="38"/>
    </row>
    <row r="652" spans="1:4">
      <c r="A652" s="46"/>
      <c r="B652" s="101"/>
      <c r="C652" s="38" t="s">
        <v>908</v>
      </c>
      <c r="D652" s="38"/>
    </row>
    <row r="653" spans="1:4">
      <c r="A653" s="46"/>
      <c r="B653" s="101"/>
      <c r="C653" s="38" t="s">
        <v>95</v>
      </c>
      <c r="D653" s="38"/>
    </row>
    <row r="654" spans="1:4">
      <c r="A654" s="53"/>
      <c r="B654" s="53" t="s">
        <v>159</v>
      </c>
      <c r="C654" s="40" t="s">
        <v>909</v>
      </c>
      <c r="D654" s="40"/>
    </row>
    <row r="655" spans="1:4">
      <c r="A655" s="54"/>
      <c r="B655" s="54"/>
      <c r="C655" s="40" t="s">
        <v>190</v>
      </c>
      <c r="D655" s="40"/>
    </row>
    <row r="656" spans="1:4">
      <c r="A656" s="46"/>
      <c r="B656" s="101" t="s">
        <v>22</v>
      </c>
      <c r="C656" s="38" t="s">
        <v>36</v>
      </c>
      <c r="D656" s="38"/>
    </row>
    <row r="657" spans="1:4">
      <c r="A657" s="46"/>
      <c r="B657" s="101"/>
      <c r="C657" s="38" t="s">
        <v>910</v>
      </c>
      <c r="D657" s="38"/>
    </row>
    <row r="658" spans="1:4">
      <c r="A658" s="53"/>
      <c r="B658" s="53" t="s">
        <v>911</v>
      </c>
      <c r="C658" s="40" t="s">
        <v>912</v>
      </c>
      <c r="D658" s="40"/>
    </row>
    <row r="659" spans="1:4">
      <c r="A659" s="54"/>
      <c r="B659" s="54"/>
      <c r="C659" s="40" t="s">
        <v>913</v>
      </c>
      <c r="D659" s="40"/>
    </row>
    <row r="660" spans="1:4">
      <c r="A660" s="54"/>
      <c r="B660" s="54"/>
      <c r="C660" s="40" t="s">
        <v>914</v>
      </c>
      <c r="D660" s="40"/>
    </row>
    <row r="661" spans="1:4">
      <c r="A661" s="54"/>
      <c r="B661" s="54"/>
      <c r="C661" s="40" t="s">
        <v>915</v>
      </c>
      <c r="D661" s="40"/>
    </row>
    <row r="662" spans="1:4">
      <c r="A662" s="54"/>
      <c r="B662" s="54"/>
      <c r="C662" s="40" t="s">
        <v>916</v>
      </c>
      <c r="D662" s="40"/>
    </row>
    <row r="663" spans="1:4">
      <c r="A663" s="54"/>
      <c r="B663" s="54"/>
      <c r="C663" s="40" t="s">
        <v>917</v>
      </c>
      <c r="D663" s="40"/>
    </row>
    <row r="664" spans="1:4">
      <c r="A664" s="54"/>
      <c r="B664" s="54"/>
      <c r="C664" s="40" t="s">
        <v>95</v>
      </c>
      <c r="D664" s="40"/>
    </row>
    <row r="665" spans="1:4">
      <c r="A665" s="55"/>
      <c r="B665" s="55"/>
      <c r="C665" s="40" t="s">
        <v>918</v>
      </c>
      <c r="D665" s="40"/>
    </row>
    <row r="666" spans="1:4">
      <c r="A666" s="46"/>
      <c r="B666" s="101" t="s">
        <v>919</v>
      </c>
      <c r="C666" s="38" t="s">
        <v>920</v>
      </c>
      <c r="D666" s="38"/>
    </row>
    <row r="667" spans="1:4">
      <c r="A667" s="46"/>
      <c r="B667" s="101"/>
      <c r="C667" s="38" t="s">
        <v>921</v>
      </c>
      <c r="D667" s="38"/>
    </row>
    <row r="668" spans="1:4">
      <c r="A668" s="53"/>
      <c r="B668" s="53" t="s">
        <v>922</v>
      </c>
      <c r="C668" s="40" t="s">
        <v>923</v>
      </c>
      <c r="D668" s="40"/>
    </row>
    <row r="669" spans="1:4">
      <c r="A669" s="54"/>
      <c r="B669" s="54"/>
      <c r="C669" s="40" t="s">
        <v>924</v>
      </c>
      <c r="D669" s="40"/>
    </row>
    <row r="670" spans="1:4">
      <c r="A670" s="54"/>
      <c r="B670" s="54"/>
      <c r="C670" s="40" t="s">
        <v>925</v>
      </c>
      <c r="D670" s="40"/>
    </row>
    <row r="671" spans="1:4">
      <c r="A671" s="54"/>
      <c r="B671" s="54"/>
      <c r="C671" s="40" t="s">
        <v>926</v>
      </c>
      <c r="D671" s="40"/>
    </row>
    <row r="672" spans="1:4">
      <c r="A672" s="54"/>
      <c r="B672" s="54"/>
      <c r="C672" s="40" t="s">
        <v>927</v>
      </c>
      <c r="D672" s="40"/>
    </row>
    <row r="673" spans="1:4">
      <c r="A673" s="54"/>
      <c r="B673" s="54"/>
      <c r="C673" s="40" t="s">
        <v>928</v>
      </c>
      <c r="D673" s="40"/>
    </row>
    <row r="674" spans="1:4">
      <c r="A674" s="54"/>
      <c r="B674" s="54"/>
      <c r="C674" s="40" t="s">
        <v>929</v>
      </c>
      <c r="D674" s="40"/>
    </row>
    <row r="675" spans="1:4">
      <c r="A675" s="54"/>
      <c r="B675" s="54"/>
      <c r="C675" s="40" t="s">
        <v>930</v>
      </c>
      <c r="D675" s="40"/>
    </row>
    <row r="676" spans="1:4">
      <c r="A676" s="54"/>
      <c r="B676" s="54"/>
      <c r="C676" s="40" t="s">
        <v>931</v>
      </c>
      <c r="D676" s="40"/>
    </row>
    <row r="677" spans="1:4">
      <c r="A677" s="54"/>
      <c r="B677" s="54"/>
      <c r="C677" s="40" t="s">
        <v>932</v>
      </c>
      <c r="D677" s="40"/>
    </row>
    <row r="678" spans="1:4">
      <c r="A678" s="54"/>
      <c r="B678" s="54"/>
      <c r="C678" s="40" t="s">
        <v>581</v>
      </c>
      <c r="D678" s="40"/>
    </row>
    <row r="679" spans="1:4">
      <c r="A679" s="55"/>
      <c r="B679" s="55"/>
      <c r="C679" s="40" t="s">
        <v>918</v>
      </c>
      <c r="D679" s="40"/>
    </row>
    <row r="680" spans="1:4">
      <c r="A680" s="75"/>
      <c r="B680" s="75" t="s">
        <v>933</v>
      </c>
      <c r="C680" s="38" t="s">
        <v>912</v>
      </c>
      <c r="D680" s="38"/>
    </row>
    <row r="681" spans="1:4">
      <c r="A681" s="77"/>
      <c r="B681" s="77"/>
      <c r="C681" s="38" t="s">
        <v>913</v>
      </c>
      <c r="D681" s="38"/>
    </row>
    <row r="682" spans="1:4">
      <c r="A682" s="77"/>
      <c r="B682" s="77"/>
      <c r="C682" s="38" t="s">
        <v>914</v>
      </c>
      <c r="D682" s="38"/>
    </row>
    <row r="683" spans="1:4">
      <c r="A683" s="77"/>
      <c r="B683" s="77"/>
      <c r="C683" s="38" t="s">
        <v>915</v>
      </c>
      <c r="D683" s="38"/>
    </row>
    <row r="684" spans="1:4">
      <c r="A684" s="77"/>
      <c r="B684" s="77"/>
      <c r="C684" s="38" t="s">
        <v>916</v>
      </c>
      <c r="D684" s="38"/>
    </row>
    <row r="685" spans="1:4">
      <c r="A685" s="77"/>
      <c r="B685" s="77"/>
      <c r="C685" s="38" t="s">
        <v>917</v>
      </c>
      <c r="D685" s="38"/>
    </row>
    <row r="686" spans="1:4">
      <c r="A686" s="77"/>
      <c r="B686" s="77"/>
      <c r="C686" s="38" t="s">
        <v>95</v>
      </c>
      <c r="D686" s="38"/>
    </row>
    <row r="687" spans="1:4">
      <c r="A687" s="77"/>
      <c r="B687" s="77"/>
      <c r="C687" s="38" t="s">
        <v>918</v>
      </c>
      <c r="D687" s="38"/>
    </row>
    <row r="688" spans="1:4">
      <c r="A688" s="53"/>
      <c r="B688" s="50" t="s">
        <v>934</v>
      </c>
      <c r="C688" s="40" t="s">
        <v>935</v>
      </c>
      <c r="D688" s="40"/>
    </row>
    <row r="689" spans="1:4">
      <c r="A689" s="54"/>
      <c r="B689" s="52"/>
      <c r="C689" s="40" t="s">
        <v>936</v>
      </c>
      <c r="D689" s="40"/>
    </row>
    <row r="690" spans="1:4">
      <c r="A690" s="75"/>
      <c r="B690" s="75" t="s">
        <v>937</v>
      </c>
      <c r="C690" s="38" t="s">
        <v>938</v>
      </c>
      <c r="D690" s="38"/>
    </row>
    <row r="691" spans="1:4">
      <c r="A691" s="77"/>
      <c r="B691" s="77"/>
      <c r="C691" s="38" t="s">
        <v>939</v>
      </c>
      <c r="D691" s="38"/>
    </row>
    <row r="692" spans="1:4">
      <c r="A692" s="53"/>
      <c r="B692" s="53" t="s">
        <v>940</v>
      </c>
      <c r="C692" s="40" t="s">
        <v>941</v>
      </c>
      <c r="D692" s="40"/>
    </row>
    <row r="693" spans="1:4">
      <c r="A693" s="54"/>
      <c r="B693" s="54"/>
      <c r="C693" s="40" t="s">
        <v>758</v>
      </c>
      <c r="D693" s="40"/>
    </row>
    <row r="694" spans="1:4">
      <c r="A694" s="54"/>
      <c r="B694" s="54"/>
      <c r="C694" s="40" t="s">
        <v>942</v>
      </c>
      <c r="D694" s="40"/>
    </row>
    <row r="695" spans="1:4">
      <c r="A695" s="54"/>
      <c r="B695" s="54"/>
      <c r="C695" s="40" t="s">
        <v>943</v>
      </c>
      <c r="D695" s="40"/>
    </row>
    <row r="696" spans="1:4">
      <c r="A696" s="54"/>
      <c r="B696" s="54"/>
      <c r="C696" s="40" t="s">
        <v>944</v>
      </c>
      <c r="D696" s="40"/>
    </row>
    <row r="697" spans="1:4">
      <c r="A697" s="54"/>
      <c r="B697" s="54"/>
      <c r="C697" s="40" t="s">
        <v>157</v>
      </c>
      <c r="D697" s="40"/>
    </row>
    <row r="698" spans="1:4">
      <c r="A698" s="54"/>
      <c r="B698" s="54"/>
      <c r="C698" s="40" t="s">
        <v>945</v>
      </c>
      <c r="D698" s="40"/>
    </row>
    <row r="699" spans="1:4">
      <c r="A699" s="54"/>
      <c r="B699" s="54"/>
      <c r="C699" s="40" t="s">
        <v>946</v>
      </c>
      <c r="D699" s="40"/>
    </row>
    <row r="700" spans="1:4">
      <c r="A700" s="54"/>
      <c r="B700" s="54"/>
      <c r="C700" s="40" t="s">
        <v>95</v>
      </c>
      <c r="D700" s="40"/>
    </row>
    <row r="701" spans="1:4">
      <c r="A701" s="75"/>
      <c r="B701" s="75" t="s">
        <v>947</v>
      </c>
      <c r="C701" s="38" t="s">
        <v>447</v>
      </c>
      <c r="D701" s="38"/>
    </row>
    <row r="702" spans="1:4">
      <c r="A702" s="77"/>
      <c r="B702" s="77"/>
      <c r="C702" s="38" t="s">
        <v>448</v>
      </c>
      <c r="D702" s="38"/>
    </row>
    <row r="703" spans="1:4">
      <c r="A703" s="77"/>
      <c r="B703" s="77"/>
      <c r="C703" s="38" t="s">
        <v>449</v>
      </c>
      <c r="D703" s="38"/>
    </row>
    <row r="704" spans="1:4">
      <c r="A704" s="77"/>
      <c r="B704" s="77"/>
      <c r="C704" s="38" t="s">
        <v>450</v>
      </c>
      <c r="D704" s="38"/>
    </row>
    <row r="705" spans="1:4">
      <c r="A705" s="77"/>
      <c r="B705" s="77"/>
      <c r="C705" s="38" t="s">
        <v>451</v>
      </c>
      <c r="D705" s="38"/>
    </row>
    <row r="706" spans="1:4">
      <c r="A706" s="77"/>
      <c r="B706" s="77"/>
      <c r="C706" s="38" t="s">
        <v>452</v>
      </c>
      <c r="D706" s="38"/>
    </row>
    <row r="707" spans="1:4">
      <c r="A707" s="77"/>
      <c r="B707" s="77"/>
      <c r="C707" s="38" t="s">
        <v>454</v>
      </c>
      <c r="D707" s="38"/>
    </row>
    <row r="708" spans="1:4">
      <c r="A708" s="77"/>
      <c r="B708" s="77"/>
      <c r="C708" s="38" t="s">
        <v>455</v>
      </c>
      <c r="D708" s="38"/>
    </row>
    <row r="709" spans="1:4">
      <c r="A709" s="77"/>
      <c r="B709" s="77"/>
      <c r="C709" s="38" t="s">
        <v>456</v>
      </c>
      <c r="D709" s="38"/>
    </row>
    <row r="710" spans="1:4">
      <c r="A710" s="77"/>
      <c r="B710" s="77"/>
      <c r="C710" s="38" t="s">
        <v>457</v>
      </c>
      <c r="D710" s="38"/>
    </row>
    <row r="711" spans="1:4">
      <c r="A711" s="77"/>
      <c r="B711" s="77"/>
      <c r="C711" s="38" t="s">
        <v>458</v>
      </c>
      <c r="D711" s="38"/>
    </row>
    <row r="712" spans="1:4">
      <c r="A712" s="77"/>
      <c r="B712" s="77"/>
      <c r="C712" s="38" t="s">
        <v>459</v>
      </c>
      <c r="D712" s="38"/>
    </row>
    <row r="713" spans="1:4">
      <c r="A713" s="77"/>
      <c r="B713" s="77"/>
      <c r="C713" s="38" t="s">
        <v>460</v>
      </c>
      <c r="D713" s="38"/>
    </row>
    <row r="714" spans="1:4">
      <c r="A714" s="77"/>
      <c r="B714" s="77"/>
      <c r="C714" s="38" t="s">
        <v>461</v>
      </c>
      <c r="D714" s="38"/>
    </row>
    <row r="715" spans="1:4">
      <c r="A715" s="77"/>
      <c r="B715" s="77"/>
      <c r="C715" s="38" t="s">
        <v>462</v>
      </c>
      <c r="D715" s="38"/>
    </row>
    <row r="716" spans="1:4">
      <c r="A716" s="77"/>
      <c r="B716" s="77"/>
      <c r="C716" s="38" t="s">
        <v>463</v>
      </c>
      <c r="D716" s="38" t="s">
        <v>464</v>
      </c>
    </row>
    <row r="717" spans="1:4">
      <c r="A717" s="77"/>
      <c r="B717" s="77"/>
      <c r="C717" s="38" t="s">
        <v>465</v>
      </c>
      <c r="D717" s="38"/>
    </row>
    <row r="718" spans="1:4">
      <c r="A718" s="77"/>
      <c r="B718" s="77"/>
      <c r="C718" s="38" t="s">
        <v>466</v>
      </c>
      <c r="D718" s="38"/>
    </row>
    <row r="719" spans="1:4">
      <c r="A719" s="77"/>
      <c r="B719" s="77"/>
      <c r="C719" s="38" t="s">
        <v>467</v>
      </c>
      <c r="D719" s="38"/>
    </row>
    <row r="720" spans="1:4">
      <c r="A720" s="77"/>
      <c r="B720" s="77"/>
      <c r="C720" s="38" t="s">
        <v>468</v>
      </c>
      <c r="D720" s="38"/>
    </row>
    <row r="721" spans="1:4">
      <c r="A721" s="77"/>
      <c r="B721" s="77"/>
      <c r="C721" s="38" t="s">
        <v>469</v>
      </c>
      <c r="D721" s="38"/>
    </row>
    <row r="722" spans="1:4">
      <c r="A722" s="77"/>
      <c r="B722" s="77"/>
      <c r="C722" s="38" t="s">
        <v>470</v>
      </c>
      <c r="D722" s="38"/>
    </row>
    <row r="723" spans="1:4">
      <c r="A723" s="77"/>
      <c r="B723" s="77"/>
      <c r="C723" s="38" t="s">
        <v>471</v>
      </c>
      <c r="D723" s="38"/>
    </row>
    <row r="724" spans="1:4">
      <c r="A724" s="77"/>
      <c r="B724" s="77"/>
      <c r="C724" s="38" t="s">
        <v>472</v>
      </c>
      <c r="D724" s="38"/>
    </row>
    <row r="725" spans="1:4">
      <c r="A725" s="77"/>
      <c r="B725" s="77"/>
      <c r="C725" s="38" t="s">
        <v>473</v>
      </c>
      <c r="D725" s="38"/>
    </row>
    <row r="726" spans="1:4">
      <c r="A726" s="77"/>
      <c r="B726" s="77"/>
      <c r="C726" s="38" t="s">
        <v>474</v>
      </c>
      <c r="D726" s="38"/>
    </row>
    <row r="727" spans="1:4">
      <c r="A727" s="77"/>
      <c r="B727" s="77"/>
      <c r="C727" s="38" t="s">
        <v>475</v>
      </c>
      <c r="D727" s="38"/>
    </row>
    <row r="728" spans="1:4">
      <c r="A728" s="77"/>
      <c r="B728" s="77"/>
      <c r="C728" s="38" t="s">
        <v>476</v>
      </c>
      <c r="D728" s="38"/>
    </row>
    <row r="729" spans="1:4">
      <c r="A729" s="77"/>
      <c r="B729" s="77"/>
      <c r="C729" s="38" t="s">
        <v>477</v>
      </c>
      <c r="D729" s="38"/>
    </row>
    <row r="730" spans="1:4">
      <c r="A730" s="77"/>
      <c r="B730" s="77"/>
      <c r="C730" s="38" t="s">
        <v>478</v>
      </c>
      <c r="D730" s="38"/>
    </row>
    <row r="731" spans="1:4">
      <c r="A731" s="77"/>
      <c r="B731" s="77"/>
      <c r="C731" s="38" t="s">
        <v>479</v>
      </c>
      <c r="D731" s="38"/>
    </row>
    <row r="732" spans="1:4">
      <c r="A732" s="77"/>
      <c r="B732" s="77"/>
      <c r="C732" s="38" t="s">
        <v>480</v>
      </c>
      <c r="D732" s="38"/>
    </row>
    <row r="733" spans="1:4">
      <c r="A733" s="77"/>
      <c r="B733" s="77"/>
      <c r="C733" s="38" t="s">
        <v>481</v>
      </c>
      <c r="D733" s="38"/>
    </row>
    <row r="734" spans="1:4">
      <c r="A734" s="77"/>
      <c r="B734" s="77"/>
      <c r="C734" s="38" t="s">
        <v>482</v>
      </c>
      <c r="D734" s="38"/>
    </row>
    <row r="735" spans="1:4">
      <c r="A735" s="77"/>
      <c r="B735" s="77"/>
      <c r="C735" s="38" t="s">
        <v>483</v>
      </c>
      <c r="D735" s="38"/>
    </row>
    <row r="736" spans="1:4">
      <c r="A736" s="77"/>
      <c r="B736" s="77"/>
      <c r="C736" s="38" t="s">
        <v>484</v>
      </c>
      <c r="D736" s="38"/>
    </row>
    <row r="737" spans="1:4">
      <c r="A737" s="77"/>
      <c r="B737" s="77"/>
      <c r="C737" s="38" t="s">
        <v>485</v>
      </c>
      <c r="D737" s="38"/>
    </row>
    <row r="738" spans="1:4">
      <c r="A738" s="77"/>
      <c r="B738" s="77"/>
      <c r="C738" s="38" t="s">
        <v>486</v>
      </c>
      <c r="D738" s="38"/>
    </row>
    <row r="739" spans="1:4">
      <c r="A739" s="77"/>
      <c r="B739" s="77"/>
      <c r="C739" s="38" t="s">
        <v>487</v>
      </c>
      <c r="D739" s="38"/>
    </row>
    <row r="740" spans="1:4">
      <c r="A740" s="77"/>
      <c r="B740" s="77"/>
      <c r="C740" s="38" t="s">
        <v>488</v>
      </c>
      <c r="D740" s="38"/>
    </row>
    <row r="741" spans="1:4">
      <c r="A741" s="77"/>
      <c r="B741" s="77"/>
      <c r="C741" s="38" t="s">
        <v>489</v>
      </c>
      <c r="D741" s="38"/>
    </row>
    <row r="742" spans="1:4">
      <c r="A742" s="77"/>
      <c r="B742" s="77"/>
      <c r="C742" s="38" t="s">
        <v>490</v>
      </c>
      <c r="D742" s="38"/>
    </row>
    <row r="743" spans="1:4">
      <c r="A743" s="77"/>
      <c r="B743" s="77"/>
      <c r="C743" s="38" t="s">
        <v>491</v>
      </c>
      <c r="D743" s="38"/>
    </row>
    <row r="744" spans="1:4">
      <c r="A744" s="77"/>
      <c r="B744" s="77"/>
      <c r="C744" s="38" t="s">
        <v>492</v>
      </c>
      <c r="D744" s="38"/>
    </row>
    <row r="745" spans="1:4">
      <c r="A745" s="77"/>
      <c r="B745" s="77"/>
      <c r="C745" s="38" t="s">
        <v>493</v>
      </c>
      <c r="D745" s="38"/>
    </row>
    <row r="746" spans="1:4">
      <c r="A746" s="77"/>
      <c r="B746" s="77"/>
      <c r="C746" s="38" t="s">
        <v>494</v>
      </c>
      <c r="D746" s="38"/>
    </row>
    <row r="747" spans="1:4">
      <c r="A747" s="77"/>
      <c r="B747" s="77"/>
      <c r="C747" s="38" t="s">
        <v>495</v>
      </c>
      <c r="D747" s="38"/>
    </row>
    <row r="748" spans="1:4">
      <c r="A748" s="77"/>
      <c r="B748" s="77"/>
      <c r="C748" s="38" t="s">
        <v>496</v>
      </c>
      <c r="D748" s="38"/>
    </row>
    <row r="749" spans="1:4">
      <c r="A749" s="77"/>
      <c r="B749" s="77"/>
      <c r="C749" s="38" t="s">
        <v>497</v>
      </c>
      <c r="D749" s="38"/>
    </row>
    <row r="750" spans="1:4">
      <c r="A750" s="77"/>
      <c r="B750" s="77"/>
      <c r="C750" s="38" t="s">
        <v>30</v>
      </c>
      <c r="D750" s="38"/>
    </row>
    <row r="751" spans="1:4">
      <c r="A751" s="77"/>
      <c r="B751" s="77"/>
      <c r="C751" s="38" t="s">
        <v>226</v>
      </c>
      <c r="D751" s="38"/>
    </row>
    <row r="752" spans="1:4">
      <c r="A752" s="77"/>
      <c r="B752" s="77"/>
      <c r="C752" s="38" t="s">
        <v>227</v>
      </c>
      <c r="D752" s="38"/>
    </row>
    <row r="753" spans="1:4">
      <c r="A753" s="77"/>
      <c r="B753" s="77"/>
      <c r="C753" s="38" t="s">
        <v>228</v>
      </c>
      <c r="D753" s="38"/>
    </row>
    <row r="754" spans="1:4">
      <c r="A754" s="77"/>
      <c r="B754" s="77"/>
      <c r="C754" s="38" t="s">
        <v>229</v>
      </c>
      <c r="D754" s="38"/>
    </row>
    <row r="755" spans="1:4">
      <c r="A755" s="77"/>
      <c r="B755" s="77"/>
      <c r="C755" s="38" t="s">
        <v>230</v>
      </c>
      <c r="D755" s="38"/>
    </row>
    <row r="756" spans="1:4">
      <c r="A756" s="77"/>
      <c r="B756" s="77"/>
      <c r="C756" s="38" t="s">
        <v>231</v>
      </c>
      <c r="D756" s="38"/>
    </row>
    <row r="757" spans="1:4">
      <c r="A757" s="77"/>
      <c r="B757" s="77"/>
      <c r="C757" s="38" t="s">
        <v>232</v>
      </c>
      <c r="D757" s="38"/>
    </row>
    <row r="758" spans="1:4">
      <c r="A758" s="77"/>
      <c r="B758" s="77"/>
      <c r="C758" s="38" t="s">
        <v>233</v>
      </c>
      <c r="D758" s="38"/>
    </row>
    <row r="759" spans="1:4">
      <c r="A759" s="77"/>
      <c r="B759" s="77"/>
      <c r="C759" s="38" t="s">
        <v>234</v>
      </c>
      <c r="D759" s="38"/>
    </row>
    <row r="760" spans="1:4">
      <c r="A760" s="77"/>
      <c r="B760" s="77"/>
      <c r="C760" s="38" t="s">
        <v>235</v>
      </c>
      <c r="D760" s="38"/>
    </row>
    <row r="761" spans="1:4">
      <c r="A761" s="77"/>
      <c r="B761" s="77"/>
      <c r="C761" s="38" t="s">
        <v>236</v>
      </c>
      <c r="D761" s="38"/>
    </row>
    <row r="762" spans="1:4">
      <c r="A762" s="77"/>
      <c r="B762" s="77"/>
      <c r="C762" s="38" t="s">
        <v>237</v>
      </c>
      <c r="D762" s="38"/>
    </row>
    <row r="763" spans="1:4">
      <c r="A763" s="77"/>
      <c r="B763" s="77"/>
      <c r="C763" s="38" t="s">
        <v>238</v>
      </c>
      <c r="D763" s="38"/>
    </row>
    <row r="764" spans="1:4">
      <c r="A764" s="77"/>
      <c r="B764" s="77"/>
      <c r="C764" s="38" t="s">
        <v>239</v>
      </c>
      <c r="D764" s="38"/>
    </row>
    <row r="765" spans="1:4">
      <c r="A765" s="77"/>
      <c r="B765" s="77"/>
      <c r="C765" s="38" t="s">
        <v>240</v>
      </c>
      <c r="D765" s="38"/>
    </row>
    <row r="766" spans="1:4">
      <c r="A766" s="77"/>
      <c r="B766" s="77"/>
      <c r="C766" s="38" t="s">
        <v>241</v>
      </c>
      <c r="D766" s="38"/>
    </row>
    <row r="767" spans="1:4">
      <c r="A767" s="77"/>
      <c r="B767" s="77"/>
      <c r="C767" s="38" t="s">
        <v>103</v>
      </c>
      <c r="D767" s="38"/>
    </row>
    <row r="768" spans="1:4">
      <c r="A768" s="77"/>
      <c r="B768" s="77"/>
      <c r="C768" s="38" t="s">
        <v>242</v>
      </c>
      <c r="D768" s="38"/>
    </row>
    <row r="769" spans="1:4">
      <c r="A769" s="77"/>
      <c r="B769" s="77"/>
      <c r="C769" s="38" t="s">
        <v>243</v>
      </c>
      <c r="D769" s="38"/>
    </row>
    <row r="770" spans="1:4">
      <c r="A770" s="77"/>
      <c r="B770" s="77"/>
      <c r="C770" s="38" t="s">
        <v>244</v>
      </c>
      <c r="D770" s="38"/>
    </row>
    <row r="771" spans="1:4">
      <c r="A771" s="77"/>
      <c r="B771" s="77"/>
      <c r="C771" s="38" t="s">
        <v>245</v>
      </c>
      <c r="D771" s="38"/>
    </row>
    <row r="772" spans="1:4">
      <c r="A772" s="77"/>
      <c r="B772" s="77"/>
      <c r="C772" s="38" t="s">
        <v>246</v>
      </c>
      <c r="D772" s="38"/>
    </row>
    <row r="773" spans="1:4">
      <c r="A773" s="77"/>
      <c r="B773" s="77"/>
      <c r="C773" s="38" t="s">
        <v>247</v>
      </c>
      <c r="D773" s="38"/>
    </row>
    <row r="774" spans="1:4">
      <c r="A774" s="77"/>
      <c r="B774" s="77"/>
      <c r="C774" s="38" t="s">
        <v>248</v>
      </c>
      <c r="D774" s="38"/>
    </row>
    <row r="775" spans="1:4">
      <c r="A775" s="77"/>
      <c r="B775" s="77"/>
      <c r="C775" s="38" t="s">
        <v>249</v>
      </c>
      <c r="D775" s="38"/>
    </row>
    <row r="776" spans="1:4">
      <c r="A776" s="77"/>
      <c r="B776" s="77"/>
      <c r="C776" s="38" t="s">
        <v>250</v>
      </c>
      <c r="D776" s="38"/>
    </row>
    <row r="777" spans="1:4">
      <c r="A777" s="77"/>
      <c r="B777" s="77"/>
      <c r="C777" s="38" t="s">
        <v>251</v>
      </c>
      <c r="D777" s="38"/>
    </row>
    <row r="778" spans="1:4">
      <c r="A778" s="77"/>
      <c r="B778" s="77"/>
      <c r="C778" s="38" t="s">
        <v>252</v>
      </c>
      <c r="D778" s="38"/>
    </row>
    <row r="779" spans="1:4">
      <c r="A779" s="77"/>
      <c r="B779" s="77"/>
      <c r="C779" s="38" t="s">
        <v>253</v>
      </c>
      <c r="D779" s="38"/>
    </row>
    <row r="780" spans="1:4">
      <c r="A780" s="77"/>
      <c r="B780" s="77"/>
      <c r="C780" s="38" t="s">
        <v>254</v>
      </c>
      <c r="D780" s="38"/>
    </row>
    <row r="781" spans="1:4">
      <c r="A781" s="77"/>
      <c r="B781" s="77"/>
      <c r="C781" s="38" t="s">
        <v>255</v>
      </c>
      <c r="D781" s="38"/>
    </row>
    <row r="782" spans="1:4">
      <c r="A782" s="77"/>
      <c r="B782" s="77"/>
      <c r="C782" s="38" t="s">
        <v>256</v>
      </c>
      <c r="D782" s="38"/>
    </row>
    <row r="783" spans="1:4">
      <c r="A783" s="77"/>
      <c r="B783" s="77"/>
      <c r="C783" s="38" t="s">
        <v>257</v>
      </c>
      <c r="D783" s="38"/>
    </row>
    <row r="784" spans="1:4">
      <c r="A784" s="77"/>
      <c r="B784" s="77"/>
      <c r="C784" s="38" t="s">
        <v>260</v>
      </c>
      <c r="D784" s="38"/>
    </row>
    <row r="785" spans="1:4">
      <c r="A785" s="77"/>
      <c r="B785" s="77"/>
      <c r="C785" s="38" t="s">
        <v>261</v>
      </c>
      <c r="D785" s="38"/>
    </row>
    <row r="786" spans="1:4">
      <c r="A786" s="77"/>
      <c r="B786" s="77"/>
      <c r="C786" s="38" t="s">
        <v>262</v>
      </c>
      <c r="D786" s="38"/>
    </row>
    <row r="787" spans="1:4">
      <c r="A787" s="77"/>
      <c r="B787" s="77"/>
      <c r="C787" s="38" t="s">
        <v>263</v>
      </c>
      <c r="D787" s="38"/>
    </row>
    <row r="788" spans="1:4">
      <c r="A788" s="77"/>
      <c r="B788" s="77"/>
      <c r="C788" s="38" t="s">
        <v>264</v>
      </c>
      <c r="D788" s="38"/>
    </row>
    <row r="789" spans="1:4">
      <c r="A789" s="77"/>
      <c r="B789" s="77"/>
      <c r="C789" s="38" t="s">
        <v>265</v>
      </c>
      <c r="D789" s="38"/>
    </row>
    <row r="790" spans="1:4">
      <c r="A790" s="77"/>
      <c r="B790" s="77"/>
      <c r="C790" s="38" t="s">
        <v>266</v>
      </c>
      <c r="D790" s="38"/>
    </row>
    <row r="791" spans="1:4">
      <c r="A791" s="77"/>
      <c r="B791" s="77"/>
      <c r="C791" s="38" t="s">
        <v>267</v>
      </c>
      <c r="D791" s="38"/>
    </row>
    <row r="792" spans="1:4">
      <c r="A792" s="77"/>
      <c r="B792" s="77"/>
      <c r="C792" s="38" t="s">
        <v>268</v>
      </c>
      <c r="D792" s="38"/>
    </row>
    <row r="793" spans="1:4">
      <c r="A793" s="77"/>
      <c r="B793" s="77"/>
      <c r="C793" s="38" t="s">
        <v>269</v>
      </c>
      <c r="D793" s="38"/>
    </row>
    <row r="794" spans="1:4">
      <c r="A794" s="77"/>
      <c r="B794" s="77"/>
      <c r="C794" s="38" t="s">
        <v>948</v>
      </c>
      <c r="D794" s="38"/>
    </row>
    <row r="795" spans="1:4">
      <c r="A795" s="77"/>
      <c r="B795" s="77"/>
      <c r="C795" s="38" t="s">
        <v>270</v>
      </c>
      <c r="D795" s="38"/>
    </row>
    <row r="796" spans="1:4">
      <c r="A796" s="77"/>
      <c r="B796" s="77"/>
      <c r="C796" s="38" t="s">
        <v>271</v>
      </c>
      <c r="D796" s="38"/>
    </row>
    <row r="797" spans="1:4">
      <c r="A797" s="77"/>
      <c r="B797" s="77"/>
      <c r="C797" s="38" t="s">
        <v>272</v>
      </c>
      <c r="D797" s="38"/>
    </row>
    <row r="798" spans="1:4">
      <c r="A798" s="77"/>
      <c r="B798" s="77"/>
      <c r="C798" s="38" t="s">
        <v>273</v>
      </c>
      <c r="D798" s="38"/>
    </row>
    <row r="799" spans="1:4">
      <c r="A799" s="77"/>
      <c r="B799" s="77"/>
      <c r="C799" s="38" t="s">
        <v>274</v>
      </c>
      <c r="D799" s="38"/>
    </row>
    <row r="800" spans="1:4">
      <c r="A800" s="77"/>
      <c r="B800" s="77"/>
      <c r="C800" s="38" t="s">
        <v>275</v>
      </c>
      <c r="D800" s="38"/>
    </row>
    <row r="801" spans="1:4">
      <c r="A801" s="77"/>
      <c r="B801" s="77"/>
      <c r="C801" s="38" t="s">
        <v>276</v>
      </c>
      <c r="D801" s="38"/>
    </row>
    <row r="802" spans="1:4">
      <c r="A802" s="77"/>
      <c r="B802" s="77"/>
      <c r="C802" s="38" t="s">
        <v>277</v>
      </c>
      <c r="D802" s="38"/>
    </row>
    <row r="803" spans="1:4">
      <c r="A803" s="77"/>
      <c r="B803" s="77"/>
      <c r="C803" s="38" t="s">
        <v>278</v>
      </c>
      <c r="D803" s="38"/>
    </row>
    <row r="804" spans="1:4">
      <c r="A804" s="77"/>
      <c r="B804" s="77"/>
      <c r="C804" s="38" t="s">
        <v>279</v>
      </c>
      <c r="D804" s="38"/>
    </row>
    <row r="805" spans="1:4">
      <c r="A805" s="77"/>
      <c r="B805" s="77"/>
      <c r="C805" s="38" t="s">
        <v>280</v>
      </c>
      <c r="D805" s="38"/>
    </row>
    <row r="806" spans="1:4">
      <c r="A806" s="77"/>
      <c r="B806" s="77"/>
      <c r="C806" s="38" t="s">
        <v>281</v>
      </c>
      <c r="D806" s="38"/>
    </row>
    <row r="807" spans="1:4">
      <c r="A807" s="77"/>
      <c r="B807" s="77"/>
      <c r="C807" s="38" t="s">
        <v>282</v>
      </c>
      <c r="D807" s="38"/>
    </row>
    <row r="808" spans="1:4">
      <c r="A808" s="77"/>
      <c r="B808" s="77"/>
      <c r="C808" s="38" t="s">
        <v>284</v>
      </c>
      <c r="D808" s="38"/>
    </row>
    <row r="809" spans="1:4">
      <c r="A809" s="77"/>
      <c r="B809" s="77"/>
      <c r="C809" s="38" t="s">
        <v>283</v>
      </c>
      <c r="D809" s="38"/>
    </row>
    <row r="810" spans="1:4">
      <c r="A810" s="77"/>
      <c r="B810" s="77"/>
      <c r="C810" s="38" t="s">
        <v>285</v>
      </c>
      <c r="D810" s="38"/>
    </row>
    <row r="811" spans="1:4">
      <c r="A811" s="77"/>
      <c r="B811" s="77"/>
      <c r="C811" s="38" t="s">
        <v>286</v>
      </c>
      <c r="D811" s="38"/>
    </row>
    <row r="812" spans="1:4">
      <c r="A812" s="77"/>
      <c r="B812" s="77"/>
      <c r="C812" s="38" t="s">
        <v>287</v>
      </c>
      <c r="D812" s="38"/>
    </row>
    <row r="813" spans="1:4">
      <c r="A813" s="77"/>
      <c r="B813" s="77"/>
      <c r="C813" s="38" t="s">
        <v>288</v>
      </c>
      <c r="D813" s="38"/>
    </row>
    <row r="814" spans="1:4">
      <c r="A814" s="77"/>
      <c r="B814" s="77"/>
      <c r="C814" s="38" t="s">
        <v>289</v>
      </c>
      <c r="D814" s="38"/>
    </row>
    <row r="815" spans="1:4">
      <c r="A815" s="77"/>
      <c r="B815" s="77"/>
      <c r="C815" s="38" t="s">
        <v>290</v>
      </c>
      <c r="D815" s="38"/>
    </row>
    <row r="816" spans="1:4">
      <c r="A816" s="77"/>
      <c r="B816" s="77"/>
      <c r="C816" s="38" t="s">
        <v>291</v>
      </c>
      <c r="D816" s="38"/>
    </row>
    <row r="817" spans="1:4">
      <c r="A817" s="77"/>
      <c r="B817" s="77"/>
      <c r="C817" s="38" t="s">
        <v>292</v>
      </c>
      <c r="D817" s="38"/>
    </row>
    <row r="818" spans="1:4">
      <c r="A818" s="77"/>
      <c r="B818" s="77"/>
      <c r="C818" s="38" t="s">
        <v>293</v>
      </c>
      <c r="D818" s="38"/>
    </row>
    <row r="819" spans="1:4">
      <c r="A819" s="77"/>
      <c r="B819" s="77"/>
      <c r="C819" s="38" t="s">
        <v>294</v>
      </c>
      <c r="D819" s="38"/>
    </row>
    <row r="820" spans="1:4">
      <c r="A820" s="77"/>
      <c r="B820" s="77"/>
      <c r="C820" s="38" t="s">
        <v>295</v>
      </c>
      <c r="D820" s="38"/>
    </row>
    <row r="821" spans="1:4">
      <c r="A821" s="77"/>
      <c r="B821" s="77"/>
      <c r="C821" s="38" t="s">
        <v>296</v>
      </c>
      <c r="D821" s="38"/>
    </row>
    <row r="822" spans="1:4">
      <c r="A822" s="77"/>
      <c r="B822" s="77"/>
      <c r="C822" s="38" t="s">
        <v>297</v>
      </c>
      <c r="D822" s="38"/>
    </row>
    <row r="823" spans="1:4">
      <c r="A823" s="77"/>
      <c r="B823" s="77"/>
      <c r="C823" s="38" t="s">
        <v>298</v>
      </c>
      <c r="D823" s="38"/>
    </row>
    <row r="824" spans="1:4">
      <c r="A824" s="77"/>
      <c r="B824" s="77"/>
      <c r="C824" s="38" t="s">
        <v>299</v>
      </c>
      <c r="D824" s="38"/>
    </row>
    <row r="825" spans="1:4">
      <c r="A825" s="77"/>
      <c r="B825" s="77"/>
      <c r="C825" s="38" t="s">
        <v>300</v>
      </c>
      <c r="D825" s="38"/>
    </row>
    <row r="826" spans="1:4">
      <c r="A826" s="77"/>
      <c r="B826" s="77"/>
      <c r="C826" s="38" t="s">
        <v>301</v>
      </c>
      <c r="D826" s="38"/>
    </row>
    <row r="827" spans="1:4">
      <c r="A827" s="77"/>
      <c r="B827" s="77"/>
      <c r="C827" s="38" t="s">
        <v>302</v>
      </c>
      <c r="D827" s="38"/>
    </row>
    <row r="828" spans="1:4">
      <c r="A828" s="77"/>
      <c r="B828" s="77"/>
      <c r="C828" s="38" t="s">
        <v>303</v>
      </c>
      <c r="D828" s="38"/>
    </row>
    <row r="829" spans="1:4">
      <c r="A829" s="77"/>
      <c r="B829" s="77"/>
      <c r="C829" s="38" t="s">
        <v>304</v>
      </c>
      <c r="D829" s="38"/>
    </row>
    <row r="830" spans="1:4">
      <c r="A830" s="77"/>
      <c r="B830" s="77"/>
      <c r="C830" s="38" t="s">
        <v>305</v>
      </c>
      <c r="D830" s="38"/>
    </row>
    <row r="831" spans="1:4">
      <c r="A831" s="77"/>
      <c r="B831" s="77"/>
      <c r="C831" s="38" t="s">
        <v>949</v>
      </c>
      <c r="D831" s="108" t="s">
        <v>950</v>
      </c>
    </row>
    <row r="832" spans="1:4">
      <c r="A832" s="77"/>
      <c r="B832" s="77"/>
      <c r="C832" s="38" t="s">
        <v>951</v>
      </c>
      <c r="D832" s="108" t="s">
        <v>317</v>
      </c>
    </row>
    <row r="833" spans="1:4">
      <c r="A833" s="77"/>
      <c r="B833" s="77"/>
      <c r="C833" s="38" t="s">
        <v>952</v>
      </c>
      <c r="D833" s="108" t="s">
        <v>317</v>
      </c>
    </row>
    <row r="834" spans="1:4" ht="15">
      <c r="A834" s="77"/>
      <c r="B834" s="77"/>
      <c r="C834" s="38" t="s">
        <v>953</v>
      </c>
      <c r="D834" s="107"/>
    </row>
    <row r="835" spans="1:4">
      <c r="A835" s="77"/>
      <c r="B835" s="77"/>
      <c r="C835" s="38" t="s">
        <v>313</v>
      </c>
      <c r="D835" s="38"/>
    </row>
    <row r="836" spans="1:4">
      <c r="A836" s="77"/>
      <c r="B836" s="77"/>
      <c r="C836" s="38" t="s">
        <v>308</v>
      </c>
      <c r="D836" s="38"/>
    </row>
    <row r="837" spans="1:4">
      <c r="A837" s="77"/>
      <c r="B837" s="77"/>
      <c r="C837" s="38" t="s">
        <v>309</v>
      </c>
      <c r="D837" s="38"/>
    </row>
    <row r="838" spans="1:4">
      <c r="A838" s="77"/>
      <c r="B838" s="77"/>
      <c r="C838" s="38" t="s">
        <v>306</v>
      </c>
      <c r="D838" s="38"/>
    </row>
    <row r="839" spans="1:4">
      <c r="A839" s="77"/>
      <c r="B839" s="77"/>
      <c r="C839" s="38" t="s">
        <v>310</v>
      </c>
      <c r="D839" s="38"/>
    </row>
    <row r="840" spans="1:4">
      <c r="A840" s="77"/>
      <c r="B840" s="77"/>
      <c r="C840" s="38" t="s">
        <v>307</v>
      </c>
      <c r="D840" s="38"/>
    </row>
    <row r="841" spans="1:4">
      <c r="A841" s="77"/>
      <c r="B841" s="77"/>
      <c r="C841" s="38" t="s">
        <v>311</v>
      </c>
      <c r="D841" s="38"/>
    </row>
    <row r="842" spans="1:4">
      <c r="A842" s="77"/>
      <c r="B842" s="77"/>
      <c r="C842" s="38" t="s">
        <v>954</v>
      </c>
      <c r="D842" s="38"/>
    </row>
    <row r="843" spans="1:4">
      <c r="A843" s="77"/>
      <c r="B843" s="77"/>
      <c r="C843" s="38" t="s">
        <v>955</v>
      </c>
      <c r="D843" s="38"/>
    </row>
    <row r="844" spans="1:4">
      <c r="A844" s="77"/>
      <c r="B844" s="77"/>
      <c r="C844" s="38" t="s">
        <v>956</v>
      </c>
      <c r="D844" s="38"/>
    </row>
    <row r="845" spans="1:4">
      <c r="A845" s="77"/>
      <c r="B845" s="77"/>
      <c r="C845" s="38" t="s">
        <v>957</v>
      </c>
      <c r="D845" s="38"/>
    </row>
    <row r="846" spans="1:4">
      <c r="A846" s="77"/>
      <c r="B846" s="77"/>
      <c r="C846" s="38" t="s">
        <v>958</v>
      </c>
      <c r="D846" s="38"/>
    </row>
    <row r="847" spans="1:4">
      <c r="A847" s="77"/>
      <c r="B847" s="77"/>
      <c r="C847" s="38" t="s">
        <v>959</v>
      </c>
      <c r="D847" s="38"/>
    </row>
    <row r="848" spans="1:4">
      <c r="A848" s="77"/>
      <c r="B848" s="77"/>
      <c r="C848" s="38" t="s">
        <v>960</v>
      </c>
      <c r="D848" s="38"/>
    </row>
    <row r="849" spans="1:4">
      <c r="A849" s="77"/>
      <c r="B849" s="77"/>
      <c r="C849" s="38" t="s">
        <v>961</v>
      </c>
      <c r="D849" s="38"/>
    </row>
    <row r="850" spans="1:4">
      <c r="A850" s="77"/>
      <c r="B850" s="77"/>
      <c r="C850" s="38" t="s">
        <v>95</v>
      </c>
      <c r="D850" s="38"/>
    </row>
    <row r="851" spans="1:4">
      <c r="A851" s="50" t="s">
        <v>962</v>
      </c>
      <c r="B851" s="50"/>
      <c r="C851" s="40" t="s">
        <v>353</v>
      </c>
      <c r="D851" s="40"/>
    </row>
    <row r="852" spans="1:4">
      <c r="A852" s="51"/>
      <c r="B852" s="51"/>
      <c r="C852" s="40" t="s">
        <v>147</v>
      </c>
      <c r="D852" s="40"/>
    </row>
    <row r="853" spans="1:4">
      <c r="A853" s="77" t="s">
        <v>963</v>
      </c>
      <c r="B853" s="77" t="s">
        <v>5</v>
      </c>
      <c r="C853" s="38" t="s">
        <v>964</v>
      </c>
      <c r="D853" s="38"/>
    </row>
    <row r="854" spans="1:4">
      <c r="A854" s="77"/>
      <c r="B854" s="77"/>
      <c r="C854" s="38" t="s">
        <v>965</v>
      </c>
      <c r="D854" s="38"/>
    </row>
    <row r="855" spans="1:4">
      <c r="A855" s="77"/>
      <c r="B855" s="77"/>
      <c r="C855" s="38" t="s">
        <v>966</v>
      </c>
      <c r="D855" s="38"/>
    </row>
    <row r="856" spans="1:4">
      <c r="A856" s="77"/>
      <c r="B856" s="77"/>
      <c r="C856" s="38" t="s">
        <v>967</v>
      </c>
      <c r="D856" s="38"/>
    </row>
    <row r="857" spans="1:4">
      <c r="A857" s="77"/>
      <c r="B857" s="77"/>
      <c r="C857" s="38" t="s">
        <v>968</v>
      </c>
      <c r="D857" s="38"/>
    </row>
    <row r="858" spans="1:4">
      <c r="A858" s="77"/>
      <c r="B858" s="77"/>
      <c r="C858" s="38" t="s">
        <v>969</v>
      </c>
      <c r="D858" s="38"/>
    </row>
    <row r="859" spans="1:4">
      <c r="A859" s="77"/>
      <c r="B859" s="77"/>
      <c r="C859" s="38" t="s">
        <v>970</v>
      </c>
      <c r="D859" s="38"/>
    </row>
    <row r="860" spans="1:4">
      <c r="A860" s="77"/>
      <c r="B860" s="77"/>
      <c r="C860" s="38" t="s">
        <v>971</v>
      </c>
      <c r="D860" s="38"/>
    </row>
    <row r="861" spans="1:4">
      <c r="A861" s="77"/>
      <c r="B861" s="77"/>
      <c r="C861" s="38" t="s">
        <v>972</v>
      </c>
      <c r="D861" s="38"/>
    </row>
    <row r="862" spans="1:4">
      <c r="A862" s="50" t="s">
        <v>973</v>
      </c>
      <c r="B862" s="50" t="s">
        <v>5</v>
      </c>
      <c r="C862" s="40" t="s">
        <v>46</v>
      </c>
      <c r="D862" s="40"/>
    </row>
    <row r="863" spans="1:4">
      <c r="A863" s="51"/>
      <c r="B863" s="51"/>
      <c r="C863" s="40" t="s">
        <v>974</v>
      </c>
      <c r="D863" s="40"/>
    </row>
    <row r="864" spans="1:4">
      <c r="A864" s="51"/>
      <c r="B864" s="51"/>
      <c r="C864" s="40" t="s">
        <v>55</v>
      </c>
      <c r="D864" s="40"/>
    </row>
    <row r="865" spans="1:4">
      <c r="A865" s="51"/>
      <c r="B865" s="51"/>
      <c r="C865" s="40" t="s">
        <v>975</v>
      </c>
      <c r="D865" s="40"/>
    </row>
    <row r="866" spans="1:4">
      <c r="A866" s="51"/>
      <c r="B866" s="51"/>
      <c r="C866" s="40" t="s">
        <v>93</v>
      </c>
      <c r="D866" s="40"/>
    </row>
    <row r="867" spans="1:4">
      <c r="A867" s="51"/>
      <c r="B867" s="51"/>
      <c r="C867" s="40" t="s">
        <v>976</v>
      </c>
      <c r="D867" s="40"/>
    </row>
    <row r="868" spans="1:4">
      <c r="A868" s="51"/>
      <c r="B868" s="51"/>
      <c r="C868" s="40" t="s">
        <v>29</v>
      </c>
      <c r="D868" s="40"/>
    </row>
    <row r="869" spans="1:4">
      <c r="A869" s="51"/>
      <c r="B869" s="51"/>
      <c r="C869" s="40" t="s">
        <v>977</v>
      </c>
      <c r="D869" s="40"/>
    </row>
    <row r="870" spans="1:4">
      <c r="A870" s="77" t="s">
        <v>978</v>
      </c>
      <c r="B870" s="77" t="s">
        <v>5</v>
      </c>
      <c r="C870" s="38" t="s">
        <v>46</v>
      </c>
      <c r="D870" s="38"/>
    </row>
    <row r="871" spans="1:4">
      <c r="A871" s="77"/>
      <c r="B871" s="77"/>
      <c r="C871" s="38" t="s">
        <v>55</v>
      </c>
      <c r="D871" s="38"/>
    </row>
    <row r="872" spans="1:4">
      <c r="A872" s="77"/>
      <c r="B872" s="77"/>
      <c r="C872" s="38" t="s">
        <v>93</v>
      </c>
      <c r="D872" s="38"/>
    </row>
    <row r="873" spans="1:4">
      <c r="A873" s="77"/>
      <c r="B873" s="77"/>
      <c r="C873" s="38" t="s">
        <v>95</v>
      </c>
      <c r="D873" s="38"/>
    </row>
    <row r="874" spans="1:4">
      <c r="A874" s="50" t="s">
        <v>979</v>
      </c>
      <c r="B874" s="50" t="s">
        <v>5</v>
      </c>
      <c r="C874" s="40" t="s">
        <v>980</v>
      </c>
      <c r="D874" s="40"/>
    </row>
    <row r="875" spans="1:4">
      <c r="A875" s="51"/>
      <c r="B875" s="51"/>
      <c r="C875" s="40" t="s">
        <v>768</v>
      </c>
      <c r="D875" s="40"/>
    </row>
    <row r="876" spans="1:4">
      <c r="A876" s="51"/>
      <c r="B876" s="51"/>
      <c r="C876" s="40" t="s">
        <v>769</v>
      </c>
      <c r="D876" s="40"/>
    </row>
    <row r="877" spans="1:4">
      <c r="A877" s="51"/>
      <c r="B877" s="51"/>
      <c r="C877" s="40" t="s">
        <v>770</v>
      </c>
      <c r="D877" s="40"/>
    </row>
    <row r="878" spans="1:4">
      <c r="A878" s="51"/>
      <c r="B878" s="51"/>
      <c r="C878" s="40" t="s">
        <v>981</v>
      </c>
      <c r="D878" s="40"/>
    </row>
    <row r="879" spans="1:4">
      <c r="A879" s="51"/>
      <c r="B879" s="51"/>
      <c r="C879" s="40" t="s">
        <v>982</v>
      </c>
      <c r="D879" s="40"/>
    </row>
    <row r="880" spans="1:4">
      <c r="A880" s="51"/>
      <c r="B880" s="51"/>
      <c r="C880" s="40" t="s">
        <v>983</v>
      </c>
      <c r="D880" s="40"/>
    </row>
    <row r="881" spans="1:4">
      <c r="A881" s="51"/>
      <c r="B881" s="51"/>
      <c r="C881" s="40" t="s">
        <v>984</v>
      </c>
      <c r="D881" s="40"/>
    </row>
    <row r="882" spans="1:4">
      <c r="A882" s="51"/>
      <c r="B882" s="51"/>
      <c r="C882" s="40" t="s">
        <v>985</v>
      </c>
      <c r="D882" s="40" t="s">
        <v>985</v>
      </c>
    </row>
    <row r="883" spans="1:4">
      <c r="A883" s="52"/>
      <c r="B883" s="52"/>
      <c r="C883" s="40" t="s">
        <v>95</v>
      </c>
      <c r="D883" s="40"/>
    </row>
    <row r="884" spans="1:4">
      <c r="A884" s="66" t="s">
        <v>986</v>
      </c>
      <c r="B884" s="66" t="s">
        <v>5</v>
      </c>
      <c r="C884" s="38" t="s">
        <v>944</v>
      </c>
      <c r="D884" s="38"/>
    </row>
    <row r="885" spans="1:4">
      <c r="A885" s="67"/>
      <c r="B885" s="67"/>
      <c r="C885" s="38" t="s">
        <v>987</v>
      </c>
      <c r="D885" s="38"/>
    </row>
    <row r="886" spans="1:4">
      <c r="A886" s="67"/>
      <c r="B886" s="67"/>
      <c r="C886" s="38" t="s">
        <v>988</v>
      </c>
      <c r="D886" s="38"/>
    </row>
    <row r="887" spans="1:4">
      <c r="A887" s="67"/>
      <c r="B887" s="67"/>
      <c r="C887" s="38" t="s">
        <v>989</v>
      </c>
      <c r="D887" s="38"/>
    </row>
    <row r="888" spans="1:4">
      <c r="A888" s="67"/>
      <c r="B888" s="67"/>
      <c r="C888" s="38" t="s">
        <v>990</v>
      </c>
      <c r="D888" s="38"/>
    </row>
    <row r="889" spans="1:4">
      <c r="A889" s="67"/>
      <c r="B889" s="67"/>
      <c r="C889" s="38" t="s">
        <v>991</v>
      </c>
      <c r="D889" s="38" t="s">
        <v>992</v>
      </c>
    </row>
    <row r="890" spans="1:4">
      <c r="A890" s="67"/>
      <c r="B890" s="67"/>
      <c r="C890" s="38" t="s">
        <v>993</v>
      </c>
      <c r="D890" s="38"/>
    </row>
    <row r="891" spans="1:4">
      <c r="A891" s="50" t="s">
        <v>484</v>
      </c>
      <c r="B891" s="50" t="s">
        <v>5</v>
      </c>
      <c r="C891" s="40" t="s">
        <v>994</v>
      </c>
      <c r="D891" s="40"/>
    </row>
    <row r="892" spans="1:4">
      <c r="A892" s="51"/>
      <c r="B892" s="51"/>
      <c r="C892" s="40" t="s">
        <v>995</v>
      </c>
      <c r="D892" s="40"/>
    </row>
    <row r="893" spans="1:4">
      <c r="A893" s="51"/>
      <c r="B893" s="51"/>
      <c r="C893" s="40" t="s">
        <v>996</v>
      </c>
      <c r="D893" s="40"/>
    </row>
    <row r="894" spans="1:4">
      <c r="A894" s="51"/>
      <c r="B894" s="51"/>
      <c r="C894" s="40" t="s">
        <v>997</v>
      </c>
      <c r="D894" s="40"/>
    </row>
    <row r="895" spans="1:4">
      <c r="A895" s="51"/>
      <c r="B895" s="51"/>
      <c r="C895" s="40" t="s">
        <v>998</v>
      </c>
      <c r="D895" s="40"/>
    </row>
    <row r="896" spans="1:4">
      <c r="A896" s="51"/>
      <c r="B896" s="51"/>
      <c r="C896" s="40" t="s">
        <v>95</v>
      </c>
      <c r="D896" s="40"/>
    </row>
    <row r="897" spans="1:4">
      <c r="A897" s="66" t="s">
        <v>999</v>
      </c>
      <c r="B897" s="66" t="s">
        <v>5</v>
      </c>
      <c r="C897" s="38" t="s">
        <v>1000</v>
      </c>
      <c r="D897" s="38"/>
    </row>
    <row r="898" spans="1:4">
      <c r="A898" s="67"/>
      <c r="B898" s="67"/>
      <c r="C898" s="38" t="s">
        <v>1001</v>
      </c>
      <c r="D898" s="38"/>
    </row>
    <row r="899" spans="1:4">
      <c r="A899" s="67"/>
      <c r="B899" s="67"/>
      <c r="C899" s="38" t="s">
        <v>944</v>
      </c>
      <c r="D899" s="38"/>
    </row>
    <row r="900" spans="1:4">
      <c r="A900" s="67"/>
      <c r="B900" s="67"/>
      <c r="C900" s="38" t="s">
        <v>95</v>
      </c>
      <c r="D900" s="38"/>
    </row>
    <row r="901" spans="1:4">
      <c r="A901" s="50" t="s">
        <v>1002</v>
      </c>
      <c r="B901" s="50" t="s">
        <v>5</v>
      </c>
      <c r="C901" s="40" t="s">
        <v>1003</v>
      </c>
      <c r="D901" s="40"/>
    </row>
    <row r="902" spans="1:4">
      <c r="A902" s="51"/>
      <c r="B902" s="51"/>
      <c r="C902" s="40" t="s">
        <v>1004</v>
      </c>
      <c r="D902" s="40"/>
    </row>
    <row r="903" spans="1:4">
      <c r="A903" s="51"/>
      <c r="B903" s="51"/>
      <c r="C903" s="40" t="s">
        <v>759</v>
      </c>
      <c r="D903" s="40"/>
    </row>
    <row r="904" spans="1:4">
      <c r="A904" s="51"/>
      <c r="B904" s="51"/>
      <c r="C904" s="40" t="s">
        <v>1005</v>
      </c>
      <c r="D904" s="40"/>
    </row>
    <row r="905" spans="1:4">
      <c r="A905" s="51"/>
      <c r="B905" s="51"/>
      <c r="C905" s="40" t="s">
        <v>1006</v>
      </c>
      <c r="D905" s="40"/>
    </row>
    <row r="906" spans="1:4">
      <c r="A906" s="76" t="s">
        <v>1007</v>
      </c>
      <c r="B906" s="76" t="s">
        <v>5</v>
      </c>
      <c r="C906" s="43" t="s">
        <v>1008</v>
      </c>
      <c r="D906" s="43"/>
    </row>
    <row r="907" spans="1:4">
      <c r="A907" s="77"/>
      <c r="B907" s="77"/>
      <c r="C907" s="43" t="s">
        <v>1009</v>
      </c>
      <c r="D907" s="43"/>
    </row>
    <row r="908" spans="1:4">
      <c r="A908" s="77"/>
      <c r="B908" s="77"/>
      <c r="C908" s="38" t="s">
        <v>1010</v>
      </c>
      <c r="D908" s="38"/>
    </row>
    <row r="909" spans="1:4">
      <c r="A909" s="77"/>
      <c r="B909" s="77"/>
      <c r="C909" s="38" t="s">
        <v>1011</v>
      </c>
      <c r="D909" s="38"/>
    </row>
    <row r="910" spans="1:4">
      <c r="A910" s="77"/>
      <c r="B910" s="77"/>
      <c r="C910" s="38" t="s">
        <v>1012</v>
      </c>
      <c r="D910" s="38"/>
    </row>
    <row r="911" spans="1:4">
      <c r="A911" s="77"/>
      <c r="B911" s="77"/>
      <c r="C911" s="38" t="s">
        <v>1013</v>
      </c>
      <c r="D911" s="38"/>
    </row>
    <row r="912" spans="1:4">
      <c r="A912" s="72" t="s">
        <v>1014</v>
      </c>
      <c r="B912" s="72" t="s">
        <v>5</v>
      </c>
      <c r="C912" s="44" t="s">
        <v>46</v>
      </c>
      <c r="D912" s="44"/>
    </row>
    <row r="913" spans="1:4">
      <c r="A913" s="54"/>
      <c r="B913" s="54"/>
      <c r="C913" s="44" t="s">
        <v>974</v>
      </c>
      <c r="D913" s="44"/>
    </row>
    <row r="914" spans="1:4">
      <c r="A914" s="54"/>
      <c r="B914" s="54"/>
      <c r="C914" s="40" t="s">
        <v>55</v>
      </c>
      <c r="D914" s="40"/>
    </row>
    <row r="915" spans="1:4">
      <c r="A915" s="54"/>
      <c r="B915" s="54"/>
      <c r="C915" s="40" t="s">
        <v>975</v>
      </c>
      <c r="D915" s="40"/>
    </row>
    <row r="916" spans="1:4">
      <c r="A916" s="54"/>
      <c r="B916" s="54"/>
      <c r="C916" s="40" t="s">
        <v>93</v>
      </c>
      <c r="D916" s="40"/>
    </row>
    <row r="917" spans="1:4">
      <c r="A917" s="54"/>
      <c r="B917" s="54"/>
      <c r="C917" s="40" t="s">
        <v>976</v>
      </c>
      <c r="D917" s="40"/>
    </row>
    <row r="918" spans="1:4">
      <c r="A918" s="54"/>
      <c r="B918" s="54"/>
      <c r="C918" s="44" t="s">
        <v>29</v>
      </c>
      <c r="D918" s="44"/>
    </row>
    <row r="919" spans="1:4">
      <c r="A919" s="54"/>
      <c r="B919" s="54"/>
      <c r="C919" s="44" t="s">
        <v>977</v>
      </c>
      <c r="D919" s="44"/>
    </row>
    <row r="920" spans="1:4">
      <c r="A920" s="76" t="s">
        <v>1015</v>
      </c>
      <c r="B920" s="76" t="s">
        <v>5</v>
      </c>
      <c r="C920" s="43" t="s">
        <v>1016</v>
      </c>
      <c r="D920" s="43"/>
    </row>
    <row r="921" spans="1:4">
      <c r="A921" s="77"/>
      <c r="B921" s="77"/>
      <c r="C921" s="43" t="s">
        <v>1017</v>
      </c>
      <c r="D921" s="43"/>
    </row>
    <row r="922" spans="1:4">
      <c r="A922" s="77"/>
      <c r="B922" s="77"/>
      <c r="C922" s="38" t="s">
        <v>1018</v>
      </c>
      <c r="D922" s="38"/>
    </row>
    <row r="923" spans="1:4">
      <c r="A923" s="77"/>
      <c r="B923" s="77"/>
      <c r="C923" s="38" t="s">
        <v>1019</v>
      </c>
      <c r="D923" s="38"/>
    </row>
    <row r="924" spans="1:4">
      <c r="A924" s="77"/>
      <c r="B924" s="77"/>
      <c r="C924" s="38" t="s">
        <v>1020</v>
      </c>
      <c r="D924" s="38"/>
    </row>
    <row r="925" spans="1:4">
      <c r="A925" s="77"/>
      <c r="B925" s="77"/>
      <c r="C925" s="38" t="s">
        <v>95</v>
      </c>
      <c r="D925" s="38"/>
    </row>
    <row r="926" spans="1:4">
      <c r="A926" s="72" t="s">
        <v>1021</v>
      </c>
      <c r="B926" s="72" t="s">
        <v>5</v>
      </c>
      <c r="C926" s="40" t="s">
        <v>1022</v>
      </c>
      <c r="D926" s="40"/>
    </row>
    <row r="927" spans="1:4">
      <c r="A927" s="54"/>
      <c r="B927" s="54"/>
      <c r="C927" s="40" t="s">
        <v>1023</v>
      </c>
      <c r="D927" s="40"/>
    </row>
    <row r="928" spans="1:4">
      <c r="A928" s="54"/>
      <c r="B928" s="54"/>
      <c r="C928" s="40" t="s">
        <v>1024</v>
      </c>
      <c r="D928" s="40"/>
    </row>
    <row r="929" spans="1:4">
      <c r="A929" s="73" t="s">
        <v>1025</v>
      </c>
      <c r="B929" s="73" t="s">
        <v>5</v>
      </c>
      <c r="C929" s="43" t="s">
        <v>1026</v>
      </c>
      <c r="D929" s="43"/>
    </row>
    <row r="930" spans="1:4">
      <c r="A930" s="74"/>
      <c r="B930" s="74"/>
      <c r="C930" s="43" t="s">
        <v>768</v>
      </c>
      <c r="D930" s="43"/>
    </row>
    <row r="931" spans="1:4">
      <c r="A931" s="74"/>
      <c r="B931" s="74"/>
      <c r="C931" s="38" t="s">
        <v>980</v>
      </c>
      <c r="D931" s="38"/>
    </row>
    <row r="932" spans="1:4">
      <c r="A932" s="74"/>
      <c r="B932" s="74"/>
      <c r="C932" s="38" t="s">
        <v>769</v>
      </c>
      <c r="D932" s="38"/>
    </row>
    <row r="933" spans="1:4">
      <c r="A933" s="74"/>
      <c r="B933" s="74"/>
      <c r="C933" s="38" t="s">
        <v>95</v>
      </c>
      <c r="D933" s="38"/>
    </row>
    <row r="934" spans="1:4">
      <c r="A934" s="80" t="s">
        <v>1027</v>
      </c>
      <c r="B934" s="80" t="s">
        <v>5</v>
      </c>
      <c r="C934" s="44" t="s">
        <v>980</v>
      </c>
      <c r="D934" s="44"/>
    </row>
    <row r="935" spans="1:4">
      <c r="A935" s="81"/>
      <c r="B935" s="81"/>
      <c r="C935" s="44" t="s">
        <v>768</v>
      </c>
      <c r="D935" s="44"/>
    </row>
    <row r="936" spans="1:4">
      <c r="A936" s="81"/>
      <c r="B936" s="81"/>
      <c r="C936" s="40" t="s">
        <v>769</v>
      </c>
      <c r="D936" s="40"/>
    </row>
    <row r="937" spans="1:4">
      <c r="A937" s="81"/>
      <c r="B937" s="81"/>
      <c r="C937" s="40" t="s">
        <v>770</v>
      </c>
      <c r="D937" s="40"/>
    </row>
    <row r="938" spans="1:4">
      <c r="A938" s="81"/>
      <c r="B938" s="81"/>
      <c r="C938" s="40" t="s">
        <v>1028</v>
      </c>
      <c r="D938" s="40"/>
    </row>
    <row r="939" spans="1:4">
      <c r="A939" s="81"/>
      <c r="B939" s="81"/>
      <c r="C939" s="44" t="s">
        <v>1028</v>
      </c>
      <c r="D939" s="44"/>
    </row>
    <row r="940" spans="1:4">
      <c r="A940" s="81"/>
      <c r="B940" s="81"/>
      <c r="C940" s="44" t="s">
        <v>982</v>
      </c>
      <c r="D940" s="44"/>
    </row>
    <row r="941" spans="1:4">
      <c r="A941" s="81"/>
      <c r="B941" s="81"/>
      <c r="C941" s="40" t="s">
        <v>983</v>
      </c>
      <c r="D941" s="40"/>
    </row>
    <row r="942" spans="1:4">
      <c r="A942" s="81"/>
      <c r="B942" s="81"/>
      <c r="C942" s="44" t="s">
        <v>984</v>
      </c>
      <c r="D942" s="44"/>
    </row>
    <row r="943" spans="1:4">
      <c r="A943" s="81"/>
      <c r="B943" s="81"/>
      <c r="C943" s="44" t="s">
        <v>1026</v>
      </c>
      <c r="D943" s="44"/>
    </row>
    <row r="944" spans="1:4">
      <c r="A944" s="81"/>
      <c r="B944" s="81"/>
      <c r="C944" s="40" t="s">
        <v>1029</v>
      </c>
      <c r="D944" s="40" t="s">
        <v>1029</v>
      </c>
    </row>
    <row r="945" spans="1:4">
      <c r="A945" s="105"/>
      <c r="B945" s="105"/>
      <c r="C945" s="40" t="s">
        <v>95</v>
      </c>
      <c r="D945" s="40"/>
    </row>
    <row r="946" spans="1:4" ht="14.25" customHeight="1">
      <c r="A946" s="73" t="s">
        <v>1030</v>
      </c>
      <c r="B946" s="73" t="s">
        <v>5</v>
      </c>
      <c r="C946" s="43" t="s">
        <v>1031</v>
      </c>
      <c r="D946" s="43"/>
    </row>
    <row r="947" spans="1:4">
      <c r="A947" s="74"/>
      <c r="B947" s="74"/>
      <c r="C947" s="43" t="s">
        <v>1032</v>
      </c>
      <c r="D947" s="43"/>
    </row>
    <row r="948" spans="1:4">
      <c r="A948" s="74"/>
      <c r="B948" s="74"/>
      <c r="C948" s="38" t="s">
        <v>1033</v>
      </c>
      <c r="D948" s="38"/>
    </row>
    <row r="949" spans="1:4">
      <c r="A949" s="74"/>
      <c r="B949" s="74"/>
      <c r="C949" s="38" t="s">
        <v>1034</v>
      </c>
      <c r="D949" s="38"/>
    </row>
    <row r="950" spans="1:4">
      <c r="A950" s="74"/>
      <c r="B950" s="74"/>
      <c r="C950" s="38" t="s">
        <v>1035</v>
      </c>
      <c r="D950" s="38"/>
    </row>
    <row r="951" spans="1:4">
      <c r="A951" s="74"/>
      <c r="B951" s="74"/>
      <c r="C951" s="43" t="s">
        <v>780</v>
      </c>
      <c r="D951" s="43"/>
    </row>
    <row r="952" spans="1:4">
      <c r="A952" s="74"/>
      <c r="B952" s="74"/>
      <c r="C952" s="43" t="s">
        <v>1026</v>
      </c>
      <c r="D952" s="43"/>
    </row>
    <row r="953" spans="1:4">
      <c r="A953" s="74"/>
      <c r="B953" s="74"/>
      <c r="C953" s="38" t="s">
        <v>1036</v>
      </c>
      <c r="D953" s="38" t="s">
        <v>1037</v>
      </c>
    </row>
    <row r="954" spans="1:4">
      <c r="A954" s="74"/>
      <c r="B954" s="74"/>
      <c r="C954" s="38" t="s">
        <v>991</v>
      </c>
      <c r="D954" s="38" t="s">
        <v>992</v>
      </c>
    </row>
    <row r="955" spans="1:4">
      <c r="A955" s="74"/>
      <c r="B955" s="74"/>
      <c r="C955" s="38" t="s">
        <v>95</v>
      </c>
      <c r="D955" s="38"/>
    </row>
    <row r="956" spans="1:4">
      <c r="A956" s="80" t="s">
        <v>788</v>
      </c>
      <c r="B956" s="80" t="s">
        <v>5</v>
      </c>
      <c r="C956" s="40" t="s">
        <v>1038</v>
      </c>
      <c r="D956" s="40"/>
    </row>
    <row r="957" spans="1:4">
      <c r="A957" s="81"/>
      <c r="B957" s="81"/>
      <c r="C957" s="40" t="s">
        <v>1039</v>
      </c>
      <c r="D957" s="40"/>
    </row>
    <row r="958" spans="1:4">
      <c r="A958" s="81"/>
      <c r="B958" s="81"/>
      <c r="C958" s="40" t="s">
        <v>1040</v>
      </c>
      <c r="D958" s="40"/>
    </row>
    <row r="959" spans="1:4">
      <c r="A959" s="81"/>
      <c r="B959" s="81"/>
      <c r="C959" s="40" t="s">
        <v>1041</v>
      </c>
      <c r="D959" s="40"/>
    </row>
    <row r="960" spans="1:4">
      <c r="A960" s="81"/>
      <c r="B960" s="81"/>
      <c r="C960" s="40" t="s">
        <v>1042</v>
      </c>
      <c r="D960" s="40"/>
    </row>
    <row r="961" spans="1:4">
      <c r="A961" s="81"/>
      <c r="B961" s="81"/>
      <c r="C961" s="40" t="s">
        <v>1043</v>
      </c>
      <c r="D961" s="40"/>
    </row>
    <row r="962" spans="1:4">
      <c r="A962" s="81"/>
      <c r="B962" s="81"/>
      <c r="C962" s="40" t="s">
        <v>1044</v>
      </c>
      <c r="D962" s="40"/>
    </row>
    <row r="963" spans="1:4">
      <c r="A963" s="81"/>
      <c r="B963" s="81"/>
      <c r="C963" s="40" t="s">
        <v>869</v>
      </c>
      <c r="D963" s="40"/>
    </row>
    <row r="964" spans="1:4">
      <c r="A964" s="82" t="s">
        <v>1045</v>
      </c>
      <c r="B964" s="73" t="s">
        <v>5</v>
      </c>
      <c r="C964" s="38" t="s">
        <v>1003</v>
      </c>
      <c r="D964" s="38"/>
    </row>
    <row r="965" spans="1:4">
      <c r="A965" s="83"/>
      <c r="B965" s="74"/>
      <c r="C965" s="38" t="s">
        <v>1004</v>
      </c>
      <c r="D965" s="38"/>
    </row>
    <row r="966" spans="1:4">
      <c r="A966" s="83"/>
      <c r="B966" s="74"/>
      <c r="C966" s="38" t="s">
        <v>759</v>
      </c>
      <c r="D966" s="38"/>
    </row>
    <row r="967" spans="1:4">
      <c r="A967" s="83"/>
      <c r="B967" s="74"/>
      <c r="C967" s="38" t="s">
        <v>1005</v>
      </c>
      <c r="D967" s="38"/>
    </row>
    <row r="968" spans="1:4">
      <c r="A968" s="83"/>
      <c r="B968" s="74"/>
      <c r="C968" s="38" t="s">
        <v>1006</v>
      </c>
      <c r="D968" s="38"/>
    </row>
    <row r="969" spans="1:4">
      <c r="A969" s="83"/>
      <c r="B969" s="74"/>
      <c r="C969" s="38" t="s">
        <v>1046</v>
      </c>
      <c r="D969" s="38"/>
    </row>
    <row r="970" spans="1:4">
      <c r="A970" s="84" t="s">
        <v>1047</v>
      </c>
      <c r="B970" s="80" t="s">
        <v>5</v>
      </c>
      <c r="C970" s="40" t="s">
        <v>1048</v>
      </c>
      <c r="D970" s="40"/>
    </row>
    <row r="971" spans="1:4">
      <c r="A971" s="85"/>
      <c r="B971" s="81"/>
      <c r="C971" s="40" t="s">
        <v>1049</v>
      </c>
      <c r="D971" s="40"/>
    </row>
    <row r="972" spans="1:4">
      <c r="A972" s="85"/>
      <c r="B972" s="81"/>
      <c r="C972" s="40" t="s">
        <v>1050</v>
      </c>
      <c r="D972" s="40"/>
    </row>
    <row r="973" spans="1:4">
      <c r="A973" s="85"/>
      <c r="B973" s="81"/>
      <c r="C973" s="40" t="s">
        <v>1051</v>
      </c>
      <c r="D973" s="40"/>
    </row>
    <row r="974" spans="1:4">
      <c r="A974" s="85"/>
      <c r="B974" s="81"/>
      <c r="C974" s="40" t="s">
        <v>1052</v>
      </c>
      <c r="D974" s="40"/>
    </row>
    <row r="975" spans="1:4">
      <c r="A975" s="85"/>
      <c r="B975" s="81"/>
      <c r="C975" s="40" t="s">
        <v>1053</v>
      </c>
      <c r="D975" s="40"/>
    </row>
    <row r="976" spans="1:4">
      <c r="A976" s="106"/>
      <c r="B976" s="105"/>
      <c r="C976" s="40" t="s">
        <v>95</v>
      </c>
      <c r="D976" s="40"/>
    </row>
    <row r="977" spans="1:4">
      <c r="A977" s="73" t="s">
        <v>1054</v>
      </c>
      <c r="B977" s="73" t="s">
        <v>5</v>
      </c>
      <c r="C977" s="38" t="s">
        <v>1055</v>
      </c>
      <c r="D977" s="38"/>
    </row>
    <row r="978" spans="1:4">
      <c r="A978" s="74"/>
      <c r="B978" s="74"/>
      <c r="C978" s="38" t="s">
        <v>1056</v>
      </c>
      <c r="D978" s="38"/>
    </row>
    <row r="979" spans="1:4">
      <c r="A979" s="74"/>
      <c r="B979" s="74"/>
      <c r="C979" s="38" t="s">
        <v>1057</v>
      </c>
      <c r="D979" s="38"/>
    </row>
    <row r="980" spans="1:4">
      <c r="A980" s="74"/>
      <c r="B980" s="74"/>
      <c r="C980" s="38" t="s">
        <v>1058</v>
      </c>
      <c r="D980" s="38"/>
    </row>
    <row r="981" spans="1:4">
      <c r="A981" s="74"/>
      <c r="B981" s="74"/>
      <c r="C981" s="38" t="s">
        <v>1059</v>
      </c>
      <c r="D981" s="38"/>
    </row>
    <row r="982" spans="1:4">
      <c r="A982" s="74"/>
      <c r="B982" s="74"/>
      <c r="C982" s="38" t="s">
        <v>1060</v>
      </c>
      <c r="D982" s="38"/>
    </row>
    <row r="983" spans="1:4">
      <c r="A983" s="74"/>
      <c r="B983" s="74"/>
      <c r="C983" s="38" t="s">
        <v>1061</v>
      </c>
      <c r="D983" s="38"/>
    </row>
    <row r="984" spans="1:4">
      <c r="A984" s="74"/>
      <c r="B984" s="74"/>
      <c r="C984" s="38" t="s">
        <v>1062</v>
      </c>
      <c r="D984" s="38"/>
    </row>
    <row r="985" spans="1:4">
      <c r="A985" s="74"/>
      <c r="B985" s="74"/>
      <c r="C985" s="38" t="s">
        <v>1063</v>
      </c>
      <c r="D985" s="38" t="s">
        <v>1064</v>
      </c>
    </row>
    <row r="986" spans="1:4">
      <c r="A986" s="84" t="s">
        <v>1065</v>
      </c>
      <c r="B986" s="80" t="s">
        <v>5</v>
      </c>
      <c r="C986" s="40" t="s">
        <v>1008</v>
      </c>
      <c r="D986" s="40"/>
    </row>
    <row r="987" spans="1:4">
      <c r="A987" s="85"/>
      <c r="B987" s="81"/>
      <c r="C987" s="40" t="s">
        <v>1009</v>
      </c>
      <c r="D987" s="40"/>
    </row>
    <row r="988" spans="1:4">
      <c r="A988" s="85"/>
      <c r="B988" s="81"/>
      <c r="C988" s="40" t="s">
        <v>1066</v>
      </c>
      <c r="D988" s="40"/>
    </row>
    <row r="989" spans="1:4">
      <c r="A989" s="85"/>
      <c r="B989" s="81"/>
      <c r="C989" s="40" t="s">
        <v>1067</v>
      </c>
      <c r="D989" s="40"/>
    </row>
    <row r="990" spans="1:4">
      <c r="A990" s="85"/>
      <c r="B990" s="81"/>
      <c r="C990" s="40" t="s">
        <v>1068</v>
      </c>
      <c r="D990" s="40"/>
    </row>
    <row r="991" spans="1:4">
      <c r="A991" s="85"/>
      <c r="B991" s="81"/>
      <c r="C991" s="40" t="s">
        <v>1069</v>
      </c>
      <c r="D991" s="40"/>
    </row>
    <row r="992" spans="1:4">
      <c r="A992" s="73" t="s">
        <v>1070</v>
      </c>
      <c r="B992" s="73" t="s">
        <v>5</v>
      </c>
      <c r="C992" s="38" t="s">
        <v>768</v>
      </c>
      <c r="D992" s="38"/>
    </row>
    <row r="993" spans="1:4">
      <c r="A993" s="74"/>
      <c r="B993" s="74"/>
      <c r="C993" s="38" t="s">
        <v>980</v>
      </c>
      <c r="D993" s="38"/>
    </row>
    <row r="994" spans="1:4">
      <c r="A994" s="74"/>
      <c r="B994" s="74"/>
      <c r="C994" s="38" t="s">
        <v>977</v>
      </c>
      <c r="D994" s="38"/>
    </row>
    <row r="995" spans="1:4">
      <c r="A995" s="74"/>
      <c r="B995" s="74"/>
      <c r="C995" s="38" t="s">
        <v>769</v>
      </c>
      <c r="D995" s="38"/>
    </row>
    <row r="996" spans="1:4">
      <c r="A996" s="74"/>
      <c r="B996" s="74"/>
      <c r="C996" s="38" t="s">
        <v>1071</v>
      </c>
      <c r="D996" s="38" t="s">
        <v>1072</v>
      </c>
    </row>
    <row r="997" spans="1:4">
      <c r="A997" s="74"/>
      <c r="B997" s="74"/>
      <c r="C997" s="38" t="s">
        <v>95</v>
      </c>
      <c r="D997" s="38"/>
    </row>
    <row r="998" spans="1:4">
      <c r="A998" s="80" t="s">
        <v>1073</v>
      </c>
      <c r="B998" s="80" t="s">
        <v>5</v>
      </c>
      <c r="C998" s="40" t="s">
        <v>1074</v>
      </c>
      <c r="D998" s="40"/>
    </row>
    <row r="999" spans="1:4">
      <c r="A999" s="81"/>
      <c r="B999" s="81"/>
      <c r="C999" s="40" t="s">
        <v>1075</v>
      </c>
      <c r="D999" s="40"/>
    </row>
    <row r="1000" spans="1:4">
      <c r="A1000" s="73" t="s">
        <v>1076</v>
      </c>
      <c r="B1000" s="73" t="s">
        <v>5</v>
      </c>
      <c r="C1000" s="38" t="s">
        <v>1077</v>
      </c>
      <c r="D1000" s="38"/>
    </row>
    <row r="1001" spans="1:4">
      <c r="A1001" s="74"/>
      <c r="B1001" s="74"/>
      <c r="C1001" s="38" t="s">
        <v>1078</v>
      </c>
      <c r="D1001" s="38"/>
    </row>
    <row r="1002" spans="1:4">
      <c r="A1002" s="74"/>
      <c r="B1002" s="74"/>
      <c r="C1002" s="38" t="s">
        <v>1079</v>
      </c>
      <c r="D1002" s="38"/>
    </row>
    <row r="1003" spans="1:4">
      <c r="A1003" s="74"/>
      <c r="B1003" s="74"/>
      <c r="C1003" s="38" t="s">
        <v>1080</v>
      </c>
      <c r="D1003" s="38"/>
    </row>
    <row r="1004" spans="1:4">
      <c r="A1004" s="74"/>
      <c r="B1004" s="74"/>
      <c r="C1004" s="38" t="s">
        <v>1081</v>
      </c>
      <c r="D1004" s="38"/>
    </row>
    <row r="1005" spans="1:4">
      <c r="A1005" s="74"/>
      <c r="B1005" s="74"/>
      <c r="C1005" s="38" t="s">
        <v>1082</v>
      </c>
      <c r="D1005" s="38"/>
    </row>
    <row r="1006" spans="1:4">
      <c r="A1006" s="74"/>
      <c r="B1006" s="74"/>
      <c r="C1006" s="38" t="s">
        <v>1083</v>
      </c>
      <c r="D1006" s="38"/>
    </row>
    <row r="1007" spans="1:4">
      <c r="A1007" s="74"/>
      <c r="B1007" s="74"/>
      <c r="C1007" s="38" t="s">
        <v>1084</v>
      </c>
      <c r="D1007" s="38"/>
    </row>
    <row r="1008" spans="1:4">
      <c r="A1008" s="74"/>
      <c r="B1008" s="74"/>
      <c r="C1008" s="38" t="s">
        <v>1085</v>
      </c>
      <c r="D1008" s="38"/>
    </row>
    <row r="1009" spans="1:4">
      <c r="A1009" s="74"/>
      <c r="B1009" s="74"/>
      <c r="C1009" s="38" t="s">
        <v>1086</v>
      </c>
      <c r="D1009" s="38"/>
    </row>
    <row r="1010" spans="1:4">
      <c r="A1010" s="74"/>
      <c r="B1010" s="74"/>
      <c r="C1010" s="38" t="s">
        <v>1087</v>
      </c>
      <c r="D1010" s="38"/>
    </row>
    <row r="1011" spans="1:4">
      <c r="A1011" s="74"/>
      <c r="B1011" s="74"/>
      <c r="C1011" s="38" t="s">
        <v>1088</v>
      </c>
      <c r="D1011" s="38"/>
    </row>
    <row r="1012" spans="1:4">
      <c r="A1012" s="74"/>
      <c r="B1012" s="74"/>
      <c r="C1012" s="38" t="s">
        <v>1089</v>
      </c>
      <c r="D1012" s="38"/>
    </row>
    <row r="1013" spans="1:4">
      <c r="A1013" s="74"/>
      <c r="B1013" s="74"/>
      <c r="C1013" s="38" t="s">
        <v>1090</v>
      </c>
      <c r="D1013" s="38"/>
    </row>
    <row r="1014" spans="1:4">
      <c r="A1014" s="74"/>
      <c r="B1014" s="74"/>
      <c r="C1014" s="38" t="s">
        <v>1091</v>
      </c>
      <c r="D1014" s="38"/>
    </row>
    <row r="1015" spans="1:4">
      <c r="A1015" s="74"/>
      <c r="B1015" s="74"/>
      <c r="C1015" s="38" t="s">
        <v>146</v>
      </c>
      <c r="D1015" s="38"/>
    </row>
    <row r="1016" spans="1:4">
      <c r="A1016" s="74"/>
      <c r="B1016" s="74"/>
      <c r="C1016" s="38" t="s">
        <v>1092</v>
      </c>
      <c r="D1016" s="38"/>
    </row>
    <row r="1017" spans="1:4">
      <c r="A1017" s="74"/>
      <c r="B1017" s="74"/>
      <c r="C1017" s="38" t="s">
        <v>153</v>
      </c>
      <c r="D1017" s="38"/>
    </row>
    <row r="1018" spans="1:4">
      <c r="A1018" s="74"/>
      <c r="B1018" s="74"/>
      <c r="C1018" s="38" t="s">
        <v>1093</v>
      </c>
      <c r="D1018" s="38"/>
    </row>
    <row r="1019" spans="1:4">
      <c r="A1019" s="74"/>
      <c r="B1019" s="74"/>
      <c r="C1019" s="38" t="s">
        <v>1094</v>
      </c>
      <c r="D1019" s="38"/>
    </row>
    <row r="1020" spans="1:4">
      <c r="A1020" s="74"/>
      <c r="B1020" s="74"/>
      <c r="C1020" s="38" t="s">
        <v>1095</v>
      </c>
      <c r="D1020" s="38"/>
    </row>
    <row r="1021" spans="1:4">
      <c r="A1021" s="74"/>
      <c r="B1021" s="74"/>
      <c r="C1021" s="38" t="s">
        <v>1096</v>
      </c>
      <c r="D1021" s="38"/>
    </row>
    <row r="1022" spans="1:4">
      <c r="A1022" s="74"/>
      <c r="B1022" s="74"/>
      <c r="C1022" s="38" t="s">
        <v>1097</v>
      </c>
      <c r="D1022" s="38"/>
    </row>
    <row r="1023" spans="1:4">
      <c r="A1023" s="74"/>
      <c r="B1023" s="74"/>
      <c r="C1023" s="38" t="s">
        <v>1098</v>
      </c>
      <c r="D1023" s="38"/>
    </row>
    <row r="1024" spans="1:4">
      <c r="A1024" s="74"/>
      <c r="B1024" s="74"/>
      <c r="C1024" s="38" t="s">
        <v>1099</v>
      </c>
      <c r="D1024" s="38"/>
    </row>
    <row r="1025" spans="1:4">
      <c r="A1025" s="74"/>
      <c r="B1025" s="74"/>
      <c r="C1025" s="38" t="s">
        <v>1100</v>
      </c>
      <c r="D1025" s="38"/>
    </row>
    <row r="1026" spans="1:4">
      <c r="A1026" s="74"/>
      <c r="B1026" s="74"/>
      <c r="C1026" s="38" t="s">
        <v>1101</v>
      </c>
      <c r="D1026" s="38"/>
    </row>
    <row r="1027" spans="1:4">
      <c r="A1027" s="74"/>
      <c r="B1027" s="74"/>
      <c r="C1027" s="38" t="s">
        <v>1102</v>
      </c>
      <c r="D1027" s="38"/>
    </row>
    <row r="1028" spans="1:4">
      <c r="A1028" s="74"/>
      <c r="B1028" s="74"/>
      <c r="C1028" s="38" t="s">
        <v>1103</v>
      </c>
      <c r="D1028" s="38"/>
    </row>
    <row r="1029" spans="1:4">
      <c r="A1029" s="74"/>
      <c r="B1029" s="74"/>
      <c r="C1029" s="38" t="s">
        <v>1104</v>
      </c>
      <c r="D1029" s="38"/>
    </row>
    <row r="1030" spans="1:4">
      <c r="A1030" s="74"/>
      <c r="B1030" s="74"/>
      <c r="C1030" s="38" t="s">
        <v>1105</v>
      </c>
      <c r="D1030" s="38"/>
    </row>
    <row r="1031" spans="1:4">
      <c r="A1031" s="74"/>
      <c r="B1031" s="74"/>
      <c r="C1031" s="112" t="s">
        <v>1106</v>
      </c>
      <c r="D1031" s="38"/>
    </row>
    <row r="1032" spans="1:4">
      <c r="A1032" s="74"/>
      <c r="B1032" s="74"/>
      <c r="C1032" s="38" t="s">
        <v>1107</v>
      </c>
      <c r="D1032" s="38"/>
    </row>
    <row r="1033" spans="1:4">
      <c r="A1033" s="74"/>
      <c r="B1033" s="74"/>
      <c r="C1033" s="38" t="s">
        <v>95</v>
      </c>
      <c r="D1033" s="38"/>
    </row>
    <row r="1034" spans="1:4">
      <c r="A1034" s="50" t="s">
        <v>1108</v>
      </c>
      <c r="B1034" s="50" t="s">
        <v>5</v>
      </c>
      <c r="C1034" s="40" t="s">
        <v>1109</v>
      </c>
      <c r="D1034" s="40"/>
    </row>
    <row r="1035" spans="1:4">
      <c r="A1035" s="51"/>
      <c r="B1035" s="51"/>
      <c r="C1035" s="40" t="s">
        <v>1110</v>
      </c>
      <c r="D1035" s="40"/>
    </row>
    <row r="1036" spans="1:4">
      <c r="A1036" s="51"/>
      <c r="B1036" s="51"/>
      <c r="C1036" s="40" t="s">
        <v>95</v>
      </c>
      <c r="D1036" s="40"/>
    </row>
    <row r="1037" spans="1:4">
      <c r="A1037" s="73" t="s">
        <v>1111</v>
      </c>
      <c r="B1037" s="73" t="s">
        <v>5</v>
      </c>
      <c r="C1037" s="38" t="s">
        <v>1112</v>
      </c>
      <c r="D1037" s="38"/>
    </row>
    <row r="1163" ht="14.45" hidden="1" customHeight="1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557" activePane="bottomLeft" state="frozen"/>
      <selection pane="bottomLeft" activeCell="B561" sqref="B561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>
      <c r="A1" s="92" t="s">
        <v>1113</v>
      </c>
      <c r="B1" s="93" t="s">
        <v>1114</v>
      </c>
      <c r="C1" s="93" t="s">
        <v>1115</v>
      </c>
      <c r="D1" s="94" t="s">
        <v>1116</v>
      </c>
    </row>
    <row r="2" spans="1:4" ht="15.75" outlineLevel="1">
      <c r="A2" s="25" t="s">
        <v>963</v>
      </c>
      <c r="B2" s="26" t="s">
        <v>0</v>
      </c>
      <c r="C2" s="25">
        <v>5.0999999999999996</v>
      </c>
      <c r="D2" s="96"/>
    </row>
    <row r="3" spans="1:4" ht="15.75" outlineLevel="1">
      <c r="A3" s="25" t="s">
        <v>963</v>
      </c>
      <c r="B3" s="26" t="s">
        <v>1</v>
      </c>
      <c r="C3" s="25">
        <v>5.2</v>
      </c>
      <c r="D3" s="96"/>
    </row>
    <row r="4" spans="1:4" ht="15.75" outlineLevel="1">
      <c r="A4" s="25" t="s">
        <v>963</v>
      </c>
      <c r="B4" s="26" t="s">
        <v>174</v>
      </c>
      <c r="C4" s="25">
        <v>5.4</v>
      </c>
      <c r="D4" s="96"/>
    </row>
    <row r="5" spans="1:4" ht="15.75" outlineLevel="1">
      <c r="A5" s="25" t="s">
        <v>963</v>
      </c>
      <c r="B5" s="26" t="s">
        <v>175</v>
      </c>
      <c r="C5" s="25">
        <v>5.7</v>
      </c>
      <c r="D5" s="96"/>
    </row>
    <row r="6" spans="1:4" ht="15.75" outlineLevel="1">
      <c r="A6" s="25" t="s">
        <v>963</v>
      </c>
      <c r="B6" s="26" t="s">
        <v>176</v>
      </c>
      <c r="C6" s="25">
        <v>5.1100000000000003</v>
      </c>
      <c r="D6" s="96"/>
    </row>
    <row r="7" spans="1:4" ht="15.75" outlineLevel="1">
      <c r="A7" s="25" t="s">
        <v>963</v>
      </c>
      <c r="B7" s="26" t="s">
        <v>5</v>
      </c>
      <c r="C7" s="25">
        <v>5.26</v>
      </c>
      <c r="D7" s="96"/>
    </row>
    <row r="8" spans="1:4" ht="15.75" outlineLevel="1">
      <c r="A8" s="25" t="s">
        <v>963</v>
      </c>
      <c r="B8" s="26" t="s">
        <v>6</v>
      </c>
      <c r="C8" s="25">
        <v>5.27</v>
      </c>
      <c r="D8" s="96"/>
    </row>
    <row r="9" spans="1:4" ht="15.75" outlineLevel="1">
      <c r="A9" s="25" t="s">
        <v>963</v>
      </c>
      <c r="B9" s="26" t="s">
        <v>133</v>
      </c>
      <c r="C9" s="25">
        <v>5.36</v>
      </c>
      <c r="D9" s="96"/>
    </row>
    <row r="10" spans="1:4" ht="15.75" outlineLevel="1">
      <c r="A10" s="25" t="s">
        <v>963</v>
      </c>
      <c r="B10" s="26" t="s">
        <v>178</v>
      </c>
      <c r="C10" s="27">
        <v>5.5</v>
      </c>
      <c r="D10" s="96"/>
    </row>
    <row r="11" spans="1:4" ht="15.75" outlineLevel="1">
      <c r="A11" s="25" t="s">
        <v>963</v>
      </c>
      <c r="B11" s="26" t="s">
        <v>10</v>
      </c>
      <c r="C11" s="25">
        <v>5.51</v>
      </c>
      <c r="D11" s="96"/>
    </row>
    <row r="12" spans="1:4" ht="15.75" outlineLevel="1">
      <c r="A12" s="25" t="s">
        <v>963</v>
      </c>
      <c r="B12" s="26" t="s">
        <v>11</v>
      </c>
      <c r="C12" s="25">
        <v>5.53</v>
      </c>
      <c r="D12" s="96"/>
    </row>
    <row r="13" spans="1:4" ht="15.75" outlineLevel="1">
      <c r="A13" s="25" t="s">
        <v>963</v>
      </c>
      <c r="B13" s="26" t="s">
        <v>143</v>
      </c>
      <c r="C13" s="25">
        <v>5.59</v>
      </c>
      <c r="D13" s="96"/>
    </row>
    <row r="14" spans="1:4" ht="15.75" outlineLevel="1">
      <c r="A14" s="25" t="s">
        <v>963</v>
      </c>
      <c r="B14" s="26" t="s">
        <v>18</v>
      </c>
      <c r="C14" s="25">
        <v>5.54</v>
      </c>
      <c r="D14" s="96"/>
    </row>
    <row r="15" spans="1:4" ht="15.75" outlineLevel="1">
      <c r="A15" s="25" t="s">
        <v>963</v>
      </c>
      <c r="B15" s="26" t="s">
        <v>14</v>
      </c>
      <c r="C15" s="27">
        <v>5.7</v>
      </c>
      <c r="D15" s="95" t="s">
        <v>1117</v>
      </c>
    </row>
    <row r="16" spans="1:4" ht="15.75" outlineLevel="1">
      <c r="A16" s="25" t="s">
        <v>963</v>
      </c>
      <c r="B16" s="26" t="s">
        <v>20</v>
      </c>
      <c r="C16" s="25">
        <v>5.63</v>
      </c>
      <c r="D16" s="96"/>
    </row>
    <row r="17" spans="1:4" ht="15.75" outlineLevel="1">
      <c r="A17" s="25" t="s">
        <v>963</v>
      </c>
      <c r="B17" s="26" t="s">
        <v>24</v>
      </c>
      <c r="C17" s="25">
        <v>5.47</v>
      </c>
      <c r="D17" s="96"/>
    </row>
    <row r="18" spans="1:4" ht="15.75" outlineLevel="1">
      <c r="A18" s="25" t="s">
        <v>963</v>
      </c>
      <c r="B18" s="26" t="s">
        <v>25</v>
      </c>
      <c r="C18" s="25">
        <v>5.48</v>
      </c>
      <c r="D18" s="96"/>
    </row>
    <row r="19" spans="1:4" ht="15.75">
      <c r="A19" s="30" t="s">
        <v>963</v>
      </c>
      <c r="B19" s="26"/>
      <c r="C19" s="25"/>
      <c r="D19" s="96"/>
    </row>
    <row r="20" spans="1:4" ht="15.75" outlineLevel="1">
      <c r="A20" s="25" t="s">
        <v>973</v>
      </c>
      <c r="B20" s="26" t="s">
        <v>0</v>
      </c>
      <c r="C20" s="25">
        <v>5.0999999999999996</v>
      </c>
      <c r="D20" s="96"/>
    </row>
    <row r="21" spans="1:4" ht="15.75" outlineLevel="1">
      <c r="A21" s="25" t="s">
        <v>973</v>
      </c>
      <c r="B21" s="26" t="s">
        <v>1</v>
      </c>
      <c r="C21" s="25">
        <v>5.2</v>
      </c>
      <c r="D21" s="96"/>
    </row>
    <row r="22" spans="1:4" ht="15.75" outlineLevel="1">
      <c r="A22" s="25" t="s">
        <v>973</v>
      </c>
      <c r="B22" s="26" t="s">
        <v>2</v>
      </c>
      <c r="C22" s="25">
        <v>5.3</v>
      </c>
      <c r="D22" s="96"/>
    </row>
    <row r="23" spans="1:4" ht="15.75" outlineLevel="1">
      <c r="A23" s="25" t="s">
        <v>973</v>
      </c>
      <c r="B23" s="26" t="s">
        <v>1118</v>
      </c>
      <c r="C23" s="25">
        <v>5.14</v>
      </c>
      <c r="D23" s="96"/>
    </row>
    <row r="24" spans="1:4" ht="15.75" outlineLevel="1">
      <c r="A24" s="25" t="s">
        <v>973</v>
      </c>
      <c r="B24" s="26" t="s">
        <v>4</v>
      </c>
      <c r="C24" s="25">
        <v>5.19</v>
      </c>
      <c r="D24" s="96"/>
    </row>
    <row r="25" spans="1:4" ht="15.75" outlineLevel="1">
      <c r="A25" s="25" t="s">
        <v>973</v>
      </c>
      <c r="B25" s="26" t="s">
        <v>5</v>
      </c>
      <c r="C25" s="25">
        <v>5.26</v>
      </c>
      <c r="D25" s="96"/>
    </row>
    <row r="26" spans="1:4" ht="15.75" outlineLevel="1">
      <c r="A26" s="25" t="s">
        <v>973</v>
      </c>
      <c r="B26" s="26" t="s">
        <v>6</v>
      </c>
      <c r="C26" s="25">
        <v>5.27</v>
      </c>
      <c r="D26" s="96"/>
    </row>
    <row r="27" spans="1:4" ht="15.75" outlineLevel="1">
      <c r="A27" s="25" t="s">
        <v>973</v>
      </c>
      <c r="B27" s="26" t="s">
        <v>7</v>
      </c>
      <c r="C27" s="25">
        <v>5.28</v>
      </c>
      <c r="D27" s="96"/>
    </row>
    <row r="28" spans="1:4" ht="15.75" outlineLevel="1">
      <c r="A28" s="25" t="s">
        <v>973</v>
      </c>
      <c r="B28" s="26" t="s">
        <v>8</v>
      </c>
      <c r="C28" s="27">
        <v>5.3</v>
      </c>
      <c r="D28" s="96"/>
    </row>
    <row r="29" spans="1:4" ht="15.75" outlineLevel="1">
      <c r="A29" s="25" t="s">
        <v>973</v>
      </c>
      <c r="B29" s="26" t="s">
        <v>9</v>
      </c>
      <c r="C29" s="25">
        <v>5.49</v>
      </c>
      <c r="D29" s="96"/>
    </row>
    <row r="30" spans="1:4" ht="15.75" outlineLevel="1">
      <c r="A30" s="25" t="s">
        <v>973</v>
      </c>
      <c r="B30" s="26" t="s">
        <v>10</v>
      </c>
      <c r="C30" s="25">
        <v>5.51</v>
      </c>
      <c r="D30" s="96"/>
    </row>
    <row r="31" spans="1:4" ht="15.75" outlineLevel="1">
      <c r="A31" s="25" t="s">
        <v>973</v>
      </c>
      <c r="B31" s="26" t="s">
        <v>11</v>
      </c>
      <c r="C31" s="25">
        <v>5.53</v>
      </c>
      <c r="D31" s="96"/>
    </row>
    <row r="32" spans="1:4" ht="15.75" outlineLevel="1">
      <c r="A32" s="25" t="s">
        <v>973</v>
      </c>
      <c r="B32" s="26" t="s">
        <v>12</v>
      </c>
      <c r="C32" s="25">
        <v>5.69</v>
      </c>
      <c r="D32" s="96"/>
    </row>
    <row r="33" spans="1:4" ht="15.75" outlineLevel="1">
      <c r="A33" s="25" t="s">
        <v>973</v>
      </c>
      <c r="B33" s="26" t="s">
        <v>13</v>
      </c>
      <c r="C33" s="25">
        <v>5.75</v>
      </c>
      <c r="D33" s="96"/>
    </row>
    <row r="34" spans="1:4" ht="15.75" outlineLevel="1">
      <c r="A34" s="25" t="s">
        <v>973</v>
      </c>
      <c r="B34" s="26" t="s">
        <v>14</v>
      </c>
      <c r="C34" s="27">
        <v>5.7</v>
      </c>
      <c r="D34" s="96"/>
    </row>
    <row r="35" spans="1:4" ht="15.75" outlineLevel="1">
      <c r="A35" s="25" t="s">
        <v>973</v>
      </c>
      <c r="B35" s="26" t="s">
        <v>15</v>
      </c>
      <c r="C35" s="25">
        <v>5.74</v>
      </c>
      <c r="D35" s="96"/>
    </row>
    <row r="36" spans="1:4" ht="15.75" outlineLevel="1">
      <c r="A36" s="25" t="s">
        <v>973</v>
      </c>
      <c r="B36" s="26" t="s">
        <v>16</v>
      </c>
      <c r="C36" s="25">
        <v>5.62</v>
      </c>
      <c r="D36" s="96"/>
    </row>
    <row r="37" spans="1:4" ht="15.75" outlineLevel="1">
      <c r="A37" s="25" t="s">
        <v>973</v>
      </c>
      <c r="B37" s="26" t="s">
        <v>17</v>
      </c>
      <c r="C37" s="25">
        <v>5.58</v>
      </c>
      <c r="D37" s="96"/>
    </row>
    <row r="38" spans="1:4" ht="15.75" outlineLevel="1">
      <c r="A38" s="25" t="s">
        <v>973</v>
      </c>
      <c r="B38" s="26" t="s">
        <v>18</v>
      </c>
      <c r="C38" s="25">
        <v>5.54</v>
      </c>
      <c r="D38" s="96"/>
    </row>
    <row r="39" spans="1:4" ht="15.75" outlineLevel="1">
      <c r="A39" s="25" t="s">
        <v>973</v>
      </c>
      <c r="B39" s="26" t="s">
        <v>19</v>
      </c>
      <c r="C39" s="25">
        <v>5.55</v>
      </c>
      <c r="D39" s="96"/>
    </row>
    <row r="40" spans="1:4" ht="15.75" outlineLevel="1">
      <c r="A40" s="25" t="s">
        <v>973</v>
      </c>
      <c r="B40" s="26" t="s">
        <v>20</v>
      </c>
      <c r="C40" s="25">
        <v>5.63</v>
      </c>
      <c r="D40" s="96"/>
    </row>
    <row r="41" spans="1:4" ht="15.75" outlineLevel="1">
      <c r="A41" s="25" t="s">
        <v>973</v>
      </c>
      <c r="B41" s="26" t="s">
        <v>21</v>
      </c>
      <c r="C41" s="25">
        <v>5.65</v>
      </c>
      <c r="D41" s="96"/>
    </row>
    <row r="42" spans="1:4" ht="15.75" outlineLevel="1">
      <c r="A42" s="25" t="s">
        <v>973</v>
      </c>
      <c r="B42" s="26" t="s">
        <v>22</v>
      </c>
      <c r="C42" s="25">
        <v>5.68</v>
      </c>
      <c r="D42" s="96"/>
    </row>
    <row r="43" spans="1:4" ht="15.75" outlineLevel="1">
      <c r="A43" s="25" t="s">
        <v>973</v>
      </c>
      <c r="B43" s="26" t="s">
        <v>23</v>
      </c>
      <c r="C43" s="25">
        <v>5.45</v>
      </c>
      <c r="D43" s="96"/>
    </row>
    <row r="44" spans="1:4" ht="15.75" outlineLevel="1">
      <c r="A44" s="25" t="s">
        <v>973</v>
      </c>
      <c r="B44" s="26" t="s">
        <v>24</v>
      </c>
      <c r="C44" s="25">
        <v>5.47</v>
      </c>
      <c r="D44" s="96"/>
    </row>
    <row r="45" spans="1:4" ht="15.75" outlineLevel="1">
      <c r="A45" s="25" t="s">
        <v>973</v>
      </c>
      <c r="B45" s="26" t="s">
        <v>25</v>
      </c>
      <c r="C45" s="25">
        <v>5.48</v>
      </c>
      <c r="D45" s="96"/>
    </row>
    <row r="46" spans="1:4" ht="15.75">
      <c r="A46" s="30" t="s">
        <v>973</v>
      </c>
      <c r="B46" s="26"/>
      <c r="C46" s="25"/>
      <c r="D46" s="96"/>
    </row>
    <row r="47" spans="1:4" ht="15.75" outlineLevel="1">
      <c r="A47" s="25" t="s">
        <v>978</v>
      </c>
      <c r="B47" s="26" t="s">
        <v>0</v>
      </c>
      <c r="C47" s="25">
        <v>5.0999999999999996</v>
      </c>
      <c r="D47" s="96"/>
    </row>
    <row r="48" spans="1:4" ht="15.75" outlineLevel="1">
      <c r="A48" s="25" t="s">
        <v>978</v>
      </c>
      <c r="B48" s="26" t="s">
        <v>1</v>
      </c>
      <c r="C48" s="25">
        <v>5.2</v>
      </c>
      <c r="D48" s="96"/>
    </row>
    <row r="49" spans="1:4" ht="15.75" outlineLevel="1">
      <c r="A49" s="25" t="s">
        <v>978</v>
      </c>
      <c r="B49" s="26" t="s">
        <v>2</v>
      </c>
      <c r="C49" s="25">
        <v>5.3</v>
      </c>
      <c r="D49" s="96"/>
    </row>
    <row r="50" spans="1:4" ht="15.75" outlineLevel="1">
      <c r="A50" s="25" t="s">
        <v>978</v>
      </c>
      <c r="B50" s="26" t="s">
        <v>154</v>
      </c>
      <c r="C50" s="25">
        <v>5.6</v>
      </c>
      <c r="D50" s="96"/>
    </row>
    <row r="51" spans="1:4" ht="15.75" outlineLevel="1">
      <c r="A51" s="25" t="s">
        <v>978</v>
      </c>
      <c r="B51" s="26" t="s">
        <v>1119</v>
      </c>
      <c r="C51" s="27">
        <v>5.0999999999999996</v>
      </c>
      <c r="D51" s="96"/>
    </row>
    <row r="52" spans="1:4" ht="15.75" outlineLevel="1">
      <c r="A52" s="25" t="s">
        <v>978</v>
      </c>
      <c r="B52" s="26" t="s">
        <v>1118</v>
      </c>
      <c r="C52" s="25">
        <v>5.14</v>
      </c>
      <c r="D52" s="96"/>
    </row>
    <row r="53" spans="1:4" ht="15.75" outlineLevel="1">
      <c r="A53" s="25" t="s">
        <v>978</v>
      </c>
      <c r="B53" s="26" t="s">
        <v>4</v>
      </c>
      <c r="C53" s="25">
        <v>5.19</v>
      </c>
      <c r="D53" s="96"/>
    </row>
    <row r="54" spans="1:4" ht="15.75" outlineLevel="1">
      <c r="A54" s="25" t="s">
        <v>978</v>
      </c>
      <c r="B54" s="26" t="s">
        <v>156</v>
      </c>
      <c r="C54" s="25">
        <v>5.24</v>
      </c>
      <c r="D54" s="96"/>
    </row>
    <row r="55" spans="1:4" ht="15.75" outlineLevel="1">
      <c r="A55" s="25" t="s">
        <v>978</v>
      </c>
      <c r="B55" s="26" t="s">
        <v>5</v>
      </c>
      <c r="C55" s="25">
        <v>5.26</v>
      </c>
      <c r="D55" s="96"/>
    </row>
    <row r="56" spans="1:4" ht="15.75" outlineLevel="1">
      <c r="A56" s="25" t="s">
        <v>978</v>
      </c>
      <c r="B56" s="26" t="s">
        <v>6</v>
      </c>
      <c r="C56" s="25">
        <v>5.27</v>
      </c>
      <c r="D56" s="96"/>
    </row>
    <row r="57" spans="1:4" ht="15.75" outlineLevel="1">
      <c r="A57" s="25" t="s">
        <v>978</v>
      </c>
      <c r="B57" s="26" t="s">
        <v>7</v>
      </c>
      <c r="C57" s="25">
        <v>5.28</v>
      </c>
      <c r="D57" s="96"/>
    </row>
    <row r="58" spans="1:4" ht="15.75" outlineLevel="1">
      <c r="A58" s="25" t="s">
        <v>978</v>
      </c>
      <c r="B58" s="26" t="s">
        <v>8</v>
      </c>
      <c r="C58" s="27">
        <v>5.3</v>
      </c>
      <c r="D58" s="96"/>
    </row>
    <row r="59" spans="1:4" ht="15.75" outlineLevel="1">
      <c r="A59" s="25" t="s">
        <v>978</v>
      </c>
      <c r="B59" s="26" t="s">
        <v>157</v>
      </c>
      <c r="C59" s="25">
        <v>5.31</v>
      </c>
      <c r="D59" s="96"/>
    </row>
    <row r="60" spans="1:4" ht="15.75" outlineLevel="1">
      <c r="A60" s="25" t="s">
        <v>978</v>
      </c>
      <c r="B60" s="26" t="s">
        <v>133</v>
      </c>
      <c r="C60" s="25">
        <v>5.36</v>
      </c>
      <c r="D60" s="96"/>
    </row>
    <row r="61" spans="1:4" ht="15.75" outlineLevel="1">
      <c r="A61" s="25" t="s">
        <v>978</v>
      </c>
      <c r="B61" s="26" t="s">
        <v>9</v>
      </c>
      <c r="C61" s="25">
        <v>5.49</v>
      </c>
      <c r="D61" s="96"/>
    </row>
    <row r="62" spans="1:4" ht="15.75" outlineLevel="1">
      <c r="A62" s="25" t="s">
        <v>978</v>
      </c>
      <c r="B62" s="26" t="s">
        <v>10</v>
      </c>
      <c r="C62" s="25">
        <v>5.51</v>
      </c>
      <c r="D62" s="96"/>
    </row>
    <row r="63" spans="1:4" ht="15.75" outlineLevel="1">
      <c r="A63" s="25" t="s">
        <v>978</v>
      </c>
      <c r="B63" s="26" t="s">
        <v>1120</v>
      </c>
      <c r="C63" s="25">
        <v>5.52</v>
      </c>
      <c r="D63" s="96"/>
    </row>
    <row r="64" spans="1:4" ht="15.75" outlineLevel="1">
      <c r="A64" s="25" t="s">
        <v>978</v>
      </c>
      <c r="B64" s="26" t="s">
        <v>11</v>
      </c>
      <c r="C64" s="25">
        <v>5.53</v>
      </c>
      <c r="D64" s="96"/>
    </row>
    <row r="65" spans="1:4" ht="15.75" outlineLevel="1">
      <c r="A65" s="25" t="s">
        <v>978</v>
      </c>
      <c r="B65" s="26" t="s">
        <v>12</v>
      </c>
      <c r="C65" s="25">
        <v>5.69</v>
      </c>
      <c r="D65" s="96"/>
    </row>
    <row r="66" spans="1:4" ht="15.75" outlineLevel="1">
      <c r="A66" s="25" t="s">
        <v>978</v>
      </c>
      <c r="B66" s="26" t="s">
        <v>922</v>
      </c>
      <c r="C66" s="27">
        <v>5.72</v>
      </c>
      <c r="D66" s="96"/>
    </row>
    <row r="67" spans="1:4" ht="15.75" outlineLevel="1">
      <c r="A67" s="25" t="s">
        <v>978</v>
      </c>
      <c r="B67" s="26" t="s">
        <v>13</v>
      </c>
      <c r="C67" s="25">
        <v>5.75</v>
      </c>
      <c r="D67" s="96"/>
    </row>
    <row r="68" spans="1:4" ht="15.75" outlineLevel="1">
      <c r="A68" s="25" t="s">
        <v>978</v>
      </c>
      <c r="B68" s="26" t="s">
        <v>14</v>
      </c>
      <c r="C68" s="27">
        <v>5.7</v>
      </c>
      <c r="D68" s="96"/>
    </row>
    <row r="69" spans="1:4" ht="15.75" outlineLevel="1">
      <c r="A69" s="25" t="s">
        <v>978</v>
      </c>
      <c r="B69" s="26" t="s">
        <v>15</v>
      </c>
      <c r="C69" s="25">
        <v>5.74</v>
      </c>
      <c r="D69" s="96"/>
    </row>
    <row r="70" spans="1:4" ht="15.75" outlineLevel="1">
      <c r="A70" s="25" t="s">
        <v>978</v>
      </c>
      <c r="B70" s="26" t="s">
        <v>423</v>
      </c>
      <c r="C70" s="25">
        <v>5.76</v>
      </c>
      <c r="D70" s="96"/>
    </row>
    <row r="71" spans="1:4" ht="15.75" outlineLevel="1">
      <c r="A71" s="25" t="s">
        <v>978</v>
      </c>
      <c r="B71" s="26" t="s">
        <v>844</v>
      </c>
      <c r="C71" s="25">
        <v>5.89</v>
      </c>
      <c r="D71" s="95" t="s">
        <v>1117</v>
      </c>
    </row>
    <row r="72" spans="1:4" ht="15.75" outlineLevel="1">
      <c r="A72" s="25" t="s">
        <v>978</v>
      </c>
      <c r="B72" s="26" t="s">
        <v>17</v>
      </c>
      <c r="C72" s="25">
        <v>5.58</v>
      </c>
      <c r="D72" s="96"/>
    </row>
    <row r="73" spans="1:4" ht="15.75" outlineLevel="1">
      <c r="A73" s="25" t="s">
        <v>978</v>
      </c>
      <c r="B73" s="26" t="s">
        <v>16</v>
      </c>
      <c r="C73" s="25">
        <v>5.62</v>
      </c>
      <c r="D73" s="96"/>
    </row>
    <row r="74" spans="1:4" ht="15.75" outlineLevel="1">
      <c r="A74" s="25" t="s">
        <v>978</v>
      </c>
      <c r="B74" s="26" t="s">
        <v>18</v>
      </c>
      <c r="C74" s="25">
        <v>5.54</v>
      </c>
      <c r="D74" s="96"/>
    </row>
    <row r="75" spans="1:4" ht="15.75" outlineLevel="1">
      <c r="A75" s="25" t="s">
        <v>978</v>
      </c>
      <c r="B75" s="26" t="s">
        <v>19</v>
      </c>
      <c r="C75" s="25">
        <v>5.55</v>
      </c>
      <c r="D75" s="96"/>
    </row>
    <row r="76" spans="1:4" ht="15.75" outlineLevel="1">
      <c r="A76" s="25" t="s">
        <v>978</v>
      </c>
      <c r="B76" s="26" t="s">
        <v>20</v>
      </c>
      <c r="C76" s="25">
        <v>5.63</v>
      </c>
      <c r="D76" s="96"/>
    </row>
    <row r="77" spans="1:4" ht="15.75" outlineLevel="1">
      <c r="A77" s="25" t="s">
        <v>978</v>
      </c>
      <c r="B77" s="26" t="s">
        <v>21</v>
      </c>
      <c r="C77" s="25">
        <v>5.65</v>
      </c>
      <c r="D77" s="96"/>
    </row>
    <row r="78" spans="1:4" ht="15.75" outlineLevel="1">
      <c r="A78" s="25" t="s">
        <v>978</v>
      </c>
      <c r="B78" s="26" t="s">
        <v>173</v>
      </c>
      <c r="C78" s="25">
        <v>5.66</v>
      </c>
      <c r="D78" s="96"/>
    </row>
    <row r="79" spans="1:4" ht="15.75" outlineLevel="1">
      <c r="A79" s="25" t="s">
        <v>978</v>
      </c>
      <c r="B79" s="26" t="s">
        <v>22</v>
      </c>
      <c r="C79" s="25">
        <v>5.68</v>
      </c>
      <c r="D79" s="96"/>
    </row>
    <row r="80" spans="1:4" ht="15.75" outlineLevel="1">
      <c r="A80" s="25" t="s">
        <v>978</v>
      </c>
      <c r="B80" s="26" t="s">
        <v>23</v>
      </c>
      <c r="C80" s="25">
        <v>5.45</v>
      </c>
      <c r="D80" s="96"/>
    </row>
    <row r="81" spans="1:4" ht="15.75" outlineLevel="1">
      <c r="A81" s="25" t="s">
        <v>978</v>
      </c>
      <c r="B81" s="26" t="s">
        <v>24</v>
      </c>
      <c r="C81" s="25">
        <v>5.47</v>
      </c>
      <c r="D81" s="96"/>
    </row>
    <row r="82" spans="1:4" ht="15.75" outlineLevel="1">
      <c r="A82" s="25" t="s">
        <v>978</v>
      </c>
      <c r="B82" s="26" t="s">
        <v>25</v>
      </c>
      <c r="C82" s="25">
        <v>5.48</v>
      </c>
      <c r="D82" s="96"/>
    </row>
    <row r="83" spans="1:4" ht="15.75">
      <c r="A83" s="30" t="s">
        <v>978</v>
      </c>
      <c r="B83" s="26"/>
      <c r="C83" s="25"/>
      <c r="D83" s="96"/>
    </row>
    <row r="84" spans="1:4" ht="15.75" outlineLevel="1">
      <c r="A84" s="25" t="s">
        <v>979</v>
      </c>
      <c r="B84" s="26" t="s">
        <v>0</v>
      </c>
      <c r="C84" s="25">
        <v>5.0999999999999996</v>
      </c>
      <c r="D84" s="96"/>
    </row>
    <row r="85" spans="1:4" ht="15.75" outlineLevel="1">
      <c r="A85" s="25" t="s">
        <v>979</v>
      </c>
      <c r="B85" s="26" t="s">
        <v>1</v>
      </c>
      <c r="C85" s="25">
        <v>5.2</v>
      </c>
      <c r="D85" s="96"/>
    </row>
    <row r="86" spans="1:4" ht="15.75" outlineLevel="1">
      <c r="A86" s="25" t="s">
        <v>979</v>
      </c>
      <c r="B86" s="26" t="s">
        <v>2</v>
      </c>
      <c r="C86" s="25">
        <v>5.3</v>
      </c>
      <c r="D86" s="96"/>
    </row>
    <row r="87" spans="1:4" ht="15.75" outlineLevel="1">
      <c r="A87" s="25" t="s">
        <v>979</v>
      </c>
      <c r="B87" s="26" t="s">
        <v>154</v>
      </c>
      <c r="C87" s="25">
        <v>5.6</v>
      </c>
      <c r="D87" s="96"/>
    </row>
    <row r="88" spans="1:4" ht="15.75" outlineLevel="1">
      <c r="A88" s="25" t="s">
        <v>979</v>
      </c>
      <c r="B88" s="26" t="s">
        <v>1119</v>
      </c>
      <c r="C88" s="27">
        <v>5.0999999999999996</v>
      </c>
      <c r="D88" s="96"/>
    </row>
    <row r="89" spans="1:4" ht="15.75" outlineLevel="1">
      <c r="A89" s="25" t="s">
        <v>979</v>
      </c>
      <c r="B89" s="26" t="s">
        <v>1118</v>
      </c>
      <c r="C89" s="25">
        <v>5.14</v>
      </c>
      <c r="D89" s="96"/>
    </row>
    <row r="90" spans="1:4" ht="15.75" outlineLevel="1">
      <c r="A90" s="25" t="s">
        <v>979</v>
      </c>
      <c r="B90" s="26" t="s">
        <v>4</v>
      </c>
      <c r="C90" s="25">
        <v>5.19</v>
      </c>
      <c r="D90" s="96"/>
    </row>
    <row r="91" spans="1:4" ht="15.75" outlineLevel="1">
      <c r="A91" s="25" t="s">
        <v>979</v>
      </c>
      <c r="B91" s="26" t="s">
        <v>156</v>
      </c>
      <c r="C91" s="25">
        <v>5.24</v>
      </c>
      <c r="D91" s="96"/>
    </row>
    <row r="92" spans="1:4" ht="15.75" outlineLevel="1">
      <c r="A92" s="25" t="s">
        <v>979</v>
      </c>
      <c r="B92" s="26" t="s">
        <v>5</v>
      </c>
      <c r="C92" s="25">
        <v>5.26</v>
      </c>
      <c r="D92" s="96"/>
    </row>
    <row r="93" spans="1:4" ht="15.75" outlineLevel="1">
      <c r="A93" s="25" t="s">
        <v>979</v>
      </c>
      <c r="B93" s="26" t="s">
        <v>6</v>
      </c>
      <c r="C93" s="25">
        <v>5.27</v>
      </c>
      <c r="D93" s="96"/>
    </row>
    <row r="94" spans="1:4" ht="15.75" outlineLevel="1">
      <c r="A94" s="25" t="s">
        <v>979</v>
      </c>
      <c r="B94" s="26" t="s">
        <v>7</v>
      </c>
      <c r="C94" s="25">
        <v>5.28</v>
      </c>
      <c r="D94" s="96"/>
    </row>
    <row r="95" spans="1:4" ht="15.75" outlineLevel="1">
      <c r="A95" s="25" t="s">
        <v>979</v>
      </c>
      <c r="B95" s="26" t="s">
        <v>339</v>
      </c>
      <c r="C95" s="25">
        <v>5.29</v>
      </c>
      <c r="D95" s="96"/>
    </row>
    <row r="96" spans="1:4" ht="15.75" outlineLevel="1">
      <c r="A96" s="25" t="s">
        <v>979</v>
      </c>
      <c r="B96" s="26" t="s">
        <v>8</v>
      </c>
      <c r="C96" s="27">
        <v>5.3</v>
      </c>
      <c r="D96" s="96"/>
    </row>
    <row r="97" spans="1:4" ht="15.75" outlineLevel="1">
      <c r="A97" s="25" t="s">
        <v>979</v>
      </c>
      <c r="B97" s="26" t="s">
        <v>157</v>
      </c>
      <c r="C97" s="25">
        <v>5.31</v>
      </c>
      <c r="D97" s="96"/>
    </row>
    <row r="98" spans="1:4" ht="15.75" outlineLevel="1">
      <c r="A98" s="25" t="s">
        <v>979</v>
      </c>
      <c r="B98" s="26" t="s">
        <v>133</v>
      </c>
      <c r="C98" s="25">
        <v>5.36</v>
      </c>
      <c r="D98" s="96"/>
    </row>
    <row r="99" spans="1:4" ht="15.75" outlineLevel="1">
      <c r="A99" s="25" t="s">
        <v>979</v>
      </c>
      <c r="B99" s="26" t="s">
        <v>9</v>
      </c>
      <c r="C99" s="25">
        <v>5.49</v>
      </c>
      <c r="D99" s="96"/>
    </row>
    <row r="100" spans="1:4" ht="15.75" outlineLevel="1">
      <c r="A100" s="25" t="s">
        <v>979</v>
      </c>
      <c r="B100" s="26" t="s">
        <v>10</v>
      </c>
      <c r="C100" s="25">
        <v>5.51</v>
      </c>
      <c r="D100" s="96"/>
    </row>
    <row r="101" spans="1:4" ht="15.75" outlineLevel="1">
      <c r="A101" s="25" t="s">
        <v>979</v>
      </c>
      <c r="B101" s="26" t="s">
        <v>1120</v>
      </c>
      <c r="C101" s="25">
        <v>5.52</v>
      </c>
      <c r="D101" s="96"/>
    </row>
    <row r="102" spans="1:4" ht="15.75" outlineLevel="1">
      <c r="A102" s="25" t="s">
        <v>979</v>
      </c>
      <c r="B102" s="26" t="s">
        <v>11</v>
      </c>
      <c r="C102" s="25">
        <v>5.53</v>
      </c>
      <c r="D102" s="96"/>
    </row>
    <row r="103" spans="1:4" ht="15.75" outlineLevel="1">
      <c r="A103" s="25" t="s">
        <v>979</v>
      </c>
      <c r="B103" s="26" t="s">
        <v>12</v>
      </c>
      <c r="C103" s="25">
        <v>5.69</v>
      </c>
      <c r="D103" s="96"/>
    </row>
    <row r="104" spans="1:4" ht="15.75" outlineLevel="1">
      <c r="A104" s="25" t="s">
        <v>979</v>
      </c>
      <c r="B104" s="26" t="s">
        <v>13</v>
      </c>
      <c r="C104" s="25">
        <v>5.75</v>
      </c>
      <c r="D104" s="96"/>
    </row>
    <row r="105" spans="1:4" ht="15.75" outlineLevel="1">
      <c r="A105" s="25" t="s">
        <v>979</v>
      </c>
      <c r="B105" s="26" t="s">
        <v>14</v>
      </c>
      <c r="C105" s="27">
        <v>5.7</v>
      </c>
      <c r="D105" s="96"/>
    </row>
    <row r="106" spans="1:4" ht="15.75" outlineLevel="1">
      <c r="A106" s="25" t="s">
        <v>979</v>
      </c>
      <c r="B106" s="26" t="s">
        <v>15</v>
      </c>
      <c r="C106" s="25">
        <v>5.74</v>
      </c>
      <c r="D106" s="96"/>
    </row>
    <row r="107" spans="1:4" ht="15.75" outlineLevel="1">
      <c r="A107" s="25" t="s">
        <v>979</v>
      </c>
      <c r="B107" s="26" t="s">
        <v>423</v>
      </c>
      <c r="C107" s="25">
        <v>5.76</v>
      </c>
      <c r="D107" s="96"/>
    </row>
    <row r="108" spans="1:4" ht="15.75" outlineLevel="1">
      <c r="A108" s="25" t="s">
        <v>979</v>
      </c>
      <c r="B108" s="26" t="s">
        <v>844</v>
      </c>
      <c r="C108" s="25">
        <v>5.89</v>
      </c>
      <c r="D108" s="95" t="s">
        <v>1117</v>
      </c>
    </row>
    <row r="109" spans="1:4" ht="15.75" outlineLevel="1">
      <c r="A109" s="25" t="s">
        <v>979</v>
      </c>
      <c r="B109" s="26" t="s">
        <v>17</v>
      </c>
      <c r="C109" s="25">
        <v>5.58</v>
      </c>
      <c r="D109" s="96"/>
    </row>
    <row r="110" spans="1:4" ht="15.75" outlineLevel="1">
      <c r="A110" s="25" t="s">
        <v>979</v>
      </c>
      <c r="B110" s="26" t="s">
        <v>16</v>
      </c>
      <c r="C110" s="25">
        <v>5.62</v>
      </c>
      <c r="D110" s="96"/>
    </row>
    <row r="111" spans="1:4" ht="15.75" outlineLevel="1">
      <c r="A111" s="25" t="s">
        <v>979</v>
      </c>
      <c r="B111" s="26" t="s">
        <v>18</v>
      </c>
      <c r="C111" s="25">
        <v>5.54</v>
      </c>
      <c r="D111" s="96"/>
    </row>
    <row r="112" spans="1:4" ht="15.75" outlineLevel="1">
      <c r="A112" s="25" t="s">
        <v>979</v>
      </c>
      <c r="B112" s="26" t="s">
        <v>19</v>
      </c>
      <c r="C112" s="25">
        <v>5.55</v>
      </c>
      <c r="D112" s="96"/>
    </row>
    <row r="113" spans="1:4" ht="15.75" outlineLevel="1">
      <c r="A113" s="25" t="s">
        <v>979</v>
      </c>
      <c r="B113" s="26" t="s">
        <v>21</v>
      </c>
      <c r="C113" s="25">
        <v>5.65</v>
      </c>
      <c r="D113" s="96"/>
    </row>
    <row r="114" spans="1:4" ht="15.75" outlineLevel="1">
      <c r="A114" s="25" t="s">
        <v>979</v>
      </c>
      <c r="B114" s="26" t="s">
        <v>173</v>
      </c>
      <c r="C114" s="25">
        <v>5.66</v>
      </c>
      <c r="D114" s="96"/>
    </row>
    <row r="115" spans="1:4" ht="15.75" outlineLevel="1">
      <c r="A115" s="25" t="s">
        <v>979</v>
      </c>
      <c r="B115" s="26" t="s">
        <v>22</v>
      </c>
      <c r="C115" s="25">
        <v>5.68</v>
      </c>
      <c r="D115" s="96"/>
    </row>
    <row r="116" spans="1:4" ht="15.75" outlineLevel="1">
      <c r="A116" s="25" t="s">
        <v>979</v>
      </c>
      <c r="B116" s="26" t="s">
        <v>23</v>
      </c>
      <c r="C116" s="25">
        <v>5.45</v>
      </c>
      <c r="D116" s="96"/>
    </row>
    <row r="117" spans="1:4" ht="15.75" outlineLevel="1">
      <c r="A117" s="25" t="s">
        <v>979</v>
      </c>
      <c r="B117" s="26" t="s">
        <v>24</v>
      </c>
      <c r="C117" s="25">
        <v>5.47</v>
      </c>
      <c r="D117" s="96"/>
    </row>
    <row r="118" spans="1:4" ht="15.75" outlineLevel="1">
      <c r="A118" s="25" t="s">
        <v>979</v>
      </c>
      <c r="B118" s="26" t="s">
        <v>25</v>
      </c>
      <c r="C118" s="25">
        <v>5.48</v>
      </c>
      <c r="D118" s="96"/>
    </row>
    <row r="119" spans="1:4" ht="15.75">
      <c r="A119" s="30" t="s">
        <v>979</v>
      </c>
      <c r="B119" s="26"/>
      <c r="C119" s="25"/>
      <c r="D119" s="96"/>
    </row>
    <row r="120" spans="1:4" ht="15.75" outlineLevel="1">
      <c r="A120" s="25" t="s">
        <v>1121</v>
      </c>
      <c r="B120" s="26" t="s">
        <v>0</v>
      </c>
      <c r="C120" s="25">
        <v>5.0999999999999996</v>
      </c>
      <c r="D120" s="96"/>
    </row>
    <row r="121" spans="1:4" ht="15.75" outlineLevel="1">
      <c r="A121" s="25" t="s">
        <v>1121</v>
      </c>
      <c r="B121" s="26" t="s">
        <v>1</v>
      </c>
      <c r="C121" s="25">
        <v>5.2</v>
      </c>
      <c r="D121" s="96"/>
    </row>
    <row r="122" spans="1:4" ht="15.75" outlineLevel="1">
      <c r="A122" s="25" t="s">
        <v>1121</v>
      </c>
      <c r="B122" s="26" t="s">
        <v>2</v>
      </c>
      <c r="C122" s="25">
        <v>5.3</v>
      </c>
      <c r="D122" s="96"/>
    </row>
    <row r="123" spans="1:4" ht="15.75" outlineLevel="1">
      <c r="A123" s="25" t="s">
        <v>1121</v>
      </c>
      <c r="B123" s="26" t="s">
        <v>154</v>
      </c>
      <c r="C123" s="25">
        <v>5.6</v>
      </c>
      <c r="D123" s="96"/>
    </row>
    <row r="124" spans="1:4" ht="15.75" outlineLevel="1">
      <c r="A124" s="25" t="s">
        <v>1121</v>
      </c>
      <c r="B124" s="26" t="s">
        <v>1119</v>
      </c>
      <c r="C124" s="27">
        <v>5.0999999999999996</v>
      </c>
      <c r="D124" s="96"/>
    </row>
    <row r="125" spans="1:4" ht="15.75" outlineLevel="1">
      <c r="A125" s="25" t="s">
        <v>1121</v>
      </c>
      <c r="B125" s="26" t="s">
        <v>1118</v>
      </c>
      <c r="C125" s="25">
        <v>5.14</v>
      </c>
      <c r="D125" s="96"/>
    </row>
    <row r="126" spans="1:4" ht="15.75" outlineLevel="1">
      <c r="A126" s="25" t="s">
        <v>1121</v>
      </c>
      <c r="B126" s="26" t="s">
        <v>4</v>
      </c>
      <c r="C126" s="25">
        <v>5.19</v>
      </c>
      <c r="D126" s="96"/>
    </row>
    <row r="127" spans="1:4" ht="15.75" outlineLevel="1">
      <c r="A127" s="25" t="s">
        <v>1121</v>
      </c>
      <c r="B127" s="26" t="s">
        <v>156</v>
      </c>
      <c r="C127" s="25">
        <v>5.24</v>
      </c>
      <c r="D127" s="96"/>
    </row>
    <row r="128" spans="1:4" ht="15.75" outlineLevel="1">
      <c r="A128" s="25" t="s">
        <v>1121</v>
      </c>
      <c r="B128" s="26" t="s">
        <v>5</v>
      </c>
      <c r="C128" s="25">
        <v>5.26</v>
      </c>
      <c r="D128" s="96"/>
    </row>
    <row r="129" spans="1:4" ht="15.75" outlineLevel="1">
      <c r="A129" s="25" t="s">
        <v>1121</v>
      </c>
      <c r="B129" s="26" t="s">
        <v>6</v>
      </c>
      <c r="C129" s="25">
        <v>5.27</v>
      </c>
      <c r="D129" s="96"/>
    </row>
    <row r="130" spans="1:4" ht="15.75" outlineLevel="1">
      <c r="A130" s="25" t="s">
        <v>1121</v>
      </c>
      <c r="B130" s="26" t="s">
        <v>7</v>
      </c>
      <c r="C130" s="25">
        <v>5.28</v>
      </c>
      <c r="D130" s="96"/>
    </row>
    <row r="131" spans="1:4" ht="15.75" outlineLevel="1">
      <c r="A131" s="25" t="s">
        <v>1121</v>
      </c>
      <c r="B131" s="26" t="s">
        <v>339</v>
      </c>
      <c r="C131" s="25">
        <v>5.29</v>
      </c>
      <c r="D131" s="96"/>
    </row>
    <row r="132" spans="1:4" ht="15.75" outlineLevel="1">
      <c r="A132" s="25" t="s">
        <v>1121</v>
      </c>
      <c r="B132" s="26" t="s">
        <v>8</v>
      </c>
      <c r="C132" s="27">
        <v>5.3</v>
      </c>
      <c r="D132" s="96"/>
    </row>
    <row r="133" spans="1:4" ht="15.75" outlineLevel="1">
      <c r="A133" s="25" t="s">
        <v>1121</v>
      </c>
      <c r="B133" s="26" t="s">
        <v>157</v>
      </c>
      <c r="C133" s="25">
        <v>5.31</v>
      </c>
      <c r="D133" s="96"/>
    </row>
    <row r="134" spans="1:4" ht="15.75" outlineLevel="1">
      <c r="A134" s="25" t="s">
        <v>1121</v>
      </c>
      <c r="B134" s="26" t="s">
        <v>133</v>
      </c>
      <c r="C134" s="25">
        <v>5.36</v>
      </c>
      <c r="D134" s="96"/>
    </row>
    <row r="135" spans="1:4" ht="15.75" outlineLevel="1">
      <c r="A135" s="25" t="s">
        <v>1121</v>
      </c>
      <c r="B135" s="26" t="s">
        <v>11</v>
      </c>
      <c r="C135" s="25">
        <v>5.53</v>
      </c>
      <c r="D135" s="96"/>
    </row>
    <row r="136" spans="1:4" ht="15.75" outlineLevel="1">
      <c r="A136" s="25" t="s">
        <v>1121</v>
      </c>
      <c r="B136" s="26" t="s">
        <v>17</v>
      </c>
      <c r="C136" s="25">
        <v>5.58</v>
      </c>
      <c r="D136" s="96"/>
    </row>
    <row r="137" spans="1:4" ht="15.75" outlineLevel="1">
      <c r="A137" s="25" t="s">
        <v>1121</v>
      </c>
      <c r="B137" s="26" t="s">
        <v>16</v>
      </c>
      <c r="C137" s="25">
        <v>5.62</v>
      </c>
      <c r="D137" s="96"/>
    </row>
    <row r="138" spans="1:4" ht="15.75" outlineLevel="1">
      <c r="A138" s="25" t="s">
        <v>1121</v>
      </c>
      <c r="B138" s="26" t="s">
        <v>18</v>
      </c>
      <c r="C138" s="25">
        <v>5.54</v>
      </c>
      <c r="D138" s="96"/>
    </row>
    <row r="139" spans="1:4" ht="15.75" outlineLevel="1">
      <c r="A139" s="25" t="s">
        <v>1121</v>
      </c>
      <c r="B139" s="26" t="s">
        <v>19</v>
      </c>
      <c r="C139" s="25">
        <v>5.55</v>
      </c>
      <c r="D139" s="96"/>
    </row>
    <row r="140" spans="1:4" ht="15.75" outlineLevel="1">
      <c r="A140" s="25" t="s">
        <v>1121</v>
      </c>
      <c r="B140" s="26" t="s">
        <v>20</v>
      </c>
      <c r="C140" s="25">
        <v>5.63</v>
      </c>
      <c r="D140" s="96"/>
    </row>
    <row r="141" spans="1:4" ht="15.75" outlineLevel="1">
      <c r="A141" s="25" t="s">
        <v>1121</v>
      </c>
      <c r="B141" s="26" t="s">
        <v>23</v>
      </c>
      <c r="C141" s="25">
        <v>5.45</v>
      </c>
      <c r="D141" s="96"/>
    </row>
    <row r="142" spans="1:4" ht="15.75" outlineLevel="1">
      <c r="A142" s="25" t="s">
        <v>1121</v>
      </c>
      <c r="B142" s="26" t="s">
        <v>24</v>
      </c>
      <c r="C142" s="25">
        <v>5.47</v>
      </c>
      <c r="D142" s="96"/>
    </row>
    <row r="143" spans="1:4" ht="15.75" outlineLevel="1">
      <c r="A143" s="25" t="s">
        <v>1121</v>
      </c>
      <c r="B143" s="26" t="s">
        <v>25</v>
      </c>
      <c r="C143" s="25">
        <v>5.48</v>
      </c>
      <c r="D143" s="96"/>
    </row>
    <row r="144" spans="1:4" ht="15.75">
      <c r="A144" s="30" t="s">
        <v>1121</v>
      </c>
      <c r="B144" s="26"/>
      <c r="C144" s="25"/>
      <c r="D144" s="96"/>
    </row>
    <row r="145" spans="1:4" ht="15.75" outlineLevel="1">
      <c r="A145" s="25" t="s">
        <v>484</v>
      </c>
      <c r="B145" s="26" t="s">
        <v>0</v>
      </c>
      <c r="C145" s="25">
        <v>5.0999999999999996</v>
      </c>
      <c r="D145" s="96"/>
    </row>
    <row r="146" spans="1:4" ht="15.75" outlineLevel="1">
      <c r="A146" s="25" t="s">
        <v>484</v>
      </c>
      <c r="B146" s="26" t="s">
        <v>1</v>
      </c>
      <c r="C146" s="25">
        <v>5.2</v>
      </c>
      <c r="D146" s="96"/>
    </row>
    <row r="147" spans="1:4" ht="15.75" outlineLevel="1">
      <c r="A147" s="25" t="s">
        <v>484</v>
      </c>
      <c r="B147" s="26" t="s">
        <v>2</v>
      </c>
      <c r="C147" s="25">
        <v>5.3</v>
      </c>
      <c r="D147" s="96"/>
    </row>
    <row r="148" spans="1:4" ht="15.75" outlineLevel="1">
      <c r="A148" s="25" t="s">
        <v>484</v>
      </c>
      <c r="B148" s="26" t="s">
        <v>154</v>
      </c>
      <c r="C148" s="25">
        <v>5.6</v>
      </c>
      <c r="D148" s="96"/>
    </row>
    <row r="149" spans="1:4" ht="15.75" outlineLevel="1">
      <c r="A149" s="25" t="s">
        <v>484</v>
      </c>
      <c r="B149" s="26" t="s">
        <v>1119</v>
      </c>
      <c r="C149" s="27">
        <v>5.0999999999999996</v>
      </c>
      <c r="D149" s="96"/>
    </row>
    <row r="150" spans="1:4" ht="15.75" outlineLevel="1">
      <c r="A150" s="25" t="s">
        <v>484</v>
      </c>
      <c r="B150" s="26" t="s">
        <v>1118</v>
      </c>
      <c r="C150" s="25">
        <v>5.14</v>
      </c>
      <c r="D150" s="96"/>
    </row>
    <row r="151" spans="1:4" ht="15.75" outlineLevel="1">
      <c r="A151" s="25" t="s">
        <v>484</v>
      </c>
      <c r="B151" s="26" t="s">
        <v>4</v>
      </c>
      <c r="C151" s="25">
        <v>5.19</v>
      </c>
      <c r="D151" s="96"/>
    </row>
    <row r="152" spans="1:4" ht="15.75" outlineLevel="1">
      <c r="A152" s="25" t="s">
        <v>484</v>
      </c>
      <c r="B152" s="26" t="s">
        <v>156</v>
      </c>
      <c r="C152" s="25">
        <v>5.24</v>
      </c>
      <c r="D152" s="96"/>
    </row>
    <row r="153" spans="1:4" ht="15.75" outlineLevel="1">
      <c r="A153" s="25" t="s">
        <v>484</v>
      </c>
      <c r="B153" s="26" t="s">
        <v>5</v>
      </c>
      <c r="C153" s="25">
        <v>5.26</v>
      </c>
      <c r="D153" s="96"/>
    </row>
    <row r="154" spans="1:4" ht="15.75" outlineLevel="1">
      <c r="A154" s="25" t="s">
        <v>484</v>
      </c>
      <c r="B154" s="26" t="s">
        <v>6</v>
      </c>
      <c r="C154" s="25">
        <v>5.27</v>
      </c>
      <c r="D154" s="96"/>
    </row>
    <row r="155" spans="1:4" ht="15.75" outlineLevel="1">
      <c r="A155" s="25" t="s">
        <v>484</v>
      </c>
      <c r="B155" s="26" t="s">
        <v>7</v>
      </c>
      <c r="C155" s="25">
        <v>5.28</v>
      </c>
      <c r="D155" s="96"/>
    </row>
    <row r="156" spans="1:4" ht="15.75" outlineLevel="1">
      <c r="A156" s="25" t="s">
        <v>484</v>
      </c>
      <c r="B156" s="26" t="s">
        <v>8</v>
      </c>
      <c r="C156" s="27">
        <v>5.3</v>
      </c>
      <c r="D156" s="96"/>
    </row>
    <row r="157" spans="1:4" ht="15.75" outlineLevel="1">
      <c r="A157" s="25" t="s">
        <v>484</v>
      </c>
      <c r="B157" s="26" t="s">
        <v>582</v>
      </c>
      <c r="C157" s="25">
        <v>5.32</v>
      </c>
      <c r="D157" s="96"/>
    </row>
    <row r="158" spans="1:4" ht="15.75" outlineLevel="1">
      <c r="A158" s="25" t="s">
        <v>484</v>
      </c>
      <c r="B158" s="26" t="s">
        <v>133</v>
      </c>
      <c r="C158" s="25">
        <v>5.36</v>
      </c>
      <c r="D158" s="96"/>
    </row>
    <row r="159" spans="1:4" ht="15.75" outlineLevel="1">
      <c r="A159" s="25" t="s">
        <v>484</v>
      </c>
      <c r="B159" s="26" t="s">
        <v>11</v>
      </c>
      <c r="C159" s="25">
        <v>5.53</v>
      </c>
      <c r="D159" s="96"/>
    </row>
    <row r="160" spans="1:4" ht="15.75" outlineLevel="1">
      <c r="A160" s="25" t="s">
        <v>484</v>
      </c>
      <c r="B160" s="26" t="s">
        <v>17</v>
      </c>
      <c r="C160" s="25">
        <v>5.58</v>
      </c>
      <c r="D160" s="96"/>
    </row>
    <row r="161" spans="1:4" ht="15.75" outlineLevel="1">
      <c r="A161" s="25" t="s">
        <v>484</v>
      </c>
      <c r="B161" s="26" t="s">
        <v>18</v>
      </c>
      <c r="C161" s="25">
        <v>5.54</v>
      </c>
      <c r="D161" s="96"/>
    </row>
    <row r="162" spans="1:4" ht="15.75" outlineLevel="1">
      <c r="A162" s="25" t="s">
        <v>484</v>
      </c>
      <c r="B162" s="26" t="s">
        <v>19</v>
      </c>
      <c r="C162" s="25">
        <v>5.55</v>
      </c>
      <c r="D162" s="96"/>
    </row>
    <row r="163" spans="1:4" ht="15.75" outlineLevel="1">
      <c r="A163" s="25" t="s">
        <v>484</v>
      </c>
      <c r="B163" s="26" t="s">
        <v>16</v>
      </c>
      <c r="C163" s="25">
        <v>5.62</v>
      </c>
      <c r="D163" s="96"/>
    </row>
    <row r="164" spans="1:4" ht="15.75" outlineLevel="1">
      <c r="A164" s="25" t="s">
        <v>484</v>
      </c>
      <c r="B164" s="26" t="s">
        <v>20</v>
      </c>
      <c r="C164" s="25">
        <v>5.63</v>
      </c>
      <c r="D164" s="96"/>
    </row>
    <row r="165" spans="1:4" ht="15.75" outlineLevel="1">
      <c r="A165" s="25" t="s">
        <v>484</v>
      </c>
      <c r="B165" s="26" t="s">
        <v>23</v>
      </c>
      <c r="C165" s="25">
        <v>5.45</v>
      </c>
      <c r="D165" s="96"/>
    </row>
    <row r="166" spans="1:4" ht="15.75" outlineLevel="1">
      <c r="A166" s="25" t="s">
        <v>484</v>
      </c>
      <c r="B166" s="26" t="s">
        <v>24</v>
      </c>
      <c r="C166" s="25">
        <v>5.47</v>
      </c>
      <c r="D166" s="96"/>
    </row>
    <row r="167" spans="1:4" ht="15.75" outlineLevel="1">
      <c r="A167" s="25" t="s">
        <v>484</v>
      </c>
      <c r="B167" s="26" t="s">
        <v>25</v>
      </c>
      <c r="C167" s="25">
        <v>5.48</v>
      </c>
      <c r="D167" s="96"/>
    </row>
    <row r="168" spans="1:4" ht="15.75">
      <c r="A168" s="30" t="s">
        <v>484</v>
      </c>
      <c r="B168" s="26"/>
      <c r="C168" s="25"/>
      <c r="D168" s="96"/>
    </row>
    <row r="169" spans="1:4" ht="15.75" outlineLevel="1">
      <c r="A169" s="25" t="s">
        <v>999</v>
      </c>
      <c r="B169" s="26" t="s">
        <v>0</v>
      </c>
      <c r="C169" s="25">
        <v>5.0999999999999996</v>
      </c>
      <c r="D169" s="96"/>
    </row>
    <row r="170" spans="1:4" ht="15.75" outlineLevel="1">
      <c r="A170" s="25" t="s">
        <v>999</v>
      </c>
      <c r="B170" s="26" t="s">
        <v>1</v>
      </c>
      <c r="C170" s="25">
        <v>5.2</v>
      </c>
      <c r="D170" s="96"/>
    </row>
    <row r="171" spans="1:4" ht="15.75" outlineLevel="1">
      <c r="A171" s="25" t="s">
        <v>999</v>
      </c>
      <c r="B171" s="26" t="s">
        <v>2</v>
      </c>
      <c r="C171" s="25">
        <v>5.3</v>
      </c>
      <c r="D171" s="96"/>
    </row>
    <row r="172" spans="1:4" ht="15.75" outlineLevel="1">
      <c r="A172" s="25" t="s">
        <v>999</v>
      </c>
      <c r="B172" s="26" t="s">
        <v>154</v>
      </c>
      <c r="C172" s="25">
        <v>5.6</v>
      </c>
      <c r="D172" s="96"/>
    </row>
    <row r="173" spans="1:4" ht="15.75" outlineLevel="1">
      <c r="A173" s="25" t="s">
        <v>999</v>
      </c>
      <c r="B173" s="26" t="s">
        <v>1119</v>
      </c>
      <c r="C173" s="27">
        <v>5.0999999999999996</v>
      </c>
      <c r="D173" s="96"/>
    </row>
    <row r="174" spans="1:4" ht="15.75" outlineLevel="1">
      <c r="A174" s="25" t="s">
        <v>999</v>
      </c>
      <c r="B174" s="26" t="s">
        <v>1118</v>
      </c>
      <c r="C174" s="25">
        <v>5.14</v>
      </c>
      <c r="D174" s="96"/>
    </row>
    <row r="175" spans="1:4" ht="15.75" outlineLevel="1">
      <c r="A175" s="25" t="s">
        <v>999</v>
      </c>
      <c r="B175" s="26" t="s">
        <v>4</v>
      </c>
      <c r="C175" s="25">
        <v>5.19</v>
      </c>
      <c r="D175" s="96"/>
    </row>
    <row r="176" spans="1:4" ht="15.75" outlineLevel="1">
      <c r="A176" s="25" t="s">
        <v>999</v>
      </c>
      <c r="B176" s="26" t="s">
        <v>156</v>
      </c>
      <c r="C176" s="25">
        <v>5.24</v>
      </c>
      <c r="D176" s="96"/>
    </row>
    <row r="177" spans="1:4" ht="15.75" outlineLevel="1">
      <c r="A177" s="25" t="s">
        <v>999</v>
      </c>
      <c r="B177" s="26" t="s">
        <v>5</v>
      </c>
      <c r="C177" s="25">
        <v>5.26</v>
      </c>
      <c r="D177" s="96"/>
    </row>
    <row r="178" spans="1:4" ht="15.75" outlineLevel="1">
      <c r="A178" s="25" t="s">
        <v>999</v>
      </c>
      <c r="B178" s="26" t="s">
        <v>6</v>
      </c>
      <c r="C178" s="25">
        <v>5.27</v>
      </c>
      <c r="D178" s="96"/>
    </row>
    <row r="179" spans="1:4" ht="15.75" outlineLevel="1">
      <c r="A179" s="25" t="s">
        <v>999</v>
      </c>
      <c r="B179" s="26" t="s">
        <v>7</v>
      </c>
      <c r="C179" s="25">
        <v>5.28</v>
      </c>
      <c r="D179" s="96"/>
    </row>
    <row r="180" spans="1:4" ht="15.75" outlineLevel="1">
      <c r="A180" s="25" t="s">
        <v>999</v>
      </c>
      <c r="B180" s="26" t="s">
        <v>339</v>
      </c>
      <c r="C180" s="25">
        <v>5.29</v>
      </c>
      <c r="D180" s="96"/>
    </row>
    <row r="181" spans="1:4" ht="15.75" outlineLevel="1">
      <c r="A181" s="25" t="s">
        <v>999</v>
      </c>
      <c r="B181" s="26" t="s">
        <v>8</v>
      </c>
      <c r="C181" s="27">
        <v>5.3</v>
      </c>
      <c r="D181" s="96"/>
    </row>
    <row r="182" spans="1:4" ht="15.75" outlineLevel="1">
      <c r="A182" s="25" t="s">
        <v>999</v>
      </c>
      <c r="B182" s="26" t="s">
        <v>582</v>
      </c>
      <c r="C182" s="25">
        <v>5.32</v>
      </c>
      <c r="D182" s="96"/>
    </row>
    <row r="183" spans="1:4" ht="15.75" outlineLevel="1">
      <c r="A183" s="25" t="s">
        <v>999</v>
      </c>
      <c r="B183" s="26" t="s">
        <v>133</v>
      </c>
      <c r="C183" s="25">
        <v>5.36</v>
      </c>
      <c r="D183" s="96"/>
    </row>
    <row r="184" spans="1:4" ht="15.75" outlineLevel="1">
      <c r="A184" s="25" t="s">
        <v>999</v>
      </c>
      <c r="B184" s="26" t="s">
        <v>11</v>
      </c>
      <c r="C184" s="25">
        <v>5.53</v>
      </c>
      <c r="D184" s="96"/>
    </row>
    <row r="185" spans="1:4" ht="15.75" outlineLevel="1">
      <c r="A185" s="25" t="s">
        <v>999</v>
      </c>
      <c r="B185" s="26" t="s">
        <v>17</v>
      </c>
      <c r="C185" s="25">
        <v>5.58</v>
      </c>
      <c r="D185" s="96"/>
    </row>
    <row r="186" spans="1:4" ht="15.75" outlineLevel="1">
      <c r="A186" s="25" t="s">
        <v>999</v>
      </c>
      <c r="B186" s="26" t="s">
        <v>18</v>
      </c>
      <c r="C186" s="25">
        <v>5.54</v>
      </c>
      <c r="D186" s="96"/>
    </row>
    <row r="187" spans="1:4" ht="15.75" outlineLevel="1">
      <c r="A187" s="25" t="s">
        <v>999</v>
      </c>
      <c r="B187" s="26" t="s">
        <v>19</v>
      </c>
      <c r="C187" s="25">
        <v>5.55</v>
      </c>
      <c r="D187" s="96"/>
    </row>
    <row r="188" spans="1:4" ht="15.75" outlineLevel="1">
      <c r="A188" s="25" t="s">
        <v>999</v>
      </c>
      <c r="B188" s="26" t="s">
        <v>20</v>
      </c>
      <c r="C188" s="25">
        <v>5.63</v>
      </c>
      <c r="D188" s="96"/>
    </row>
    <row r="189" spans="1:4" ht="15.75" outlineLevel="1">
      <c r="A189" s="25" t="s">
        <v>999</v>
      </c>
      <c r="B189" s="26" t="s">
        <v>23</v>
      </c>
      <c r="C189" s="25">
        <v>5.45</v>
      </c>
      <c r="D189" s="96"/>
    </row>
    <row r="190" spans="1:4" ht="15.75" outlineLevel="1">
      <c r="A190" s="25" t="s">
        <v>999</v>
      </c>
      <c r="B190" s="26" t="s">
        <v>24</v>
      </c>
      <c r="C190" s="25">
        <v>5.47</v>
      </c>
      <c r="D190" s="96"/>
    </row>
    <row r="191" spans="1:4" ht="15.75" outlineLevel="1">
      <c r="A191" s="25" t="s">
        <v>999</v>
      </c>
      <c r="B191" s="26" t="s">
        <v>25</v>
      </c>
      <c r="C191" s="25">
        <v>5.48</v>
      </c>
      <c r="D191" s="96"/>
    </row>
    <row r="192" spans="1:4" ht="15.75">
      <c r="A192" s="30" t="s">
        <v>999</v>
      </c>
      <c r="B192" s="26"/>
      <c r="C192" s="25"/>
      <c r="D192" s="96"/>
    </row>
    <row r="193" spans="1:4" ht="15.75" outlineLevel="1">
      <c r="A193" s="25" t="s">
        <v>1122</v>
      </c>
      <c r="B193" s="26" t="s">
        <v>0</v>
      </c>
      <c r="C193" s="25">
        <v>5.0999999999999996</v>
      </c>
      <c r="D193" s="96"/>
    </row>
    <row r="194" spans="1:4" ht="15.75" outlineLevel="1">
      <c r="A194" s="25" t="s">
        <v>1122</v>
      </c>
      <c r="B194" s="26" t="s">
        <v>1</v>
      </c>
      <c r="C194" s="25">
        <v>5.2</v>
      </c>
      <c r="D194" s="96"/>
    </row>
    <row r="195" spans="1:4" ht="15.75" outlineLevel="1">
      <c r="A195" s="25" t="s">
        <v>1122</v>
      </c>
      <c r="B195" s="26" t="s">
        <v>2</v>
      </c>
      <c r="C195" s="25">
        <v>5.3</v>
      </c>
      <c r="D195" s="96"/>
    </row>
    <row r="196" spans="1:4" ht="15.75" outlineLevel="1">
      <c r="A196" s="25" t="s">
        <v>1122</v>
      </c>
      <c r="B196" s="26" t="s">
        <v>154</v>
      </c>
      <c r="C196" s="25">
        <v>5.6</v>
      </c>
      <c r="D196" s="96"/>
    </row>
    <row r="197" spans="1:4" ht="15.75" outlineLevel="1">
      <c r="A197" s="25" t="s">
        <v>1122</v>
      </c>
      <c r="B197" s="26" t="s">
        <v>1119</v>
      </c>
      <c r="C197" s="27">
        <v>5.0999999999999996</v>
      </c>
      <c r="D197" s="96"/>
    </row>
    <row r="198" spans="1:4" ht="15.75" outlineLevel="1">
      <c r="A198" s="25" t="s">
        <v>1122</v>
      </c>
      <c r="B198" s="26" t="s">
        <v>1118</v>
      </c>
      <c r="C198" s="25">
        <v>5.14</v>
      </c>
      <c r="D198" s="96"/>
    </row>
    <row r="199" spans="1:4" ht="15.75" outlineLevel="1">
      <c r="A199" s="25" t="s">
        <v>1122</v>
      </c>
      <c r="B199" s="26" t="s">
        <v>4</v>
      </c>
      <c r="C199" s="25">
        <v>5.19</v>
      </c>
      <c r="D199" s="96"/>
    </row>
    <row r="200" spans="1:4" ht="15.75" outlineLevel="1">
      <c r="A200" s="25" t="s">
        <v>1122</v>
      </c>
      <c r="B200" s="26" t="s">
        <v>156</v>
      </c>
      <c r="C200" s="25">
        <v>5.24</v>
      </c>
      <c r="D200" s="96"/>
    </row>
    <row r="201" spans="1:4" ht="15.75" outlineLevel="1">
      <c r="A201" s="25" t="s">
        <v>1122</v>
      </c>
      <c r="B201" s="26" t="s">
        <v>6</v>
      </c>
      <c r="C201" s="25">
        <v>5.27</v>
      </c>
      <c r="D201" s="96"/>
    </row>
    <row r="202" spans="1:4" ht="15.75" outlineLevel="1">
      <c r="A202" s="25" t="s">
        <v>1122</v>
      </c>
      <c r="B202" s="26" t="s">
        <v>7</v>
      </c>
      <c r="C202" s="25">
        <v>5.28</v>
      </c>
      <c r="D202" s="96"/>
    </row>
    <row r="203" spans="1:4" ht="15.75" outlineLevel="1">
      <c r="A203" s="25" t="s">
        <v>1122</v>
      </c>
      <c r="B203" s="26" t="s">
        <v>339</v>
      </c>
      <c r="C203" s="25">
        <v>5.29</v>
      </c>
      <c r="D203" s="96"/>
    </row>
    <row r="204" spans="1:4" ht="15.75" outlineLevel="1">
      <c r="A204" s="25" t="s">
        <v>1122</v>
      </c>
      <c r="B204" s="26" t="s">
        <v>8</v>
      </c>
      <c r="C204" s="27">
        <v>5.3</v>
      </c>
      <c r="D204" s="96"/>
    </row>
    <row r="205" spans="1:4" ht="15.75" outlineLevel="1">
      <c r="A205" s="25" t="s">
        <v>1122</v>
      </c>
      <c r="B205" s="26" t="s">
        <v>1123</v>
      </c>
      <c r="C205" s="25">
        <v>5.34</v>
      </c>
      <c r="D205" s="96"/>
    </row>
    <row r="206" spans="1:4" ht="15.75" outlineLevel="1">
      <c r="A206" s="25" t="s">
        <v>1122</v>
      </c>
      <c r="B206" s="26" t="s">
        <v>157</v>
      </c>
      <c r="C206" s="25">
        <v>5.31</v>
      </c>
      <c r="D206" s="96"/>
    </row>
    <row r="207" spans="1:4" ht="15.75" outlineLevel="1">
      <c r="A207" s="25" t="s">
        <v>1122</v>
      </c>
      <c r="B207" s="26" t="s">
        <v>1124</v>
      </c>
      <c r="C207" s="25">
        <v>5.101</v>
      </c>
      <c r="D207" s="96"/>
    </row>
    <row r="208" spans="1:4" ht="15.75" outlineLevel="1">
      <c r="A208" s="25" t="s">
        <v>1122</v>
      </c>
      <c r="B208" s="26" t="s">
        <v>133</v>
      </c>
      <c r="C208" s="25">
        <v>5.36</v>
      </c>
      <c r="D208" s="96"/>
    </row>
    <row r="209" spans="1:4" ht="15.75" outlineLevel="1">
      <c r="A209" s="25" t="s">
        <v>1122</v>
      </c>
      <c r="B209" s="26" t="s">
        <v>11</v>
      </c>
      <c r="C209" s="25">
        <v>5.53</v>
      </c>
      <c r="D209" s="96"/>
    </row>
    <row r="210" spans="1:4" ht="15.75" outlineLevel="1">
      <c r="A210" s="25" t="s">
        <v>1122</v>
      </c>
      <c r="B210" s="26" t="s">
        <v>1125</v>
      </c>
      <c r="C210" s="25">
        <v>5.1020000000000003</v>
      </c>
      <c r="D210" s="96"/>
    </row>
    <row r="211" spans="1:4" ht="15.75" outlineLevel="1">
      <c r="A211" s="25" t="s">
        <v>1122</v>
      </c>
      <c r="B211" s="26" t="s">
        <v>1126</v>
      </c>
      <c r="C211" s="28">
        <v>5.0999999999999996</v>
      </c>
      <c r="D211" s="96"/>
    </row>
    <row r="212" spans="1:4" ht="15.75" outlineLevel="1">
      <c r="A212" s="25" t="s">
        <v>1122</v>
      </c>
      <c r="B212" s="26" t="s">
        <v>17</v>
      </c>
      <c r="C212" s="25">
        <v>5.58</v>
      </c>
      <c r="D212" s="96"/>
    </row>
    <row r="213" spans="1:4" ht="15.75" outlineLevel="1">
      <c r="A213" s="25" t="s">
        <v>1122</v>
      </c>
      <c r="B213" s="26" t="s">
        <v>18</v>
      </c>
      <c r="C213" s="25">
        <v>5.54</v>
      </c>
      <c r="D213" s="96"/>
    </row>
    <row r="214" spans="1:4" ht="15.75" outlineLevel="1">
      <c r="A214" s="25" t="s">
        <v>1122</v>
      </c>
      <c r="B214" s="26" t="s">
        <v>19</v>
      </c>
      <c r="C214" s="25">
        <v>5.55</v>
      </c>
      <c r="D214" s="96"/>
    </row>
    <row r="215" spans="1:4" ht="15.75" outlineLevel="1">
      <c r="A215" s="25" t="s">
        <v>1122</v>
      </c>
      <c r="B215" s="26" t="s">
        <v>20</v>
      </c>
      <c r="C215" s="25">
        <v>5.63</v>
      </c>
      <c r="D215" s="96"/>
    </row>
    <row r="216" spans="1:4" ht="15.75" outlineLevel="1">
      <c r="A216" s="25" t="s">
        <v>1122</v>
      </c>
      <c r="B216" s="26" t="s">
        <v>24</v>
      </c>
      <c r="C216" s="25">
        <v>5.47</v>
      </c>
      <c r="D216" s="96"/>
    </row>
    <row r="217" spans="1:4" ht="15.75" outlineLevel="1">
      <c r="A217" s="25" t="s">
        <v>1122</v>
      </c>
      <c r="B217" s="26" t="s">
        <v>25</v>
      </c>
      <c r="C217" s="25">
        <v>5.48</v>
      </c>
      <c r="D217" s="96"/>
    </row>
    <row r="218" spans="1:4" ht="15.75">
      <c r="A218" s="30" t="s">
        <v>1122</v>
      </c>
      <c r="B218" s="26"/>
      <c r="C218" s="25"/>
      <c r="D218" s="96"/>
    </row>
    <row r="219" spans="1:4" ht="15.75" outlineLevel="1">
      <c r="A219" s="25" t="s">
        <v>1002</v>
      </c>
      <c r="B219" s="26" t="s">
        <v>0</v>
      </c>
      <c r="C219" s="25">
        <v>5.0999999999999996</v>
      </c>
      <c r="D219" s="96"/>
    </row>
    <row r="220" spans="1:4" ht="15.75" outlineLevel="1">
      <c r="A220" s="25" t="s">
        <v>1002</v>
      </c>
      <c r="B220" s="26" t="s">
        <v>1</v>
      </c>
      <c r="C220" s="25">
        <v>5.2</v>
      </c>
      <c r="D220" s="96"/>
    </row>
    <row r="221" spans="1:4" ht="15.75" outlineLevel="1">
      <c r="A221" s="25" t="s">
        <v>1002</v>
      </c>
      <c r="B221" s="26" t="s">
        <v>2</v>
      </c>
      <c r="C221" s="25">
        <v>5.3</v>
      </c>
      <c r="D221" s="96"/>
    </row>
    <row r="222" spans="1:4" ht="15.75" outlineLevel="1">
      <c r="A222" s="25" t="s">
        <v>1002</v>
      </c>
      <c r="B222" s="26" t="s">
        <v>154</v>
      </c>
      <c r="C222" s="25">
        <v>5.6</v>
      </c>
      <c r="D222" s="96"/>
    </row>
    <row r="223" spans="1:4" ht="15.75" outlineLevel="1">
      <c r="A223" s="25" t="s">
        <v>1002</v>
      </c>
      <c r="B223" s="26" t="s">
        <v>1119</v>
      </c>
      <c r="C223" s="27">
        <v>5.0999999999999996</v>
      </c>
      <c r="D223" s="96"/>
    </row>
    <row r="224" spans="1:4" ht="15.75" outlineLevel="1">
      <c r="A224" s="25" t="s">
        <v>1002</v>
      </c>
      <c r="B224" s="26" t="s">
        <v>1118</v>
      </c>
      <c r="C224" s="25">
        <v>5.14</v>
      </c>
      <c r="D224" s="96"/>
    </row>
    <row r="225" spans="1:4" ht="15.75" outlineLevel="1">
      <c r="A225" s="25" t="s">
        <v>1002</v>
      </c>
      <c r="B225" s="26" t="s">
        <v>4</v>
      </c>
      <c r="C225" s="25">
        <v>5.19</v>
      </c>
      <c r="D225" s="96"/>
    </row>
    <row r="226" spans="1:4" ht="15.75" outlineLevel="1">
      <c r="A226" s="25" t="s">
        <v>1002</v>
      </c>
      <c r="B226" s="26" t="s">
        <v>156</v>
      </c>
      <c r="C226" s="25">
        <v>5.24</v>
      </c>
      <c r="D226" s="96"/>
    </row>
    <row r="227" spans="1:4" ht="15.75" outlineLevel="1">
      <c r="A227" s="25" t="s">
        <v>1002</v>
      </c>
      <c r="B227" s="26" t="s">
        <v>5</v>
      </c>
      <c r="C227" s="25">
        <v>5.26</v>
      </c>
      <c r="D227" s="96"/>
    </row>
    <row r="228" spans="1:4" ht="15.75" outlineLevel="1">
      <c r="A228" s="25" t="s">
        <v>1002</v>
      </c>
      <c r="B228" s="26" t="s">
        <v>6</v>
      </c>
      <c r="C228" s="25">
        <v>5.27</v>
      </c>
      <c r="D228" s="96"/>
    </row>
    <row r="229" spans="1:4" ht="15.75" outlineLevel="1">
      <c r="A229" s="25" t="s">
        <v>1002</v>
      </c>
      <c r="B229" s="26" t="s">
        <v>7</v>
      </c>
      <c r="C229" s="25">
        <v>5.28</v>
      </c>
      <c r="D229" s="96"/>
    </row>
    <row r="230" spans="1:4" ht="15.75" outlineLevel="1">
      <c r="A230" s="25" t="s">
        <v>1002</v>
      </c>
      <c r="B230" s="26" t="s">
        <v>339</v>
      </c>
      <c r="C230" s="25">
        <v>5.29</v>
      </c>
      <c r="D230" s="96"/>
    </row>
    <row r="231" spans="1:4" ht="15.75" outlineLevel="1">
      <c r="A231" s="25" t="s">
        <v>1002</v>
      </c>
      <c r="B231" s="26" t="s">
        <v>8</v>
      </c>
      <c r="C231" s="27">
        <v>5.3</v>
      </c>
      <c r="D231" s="96"/>
    </row>
    <row r="232" spans="1:4" ht="15.75" outlineLevel="1">
      <c r="A232" s="25" t="s">
        <v>1002</v>
      </c>
      <c r="B232" s="26" t="s">
        <v>157</v>
      </c>
      <c r="C232" s="25">
        <v>5.31</v>
      </c>
      <c r="D232" s="96"/>
    </row>
    <row r="233" spans="1:4" ht="15.75" outlineLevel="1">
      <c r="A233" s="25" t="s">
        <v>1002</v>
      </c>
      <c r="B233" s="26" t="s">
        <v>180</v>
      </c>
      <c r="C233" s="25">
        <v>5.33</v>
      </c>
      <c r="D233" s="96"/>
    </row>
    <row r="234" spans="1:4" ht="15.75" outlineLevel="1">
      <c r="A234" s="25" t="s">
        <v>1002</v>
      </c>
      <c r="B234" s="26" t="s">
        <v>1124</v>
      </c>
      <c r="C234" s="25">
        <v>5.101</v>
      </c>
      <c r="D234" s="96"/>
    </row>
    <row r="235" spans="1:4" ht="15.75" outlineLevel="1">
      <c r="A235" s="25" t="s">
        <v>1002</v>
      </c>
      <c r="B235" s="26" t="s">
        <v>133</v>
      </c>
      <c r="C235" s="25">
        <v>5.36</v>
      </c>
      <c r="D235" s="96"/>
    </row>
    <row r="236" spans="1:4" ht="15.75" outlineLevel="1">
      <c r="A236" s="25" t="s">
        <v>1002</v>
      </c>
      <c r="B236" s="26" t="s">
        <v>11</v>
      </c>
      <c r="C236" s="25">
        <v>5.53</v>
      </c>
      <c r="D236" s="96"/>
    </row>
    <row r="237" spans="1:4" ht="15.75" outlineLevel="1">
      <c r="A237" s="25" t="s">
        <v>1002</v>
      </c>
      <c r="B237" s="26" t="s">
        <v>1125</v>
      </c>
      <c r="C237" s="25">
        <v>5.1020000000000003</v>
      </c>
      <c r="D237" s="96"/>
    </row>
    <row r="238" spans="1:4" ht="15.75" outlineLevel="1">
      <c r="A238" s="25" t="s">
        <v>1002</v>
      </c>
      <c r="B238" s="26" t="s">
        <v>17</v>
      </c>
      <c r="C238" s="25">
        <v>5.58</v>
      </c>
      <c r="D238" s="96"/>
    </row>
    <row r="239" spans="1:4" ht="15.75" outlineLevel="1">
      <c r="A239" s="25" t="s">
        <v>1002</v>
      </c>
      <c r="B239" s="26" t="s">
        <v>18</v>
      </c>
      <c r="C239" s="25">
        <v>5.54</v>
      </c>
      <c r="D239" s="96"/>
    </row>
    <row r="240" spans="1:4" ht="15.75" outlineLevel="1">
      <c r="A240" s="25" t="s">
        <v>1002</v>
      </c>
      <c r="B240" s="26" t="s">
        <v>19</v>
      </c>
      <c r="C240" s="25">
        <v>5.55</v>
      </c>
      <c r="D240" s="96"/>
    </row>
    <row r="241" spans="1:4" ht="15.75" outlineLevel="1">
      <c r="A241" s="25" t="s">
        <v>1002</v>
      </c>
      <c r="B241" s="26" t="s">
        <v>20</v>
      </c>
      <c r="C241" s="25">
        <v>5.63</v>
      </c>
      <c r="D241" s="96"/>
    </row>
    <row r="242" spans="1:4" ht="15.75" outlineLevel="1">
      <c r="A242" s="25" t="s">
        <v>1002</v>
      </c>
      <c r="B242" s="26" t="s">
        <v>24</v>
      </c>
      <c r="C242" s="25">
        <v>5.47</v>
      </c>
      <c r="D242" s="96"/>
    </row>
    <row r="243" spans="1:4" ht="15.75" outlineLevel="1">
      <c r="A243" s="25" t="s">
        <v>1002</v>
      </c>
      <c r="B243" s="26" t="s">
        <v>25</v>
      </c>
      <c r="C243" s="25">
        <v>5.48</v>
      </c>
      <c r="D243" s="96"/>
    </row>
    <row r="244" spans="1:4" ht="15.75">
      <c r="A244" s="30" t="s">
        <v>1002</v>
      </c>
      <c r="B244" s="26"/>
      <c r="C244" s="25"/>
      <c r="D244" s="96"/>
    </row>
    <row r="245" spans="1:4" ht="15.75" outlineLevel="1">
      <c r="A245" s="25" t="s">
        <v>1127</v>
      </c>
      <c r="B245" s="26" t="s">
        <v>0</v>
      </c>
      <c r="C245" s="25">
        <v>5.0999999999999996</v>
      </c>
      <c r="D245" s="96"/>
    </row>
    <row r="246" spans="1:4" ht="15.75" outlineLevel="1">
      <c r="A246" s="25" t="s">
        <v>1127</v>
      </c>
      <c r="B246" s="26" t="s">
        <v>1</v>
      </c>
      <c r="C246" s="25">
        <v>5.2</v>
      </c>
      <c r="D246" s="96"/>
    </row>
    <row r="247" spans="1:4" ht="15.75" outlineLevel="1">
      <c r="A247" s="25" t="s">
        <v>1127</v>
      </c>
      <c r="B247" s="26" t="s">
        <v>2</v>
      </c>
      <c r="C247" s="25">
        <v>5.3</v>
      </c>
      <c r="D247" s="96"/>
    </row>
    <row r="248" spans="1:4" ht="15.75" outlineLevel="1">
      <c r="A248" s="25" t="s">
        <v>1127</v>
      </c>
      <c r="B248" s="26" t="s">
        <v>154</v>
      </c>
      <c r="C248" s="25">
        <v>5.6</v>
      </c>
      <c r="D248" s="96"/>
    </row>
    <row r="249" spans="1:4" ht="15.75" outlineLevel="1">
      <c r="A249" s="25" t="s">
        <v>1127</v>
      </c>
      <c r="B249" s="26" t="s">
        <v>1119</v>
      </c>
      <c r="C249" s="27">
        <v>5.0999999999999996</v>
      </c>
      <c r="D249" s="96"/>
    </row>
    <row r="250" spans="1:4" ht="15.75" outlineLevel="1">
      <c r="A250" s="25" t="s">
        <v>1127</v>
      </c>
      <c r="B250" s="26" t="s">
        <v>1118</v>
      </c>
      <c r="C250" s="25">
        <v>5.14</v>
      </c>
      <c r="D250" s="96"/>
    </row>
    <row r="251" spans="1:4" ht="15.75" outlineLevel="1">
      <c r="A251" s="25" t="s">
        <v>1127</v>
      </c>
      <c r="B251" s="26" t="s">
        <v>4</v>
      </c>
      <c r="C251" s="25">
        <v>5.19</v>
      </c>
      <c r="D251" s="96"/>
    </row>
    <row r="252" spans="1:4" ht="15.75" outlineLevel="1">
      <c r="A252" s="25" t="s">
        <v>1127</v>
      </c>
      <c r="B252" s="26" t="s">
        <v>156</v>
      </c>
      <c r="C252" s="25">
        <v>5.24</v>
      </c>
      <c r="D252" s="96"/>
    </row>
    <row r="253" spans="1:4" ht="15.75" outlineLevel="1">
      <c r="A253" s="25" t="s">
        <v>1127</v>
      </c>
      <c r="B253" s="26" t="s">
        <v>6</v>
      </c>
      <c r="C253" s="25">
        <v>5.27</v>
      </c>
      <c r="D253" s="96"/>
    </row>
    <row r="254" spans="1:4" ht="15.75" outlineLevel="1">
      <c r="A254" s="25" t="s">
        <v>1127</v>
      </c>
      <c r="B254" s="26" t="s">
        <v>7</v>
      </c>
      <c r="C254" s="25">
        <v>5.28</v>
      </c>
      <c r="D254" s="96"/>
    </row>
    <row r="255" spans="1:4" ht="15.75" outlineLevel="1">
      <c r="A255" s="25" t="s">
        <v>1127</v>
      </c>
      <c r="B255" s="26" t="s">
        <v>8</v>
      </c>
      <c r="C255" s="27">
        <v>5.3</v>
      </c>
      <c r="D255" s="96"/>
    </row>
    <row r="256" spans="1:4" ht="15.75" outlineLevel="1">
      <c r="A256" s="25" t="s">
        <v>1127</v>
      </c>
      <c r="B256" s="26" t="s">
        <v>180</v>
      </c>
      <c r="C256" s="25">
        <v>5.33</v>
      </c>
      <c r="D256" s="96"/>
    </row>
    <row r="257" spans="1:4" ht="15.75" outlineLevel="1">
      <c r="A257" s="25" t="s">
        <v>1127</v>
      </c>
      <c r="B257" s="26" t="s">
        <v>133</v>
      </c>
      <c r="C257" s="25">
        <v>5.36</v>
      </c>
      <c r="D257" s="96"/>
    </row>
    <row r="258" spans="1:4" ht="15.75" outlineLevel="1">
      <c r="A258" s="25" t="s">
        <v>1127</v>
      </c>
      <c r="B258" s="26" t="s">
        <v>11</v>
      </c>
      <c r="C258" s="25">
        <v>5.53</v>
      </c>
      <c r="D258" s="96"/>
    </row>
    <row r="259" spans="1:4" ht="15.75" outlineLevel="1">
      <c r="A259" s="25" t="s">
        <v>1127</v>
      </c>
      <c r="B259" s="26" t="s">
        <v>17</v>
      </c>
      <c r="C259" s="25">
        <v>5.58</v>
      </c>
      <c r="D259" s="96"/>
    </row>
    <row r="260" spans="1:4" ht="15.75" outlineLevel="1">
      <c r="A260" s="25" t="s">
        <v>1127</v>
      </c>
      <c r="B260" s="26" t="s">
        <v>18</v>
      </c>
      <c r="C260" s="25">
        <v>5.54</v>
      </c>
      <c r="D260" s="96"/>
    </row>
    <row r="261" spans="1:4" ht="15.75" outlineLevel="1">
      <c r="A261" s="25" t="s">
        <v>1127</v>
      </c>
      <c r="B261" s="26" t="s">
        <v>19</v>
      </c>
      <c r="C261" s="25">
        <v>5.55</v>
      </c>
      <c r="D261" s="96"/>
    </row>
    <row r="262" spans="1:4" ht="15.75" outlineLevel="1">
      <c r="A262" s="25" t="s">
        <v>1127</v>
      </c>
      <c r="B262" s="26" t="s">
        <v>20</v>
      </c>
      <c r="C262" s="25">
        <v>5.63</v>
      </c>
      <c r="D262" s="96"/>
    </row>
    <row r="263" spans="1:4" ht="15.75" outlineLevel="1">
      <c r="A263" s="25" t="s">
        <v>1127</v>
      </c>
      <c r="B263" s="26" t="s">
        <v>24</v>
      </c>
      <c r="C263" s="25">
        <v>5.47</v>
      </c>
      <c r="D263" s="96"/>
    </row>
    <row r="264" spans="1:4" ht="15.75" outlineLevel="1">
      <c r="A264" s="25" t="s">
        <v>1127</v>
      </c>
      <c r="B264" s="26" t="s">
        <v>25</v>
      </c>
      <c r="C264" s="25">
        <v>5.48</v>
      </c>
      <c r="D264" s="96"/>
    </row>
    <row r="265" spans="1:4" ht="15.75">
      <c r="A265" s="30" t="s">
        <v>1127</v>
      </c>
      <c r="B265" s="26"/>
      <c r="C265" s="25"/>
      <c r="D265" s="96"/>
    </row>
    <row r="266" spans="1:4" ht="15.75" outlineLevel="1">
      <c r="A266" s="25" t="s">
        <v>1007</v>
      </c>
      <c r="B266" s="26" t="s">
        <v>0</v>
      </c>
      <c r="C266" s="25">
        <v>5.0999999999999996</v>
      </c>
      <c r="D266" s="96"/>
    </row>
    <row r="267" spans="1:4" ht="15.75" outlineLevel="1">
      <c r="A267" s="25" t="s">
        <v>1007</v>
      </c>
      <c r="B267" s="26" t="s">
        <v>1</v>
      </c>
      <c r="C267" s="25">
        <v>5.2</v>
      </c>
      <c r="D267" s="96"/>
    </row>
    <row r="268" spans="1:4" ht="15.75" outlineLevel="1">
      <c r="A268" s="25" t="s">
        <v>1007</v>
      </c>
      <c r="B268" s="26" t="s">
        <v>2</v>
      </c>
      <c r="C268" s="25">
        <v>5.3</v>
      </c>
      <c r="D268" s="96"/>
    </row>
    <row r="269" spans="1:4" ht="15.75" outlineLevel="1">
      <c r="A269" s="25" t="s">
        <v>1007</v>
      </c>
      <c r="B269" s="26" t="s">
        <v>154</v>
      </c>
      <c r="C269" s="25">
        <v>5.6</v>
      </c>
      <c r="D269" s="96"/>
    </row>
    <row r="270" spans="1:4" ht="15.75" outlineLevel="1">
      <c r="A270" s="25" t="s">
        <v>1007</v>
      </c>
      <c r="B270" s="26" t="s">
        <v>1119</v>
      </c>
      <c r="C270" s="27">
        <v>5.0999999999999996</v>
      </c>
      <c r="D270" s="96"/>
    </row>
    <row r="271" spans="1:4" ht="15.75" outlineLevel="1">
      <c r="A271" s="25" t="s">
        <v>1007</v>
      </c>
      <c r="B271" s="26" t="s">
        <v>1118</v>
      </c>
      <c r="C271" s="25">
        <v>5.14</v>
      </c>
      <c r="D271" s="96"/>
    </row>
    <row r="272" spans="1:4" ht="15.75" outlineLevel="1">
      <c r="A272" s="25" t="s">
        <v>1007</v>
      </c>
      <c r="B272" s="26" t="s">
        <v>4</v>
      </c>
      <c r="C272" s="25">
        <v>5.19</v>
      </c>
      <c r="D272" s="96"/>
    </row>
    <row r="273" spans="1:4" ht="15.75" outlineLevel="1">
      <c r="A273" s="25" t="s">
        <v>1007</v>
      </c>
      <c r="B273" s="26" t="s">
        <v>156</v>
      </c>
      <c r="C273" s="25">
        <v>5.24</v>
      </c>
      <c r="D273" s="96"/>
    </row>
    <row r="274" spans="1:4" ht="15.75" outlineLevel="1">
      <c r="A274" s="25" t="s">
        <v>1007</v>
      </c>
      <c r="B274" s="26" t="s">
        <v>5</v>
      </c>
      <c r="C274" s="25">
        <v>5.26</v>
      </c>
      <c r="D274" s="96"/>
    </row>
    <row r="275" spans="1:4" ht="15.75" outlineLevel="1">
      <c r="A275" s="25" t="s">
        <v>1007</v>
      </c>
      <c r="B275" s="26" t="s">
        <v>6</v>
      </c>
      <c r="C275" s="25">
        <v>5.27</v>
      </c>
      <c r="D275" s="96"/>
    </row>
    <row r="276" spans="1:4" ht="15.75" outlineLevel="1">
      <c r="A276" s="25" t="s">
        <v>1007</v>
      </c>
      <c r="B276" s="26" t="s">
        <v>7</v>
      </c>
      <c r="C276" s="25">
        <v>5.28</v>
      </c>
      <c r="D276" s="96"/>
    </row>
    <row r="277" spans="1:4" ht="15.75" outlineLevel="1">
      <c r="A277" s="25" t="s">
        <v>1007</v>
      </c>
      <c r="B277" s="26" t="s">
        <v>339</v>
      </c>
      <c r="C277" s="25">
        <v>5.29</v>
      </c>
      <c r="D277" s="96"/>
    </row>
    <row r="278" spans="1:4" ht="15.75" outlineLevel="1">
      <c r="A278" s="25" t="s">
        <v>1007</v>
      </c>
      <c r="B278" s="26" t="s">
        <v>8</v>
      </c>
      <c r="C278" s="27">
        <v>5.3</v>
      </c>
      <c r="D278" s="96"/>
    </row>
    <row r="279" spans="1:4" ht="15.75" outlineLevel="1">
      <c r="A279" s="25" t="s">
        <v>1007</v>
      </c>
      <c r="B279" s="26" t="s">
        <v>180</v>
      </c>
      <c r="C279" s="25">
        <v>5.33</v>
      </c>
      <c r="D279" s="96"/>
    </row>
    <row r="280" spans="1:4" ht="15.75" outlineLevel="1">
      <c r="A280" s="25" t="s">
        <v>1007</v>
      </c>
      <c r="B280" s="26" t="s">
        <v>133</v>
      </c>
      <c r="C280" s="25">
        <v>5.36</v>
      </c>
      <c r="D280" s="96"/>
    </row>
    <row r="281" spans="1:4" ht="15.75" outlineLevel="1">
      <c r="A281" s="25" t="s">
        <v>1007</v>
      </c>
      <c r="B281" s="26" t="s">
        <v>12</v>
      </c>
      <c r="C281" s="25">
        <v>5.69</v>
      </c>
      <c r="D281" s="96"/>
    </row>
    <row r="282" spans="1:4" ht="15.75" outlineLevel="1">
      <c r="A282" s="25" t="s">
        <v>1007</v>
      </c>
      <c r="B282" s="26" t="s">
        <v>14</v>
      </c>
      <c r="C282" s="27">
        <v>5.7</v>
      </c>
      <c r="D282" s="96"/>
    </row>
    <row r="283" spans="1:4" ht="15.75" outlineLevel="1">
      <c r="A283" s="25" t="s">
        <v>1007</v>
      </c>
      <c r="B283" s="26" t="s">
        <v>15</v>
      </c>
      <c r="C283" s="25">
        <v>5.74</v>
      </c>
      <c r="D283" s="96"/>
    </row>
    <row r="284" spans="1:4" ht="15.75" outlineLevel="1">
      <c r="A284" s="25" t="s">
        <v>1007</v>
      </c>
      <c r="B284" s="26" t="s">
        <v>9</v>
      </c>
      <c r="C284" s="25">
        <v>5.49</v>
      </c>
      <c r="D284" s="96"/>
    </row>
    <row r="285" spans="1:4" ht="15.75" outlineLevel="1">
      <c r="A285" s="25" t="s">
        <v>1007</v>
      </c>
      <c r="B285" s="26" t="s">
        <v>10</v>
      </c>
      <c r="C285" s="25">
        <v>5.51</v>
      </c>
      <c r="D285" s="96"/>
    </row>
    <row r="286" spans="1:4" ht="15.75" outlineLevel="1">
      <c r="A286" s="25" t="s">
        <v>1007</v>
      </c>
      <c r="B286" s="26" t="s">
        <v>1120</v>
      </c>
      <c r="C286" s="25">
        <v>5.52</v>
      </c>
      <c r="D286" s="96"/>
    </row>
    <row r="287" spans="1:4" ht="15.75" outlineLevel="1">
      <c r="A287" s="25" t="s">
        <v>1007</v>
      </c>
      <c r="B287" s="26" t="s">
        <v>11</v>
      </c>
      <c r="C287" s="25">
        <v>5.53</v>
      </c>
      <c r="D287" s="96"/>
    </row>
    <row r="288" spans="1:4" ht="15.75" outlineLevel="1">
      <c r="A288" s="25" t="s">
        <v>1007</v>
      </c>
      <c r="B288" s="26" t="s">
        <v>17</v>
      </c>
      <c r="C288" s="25">
        <v>5.58</v>
      </c>
      <c r="D288" s="96"/>
    </row>
    <row r="289" spans="1:4" ht="15.75" outlineLevel="1">
      <c r="A289" s="25" t="s">
        <v>1007</v>
      </c>
      <c r="B289" s="26" t="s">
        <v>18</v>
      </c>
      <c r="C289" s="25">
        <v>5.54</v>
      </c>
      <c r="D289" s="96"/>
    </row>
    <row r="290" spans="1:4" ht="15.75" outlineLevel="1">
      <c r="A290" s="25" t="s">
        <v>1007</v>
      </c>
      <c r="B290" s="26" t="s">
        <v>19</v>
      </c>
      <c r="C290" s="25">
        <v>5.55</v>
      </c>
      <c r="D290" s="96"/>
    </row>
    <row r="291" spans="1:4" ht="15.75" outlineLevel="1">
      <c r="A291" s="25" t="s">
        <v>1007</v>
      </c>
      <c r="B291" s="26" t="s">
        <v>20</v>
      </c>
      <c r="C291" s="25">
        <v>5.63</v>
      </c>
      <c r="D291" s="96"/>
    </row>
    <row r="292" spans="1:4" ht="15.75" outlineLevel="1">
      <c r="A292" s="25" t="s">
        <v>1007</v>
      </c>
      <c r="B292" s="26" t="s">
        <v>24</v>
      </c>
      <c r="C292" s="25">
        <v>5.47</v>
      </c>
      <c r="D292" s="96"/>
    </row>
    <row r="293" spans="1:4" ht="15.75" outlineLevel="1">
      <c r="A293" s="25" t="s">
        <v>1007</v>
      </c>
      <c r="B293" s="26" t="s">
        <v>25</v>
      </c>
      <c r="C293" s="25">
        <v>5.48</v>
      </c>
      <c r="D293" s="96"/>
    </row>
    <row r="294" spans="1:4" ht="15.75">
      <c r="A294" s="30" t="s">
        <v>1007</v>
      </c>
      <c r="B294" s="26"/>
      <c r="C294" s="25"/>
      <c r="D294" s="96"/>
    </row>
    <row r="295" spans="1:4" ht="31.5" outlineLevel="1">
      <c r="A295" s="25" t="s">
        <v>1014</v>
      </c>
      <c r="B295" s="26" t="s">
        <v>0</v>
      </c>
      <c r="C295" s="25">
        <v>5.0999999999999996</v>
      </c>
      <c r="D295" s="96"/>
    </row>
    <row r="296" spans="1:4" ht="31.5" outlineLevel="1">
      <c r="A296" s="25" t="s">
        <v>1014</v>
      </c>
      <c r="B296" s="26" t="s">
        <v>1</v>
      </c>
      <c r="C296" s="25">
        <v>5.2</v>
      </c>
      <c r="D296" s="96"/>
    </row>
    <row r="297" spans="1:4" ht="31.5" outlineLevel="1">
      <c r="A297" s="25" t="s">
        <v>1014</v>
      </c>
      <c r="B297" s="26" t="s">
        <v>2</v>
      </c>
      <c r="C297" s="25">
        <v>5.3</v>
      </c>
      <c r="D297" s="96"/>
    </row>
    <row r="298" spans="1:4" ht="31.5" outlineLevel="1">
      <c r="A298" s="25" t="s">
        <v>1014</v>
      </c>
      <c r="B298" s="26" t="s">
        <v>1118</v>
      </c>
      <c r="C298" s="25">
        <v>5.14</v>
      </c>
      <c r="D298" s="96"/>
    </row>
    <row r="299" spans="1:4" ht="31.5" outlineLevel="1">
      <c r="A299" s="25" t="s">
        <v>1014</v>
      </c>
      <c r="B299" s="26" t="s">
        <v>4</v>
      </c>
      <c r="C299" s="25">
        <v>5.19</v>
      </c>
      <c r="D299" s="96"/>
    </row>
    <row r="300" spans="1:4" ht="31.5" outlineLevel="1">
      <c r="A300" s="25" t="s">
        <v>1014</v>
      </c>
      <c r="B300" s="26" t="s">
        <v>156</v>
      </c>
      <c r="C300" s="25">
        <v>5.24</v>
      </c>
      <c r="D300" s="96"/>
    </row>
    <row r="301" spans="1:4" ht="31.5" outlineLevel="1">
      <c r="A301" s="25" t="s">
        <v>1014</v>
      </c>
      <c r="B301" s="26" t="s">
        <v>5</v>
      </c>
      <c r="C301" s="25">
        <v>5.26</v>
      </c>
      <c r="D301" s="96"/>
    </row>
    <row r="302" spans="1:4" ht="31.5" outlineLevel="1">
      <c r="A302" s="25" t="s">
        <v>1014</v>
      </c>
      <c r="B302" s="26" t="s">
        <v>6</v>
      </c>
      <c r="C302" s="25">
        <v>5.27</v>
      </c>
      <c r="D302" s="96"/>
    </row>
    <row r="303" spans="1:4" ht="31.5" outlineLevel="1">
      <c r="A303" s="25" t="s">
        <v>1014</v>
      </c>
      <c r="B303" s="26" t="s">
        <v>7</v>
      </c>
      <c r="C303" s="25">
        <v>5.28</v>
      </c>
      <c r="D303" s="96"/>
    </row>
    <row r="304" spans="1:4" ht="31.5" outlineLevel="1">
      <c r="A304" s="25" t="s">
        <v>1014</v>
      </c>
      <c r="B304" s="26" t="s">
        <v>165</v>
      </c>
      <c r="C304" s="25">
        <v>5.37</v>
      </c>
      <c r="D304" s="96"/>
    </row>
    <row r="305" spans="1:4" ht="31.5" outlineLevel="1">
      <c r="A305" s="25" t="s">
        <v>1014</v>
      </c>
      <c r="B305" s="26" t="s">
        <v>9</v>
      </c>
      <c r="C305" s="25">
        <v>5.49</v>
      </c>
      <c r="D305" s="96"/>
    </row>
    <row r="306" spans="1:4" ht="31.5" outlineLevel="1">
      <c r="A306" s="25" t="s">
        <v>1014</v>
      </c>
      <c r="B306" s="26" t="s">
        <v>10</v>
      </c>
      <c r="C306" s="25">
        <v>5.51</v>
      </c>
      <c r="D306" s="96"/>
    </row>
    <row r="307" spans="1:4" ht="31.5" outlineLevel="1">
      <c r="A307" s="25" t="s">
        <v>1014</v>
      </c>
      <c r="B307" s="26" t="s">
        <v>11</v>
      </c>
      <c r="C307" s="25">
        <v>5.53</v>
      </c>
      <c r="D307" s="96"/>
    </row>
    <row r="308" spans="1:4" ht="31.5" outlineLevel="1">
      <c r="A308" s="25" t="s">
        <v>1014</v>
      </c>
      <c r="B308" s="26" t="s">
        <v>12</v>
      </c>
      <c r="C308" s="25">
        <v>5.69</v>
      </c>
      <c r="D308" s="96"/>
    </row>
    <row r="309" spans="1:4" ht="31.5" outlineLevel="1">
      <c r="A309" s="25" t="s">
        <v>1014</v>
      </c>
      <c r="B309" s="26" t="s">
        <v>13</v>
      </c>
      <c r="C309" s="25">
        <v>5.75</v>
      </c>
      <c r="D309" s="96"/>
    </row>
    <row r="310" spans="1:4" ht="31.5" outlineLevel="1">
      <c r="A310" s="25" t="s">
        <v>1014</v>
      </c>
      <c r="B310" s="26" t="s">
        <v>14</v>
      </c>
      <c r="C310" s="27">
        <v>5.7</v>
      </c>
      <c r="D310" s="96"/>
    </row>
    <row r="311" spans="1:4" ht="31.5" outlineLevel="1">
      <c r="A311" s="25" t="s">
        <v>1014</v>
      </c>
      <c r="B311" s="26" t="s">
        <v>15</v>
      </c>
      <c r="C311" s="25">
        <v>5.74</v>
      </c>
      <c r="D311" s="96"/>
    </row>
    <row r="312" spans="1:4" ht="31.5" outlineLevel="1">
      <c r="A312" s="25" t="s">
        <v>1014</v>
      </c>
      <c r="B312" s="26" t="s">
        <v>17</v>
      </c>
      <c r="C312" s="25">
        <v>5.58</v>
      </c>
      <c r="D312" s="96"/>
    </row>
    <row r="313" spans="1:4" ht="31.5" outlineLevel="1">
      <c r="A313" s="25" t="s">
        <v>1014</v>
      </c>
      <c r="B313" s="26" t="s">
        <v>18</v>
      </c>
      <c r="C313" s="25">
        <v>5.54</v>
      </c>
      <c r="D313" s="96"/>
    </row>
    <row r="314" spans="1:4" ht="31.5" outlineLevel="1">
      <c r="A314" s="25" t="s">
        <v>1014</v>
      </c>
      <c r="B314" s="26" t="s">
        <v>19</v>
      </c>
      <c r="C314" s="25">
        <v>5.55</v>
      </c>
      <c r="D314" s="96"/>
    </row>
    <row r="315" spans="1:4" ht="31.5" outlineLevel="1">
      <c r="A315" s="25" t="s">
        <v>1014</v>
      </c>
      <c r="B315" s="26" t="s">
        <v>20</v>
      </c>
      <c r="C315" s="25">
        <v>5.63</v>
      </c>
      <c r="D315" s="96"/>
    </row>
    <row r="316" spans="1:4" ht="31.5" outlineLevel="1">
      <c r="A316" s="25" t="s">
        <v>1014</v>
      </c>
      <c r="B316" s="26" t="s">
        <v>21</v>
      </c>
      <c r="C316" s="25">
        <v>5.65</v>
      </c>
      <c r="D316" s="96"/>
    </row>
    <row r="317" spans="1:4" ht="31.5" outlineLevel="1">
      <c r="A317" s="25" t="s">
        <v>1014</v>
      </c>
      <c r="B317" s="26" t="s">
        <v>22</v>
      </c>
      <c r="C317" s="25">
        <v>5.68</v>
      </c>
      <c r="D317" s="96"/>
    </row>
    <row r="318" spans="1:4" ht="31.5" outlineLevel="1">
      <c r="A318" s="25" t="s">
        <v>1014</v>
      </c>
      <c r="B318" s="26" t="s">
        <v>24</v>
      </c>
      <c r="C318" s="25">
        <v>5.47</v>
      </c>
      <c r="D318" s="96"/>
    </row>
    <row r="319" spans="1:4" ht="31.5" outlineLevel="1">
      <c r="A319" s="25" t="s">
        <v>1014</v>
      </c>
      <c r="B319" s="26" t="s">
        <v>25</v>
      </c>
      <c r="C319" s="25">
        <v>5.48</v>
      </c>
      <c r="D319" s="96"/>
    </row>
    <row r="320" spans="1:4" ht="31.5">
      <c r="A320" s="30" t="s">
        <v>1014</v>
      </c>
      <c r="B320" s="26"/>
      <c r="C320" s="25"/>
      <c r="D320" s="96"/>
    </row>
    <row r="321" spans="1:4" ht="31.5" outlineLevel="1">
      <c r="A321" s="25" t="s">
        <v>1015</v>
      </c>
      <c r="B321" s="26" t="s">
        <v>0</v>
      </c>
      <c r="C321" s="25">
        <v>5.0999999999999996</v>
      </c>
      <c r="D321" s="96"/>
    </row>
    <row r="322" spans="1:4" ht="31.5" outlineLevel="1">
      <c r="A322" s="25" t="s">
        <v>1015</v>
      </c>
      <c r="B322" s="26" t="s">
        <v>1</v>
      </c>
      <c r="C322" s="25">
        <v>5.2</v>
      </c>
      <c r="D322" s="96"/>
    </row>
    <row r="323" spans="1:4" ht="31.5" outlineLevel="1">
      <c r="A323" s="25" t="s">
        <v>1015</v>
      </c>
      <c r="B323" s="26" t="s">
        <v>5</v>
      </c>
      <c r="C323" s="25">
        <v>5.26</v>
      </c>
      <c r="D323" s="96"/>
    </row>
    <row r="324" spans="1:4" ht="31.5" outlineLevel="1">
      <c r="A324" s="25" t="s">
        <v>1015</v>
      </c>
      <c r="B324" s="26" t="s">
        <v>1118</v>
      </c>
      <c r="C324" s="25">
        <v>5.14</v>
      </c>
      <c r="D324" s="96"/>
    </row>
    <row r="325" spans="1:4" ht="31.5" outlineLevel="1">
      <c r="A325" s="25" t="s">
        <v>1015</v>
      </c>
      <c r="B325" s="26" t="s">
        <v>4</v>
      </c>
      <c r="C325" s="25">
        <v>5.19</v>
      </c>
      <c r="D325" s="96"/>
    </row>
    <row r="326" spans="1:4" ht="31.5" outlineLevel="1">
      <c r="A326" s="25" t="s">
        <v>1015</v>
      </c>
      <c r="B326" s="26" t="s">
        <v>165</v>
      </c>
      <c r="C326" s="25">
        <v>5.37</v>
      </c>
      <c r="D326" s="96"/>
    </row>
    <row r="327" spans="1:4" ht="31.5" outlineLevel="1">
      <c r="A327" s="25" t="s">
        <v>1015</v>
      </c>
      <c r="B327" s="26" t="s">
        <v>12</v>
      </c>
      <c r="C327" s="25">
        <v>5.69</v>
      </c>
      <c r="D327" s="96"/>
    </row>
    <row r="328" spans="1:4" ht="31.5" outlineLevel="1">
      <c r="A328" s="25" t="s">
        <v>1015</v>
      </c>
      <c r="B328" s="26" t="s">
        <v>766</v>
      </c>
      <c r="C328" s="27">
        <v>5.8</v>
      </c>
      <c r="D328" s="96"/>
    </row>
    <row r="329" spans="1:4" ht="31.5" outlineLevel="1">
      <c r="A329" s="25" t="s">
        <v>1015</v>
      </c>
      <c r="B329" s="26" t="s">
        <v>13</v>
      </c>
      <c r="C329" s="25">
        <v>5.75</v>
      </c>
      <c r="D329" s="96"/>
    </row>
    <row r="330" spans="1:4" ht="31.5" outlineLevel="1">
      <c r="A330" s="25" t="s">
        <v>1015</v>
      </c>
      <c r="B330" s="26" t="s">
        <v>14</v>
      </c>
      <c r="C330" s="27">
        <v>5.7</v>
      </c>
      <c r="D330" s="96"/>
    </row>
    <row r="331" spans="1:4" ht="31.5" outlineLevel="1">
      <c r="A331" s="25" t="s">
        <v>1015</v>
      </c>
      <c r="B331" s="26" t="s">
        <v>15</v>
      </c>
      <c r="C331" s="25">
        <v>5.74</v>
      </c>
      <c r="D331" s="96"/>
    </row>
    <row r="332" spans="1:4" ht="31.5" outlineLevel="1">
      <c r="A332" s="25" t="s">
        <v>1015</v>
      </c>
      <c r="B332" s="26" t="s">
        <v>17</v>
      </c>
      <c r="C332" s="25">
        <v>5.58</v>
      </c>
      <c r="D332" s="96"/>
    </row>
    <row r="333" spans="1:4" ht="31.5" outlineLevel="1">
      <c r="A333" s="25" t="s">
        <v>1015</v>
      </c>
      <c r="B333" s="26" t="s">
        <v>19</v>
      </c>
      <c r="C333" s="25">
        <v>5.55</v>
      </c>
      <c r="D333" s="96"/>
    </row>
    <row r="334" spans="1:4" ht="31.5" outlineLevel="1">
      <c r="A334" s="25" t="s">
        <v>1015</v>
      </c>
      <c r="B334" s="26" t="s">
        <v>20</v>
      </c>
      <c r="C334" s="25">
        <v>5.63</v>
      </c>
      <c r="D334" s="96"/>
    </row>
    <row r="335" spans="1:4" ht="31.5" outlineLevel="1">
      <c r="A335" s="25" t="s">
        <v>1015</v>
      </c>
      <c r="B335" s="26" t="s">
        <v>21</v>
      </c>
      <c r="C335" s="25">
        <v>5.65</v>
      </c>
      <c r="D335" s="96"/>
    </row>
    <row r="336" spans="1:4" ht="31.5" outlineLevel="1">
      <c r="A336" s="25" t="s">
        <v>1015</v>
      </c>
      <c r="B336" s="26" t="s">
        <v>22</v>
      </c>
      <c r="C336" s="25">
        <v>5.68</v>
      </c>
      <c r="D336" s="96"/>
    </row>
    <row r="337" spans="1:4" ht="31.5" outlineLevel="1">
      <c r="A337" s="25" t="s">
        <v>1015</v>
      </c>
      <c r="B337" s="26" t="s">
        <v>24</v>
      </c>
      <c r="C337" s="25">
        <v>5.47</v>
      </c>
      <c r="D337" s="96"/>
    </row>
    <row r="338" spans="1:4" ht="31.5" outlineLevel="1">
      <c r="A338" s="25" t="s">
        <v>1015</v>
      </c>
      <c r="B338" s="26" t="s">
        <v>25</v>
      </c>
      <c r="C338" s="25">
        <v>5.48</v>
      </c>
      <c r="D338" s="96"/>
    </row>
    <row r="339" spans="1:4" ht="31.5">
      <c r="A339" s="30" t="s">
        <v>1015</v>
      </c>
      <c r="B339" s="26"/>
      <c r="C339" s="25"/>
      <c r="D339" s="96"/>
    </row>
    <row r="340" spans="1:4" ht="31.5" outlineLevel="1">
      <c r="A340" s="25" t="s">
        <v>1021</v>
      </c>
      <c r="B340" s="26" t="s">
        <v>1128</v>
      </c>
      <c r="C340" s="25">
        <v>5.0999999999999996</v>
      </c>
      <c r="D340" s="96"/>
    </row>
    <row r="341" spans="1:4" ht="31.5" outlineLevel="1">
      <c r="A341" s="25" t="s">
        <v>1021</v>
      </c>
      <c r="B341" s="26" t="s">
        <v>1</v>
      </c>
      <c r="C341" s="25">
        <v>5.2</v>
      </c>
      <c r="D341" s="96"/>
    </row>
    <row r="342" spans="1:4" ht="31.5" outlineLevel="1">
      <c r="A342" s="25" t="s">
        <v>1021</v>
      </c>
      <c r="B342" s="26" t="s">
        <v>5</v>
      </c>
      <c r="C342" s="25">
        <v>5.26</v>
      </c>
      <c r="D342" s="96"/>
    </row>
    <row r="343" spans="1:4" ht="31.5" outlineLevel="1">
      <c r="A343" s="25" t="s">
        <v>1021</v>
      </c>
      <c r="B343" s="26" t="s">
        <v>1129</v>
      </c>
      <c r="C343" s="25">
        <v>5.38</v>
      </c>
      <c r="D343" s="96"/>
    </row>
    <row r="344" spans="1:4" ht="31.5" outlineLevel="1">
      <c r="A344" s="25" t="s">
        <v>1021</v>
      </c>
      <c r="B344" s="26" t="s">
        <v>1130</v>
      </c>
      <c r="C344" s="25">
        <v>5.39</v>
      </c>
      <c r="D344" s="96"/>
    </row>
    <row r="345" spans="1:4" ht="31.5" outlineLevel="1">
      <c r="A345" s="25" t="s">
        <v>1021</v>
      </c>
      <c r="B345" s="26" t="s">
        <v>1131</v>
      </c>
      <c r="C345" s="27">
        <v>5.6</v>
      </c>
      <c r="D345" s="96"/>
    </row>
    <row r="346" spans="1:4" ht="31.5" outlineLevel="1">
      <c r="A346" s="25" t="s">
        <v>1021</v>
      </c>
      <c r="B346" s="26" t="s">
        <v>25</v>
      </c>
      <c r="C346" s="25">
        <v>5.48</v>
      </c>
      <c r="D346" s="96"/>
    </row>
    <row r="347" spans="1:4" ht="31.5">
      <c r="A347" s="30" t="s">
        <v>1021</v>
      </c>
      <c r="B347" s="26"/>
      <c r="C347" s="25"/>
      <c r="D347" s="96"/>
    </row>
    <row r="348" spans="1:4" ht="31.5" outlineLevel="1">
      <c r="A348" s="25" t="s">
        <v>1025</v>
      </c>
      <c r="B348" s="26" t="s">
        <v>0</v>
      </c>
      <c r="C348" s="25">
        <v>5.0999999999999996</v>
      </c>
      <c r="D348" s="96"/>
    </row>
    <row r="349" spans="1:4" ht="31.5" outlineLevel="1">
      <c r="A349" s="25" t="s">
        <v>1025</v>
      </c>
      <c r="B349" s="26" t="s">
        <v>1</v>
      </c>
      <c r="C349" s="25">
        <v>5.2</v>
      </c>
      <c r="D349" s="96"/>
    </row>
    <row r="350" spans="1:4" ht="31.5" outlineLevel="1">
      <c r="A350" s="25" t="s">
        <v>1025</v>
      </c>
      <c r="B350" s="26" t="s">
        <v>2</v>
      </c>
      <c r="C350" s="25">
        <v>5.3</v>
      </c>
      <c r="D350" s="96"/>
    </row>
    <row r="351" spans="1:4" ht="31.5" outlineLevel="1">
      <c r="A351" s="25" t="s">
        <v>1025</v>
      </c>
      <c r="B351" s="26" t="s">
        <v>154</v>
      </c>
      <c r="C351" s="25">
        <v>5.6</v>
      </c>
      <c r="D351" s="96"/>
    </row>
    <row r="352" spans="1:4" ht="31.5" outlineLevel="1">
      <c r="A352" s="25" t="s">
        <v>1025</v>
      </c>
      <c r="B352" s="26" t="s">
        <v>1119</v>
      </c>
      <c r="C352" s="27">
        <v>5.0999999999999996</v>
      </c>
      <c r="D352" s="96"/>
    </row>
    <row r="353" spans="1:4" ht="31.5" outlineLevel="1">
      <c r="A353" s="25" t="s">
        <v>1025</v>
      </c>
      <c r="B353" s="26" t="s">
        <v>1118</v>
      </c>
      <c r="C353" s="25">
        <v>5.14</v>
      </c>
      <c r="D353" s="96"/>
    </row>
    <row r="354" spans="1:4" ht="31.5" outlineLevel="1">
      <c r="A354" s="25" t="s">
        <v>1025</v>
      </c>
      <c r="B354" s="26" t="s">
        <v>4</v>
      </c>
      <c r="C354" s="25">
        <v>5.19</v>
      </c>
      <c r="D354" s="96"/>
    </row>
    <row r="355" spans="1:4" ht="31.5" outlineLevel="1">
      <c r="A355" s="25" t="s">
        <v>1025</v>
      </c>
      <c r="B355" s="26" t="s">
        <v>156</v>
      </c>
      <c r="C355" s="25">
        <v>5.24</v>
      </c>
      <c r="D355" s="96"/>
    </row>
    <row r="356" spans="1:4" ht="31.5" outlineLevel="1">
      <c r="A356" s="25" t="s">
        <v>1025</v>
      </c>
      <c r="B356" s="26" t="s">
        <v>5</v>
      </c>
      <c r="C356" s="25">
        <v>5.26</v>
      </c>
      <c r="D356" s="96"/>
    </row>
    <row r="357" spans="1:4" ht="31.5" outlineLevel="1">
      <c r="A357" s="25" t="s">
        <v>1025</v>
      </c>
      <c r="B357" s="26" t="s">
        <v>6</v>
      </c>
      <c r="C357" s="25">
        <v>5.27</v>
      </c>
      <c r="D357" s="96"/>
    </row>
    <row r="358" spans="1:4" ht="31.5" outlineLevel="1">
      <c r="A358" s="25" t="s">
        <v>1025</v>
      </c>
      <c r="B358" s="26" t="s">
        <v>7</v>
      </c>
      <c r="C358" s="25">
        <v>5.28</v>
      </c>
      <c r="D358" s="96"/>
    </row>
    <row r="359" spans="1:4" ht="31.5" outlineLevel="1">
      <c r="A359" s="25" t="s">
        <v>1025</v>
      </c>
      <c r="B359" s="26" t="s">
        <v>157</v>
      </c>
      <c r="C359" s="25">
        <v>5.31</v>
      </c>
      <c r="D359" s="96"/>
    </row>
    <row r="360" spans="1:4" ht="31.5" outlineLevel="1">
      <c r="A360" s="25" t="s">
        <v>1025</v>
      </c>
      <c r="B360" s="26" t="s">
        <v>133</v>
      </c>
      <c r="C360" s="25">
        <v>5.36</v>
      </c>
      <c r="D360" s="96"/>
    </row>
    <row r="361" spans="1:4" ht="31.5" outlineLevel="1">
      <c r="A361" s="25" t="s">
        <v>1025</v>
      </c>
      <c r="B361" s="26" t="s">
        <v>165</v>
      </c>
      <c r="C361" s="25">
        <v>5.37</v>
      </c>
      <c r="D361" s="96"/>
    </row>
    <row r="362" spans="1:4" ht="31.5" outlineLevel="1">
      <c r="A362" s="25" t="s">
        <v>1025</v>
      </c>
      <c r="B362" s="26" t="s">
        <v>9</v>
      </c>
      <c r="C362" s="25">
        <v>5.49</v>
      </c>
      <c r="D362" s="96"/>
    </row>
    <row r="363" spans="1:4" ht="31.5" outlineLevel="1">
      <c r="A363" s="25" t="s">
        <v>1025</v>
      </c>
      <c r="B363" s="26" t="s">
        <v>10</v>
      </c>
      <c r="C363" s="25">
        <v>5.51</v>
      </c>
      <c r="D363" s="96"/>
    </row>
    <row r="364" spans="1:4" ht="31.5" outlineLevel="1">
      <c r="A364" s="25" t="s">
        <v>1025</v>
      </c>
      <c r="B364" s="26" t="s">
        <v>1120</v>
      </c>
      <c r="C364" s="25">
        <v>5.52</v>
      </c>
      <c r="D364" s="96"/>
    </row>
    <row r="365" spans="1:4" ht="31.5" outlineLevel="1">
      <c r="A365" s="25" t="s">
        <v>1025</v>
      </c>
      <c r="B365" s="26" t="s">
        <v>11</v>
      </c>
      <c r="C365" s="25">
        <v>5.53</v>
      </c>
      <c r="D365" s="96"/>
    </row>
    <row r="366" spans="1:4" ht="31.5" outlineLevel="1">
      <c r="A366" s="25" t="s">
        <v>1025</v>
      </c>
      <c r="B366" s="26" t="s">
        <v>12</v>
      </c>
      <c r="C366" s="25">
        <v>5.69</v>
      </c>
      <c r="D366" s="96"/>
    </row>
    <row r="367" spans="1:4" ht="31.5" outlineLevel="1">
      <c r="A367" s="25" t="s">
        <v>1025</v>
      </c>
      <c r="B367" s="26" t="s">
        <v>766</v>
      </c>
      <c r="C367" s="27">
        <v>5.8</v>
      </c>
      <c r="D367" s="96"/>
    </row>
    <row r="368" spans="1:4" ht="31.5" outlineLevel="1">
      <c r="A368" s="25" t="s">
        <v>1025</v>
      </c>
      <c r="B368" s="26" t="s">
        <v>922</v>
      </c>
      <c r="C368" s="27">
        <v>5.72</v>
      </c>
      <c r="D368" s="96"/>
    </row>
    <row r="369" spans="1:4" ht="31.5" outlineLevel="1">
      <c r="A369" s="25" t="s">
        <v>1025</v>
      </c>
      <c r="B369" s="26" t="s">
        <v>13</v>
      </c>
      <c r="C369" s="25">
        <v>5.75</v>
      </c>
      <c r="D369" s="96"/>
    </row>
    <row r="370" spans="1:4" ht="31.5" outlineLevel="1">
      <c r="A370" s="25" t="s">
        <v>1025</v>
      </c>
      <c r="B370" s="26" t="s">
        <v>14</v>
      </c>
      <c r="C370" s="27">
        <v>5.7</v>
      </c>
      <c r="D370" s="96"/>
    </row>
    <row r="371" spans="1:4" ht="31.5" outlineLevel="1">
      <c r="A371" s="25" t="s">
        <v>1025</v>
      </c>
      <c r="B371" s="26" t="s">
        <v>15</v>
      </c>
      <c r="C371" s="25">
        <v>5.74</v>
      </c>
      <c r="D371" s="96"/>
    </row>
    <row r="372" spans="1:4" ht="31.5" outlineLevel="1">
      <c r="A372" s="25" t="s">
        <v>1025</v>
      </c>
      <c r="B372" s="26" t="s">
        <v>423</v>
      </c>
      <c r="C372" s="25">
        <v>5.76</v>
      </c>
      <c r="D372" s="96"/>
    </row>
    <row r="373" spans="1:4" ht="31.5" outlineLevel="1">
      <c r="A373" s="25" t="s">
        <v>1025</v>
      </c>
      <c r="B373" s="26" t="s">
        <v>844</v>
      </c>
      <c r="C373" s="25">
        <v>5.89</v>
      </c>
      <c r="D373" s="95" t="s">
        <v>1117</v>
      </c>
    </row>
    <row r="374" spans="1:4" ht="31.5" outlineLevel="1">
      <c r="A374" s="25" t="s">
        <v>1025</v>
      </c>
      <c r="B374" s="26" t="s">
        <v>158</v>
      </c>
      <c r="C374" s="25">
        <v>5.109</v>
      </c>
      <c r="D374" s="95"/>
    </row>
    <row r="375" spans="1:4" ht="31.5" outlineLevel="1">
      <c r="A375" s="25" t="s">
        <v>1025</v>
      </c>
      <c r="B375" s="26" t="s">
        <v>159</v>
      </c>
      <c r="C375" s="25">
        <v>5.1109999999999998</v>
      </c>
      <c r="D375" s="96"/>
    </row>
    <row r="376" spans="1:4" ht="31.5" outlineLevel="1">
      <c r="A376" s="25" t="s">
        <v>1025</v>
      </c>
      <c r="B376" s="26" t="s">
        <v>142</v>
      </c>
      <c r="C376" s="25">
        <v>5.1120000000000001</v>
      </c>
      <c r="D376" s="96"/>
    </row>
    <row r="377" spans="1:4" ht="31.5" outlineLevel="1">
      <c r="A377" s="25" t="s">
        <v>1025</v>
      </c>
      <c r="B377" s="26" t="s">
        <v>1132</v>
      </c>
      <c r="C377" s="25">
        <v>5.1130000000000004</v>
      </c>
      <c r="D377" s="96"/>
    </row>
    <row r="378" spans="1:4" ht="31.5" outlineLevel="1">
      <c r="A378" s="25" t="s">
        <v>1025</v>
      </c>
      <c r="B378" s="26" t="s">
        <v>17</v>
      </c>
      <c r="C378" s="25">
        <v>5.58</v>
      </c>
      <c r="D378" s="96"/>
    </row>
    <row r="379" spans="1:4" ht="31.5" outlineLevel="1">
      <c r="A379" s="25" t="s">
        <v>1025</v>
      </c>
      <c r="B379" s="26" t="s">
        <v>18</v>
      </c>
      <c r="C379" s="25">
        <v>5.54</v>
      </c>
      <c r="D379" s="96"/>
    </row>
    <row r="380" spans="1:4" ht="31.5" outlineLevel="1">
      <c r="A380" s="25" t="s">
        <v>1025</v>
      </c>
      <c r="B380" s="26" t="s">
        <v>19</v>
      </c>
      <c r="C380" s="25">
        <v>5.55</v>
      </c>
      <c r="D380" s="96"/>
    </row>
    <row r="381" spans="1:4" ht="31.5" outlineLevel="1">
      <c r="A381" s="25" t="s">
        <v>1025</v>
      </c>
      <c r="B381" s="26" t="s">
        <v>20</v>
      </c>
      <c r="C381" s="25">
        <v>5.63</v>
      </c>
      <c r="D381" s="96"/>
    </row>
    <row r="382" spans="1:4" ht="31.5" outlineLevel="1">
      <c r="A382" s="25" t="s">
        <v>1025</v>
      </c>
      <c r="B382" s="26" t="s">
        <v>21</v>
      </c>
      <c r="C382" s="25">
        <v>5.65</v>
      </c>
      <c r="D382" s="96"/>
    </row>
    <row r="383" spans="1:4" ht="31.5" outlineLevel="1">
      <c r="A383" s="25" t="s">
        <v>1025</v>
      </c>
      <c r="B383" s="26" t="s">
        <v>173</v>
      </c>
      <c r="C383" s="25">
        <v>5.66</v>
      </c>
      <c r="D383" s="96"/>
    </row>
    <row r="384" spans="1:4" ht="31.5" outlineLevel="1">
      <c r="A384" s="25" t="s">
        <v>1025</v>
      </c>
      <c r="B384" s="26" t="s">
        <v>22</v>
      </c>
      <c r="C384" s="25">
        <v>5.68</v>
      </c>
      <c r="D384" s="96"/>
    </row>
    <row r="385" spans="1:4" ht="31.5" outlineLevel="1">
      <c r="A385" s="25" t="s">
        <v>1025</v>
      </c>
      <c r="B385" s="26" t="s">
        <v>24</v>
      </c>
      <c r="C385" s="25">
        <v>5.47</v>
      </c>
      <c r="D385" s="96"/>
    </row>
    <row r="386" spans="1:4" ht="31.5" outlineLevel="1">
      <c r="A386" s="25" t="s">
        <v>1025</v>
      </c>
      <c r="B386" s="26" t="s">
        <v>25</v>
      </c>
      <c r="C386" s="25">
        <v>5.48</v>
      </c>
      <c r="D386" s="96"/>
    </row>
    <row r="387" spans="1:4" ht="31.5">
      <c r="A387" s="30" t="s">
        <v>1025</v>
      </c>
      <c r="B387" s="26"/>
      <c r="C387" s="25"/>
      <c r="D387" s="96"/>
    </row>
    <row r="388" spans="1:4" ht="15.75" outlineLevel="1">
      <c r="A388" s="25" t="s">
        <v>1027</v>
      </c>
      <c r="B388" s="26" t="s">
        <v>0</v>
      </c>
      <c r="C388" s="25">
        <v>5.0999999999999996</v>
      </c>
      <c r="D388" s="96"/>
    </row>
    <row r="389" spans="1:4" ht="15.75" outlineLevel="1">
      <c r="A389" s="25" t="s">
        <v>1027</v>
      </c>
      <c r="B389" s="26" t="s">
        <v>1</v>
      </c>
      <c r="C389" s="25">
        <v>5.2</v>
      </c>
      <c r="D389" s="96"/>
    </row>
    <row r="390" spans="1:4" ht="15.75" outlineLevel="1">
      <c r="A390" s="25" t="s">
        <v>1027</v>
      </c>
      <c r="B390" s="26" t="s">
        <v>2</v>
      </c>
      <c r="C390" s="25">
        <v>5.3</v>
      </c>
      <c r="D390" s="96"/>
    </row>
    <row r="391" spans="1:4" ht="15.75" outlineLevel="1">
      <c r="A391" s="25" t="s">
        <v>1027</v>
      </c>
      <c r="B391" s="26" t="s">
        <v>154</v>
      </c>
      <c r="C391" s="25">
        <v>5.6</v>
      </c>
      <c r="D391" s="96"/>
    </row>
    <row r="392" spans="1:4" ht="15.75" outlineLevel="1">
      <c r="A392" s="25" t="s">
        <v>1027</v>
      </c>
      <c r="B392" s="26" t="s">
        <v>1119</v>
      </c>
      <c r="C392" s="27">
        <v>5.0999999999999996</v>
      </c>
      <c r="D392" s="96"/>
    </row>
    <row r="393" spans="1:4" ht="15.75" outlineLevel="1">
      <c r="A393" s="25" t="s">
        <v>1027</v>
      </c>
      <c r="B393" s="26" t="s">
        <v>1118</v>
      </c>
      <c r="C393" s="25">
        <v>5.14</v>
      </c>
      <c r="D393" s="96"/>
    </row>
    <row r="394" spans="1:4" ht="15.75" outlineLevel="1">
      <c r="A394" s="25" t="s">
        <v>1027</v>
      </c>
      <c r="B394" s="26" t="s">
        <v>4</v>
      </c>
      <c r="C394" s="25">
        <v>5.19</v>
      </c>
      <c r="D394" s="96"/>
    </row>
    <row r="395" spans="1:4" ht="15.75" outlineLevel="1">
      <c r="A395" s="25" t="s">
        <v>1027</v>
      </c>
      <c r="B395" s="26" t="s">
        <v>156</v>
      </c>
      <c r="C395" s="25">
        <v>5.24</v>
      </c>
      <c r="D395" s="96"/>
    </row>
    <row r="396" spans="1:4" ht="15.75" outlineLevel="1">
      <c r="A396" s="25" t="s">
        <v>1027</v>
      </c>
      <c r="B396" s="26" t="s">
        <v>5</v>
      </c>
      <c r="C396" s="25">
        <v>5.26</v>
      </c>
      <c r="D396" s="96"/>
    </row>
    <row r="397" spans="1:4" ht="15.75" outlineLevel="1">
      <c r="A397" s="25" t="s">
        <v>1027</v>
      </c>
      <c r="B397" s="26" t="s">
        <v>6</v>
      </c>
      <c r="C397" s="25">
        <v>5.27</v>
      </c>
      <c r="D397" s="96"/>
    </row>
    <row r="398" spans="1:4" ht="15.75" outlineLevel="1">
      <c r="A398" s="25" t="s">
        <v>1027</v>
      </c>
      <c r="B398" s="26" t="s">
        <v>7</v>
      </c>
      <c r="C398" s="25">
        <v>5.28</v>
      </c>
      <c r="D398" s="96"/>
    </row>
    <row r="399" spans="1:4" ht="15.75" outlineLevel="1">
      <c r="A399" s="25" t="s">
        <v>1027</v>
      </c>
      <c r="B399" s="26" t="s">
        <v>339</v>
      </c>
      <c r="C399" s="25">
        <v>5.29</v>
      </c>
      <c r="D399" s="96"/>
    </row>
    <row r="400" spans="1:4" ht="15.75" outlineLevel="1">
      <c r="A400" s="25" t="s">
        <v>1027</v>
      </c>
      <c r="B400" s="26" t="s">
        <v>157</v>
      </c>
      <c r="C400" s="25">
        <v>5.31</v>
      </c>
      <c r="D400" s="96"/>
    </row>
    <row r="401" spans="1:4" ht="15.75" outlineLevel="1">
      <c r="A401" s="25" t="s">
        <v>1027</v>
      </c>
      <c r="B401" s="26" t="s">
        <v>133</v>
      </c>
      <c r="C401" s="25">
        <v>5.36</v>
      </c>
      <c r="D401" s="96"/>
    </row>
    <row r="402" spans="1:4" ht="15.75" outlineLevel="1">
      <c r="A402" s="25" t="s">
        <v>1027</v>
      </c>
      <c r="B402" s="26" t="s">
        <v>165</v>
      </c>
      <c r="C402" s="25">
        <v>5.37</v>
      </c>
      <c r="D402" s="96"/>
    </row>
    <row r="403" spans="1:4" ht="15.75" outlineLevel="1">
      <c r="A403" s="25" t="s">
        <v>1027</v>
      </c>
      <c r="B403" s="26" t="s">
        <v>9</v>
      </c>
      <c r="C403" s="25">
        <v>5.49</v>
      </c>
      <c r="D403" s="96"/>
    </row>
    <row r="404" spans="1:4" ht="15.75" outlineLevel="1">
      <c r="A404" s="25" t="s">
        <v>1027</v>
      </c>
      <c r="B404" s="26" t="s">
        <v>10</v>
      </c>
      <c r="C404" s="25">
        <v>5.51</v>
      </c>
      <c r="D404" s="96"/>
    </row>
    <row r="405" spans="1:4" ht="15.75" outlineLevel="1">
      <c r="A405" s="25" t="s">
        <v>1027</v>
      </c>
      <c r="B405" s="26" t="s">
        <v>1120</v>
      </c>
      <c r="C405" s="25">
        <v>5.52</v>
      </c>
      <c r="D405" s="96"/>
    </row>
    <row r="406" spans="1:4" ht="15.75" outlineLevel="1">
      <c r="A406" s="25" t="s">
        <v>1027</v>
      </c>
      <c r="B406" s="26" t="s">
        <v>11</v>
      </c>
      <c r="C406" s="25">
        <v>5.53</v>
      </c>
      <c r="D406" s="96"/>
    </row>
    <row r="407" spans="1:4" ht="15.75" outlineLevel="1">
      <c r="A407" s="25" t="s">
        <v>1027</v>
      </c>
      <c r="B407" s="26" t="s">
        <v>12</v>
      </c>
      <c r="C407" s="25">
        <v>5.69</v>
      </c>
      <c r="D407" s="96"/>
    </row>
    <row r="408" spans="1:4" ht="15.75" outlineLevel="1">
      <c r="A408" s="25" t="s">
        <v>1027</v>
      </c>
      <c r="B408" s="26" t="s">
        <v>13</v>
      </c>
      <c r="C408" s="25">
        <v>5.75</v>
      </c>
      <c r="D408" s="96"/>
    </row>
    <row r="409" spans="1:4" ht="15.75" outlineLevel="1">
      <c r="A409" s="25" t="s">
        <v>1027</v>
      </c>
      <c r="B409" s="26" t="s">
        <v>15</v>
      </c>
      <c r="C409" s="25">
        <v>5.74</v>
      </c>
      <c r="D409" s="96"/>
    </row>
    <row r="410" spans="1:4" ht="15.75" outlineLevel="1">
      <c r="A410" s="25" t="s">
        <v>1027</v>
      </c>
      <c r="B410" s="26" t="s">
        <v>14</v>
      </c>
      <c r="C410" s="27">
        <v>5.7</v>
      </c>
      <c r="D410" s="96"/>
    </row>
    <row r="411" spans="1:4" ht="15.75" outlineLevel="1">
      <c r="A411" s="25" t="s">
        <v>1027</v>
      </c>
      <c r="B411" s="26" t="s">
        <v>423</v>
      </c>
      <c r="C411" s="25">
        <v>5.76</v>
      </c>
      <c r="D411" s="96"/>
    </row>
    <row r="412" spans="1:4" ht="15.75" outlineLevel="1">
      <c r="A412" s="25" t="s">
        <v>1027</v>
      </c>
      <c r="B412" s="26" t="s">
        <v>844</v>
      </c>
      <c r="C412" s="25">
        <v>5.89</v>
      </c>
      <c r="D412" s="95" t="s">
        <v>1117</v>
      </c>
    </row>
    <row r="413" spans="1:4" ht="15.75" outlineLevel="1">
      <c r="A413" s="25" t="s">
        <v>1027</v>
      </c>
      <c r="B413" s="26" t="s">
        <v>158</v>
      </c>
      <c r="C413" s="25">
        <v>5.109</v>
      </c>
      <c r="D413" s="96"/>
    </row>
    <row r="414" spans="1:4" ht="15.75" outlineLevel="1">
      <c r="A414" s="25" t="s">
        <v>1027</v>
      </c>
      <c r="B414" s="26" t="s">
        <v>159</v>
      </c>
      <c r="C414" s="25">
        <v>5.1109999999999998</v>
      </c>
      <c r="D414" s="96"/>
    </row>
    <row r="415" spans="1:4" ht="15.75" outlineLevel="1">
      <c r="A415" s="25" t="s">
        <v>1027</v>
      </c>
      <c r="B415" s="26" t="s">
        <v>142</v>
      </c>
      <c r="C415" s="25">
        <v>5.1120000000000001</v>
      </c>
      <c r="D415" s="96"/>
    </row>
    <row r="416" spans="1:4" ht="15.75" outlineLevel="1">
      <c r="A416" s="25" t="s">
        <v>1027</v>
      </c>
      <c r="B416" s="26" t="s">
        <v>1132</v>
      </c>
      <c r="C416" s="25">
        <v>5.1130000000000004</v>
      </c>
      <c r="D416" s="96"/>
    </row>
    <row r="417" spans="1:4" ht="15.75" outlineLevel="1">
      <c r="A417" s="25" t="s">
        <v>1027</v>
      </c>
      <c r="B417" s="26" t="s">
        <v>17</v>
      </c>
      <c r="C417" s="25">
        <v>5.58</v>
      </c>
      <c r="D417" s="96"/>
    </row>
    <row r="418" spans="1:4" ht="15.75" outlineLevel="1">
      <c r="A418" s="25" t="s">
        <v>1027</v>
      </c>
      <c r="B418" s="26" t="s">
        <v>18</v>
      </c>
      <c r="C418" s="25">
        <v>5.54</v>
      </c>
      <c r="D418" s="96"/>
    </row>
    <row r="419" spans="1:4" ht="15.75" outlineLevel="1">
      <c r="A419" s="25" t="s">
        <v>1027</v>
      </c>
      <c r="B419" s="26" t="s">
        <v>19</v>
      </c>
      <c r="C419" s="25">
        <v>5.55</v>
      </c>
      <c r="D419" s="96"/>
    </row>
    <row r="420" spans="1:4" ht="15.75" outlineLevel="1">
      <c r="A420" s="25" t="s">
        <v>1027</v>
      </c>
      <c r="B420" s="26" t="s">
        <v>20</v>
      </c>
      <c r="C420" s="25">
        <v>5.63</v>
      </c>
      <c r="D420" s="96"/>
    </row>
    <row r="421" spans="1:4" ht="15.75" outlineLevel="1">
      <c r="A421" s="25" t="s">
        <v>1027</v>
      </c>
      <c r="B421" s="26" t="s">
        <v>21</v>
      </c>
      <c r="C421" s="25">
        <v>5.65</v>
      </c>
      <c r="D421" s="96"/>
    </row>
    <row r="422" spans="1:4" ht="15.75" outlineLevel="1">
      <c r="A422" s="25" t="s">
        <v>1027</v>
      </c>
      <c r="B422" s="26" t="s">
        <v>173</v>
      </c>
      <c r="C422" s="25">
        <v>5.66</v>
      </c>
      <c r="D422" s="96"/>
    </row>
    <row r="423" spans="1:4" ht="15.75" outlineLevel="1">
      <c r="A423" s="25" t="s">
        <v>1027</v>
      </c>
      <c r="B423" s="26" t="s">
        <v>22</v>
      </c>
      <c r="C423" s="25">
        <v>5.68</v>
      </c>
      <c r="D423" s="96"/>
    </row>
    <row r="424" spans="1:4" ht="15.75" outlineLevel="1">
      <c r="A424" s="25" t="s">
        <v>1027</v>
      </c>
      <c r="B424" s="26" t="s">
        <v>24</v>
      </c>
      <c r="C424" s="25">
        <v>5.47</v>
      </c>
      <c r="D424" s="96"/>
    </row>
    <row r="425" spans="1:4" ht="15.75" outlineLevel="1">
      <c r="A425" s="25" t="s">
        <v>1027</v>
      </c>
      <c r="B425" s="26" t="s">
        <v>25</v>
      </c>
      <c r="C425" s="25">
        <v>5.48</v>
      </c>
      <c r="D425" s="96"/>
    </row>
    <row r="426" spans="1:4" ht="15.75">
      <c r="A426" s="30" t="s">
        <v>1027</v>
      </c>
      <c r="B426" s="26"/>
      <c r="C426" s="25"/>
      <c r="D426" s="96"/>
    </row>
    <row r="427" spans="1:4" ht="31.5" outlineLevel="1">
      <c r="A427" s="25" t="s">
        <v>1133</v>
      </c>
      <c r="B427" s="26" t="s">
        <v>0</v>
      </c>
      <c r="C427" s="25">
        <v>5.0999999999999996</v>
      </c>
      <c r="D427" s="96"/>
    </row>
    <row r="428" spans="1:4" ht="31.5" outlineLevel="1">
      <c r="A428" s="25" t="s">
        <v>1133</v>
      </c>
      <c r="B428" s="26" t="s">
        <v>1</v>
      </c>
      <c r="C428" s="25">
        <v>5.2</v>
      </c>
      <c r="D428" s="96"/>
    </row>
    <row r="429" spans="1:4" ht="31.5" outlineLevel="1">
      <c r="A429" s="25" t="s">
        <v>1133</v>
      </c>
      <c r="B429" s="26" t="s">
        <v>2</v>
      </c>
      <c r="C429" s="25">
        <v>5.3</v>
      </c>
      <c r="D429" s="96"/>
    </row>
    <row r="430" spans="1:4" ht="31.5" outlineLevel="1">
      <c r="A430" s="25" t="s">
        <v>1133</v>
      </c>
      <c r="B430" s="26" t="s">
        <v>154</v>
      </c>
      <c r="C430" s="25">
        <v>5.6</v>
      </c>
      <c r="D430" s="96"/>
    </row>
    <row r="431" spans="1:4" ht="31.5" outlineLevel="1">
      <c r="A431" s="25" t="s">
        <v>1133</v>
      </c>
      <c r="B431" s="26" t="s">
        <v>1119</v>
      </c>
      <c r="C431" s="27">
        <v>5.0999999999999996</v>
      </c>
      <c r="D431" s="96"/>
    </row>
    <row r="432" spans="1:4" ht="31.5" outlineLevel="1">
      <c r="A432" s="25" t="s">
        <v>1133</v>
      </c>
      <c r="B432" s="26" t="s">
        <v>1118</v>
      </c>
      <c r="C432" s="25">
        <v>5.14</v>
      </c>
      <c r="D432" s="96"/>
    </row>
    <row r="433" spans="1:4" ht="31.5" outlineLevel="1">
      <c r="A433" s="25" t="s">
        <v>1133</v>
      </c>
      <c r="B433" s="26" t="s">
        <v>4</v>
      </c>
      <c r="C433" s="25">
        <v>5.19</v>
      </c>
      <c r="D433" s="96"/>
    </row>
    <row r="434" spans="1:4" ht="31.5" outlineLevel="1">
      <c r="A434" s="25" t="s">
        <v>1133</v>
      </c>
      <c r="B434" s="26" t="s">
        <v>156</v>
      </c>
      <c r="C434" s="25">
        <v>5.24</v>
      </c>
      <c r="D434" s="96"/>
    </row>
    <row r="435" spans="1:4" ht="31.5" outlineLevel="1">
      <c r="A435" s="25" t="s">
        <v>1133</v>
      </c>
      <c r="B435" s="26" t="s">
        <v>5</v>
      </c>
      <c r="C435" s="25">
        <v>5.26</v>
      </c>
      <c r="D435" s="96"/>
    </row>
    <row r="436" spans="1:4" ht="31.5" outlineLevel="1">
      <c r="A436" s="25" t="s">
        <v>1133</v>
      </c>
      <c r="B436" s="26" t="s">
        <v>6</v>
      </c>
      <c r="C436" s="25">
        <v>5.27</v>
      </c>
      <c r="D436" s="96"/>
    </row>
    <row r="437" spans="1:4" ht="31.5" outlineLevel="1">
      <c r="A437" s="25" t="s">
        <v>1133</v>
      </c>
      <c r="B437" s="26" t="s">
        <v>7</v>
      </c>
      <c r="C437" s="25">
        <v>5.28</v>
      </c>
      <c r="D437" s="96"/>
    </row>
    <row r="438" spans="1:4" ht="31.5" outlineLevel="1">
      <c r="A438" s="25" t="s">
        <v>1133</v>
      </c>
      <c r="B438" s="26" t="s">
        <v>339</v>
      </c>
      <c r="C438" s="25">
        <v>5.29</v>
      </c>
      <c r="D438" s="96"/>
    </row>
    <row r="439" spans="1:4" ht="31.5" outlineLevel="1">
      <c r="A439" s="25" t="s">
        <v>1133</v>
      </c>
      <c r="B439" s="26" t="s">
        <v>157</v>
      </c>
      <c r="C439" s="25">
        <v>5.31</v>
      </c>
      <c r="D439" s="96"/>
    </row>
    <row r="440" spans="1:4" ht="31.5" outlineLevel="1">
      <c r="A440" s="25" t="s">
        <v>1133</v>
      </c>
      <c r="B440" s="26" t="s">
        <v>133</v>
      </c>
      <c r="C440" s="25">
        <v>5.36</v>
      </c>
      <c r="D440" s="96"/>
    </row>
    <row r="441" spans="1:4" ht="31.5" outlineLevel="1">
      <c r="A441" s="25" t="s">
        <v>1133</v>
      </c>
      <c r="B441" s="26" t="s">
        <v>165</v>
      </c>
      <c r="C441" s="25">
        <v>5.37</v>
      </c>
      <c r="D441" s="96"/>
    </row>
    <row r="442" spans="1:4" ht="31.5" outlineLevel="1">
      <c r="A442" s="25" t="s">
        <v>1133</v>
      </c>
      <c r="B442" s="26" t="s">
        <v>11</v>
      </c>
      <c r="C442" s="25">
        <v>5.53</v>
      </c>
      <c r="D442" s="96"/>
    </row>
    <row r="443" spans="1:4" ht="31.5" outlineLevel="1">
      <c r="A443" s="25" t="s">
        <v>1133</v>
      </c>
      <c r="B443" s="26" t="s">
        <v>158</v>
      </c>
      <c r="C443" s="25">
        <v>5.109</v>
      </c>
      <c r="D443" s="96"/>
    </row>
    <row r="444" spans="1:4" ht="31.5" outlineLevel="1">
      <c r="A444" s="25" t="s">
        <v>1133</v>
      </c>
      <c r="B444" s="26" t="s">
        <v>159</v>
      </c>
      <c r="C444" s="25">
        <v>5.1109999999999998</v>
      </c>
      <c r="D444" s="96"/>
    </row>
    <row r="445" spans="1:4" ht="31.5" outlineLevel="1">
      <c r="A445" s="25" t="s">
        <v>1133</v>
      </c>
      <c r="B445" s="26" t="s">
        <v>142</v>
      </c>
      <c r="C445" s="25">
        <v>5.1120000000000001</v>
      </c>
      <c r="D445" s="96"/>
    </row>
    <row r="446" spans="1:4" ht="31.5" outlineLevel="1">
      <c r="A446" s="25" t="s">
        <v>1133</v>
      </c>
      <c r="B446" s="26" t="s">
        <v>1132</v>
      </c>
      <c r="C446" s="25">
        <v>5.1130000000000004</v>
      </c>
      <c r="D446" s="96"/>
    </row>
    <row r="447" spans="1:4" ht="31.5" outlineLevel="1">
      <c r="A447" s="25" t="s">
        <v>1133</v>
      </c>
      <c r="B447" s="26" t="s">
        <v>17</v>
      </c>
      <c r="C447" s="25">
        <v>5.58</v>
      </c>
      <c r="D447" s="96"/>
    </row>
    <row r="448" spans="1:4" ht="31.5" outlineLevel="1">
      <c r="A448" s="25" t="s">
        <v>1133</v>
      </c>
      <c r="B448" s="26" t="s">
        <v>18</v>
      </c>
      <c r="C448" s="25">
        <v>5.54</v>
      </c>
      <c r="D448" s="96"/>
    </row>
    <row r="449" spans="1:4" ht="31.5" outlineLevel="1">
      <c r="A449" s="25" t="s">
        <v>1133</v>
      </c>
      <c r="B449" s="26" t="s">
        <v>19</v>
      </c>
      <c r="C449" s="25">
        <v>5.55</v>
      </c>
      <c r="D449" s="96"/>
    </row>
    <row r="450" spans="1:4" ht="31.5" outlineLevel="1">
      <c r="A450" s="25" t="s">
        <v>1133</v>
      </c>
      <c r="B450" s="26" t="s">
        <v>20</v>
      </c>
      <c r="C450" s="25">
        <v>5.63</v>
      </c>
      <c r="D450" s="96"/>
    </row>
    <row r="451" spans="1:4" ht="31.5" outlineLevel="1">
      <c r="A451" s="25" t="s">
        <v>1133</v>
      </c>
      <c r="B451" s="26" t="s">
        <v>24</v>
      </c>
      <c r="C451" s="25">
        <v>5.47</v>
      </c>
      <c r="D451" s="96"/>
    </row>
    <row r="452" spans="1:4" ht="31.5" outlineLevel="1">
      <c r="A452" s="25" t="s">
        <v>1133</v>
      </c>
      <c r="B452" s="26" t="s">
        <v>25</v>
      </c>
      <c r="C452" s="25">
        <v>5.48</v>
      </c>
      <c r="D452" s="96"/>
    </row>
    <row r="453" spans="1:4" ht="31.5">
      <c r="A453" s="30" t="s">
        <v>1133</v>
      </c>
      <c r="B453" s="26"/>
      <c r="C453" s="25"/>
      <c r="D453" s="96"/>
    </row>
    <row r="454" spans="1:4" ht="15.75" outlineLevel="1">
      <c r="A454" s="25" t="s">
        <v>788</v>
      </c>
      <c r="B454" s="26" t="s">
        <v>0</v>
      </c>
      <c r="C454" s="25">
        <v>5.0999999999999996</v>
      </c>
      <c r="D454" s="96"/>
    </row>
    <row r="455" spans="1:4" ht="15.75" outlineLevel="1">
      <c r="A455" s="25" t="s">
        <v>788</v>
      </c>
      <c r="B455" s="26" t="s">
        <v>1</v>
      </c>
      <c r="C455" s="25">
        <v>5.2</v>
      </c>
      <c r="D455" s="96"/>
    </row>
    <row r="456" spans="1:4" ht="15.75" outlineLevel="1">
      <c r="A456" s="25" t="s">
        <v>788</v>
      </c>
      <c r="B456" s="26" t="s">
        <v>207</v>
      </c>
      <c r="C456" s="25">
        <v>5.5</v>
      </c>
      <c r="D456" s="96"/>
    </row>
    <row r="457" spans="1:4" ht="15.75" outlineLevel="1">
      <c r="A457" s="25" t="s">
        <v>788</v>
      </c>
      <c r="B457" s="26" t="s">
        <v>208</v>
      </c>
      <c r="C457" s="25">
        <v>5.8</v>
      </c>
      <c r="D457" s="95" t="s">
        <v>1117</v>
      </c>
    </row>
    <row r="458" spans="1:4" ht="15.75" outlineLevel="1">
      <c r="A458" s="25" t="s">
        <v>788</v>
      </c>
      <c r="B458" s="26" t="s">
        <v>209</v>
      </c>
      <c r="C458" s="25">
        <v>5.12</v>
      </c>
      <c r="D458" s="95" t="s">
        <v>1117</v>
      </c>
    </row>
    <row r="459" spans="1:4" ht="15.75" outlineLevel="1">
      <c r="A459" s="25" t="s">
        <v>788</v>
      </c>
      <c r="B459" s="26" t="s">
        <v>210</v>
      </c>
      <c r="C459" s="25">
        <v>5.15</v>
      </c>
      <c r="D459" s="96"/>
    </row>
    <row r="460" spans="1:4" ht="15.75" outlineLevel="1">
      <c r="A460" s="25" t="s">
        <v>788</v>
      </c>
      <c r="B460" s="26" t="s">
        <v>211</v>
      </c>
      <c r="C460" s="27">
        <v>5.2</v>
      </c>
      <c r="D460" s="95"/>
    </row>
    <row r="461" spans="1:4" ht="15.75" outlineLevel="1">
      <c r="A461" s="25" t="s">
        <v>788</v>
      </c>
      <c r="B461" s="26" t="s">
        <v>212</v>
      </c>
      <c r="C461" s="25">
        <v>5.25</v>
      </c>
      <c r="D461" s="96"/>
    </row>
    <row r="462" spans="1:4" ht="15.75" outlineLevel="1">
      <c r="A462" s="25" t="s">
        <v>788</v>
      </c>
      <c r="B462" s="26" t="s">
        <v>5</v>
      </c>
      <c r="C462" s="25">
        <v>5.26</v>
      </c>
      <c r="D462" s="96"/>
    </row>
    <row r="463" spans="1:4" ht="15.75" outlineLevel="1">
      <c r="A463" s="25" t="s">
        <v>788</v>
      </c>
      <c r="B463" s="26" t="s">
        <v>845</v>
      </c>
      <c r="C463" s="25">
        <v>5.1139999999999999</v>
      </c>
      <c r="D463" s="95" t="s">
        <v>1117</v>
      </c>
    </row>
    <row r="464" spans="1:4" ht="15.75" outlineLevel="1">
      <c r="A464" s="25" t="s">
        <v>788</v>
      </c>
      <c r="B464" s="26" t="s">
        <v>6</v>
      </c>
      <c r="C464" s="25">
        <v>5.27</v>
      </c>
      <c r="D464" s="96"/>
    </row>
    <row r="465" spans="1:4" ht="15.75" outlineLevel="1">
      <c r="A465" s="25" t="s">
        <v>788</v>
      </c>
      <c r="B465" s="26" t="s">
        <v>1134</v>
      </c>
      <c r="C465" s="25">
        <v>5.1150000000000002</v>
      </c>
      <c r="D465" s="95" t="s">
        <v>1117</v>
      </c>
    </row>
    <row r="466" spans="1:4" ht="15.75" outlineLevel="1">
      <c r="A466" s="25" t="s">
        <v>788</v>
      </c>
      <c r="B466" s="26" t="s">
        <v>1135</v>
      </c>
      <c r="C466" s="25">
        <v>5.1159999999999997</v>
      </c>
      <c r="D466" s="95" t="s">
        <v>1117</v>
      </c>
    </row>
    <row r="467" spans="1:4" ht="15.75" outlineLevel="1">
      <c r="A467" s="25" t="s">
        <v>788</v>
      </c>
      <c r="B467" s="26" t="s">
        <v>7</v>
      </c>
      <c r="C467" s="25">
        <v>5.28</v>
      </c>
      <c r="D467" s="96"/>
    </row>
    <row r="468" spans="1:4" ht="15.75" outlineLevel="1">
      <c r="A468" s="25" t="s">
        <v>788</v>
      </c>
      <c r="B468" s="26" t="s">
        <v>133</v>
      </c>
      <c r="C468" s="25">
        <v>5.36</v>
      </c>
      <c r="D468" s="96"/>
    </row>
    <row r="469" spans="1:4" ht="15.75" outlineLevel="1">
      <c r="A469" s="25" t="s">
        <v>788</v>
      </c>
      <c r="B469" s="26" t="s">
        <v>165</v>
      </c>
      <c r="C469" s="25">
        <v>5.37</v>
      </c>
      <c r="D469" s="96"/>
    </row>
    <row r="470" spans="1:4" ht="15.75" outlineLevel="1">
      <c r="A470" s="25" t="s">
        <v>788</v>
      </c>
      <c r="B470" s="26" t="s">
        <v>11</v>
      </c>
      <c r="C470" s="25">
        <v>5.53</v>
      </c>
      <c r="D470" s="96"/>
    </row>
    <row r="471" spans="1:4" ht="15.75" outlineLevel="1">
      <c r="A471" s="25" t="s">
        <v>788</v>
      </c>
      <c r="B471" s="26" t="s">
        <v>158</v>
      </c>
      <c r="C471" s="25">
        <v>5.109</v>
      </c>
      <c r="D471" s="96"/>
    </row>
    <row r="472" spans="1:4" ht="15.75" outlineLevel="1">
      <c r="A472" s="25" t="s">
        <v>788</v>
      </c>
      <c r="B472" s="26" t="s">
        <v>159</v>
      </c>
      <c r="C472" s="25">
        <v>5.1109999999999998</v>
      </c>
      <c r="D472" s="96"/>
    </row>
    <row r="473" spans="1:4" ht="15.75" outlineLevel="1">
      <c r="A473" s="25" t="s">
        <v>788</v>
      </c>
      <c r="B473" s="26" t="s">
        <v>142</v>
      </c>
      <c r="C473" s="25">
        <v>5.1120000000000001</v>
      </c>
      <c r="D473" s="96"/>
    </row>
    <row r="474" spans="1:4" ht="15.75" outlineLevel="1">
      <c r="A474" s="25" t="s">
        <v>788</v>
      </c>
      <c r="B474" s="26" t="s">
        <v>18</v>
      </c>
      <c r="C474" s="25">
        <v>5.54</v>
      </c>
      <c r="D474" s="96"/>
    </row>
    <row r="475" spans="1:4" ht="15.75" outlineLevel="1">
      <c r="A475" s="25" t="s">
        <v>788</v>
      </c>
      <c r="B475" s="26" t="s">
        <v>1136</v>
      </c>
      <c r="C475" s="25">
        <v>5.61</v>
      </c>
      <c r="D475" s="96"/>
    </row>
    <row r="476" spans="1:4" ht="15.75" outlineLevel="1">
      <c r="A476" s="25" t="s">
        <v>788</v>
      </c>
      <c r="B476" s="26" t="s">
        <v>20</v>
      </c>
      <c r="C476" s="25">
        <v>5.63</v>
      </c>
      <c r="D476" s="96"/>
    </row>
    <row r="477" spans="1:4" ht="15.75" outlineLevel="1">
      <c r="A477" s="25" t="s">
        <v>788</v>
      </c>
      <c r="B477" s="26" t="s">
        <v>1137</v>
      </c>
      <c r="C477" s="25">
        <v>5.46</v>
      </c>
      <c r="D477" s="96"/>
    </row>
    <row r="478" spans="1:4" ht="15.75" outlineLevel="1">
      <c r="A478" s="25" t="s">
        <v>788</v>
      </c>
      <c r="B478" s="26" t="s">
        <v>24</v>
      </c>
      <c r="C478" s="25">
        <v>5.47</v>
      </c>
      <c r="D478" s="96"/>
    </row>
    <row r="479" spans="1:4" ht="15.75" outlineLevel="1">
      <c r="A479" s="25" t="s">
        <v>788</v>
      </c>
      <c r="B479" s="26" t="s">
        <v>25</v>
      </c>
      <c r="C479" s="25">
        <v>5.48</v>
      </c>
      <c r="D479" s="96"/>
    </row>
    <row r="480" spans="1:4" ht="15.75">
      <c r="A480" s="30" t="s">
        <v>788</v>
      </c>
      <c r="B480" s="26"/>
      <c r="C480" s="25"/>
      <c r="D480" s="96"/>
    </row>
    <row r="481" spans="1:4" ht="15.75" outlineLevel="1">
      <c r="A481" s="25" t="s">
        <v>1138</v>
      </c>
      <c r="B481" s="26" t="s">
        <v>0</v>
      </c>
      <c r="C481" s="25">
        <v>5.0999999999999996</v>
      </c>
      <c r="D481" s="96"/>
    </row>
    <row r="482" spans="1:4" ht="15.75" outlineLevel="1">
      <c r="A482" s="25" t="s">
        <v>1138</v>
      </c>
      <c r="B482" s="26" t="s">
        <v>1</v>
      </c>
      <c r="C482" s="25">
        <v>5.2</v>
      </c>
      <c r="D482" s="96"/>
    </row>
    <row r="483" spans="1:4" ht="15.75" outlineLevel="1">
      <c r="A483" s="25" t="s">
        <v>1138</v>
      </c>
      <c r="B483" s="26" t="s">
        <v>2</v>
      </c>
      <c r="C483" s="25">
        <v>5.3</v>
      </c>
      <c r="D483" s="96"/>
    </row>
    <row r="484" spans="1:4" ht="15.75" outlineLevel="1">
      <c r="A484" s="25" t="s">
        <v>1138</v>
      </c>
      <c r="B484" s="26" t="s">
        <v>154</v>
      </c>
      <c r="C484" s="25">
        <v>5.6</v>
      </c>
      <c r="D484" s="96"/>
    </row>
    <row r="485" spans="1:4" ht="15.75" outlineLevel="1">
      <c r="A485" s="25" t="s">
        <v>1138</v>
      </c>
      <c r="B485" s="26" t="s">
        <v>1119</v>
      </c>
      <c r="C485" s="27">
        <v>5.0999999999999996</v>
      </c>
      <c r="D485" s="96"/>
    </row>
    <row r="486" spans="1:4" ht="15.75" outlineLevel="1">
      <c r="A486" s="25" t="s">
        <v>1138</v>
      </c>
      <c r="B486" s="26" t="s">
        <v>1118</v>
      </c>
      <c r="C486" s="25">
        <v>5.14</v>
      </c>
      <c r="D486" s="96"/>
    </row>
    <row r="487" spans="1:4" ht="15.75" outlineLevel="1">
      <c r="A487" s="25" t="s">
        <v>1138</v>
      </c>
      <c r="B487" s="26" t="s">
        <v>4</v>
      </c>
      <c r="C487" s="25">
        <v>5.19</v>
      </c>
      <c r="D487" s="96"/>
    </row>
    <row r="488" spans="1:4" ht="15.75" outlineLevel="1">
      <c r="A488" s="25" t="s">
        <v>1138</v>
      </c>
      <c r="B488" s="26" t="s">
        <v>156</v>
      </c>
      <c r="C488" s="25">
        <v>5.24</v>
      </c>
      <c r="D488" s="96"/>
    </row>
    <row r="489" spans="1:4" ht="15.75" outlineLevel="1">
      <c r="A489" s="25" t="s">
        <v>1138</v>
      </c>
      <c r="B489" s="26" t="s">
        <v>6</v>
      </c>
      <c r="C489" s="25">
        <v>5.27</v>
      </c>
      <c r="D489" s="96"/>
    </row>
    <row r="490" spans="1:4" ht="15.75" outlineLevel="1">
      <c r="A490" s="25" t="s">
        <v>1138</v>
      </c>
      <c r="B490" s="26" t="s">
        <v>7</v>
      </c>
      <c r="C490" s="25">
        <v>5.28</v>
      </c>
      <c r="D490" s="96"/>
    </row>
    <row r="491" spans="1:4" ht="15.75" outlineLevel="1">
      <c r="A491" s="25" t="s">
        <v>1138</v>
      </c>
      <c r="B491" s="26" t="s">
        <v>339</v>
      </c>
      <c r="C491" s="25">
        <v>5.29</v>
      </c>
      <c r="D491" s="96"/>
    </row>
    <row r="492" spans="1:4" ht="15.75" outlineLevel="1">
      <c r="A492" s="25" t="s">
        <v>1138</v>
      </c>
      <c r="B492" s="26" t="s">
        <v>1123</v>
      </c>
      <c r="C492" s="25">
        <v>5.34</v>
      </c>
      <c r="D492" s="96"/>
    </row>
    <row r="493" spans="1:4" ht="15.75" outlineLevel="1">
      <c r="A493" s="25" t="s">
        <v>1138</v>
      </c>
      <c r="B493" s="26" t="s">
        <v>157</v>
      </c>
      <c r="C493" s="25">
        <v>5.31</v>
      </c>
      <c r="D493" s="96"/>
    </row>
    <row r="494" spans="1:4" ht="15.75" outlineLevel="1">
      <c r="A494" s="25" t="s">
        <v>1138</v>
      </c>
      <c r="B494" s="26" t="s">
        <v>1124</v>
      </c>
      <c r="C494" s="25">
        <v>5.101</v>
      </c>
      <c r="D494" s="96"/>
    </row>
    <row r="495" spans="1:4" ht="15.75" outlineLevel="1">
      <c r="A495" s="25" t="s">
        <v>1138</v>
      </c>
      <c r="B495" s="26" t="s">
        <v>133</v>
      </c>
      <c r="C495" s="25">
        <v>5.36</v>
      </c>
      <c r="D495" s="96"/>
    </row>
    <row r="496" spans="1:4" ht="15.75" outlineLevel="1">
      <c r="A496" s="25" t="s">
        <v>1138</v>
      </c>
      <c r="B496" s="26" t="s">
        <v>165</v>
      </c>
      <c r="C496" s="25">
        <v>5.37</v>
      </c>
      <c r="D496" s="96"/>
    </row>
    <row r="497" spans="1:4" ht="15.75" outlineLevel="1">
      <c r="A497" s="25" t="s">
        <v>1138</v>
      </c>
      <c r="B497" s="26" t="s">
        <v>11</v>
      </c>
      <c r="C497" s="25">
        <v>5.53</v>
      </c>
      <c r="D497" s="96"/>
    </row>
    <row r="498" spans="1:4" ht="15.75" outlineLevel="1">
      <c r="A498" s="25" t="s">
        <v>1138</v>
      </c>
      <c r="B498" s="26" t="s">
        <v>158</v>
      </c>
      <c r="C498" s="25">
        <v>5.109</v>
      </c>
      <c r="D498" s="96"/>
    </row>
    <row r="499" spans="1:4" ht="15.75" outlineLevel="1">
      <c r="A499" s="25" t="s">
        <v>1138</v>
      </c>
      <c r="B499" s="26" t="s">
        <v>159</v>
      </c>
      <c r="C499" s="25">
        <v>5.1109999999999998</v>
      </c>
      <c r="D499" s="96"/>
    </row>
    <row r="500" spans="1:4" ht="15.75" outlineLevel="1">
      <c r="A500" s="25" t="s">
        <v>1138</v>
      </c>
      <c r="B500" s="26" t="s">
        <v>142</v>
      </c>
      <c r="C500" s="25">
        <v>5.1120000000000001</v>
      </c>
      <c r="D500" s="96"/>
    </row>
    <row r="501" spans="1:4" ht="15.75" outlineLevel="1">
      <c r="A501" s="25" t="s">
        <v>1138</v>
      </c>
      <c r="B501" s="26" t="s">
        <v>1125</v>
      </c>
      <c r="C501" s="25">
        <v>5.1020000000000003</v>
      </c>
      <c r="D501" s="96"/>
    </row>
    <row r="502" spans="1:4" ht="15.75" outlineLevel="1">
      <c r="A502" s="25" t="s">
        <v>1138</v>
      </c>
      <c r="B502" s="26" t="s">
        <v>1126</v>
      </c>
      <c r="C502" s="28">
        <v>5.0999999999999996</v>
      </c>
      <c r="D502" s="96"/>
    </row>
    <row r="503" spans="1:4" ht="15.75" outlineLevel="1">
      <c r="A503" s="25" t="s">
        <v>1138</v>
      </c>
      <c r="B503" s="26" t="s">
        <v>17</v>
      </c>
      <c r="C503" s="25">
        <v>5.58</v>
      </c>
      <c r="D503" s="96"/>
    </row>
    <row r="504" spans="1:4" ht="15.75" outlineLevel="1">
      <c r="A504" s="25" t="s">
        <v>1138</v>
      </c>
      <c r="B504" s="26" t="s">
        <v>19</v>
      </c>
      <c r="C504" s="25">
        <v>5.55</v>
      </c>
      <c r="D504" s="96"/>
    </row>
    <row r="505" spans="1:4" ht="15.75" outlineLevel="1">
      <c r="A505" s="25" t="s">
        <v>1138</v>
      </c>
      <c r="B505" s="26" t="s">
        <v>18</v>
      </c>
      <c r="C505" s="25">
        <v>5.54</v>
      </c>
      <c r="D505" s="96"/>
    </row>
    <row r="506" spans="1:4" ht="15.75" outlineLevel="1">
      <c r="A506" s="25" t="s">
        <v>1138</v>
      </c>
      <c r="B506" s="26" t="s">
        <v>20</v>
      </c>
      <c r="C506" s="25">
        <v>5.63</v>
      </c>
      <c r="D506" s="96"/>
    </row>
    <row r="507" spans="1:4" ht="15.75" outlineLevel="1">
      <c r="A507" s="25" t="s">
        <v>1138</v>
      </c>
      <c r="B507" s="26" t="s">
        <v>24</v>
      </c>
      <c r="C507" s="25">
        <v>5.47</v>
      </c>
      <c r="D507" s="96"/>
    </row>
    <row r="508" spans="1:4" ht="15.75" outlineLevel="1">
      <c r="A508" s="25" t="s">
        <v>1138</v>
      </c>
      <c r="B508" s="26" t="s">
        <v>25</v>
      </c>
      <c r="C508" s="25">
        <v>5.48</v>
      </c>
      <c r="D508" s="96"/>
    </row>
    <row r="509" spans="1:4" ht="15.75">
      <c r="A509" s="30" t="s">
        <v>1138</v>
      </c>
      <c r="B509" s="26"/>
      <c r="C509" s="25"/>
      <c r="D509" s="96"/>
    </row>
    <row r="510" spans="1:4" ht="15.75" outlineLevel="1">
      <c r="A510" s="25" t="s">
        <v>1045</v>
      </c>
      <c r="B510" s="26" t="s">
        <v>0</v>
      </c>
      <c r="C510" s="25">
        <v>5.0999999999999996</v>
      </c>
      <c r="D510" s="96"/>
    </row>
    <row r="511" spans="1:4" ht="15.75" outlineLevel="1">
      <c r="A511" s="25" t="s">
        <v>1045</v>
      </c>
      <c r="B511" s="26" t="s">
        <v>1</v>
      </c>
      <c r="C511" s="25">
        <v>5.2</v>
      </c>
      <c r="D511" s="96"/>
    </row>
    <row r="512" spans="1:4" ht="15.75" outlineLevel="1">
      <c r="A512" s="25" t="s">
        <v>1045</v>
      </c>
      <c r="B512" s="26" t="s">
        <v>2</v>
      </c>
      <c r="C512" s="25">
        <v>5.3</v>
      </c>
      <c r="D512" s="96"/>
    </row>
    <row r="513" spans="1:4" ht="15.75" outlineLevel="1">
      <c r="A513" s="25" t="s">
        <v>1045</v>
      </c>
      <c r="B513" s="26" t="s">
        <v>154</v>
      </c>
      <c r="C513" s="25">
        <v>5.6</v>
      </c>
      <c r="D513" s="96"/>
    </row>
    <row r="514" spans="1:4" ht="15.75" outlineLevel="1">
      <c r="A514" s="25" t="s">
        <v>1045</v>
      </c>
      <c r="B514" s="26" t="s">
        <v>1119</v>
      </c>
      <c r="C514" s="27">
        <v>5.0999999999999996</v>
      </c>
      <c r="D514" s="96"/>
    </row>
    <row r="515" spans="1:4" ht="15.75" outlineLevel="1">
      <c r="A515" s="25" t="s">
        <v>1045</v>
      </c>
      <c r="B515" s="26" t="s">
        <v>1118</v>
      </c>
      <c r="C515" s="25">
        <v>5.14</v>
      </c>
      <c r="D515" s="96"/>
    </row>
    <row r="516" spans="1:4" ht="15.75" outlineLevel="1">
      <c r="A516" s="25" t="s">
        <v>1045</v>
      </c>
      <c r="B516" s="26" t="s">
        <v>4</v>
      </c>
      <c r="C516" s="25">
        <v>5.19</v>
      </c>
      <c r="D516" s="96"/>
    </row>
    <row r="517" spans="1:4" ht="15.75" outlineLevel="1">
      <c r="A517" s="25" t="s">
        <v>1045</v>
      </c>
      <c r="B517" s="26" t="s">
        <v>156</v>
      </c>
      <c r="C517" s="25">
        <v>5.24</v>
      </c>
      <c r="D517" s="96"/>
    </row>
    <row r="518" spans="1:4" ht="15.75" outlineLevel="1">
      <c r="A518" s="25" t="s">
        <v>1045</v>
      </c>
      <c r="B518" s="26" t="s">
        <v>5</v>
      </c>
      <c r="C518" s="25">
        <v>5.26</v>
      </c>
      <c r="D518" s="96"/>
    </row>
    <row r="519" spans="1:4" ht="15.75" outlineLevel="1">
      <c r="A519" s="25" t="s">
        <v>1045</v>
      </c>
      <c r="B519" s="26" t="s">
        <v>6</v>
      </c>
      <c r="C519" s="25">
        <v>5.27</v>
      </c>
      <c r="D519" s="96"/>
    </row>
    <row r="520" spans="1:4" ht="15.75" outlineLevel="1">
      <c r="A520" s="25" t="s">
        <v>1045</v>
      </c>
      <c r="B520" s="26" t="s">
        <v>7</v>
      </c>
      <c r="C520" s="25">
        <v>5.28</v>
      </c>
      <c r="D520" s="96"/>
    </row>
    <row r="521" spans="1:4" ht="15.75" outlineLevel="1">
      <c r="A521" s="25" t="s">
        <v>1045</v>
      </c>
      <c r="B521" s="26" t="s">
        <v>157</v>
      </c>
      <c r="C521" s="25">
        <v>5.31</v>
      </c>
      <c r="D521" s="96"/>
    </row>
    <row r="522" spans="1:4" ht="15.75" outlineLevel="1">
      <c r="A522" s="25" t="s">
        <v>1045</v>
      </c>
      <c r="B522" s="26" t="s">
        <v>180</v>
      </c>
      <c r="C522" s="25">
        <v>5.33</v>
      </c>
      <c r="D522" s="96"/>
    </row>
    <row r="523" spans="1:4" ht="15.75" outlineLevel="1">
      <c r="A523" s="25" t="s">
        <v>1045</v>
      </c>
      <c r="B523" s="26" t="s">
        <v>1124</v>
      </c>
      <c r="C523" s="25">
        <v>5.101</v>
      </c>
      <c r="D523" s="96"/>
    </row>
    <row r="524" spans="1:4" ht="15.75" outlineLevel="1">
      <c r="A524" s="25" t="s">
        <v>1045</v>
      </c>
      <c r="B524" s="26" t="s">
        <v>133</v>
      </c>
      <c r="C524" s="25">
        <v>5.36</v>
      </c>
      <c r="D524" s="96"/>
    </row>
    <row r="525" spans="1:4" ht="15.75" outlineLevel="1">
      <c r="A525" s="25" t="s">
        <v>1045</v>
      </c>
      <c r="B525" s="26" t="s">
        <v>165</v>
      </c>
      <c r="C525" s="25">
        <v>5.37</v>
      </c>
      <c r="D525" s="96"/>
    </row>
    <row r="526" spans="1:4" ht="15.75" outlineLevel="1">
      <c r="A526" s="25" t="s">
        <v>1045</v>
      </c>
      <c r="B526" s="26" t="s">
        <v>11</v>
      </c>
      <c r="C526" s="25">
        <v>5.53</v>
      </c>
      <c r="D526" s="96"/>
    </row>
    <row r="527" spans="1:4" ht="15.75" outlineLevel="1">
      <c r="A527" s="25" t="s">
        <v>1045</v>
      </c>
      <c r="B527" s="26" t="s">
        <v>158</v>
      </c>
      <c r="C527" s="25">
        <v>5.109</v>
      </c>
      <c r="D527" s="96"/>
    </row>
    <row r="528" spans="1:4" ht="15.75" outlineLevel="1">
      <c r="A528" s="25" t="s">
        <v>1045</v>
      </c>
      <c r="B528" s="26" t="s">
        <v>159</v>
      </c>
      <c r="C528" s="25">
        <v>5.1109999999999998</v>
      </c>
      <c r="D528" s="96"/>
    </row>
    <row r="529" spans="1:4" ht="15.75" outlineLevel="1">
      <c r="A529" s="25" t="s">
        <v>1045</v>
      </c>
      <c r="B529" s="26" t="s">
        <v>142</v>
      </c>
      <c r="C529" s="25">
        <v>5.1120000000000001</v>
      </c>
      <c r="D529" s="96"/>
    </row>
    <row r="530" spans="1:4" ht="15.75" outlineLevel="1">
      <c r="A530" s="25" t="s">
        <v>1045</v>
      </c>
      <c r="B530" s="26" t="s">
        <v>1125</v>
      </c>
      <c r="C530" s="25">
        <v>5.1020000000000003</v>
      </c>
      <c r="D530" s="96"/>
    </row>
    <row r="531" spans="1:4" ht="15.75" outlineLevel="1">
      <c r="A531" s="25" t="s">
        <v>1045</v>
      </c>
      <c r="B531" s="26" t="s">
        <v>1126</v>
      </c>
      <c r="C531" s="28">
        <v>5.0999999999999996</v>
      </c>
      <c r="D531" s="96"/>
    </row>
    <row r="532" spans="1:4" ht="15.75" outlineLevel="1">
      <c r="A532" s="25" t="s">
        <v>1045</v>
      </c>
      <c r="B532" s="26" t="s">
        <v>17</v>
      </c>
      <c r="C532" s="25">
        <v>5.58</v>
      </c>
      <c r="D532" s="96"/>
    </row>
    <row r="533" spans="1:4" ht="15.75" outlineLevel="1">
      <c r="A533" s="25" t="s">
        <v>1045</v>
      </c>
      <c r="B533" s="26" t="s">
        <v>19</v>
      </c>
      <c r="C533" s="25">
        <v>5.55</v>
      </c>
      <c r="D533" s="96"/>
    </row>
    <row r="534" spans="1:4" ht="15.75" outlineLevel="1">
      <c r="A534" s="25" t="s">
        <v>1045</v>
      </c>
      <c r="B534" s="26" t="s">
        <v>18</v>
      </c>
      <c r="C534" s="25">
        <v>5.54</v>
      </c>
      <c r="D534" s="96"/>
    </row>
    <row r="535" spans="1:4" ht="15.75" outlineLevel="1">
      <c r="A535" s="25" t="s">
        <v>1045</v>
      </c>
      <c r="B535" s="26" t="s">
        <v>20</v>
      </c>
      <c r="C535" s="25">
        <v>5.63</v>
      </c>
      <c r="D535" s="96"/>
    </row>
    <row r="536" spans="1:4" ht="15.75" outlineLevel="1">
      <c r="A536" s="25" t="s">
        <v>1045</v>
      </c>
      <c r="B536" s="26" t="s">
        <v>24</v>
      </c>
      <c r="C536" s="25">
        <v>5.47</v>
      </c>
      <c r="D536" s="96"/>
    </row>
    <row r="537" spans="1:4" ht="15.75" outlineLevel="1">
      <c r="A537" s="25" t="s">
        <v>1045</v>
      </c>
      <c r="B537" s="26" t="s">
        <v>25</v>
      </c>
      <c r="C537" s="25">
        <v>5.48</v>
      </c>
      <c r="D537" s="96"/>
    </row>
    <row r="538" spans="1:4" ht="15.75">
      <c r="A538" s="30" t="s">
        <v>1045</v>
      </c>
      <c r="B538" s="26"/>
      <c r="C538" s="25"/>
      <c r="D538" s="96"/>
    </row>
    <row r="539" spans="1:4" ht="15.75" outlineLevel="1">
      <c r="A539" s="25" t="s">
        <v>1054</v>
      </c>
      <c r="B539" s="26" t="s">
        <v>0</v>
      </c>
      <c r="C539" s="25">
        <v>5.0999999999999996</v>
      </c>
      <c r="D539" s="96"/>
    </row>
    <row r="540" spans="1:4" ht="15.75" outlineLevel="1">
      <c r="A540" s="25" t="s">
        <v>1054</v>
      </c>
      <c r="B540" s="26" t="s">
        <v>1</v>
      </c>
      <c r="C540" s="25">
        <v>5.2</v>
      </c>
      <c r="D540" s="96"/>
    </row>
    <row r="541" spans="1:4" ht="15.75" outlineLevel="1">
      <c r="A541" s="25" t="s">
        <v>1054</v>
      </c>
      <c r="B541" s="26" t="s">
        <v>5</v>
      </c>
      <c r="C541" s="25">
        <v>5.26</v>
      </c>
      <c r="D541" s="96"/>
    </row>
    <row r="542" spans="1:4" ht="15.75" outlineLevel="1">
      <c r="A542" s="25" t="s">
        <v>1054</v>
      </c>
      <c r="B542" s="26" t="s">
        <v>1139</v>
      </c>
      <c r="C542" s="25">
        <v>5.21</v>
      </c>
      <c r="D542" s="96"/>
    </row>
    <row r="543" spans="1:4" ht="15.75" outlineLevel="1">
      <c r="A543" s="25" t="s">
        <v>1054</v>
      </c>
      <c r="B543" s="26" t="s">
        <v>1140</v>
      </c>
      <c r="C543" s="25">
        <v>5.53</v>
      </c>
      <c r="D543" s="96"/>
    </row>
    <row r="544" spans="1:4" ht="15.75" outlineLevel="1">
      <c r="A544" s="25" t="s">
        <v>1054</v>
      </c>
      <c r="B544" s="26" t="s">
        <v>18</v>
      </c>
      <c r="C544" s="25">
        <v>5.54</v>
      </c>
      <c r="D544" s="96"/>
    </row>
    <row r="545" spans="1:4" ht="15.75" outlineLevel="1">
      <c r="A545" s="25" t="s">
        <v>1054</v>
      </c>
      <c r="B545" s="26" t="s">
        <v>1141</v>
      </c>
      <c r="C545" s="25">
        <v>5.58</v>
      </c>
      <c r="D545" s="96"/>
    </row>
    <row r="546" spans="1:4" ht="15.75" outlineLevel="1">
      <c r="A546" s="25" t="s">
        <v>1054</v>
      </c>
      <c r="B546" s="26" t="s">
        <v>1142</v>
      </c>
      <c r="C546" s="25">
        <v>5.1180000000000003</v>
      </c>
      <c r="D546" s="96"/>
    </row>
    <row r="547" spans="1:4" ht="15.75" outlineLevel="1">
      <c r="A547" s="25" t="s">
        <v>1054</v>
      </c>
      <c r="B547" s="26" t="s">
        <v>1143</v>
      </c>
      <c r="C547" s="25">
        <v>5.47</v>
      </c>
      <c r="D547" s="96"/>
    </row>
    <row r="548" spans="1:4" ht="15.75" outlineLevel="1">
      <c r="A548" s="25" t="s">
        <v>1054</v>
      </c>
      <c r="B548" s="26" t="s">
        <v>1144</v>
      </c>
      <c r="C548" s="25">
        <v>5.48</v>
      </c>
      <c r="D548" s="96"/>
    </row>
    <row r="549" spans="1:4" ht="15.75" outlineLevel="1">
      <c r="A549" s="25" t="s">
        <v>1054</v>
      </c>
      <c r="B549" s="26" t="s">
        <v>1145</v>
      </c>
      <c r="C549" s="25">
        <v>5.21</v>
      </c>
      <c r="D549" s="96"/>
    </row>
    <row r="550" spans="1:4" ht="15.75" outlineLevel="1">
      <c r="A550" s="25" t="s">
        <v>1054</v>
      </c>
      <c r="B550" s="26" t="s">
        <v>1146</v>
      </c>
      <c r="C550" s="25">
        <v>5.53</v>
      </c>
      <c r="D550" s="96"/>
    </row>
    <row r="551" spans="1:4" ht="15.75" outlineLevel="1">
      <c r="A551" s="25" t="s">
        <v>1054</v>
      </c>
      <c r="B551" s="26" t="s">
        <v>18</v>
      </c>
      <c r="C551" s="25">
        <v>5.54</v>
      </c>
      <c r="D551" s="96"/>
    </row>
    <row r="552" spans="1:4" ht="15.75" outlineLevel="1">
      <c r="A552" s="25" t="s">
        <v>1054</v>
      </c>
      <c r="B552" s="26" t="s">
        <v>1147</v>
      </c>
      <c r="C552" s="25">
        <v>5.58</v>
      </c>
      <c r="D552" s="96"/>
    </row>
    <row r="553" spans="1:4" ht="15.75" outlineLevel="1">
      <c r="A553" s="25" t="s">
        <v>1054</v>
      </c>
      <c r="B553" s="26" t="s">
        <v>1148</v>
      </c>
      <c r="C553" s="25">
        <v>5.1180000000000003</v>
      </c>
      <c r="D553" s="96"/>
    </row>
    <row r="554" spans="1:4" ht="15.75" outlineLevel="1">
      <c r="A554" s="25" t="s">
        <v>1054</v>
      </c>
      <c r="B554" s="26" t="s">
        <v>1149</v>
      </c>
      <c r="C554" s="25">
        <v>5.47</v>
      </c>
      <c r="D554" s="96"/>
    </row>
    <row r="555" spans="1:4" ht="15.75" outlineLevel="1">
      <c r="A555" s="25" t="s">
        <v>1054</v>
      </c>
      <c r="B555" s="26" t="s">
        <v>1150</v>
      </c>
      <c r="C555" s="25">
        <v>5.48</v>
      </c>
      <c r="D555" s="96"/>
    </row>
    <row r="556" spans="1:4" ht="15.75" outlineLevel="1">
      <c r="A556" s="25" t="s">
        <v>1054</v>
      </c>
      <c r="B556" s="26" t="s">
        <v>1151</v>
      </c>
      <c r="C556" s="25">
        <v>5.63</v>
      </c>
      <c r="D556" s="96"/>
    </row>
    <row r="557" spans="1:4" ht="15.75" outlineLevel="1">
      <c r="A557" s="25" t="s">
        <v>1054</v>
      </c>
      <c r="B557" s="26" t="s">
        <v>6</v>
      </c>
      <c r="C557" s="25">
        <v>5.27</v>
      </c>
      <c r="D557" s="96"/>
    </row>
    <row r="558" spans="1:4" ht="15.75" outlineLevel="1">
      <c r="A558" s="25" t="s">
        <v>1054</v>
      </c>
      <c r="B558" s="26" t="s">
        <v>7</v>
      </c>
      <c r="C558" s="25">
        <v>5.28</v>
      </c>
      <c r="D558" s="96"/>
    </row>
    <row r="559" spans="1:4" ht="15.75" outlineLevel="1">
      <c r="A559" s="25" t="s">
        <v>1054</v>
      </c>
      <c r="B559" s="26" t="s">
        <v>1152</v>
      </c>
      <c r="C559" s="25">
        <v>5.35</v>
      </c>
      <c r="D559" s="96"/>
    </row>
    <row r="560" spans="1:4" ht="15.75" outlineLevel="1">
      <c r="A560" s="25" t="s">
        <v>1054</v>
      </c>
      <c r="B560" s="26" t="s">
        <v>940</v>
      </c>
      <c r="C560" s="25">
        <v>5.1189999999999998</v>
      </c>
      <c r="D560" s="96"/>
    </row>
    <row r="561" spans="1:4" ht="15.75" outlineLevel="1">
      <c r="A561" s="25" t="s">
        <v>1054</v>
      </c>
      <c r="B561" s="26" t="s">
        <v>947</v>
      </c>
      <c r="C561" s="28">
        <v>5.12</v>
      </c>
      <c r="D561" s="96"/>
    </row>
    <row r="562" spans="1:4" ht="15.75" outlineLevel="1">
      <c r="A562" s="25" t="s">
        <v>1054</v>
      </c>
      <c r="B562" s="26" t="s">
        <v>337</v>
      </c>
      <c r="C562" s="25">
        <v>5.1210000000000004</v>
      </c>
      <c r="D562" s="96"/>
    </row>
    <row r="563" spans="1:4" ht="15.75" outlineLevel="1">
      <c r="A563" s="25" t="s">
        <v>1054</v>
      </c>
      <c r="B563" s="26" t="s">
        <v>133</v>
      </c>
      <c r="C563" s="25">
        <v>5.36</v>
      </c>
      <c r="D563" s="96"/>
    </row>
    <row r="564" spans="1:4" ht="15.75" outlineLevel="1">
      <c r="A564" s="25" t="s">
        <v>1054</v>
      </c>
      <c r="B564" s="26" t="s">
        <v>1153</v>
      </c>
      <c r="C564" s="25">
        <v>5.1219999999999999</v>
      </c>
      <c r="D564" s="96"/>
    </row>
    <row r="565" spans="1:4" ht="15.75" outlineLevel="1">
      <c r="A565" s="25" t="s">
        <v>1054</v>
      </c>
      <c r="B565" s="26" t="s">
        <v>1154</v>
      </c>
      <c r="C565" s="25">
        <v>5.1230000000000002</v>
      </c>
      <c r="D565" s="96"/>
    </row>
    <row r="566" spans="1:4" ht="15.75" outlineLevel="1">
      <c r="A566" s="25" t="s">
        <v>1054</v>
      </c>
      <c r="B566" s="26" t="s">
        <v>911</v>
      </c>
      <c r="C566" s="25">
        <v>5.1239999999999997</v>
      </c>
      <c r="D566" s="96"/>
    </row>
    <row r="567" spans="1:4" ht="15.75" outlineLevel="1">
      <c r="A567" s="25" t="s">
        <v>1054</v>
      </c>
      <c r="B567" s="26" t="s">
        <v>919</v>
      </c>
      <c r="C567" s="25">
        <v>5.125</v>
      </c>
      <c r="D567" s="96"/>
    </row>
    <row r="568" spans="1:4" ht="15.75" outlineLevel="1">
      <c r="A568" s="25" t="s">
        <v>1054</v>
      </c>
      <c r="B568" s="26" t="s">
        <v>1155</v>
      </c>
      <c r="C568" s="25">
        <v>5.1260000000000003</v>
      </c>
      <c r="D568" s="96"/>
    </row>
    <row r="569" spans="1:4" ht="15.75" outlineLevel="1">
      <c r="A569" s="25" t="s">
        <v>1054</v>
      </c>
      <c r="B569" s="26" t="s">
        <v>937</v>
      </c>
      <c r="C569" s="25">
        <v>5.1269999999999998</v>
      </c>
      <c r="D569" s="96"/>
    </row>
    <row r="570" spans="1:4" ht="15.75" outlineLevel="1">
      <c r="A570" s="25" t="s">
        <v>1054</v>
      </c>
      <c r="B570" s="26" t="s">
        <v>922</v>
      </c>
      <c r="C570" s="27">
        <v>5.72</v>
      </c>
      <c r="D570" s="96"/>
    </row>
    <row r="571" spans="1:4" ht="15.75" outlineLevel="1">
      <c r="A571" s="25" t="s">
        <v>1054</v>
      </c>
      <c r="B571" s="26" t="s">
        <v>933</v>
      </c>
      <c r="C571" s="25">
        <v>5.1280000000000001</v>
      </c>
      <c r="D571" s="96"/>
    </row>
    <row r="572" spans="1:4" ht="15.75" outlineLevel="1">
      <c r="A572" s="25" t="s">
        <v>1054</v>
      </c>
      <c r="B572" s="26" t="s">
        <v>1156</v>
      </c>
      <c r="C572" s="25">
        <v>5.1289999999999996</v>
      </c>
      <c r="D572" s="95" t="s">
        <v>1117</v>
      </c>
    </row>
    <row r="573" spans="1:4" ht="15.75" outlineLevel="1">
      <c r="A573" s="25" t="s">
        <v>1054</v>
      </c>
      <c r="B573" s="26" t="s">
        <v>1157</v>
      </c>
      <c r="C573" s="25">
        <v>5.1310000000000002</v>
      </c>
      <c r="D573" s="96"/>
    </row>
    <row r="574" spans="1:4" ht="15.75" outlineLevel="1">
      <c r="A574" s="25" t="s">
        <v>1054</v>
      </c>
      <c r="B574" s="26" t="s">
        <v>1158</v>
      </c>
      <c r="C574" s="25">
        <v>5.1319999999999997</v>
      </c>
      <c r="D574" s="95" t="s">
        <v>1117</v>
      </c>
    </row>
    <row r="575" spans="1:4" ht="15.75" outlineLevel="1">
      <c r="A575" s="25" t="s">
        <v>1054</v>
      </c>
      <c r="B575" s="26" t="s">
        <v>962</v>
      </c>
      <c r="C575" s="25">
        <v>5.133</v>
      </c>
      <c r="D575" s="95" t="s">
        <v>1117</v>
      </c>
    </row>
    <row r="576" spans="1:4" ht="15.75" outlineLevel="1">
      <c r="A576" s="25" t="s">
        <v>1054</v>
      </c>
      <c r="B576" s="26" t="s">
        <v>1159</v>
      </c>
      <c r="C576" s="25">
        <v>5.1340000000000003</v>
      </c>
      <c r="D576" s="95" t="s">
        <v>1117</v>
      </c>
    </row>
    <row r="577" spans="1:4" ht="15.75" outlineLevel="1">
      <c r="A577" s="25" t="s">
        <v>1054</v>
      </c>
      <c r="B577" s="26" t="s">
        <v>1160</v>
      </c>
      <c r="C577" s="28">
        <v>5.13</v>
      </c>
      <c r="D577" s="96"/>
    </row>
    <row r="578" spans="1:4" ht="15.75" outlineLevel="1">
      <c r="A578" s="25" t="s">
        <v>1054</v>
      </c>
      <c r="B578" s="26" t="s">
        <v>24</v>
      </c>
      <c r="C578" s="25">
        <v>5.47</v>
      </c>
      <c r="D578" s="96"/>
    </row>
    <row r="579" spans="1:4" ht="15.75" outlineLevel="1">
      <c r="A579" s="25" t="s">
        <v>1054</v>
      </c>
      <c r="B579" s="26" t="s">
        <v>25</v>
      </c>
      <c r="C579" s="25">
        <v>5.48</v>
      </c>
      <c r="D579" s="96"/>
    </row>
    <row r="580" spans="1:4" ht="15.75">
      <c r="A580" s="30" t="s">
        <v>1054</v>
      </c>
      <c r="B580" s="26"/>
      <c r="C580" s="25"/>
      <c r="D580" s="96"/>
    </row>
    <row r="581" spans="1:4" ht="15.75" outlineLevel="1">
      <c r="A581" s="25" t="s">
        <v>1047</v>
      </c>
      <c r="B581" s="26" t="s">
        <v>0</v>
      </c>
      <c r="C581" s="25">
        <v>5.0999999999999996</v>
      </c>
      <c r="D581" s="96"/>
    </row>
    <row r="582" spans="1:4" ht="15.75" outlineLevel="1">
      <c r="A582" s="25" t="s">
        <v>1047</v>
      </c>
      <c r="B582" s="26" t="s">
        <v>1</v>
      </c>
      <c r="C582" s="25">
        <v>5.2</v>
      </c>
      <c r="D582" s="96"/>
    </row>
    <row r="583" spans="1:4" ht="15.75" outlineLevel="1">
      <c r="A583" s="25" t="s">
        <v>1047</v>
      </c>
      <c r="B583" s="26" t="s">
        <v>128</v>
      </c>
      <c r="C583" s="25">
        <v>5.9</v>
      </c>
      <c r="D583" s="95" t="s">
        <v>1117</v>
      </c>
    </row>
    <row r="584" spans="1:4" ht="15.75" outlineLevel="1">
      <c r="A584" s="25" t="s">
        <v>1047</v>
      </c>
      <c r="B584" s="26" t="s">
        <v>129</v>
      </c>
      <c r="C584" s="25">
        <v>5.13</v>
      </c>
      <c r="D584" s="95" t="s">
        <v>1117</v>
      </c>
    </row>
    <row r="585" spans="1:4" ht="15.75" outlineLevel="1">
      <c r="A585" s="25" t="s">
        <v>1047</v>
      </c>
      <c r="B585" s="26" t="s">
        <v>130</v>
      </c>
      <c r="C585" s="25">
        <v>5.16</v>
      </c>
      <c r="D585" s="95" t="s">
        <v>1117</v>
      </c>
    </row>
    <row r="586" spans="1:4" ht="15.75" outlineLevel="1">
      <c r="A586" s="25" t="s">
        <v>1047</v>
      </c>
      <c r="B586" s="26" t="s">
        <v>131</v>
      </c>
      <c r="C586" s="25">
        <v>5.22</v>
      </c>
      <c r="D586" s="95"/>
    </row>
    <row r="587" spans="1:4" ht="15.75" outlineLevel="1">
      <c r="A587" s="25" t="s">
        <v>1047</v>
      </c>
      <c r="B587" s="26" t="s">
        <v>5</v>
      </c>
      <c r="C587" s="25">
        <v>5.26</v>
      </c>
      <c r="D587" s="96"/>
    </row>
    <row r="588" spans="1:4" ht="15.75" outlineLevel="1">
      <c r="A588" s="25" t="s">
        <v>1047</v>
      </c>
      <c r="B588" s="26" t="s">
        <v>1161</v>
      </c>
      <c r="C588" s="25">
        <v>5.77</v>
      </c>
      <c r="D588" s="96"/>
    </row>
    <row r="589" spans="1:4" ht="15.75" outlineLevel="1">
      <c r="A589" s="25" t="s">
        <v>1047</v>
      </c>
      <c r="B589" s="26" t="s">
        <v>6</v>
      </c>
      <c r="C589" s="25">
        <v>5.27</v>
      </c>
      <c r="D589" s="96"/>
    </row>
    <row r="590" spans="1:4" ht="15.75" outlineLevel="1">
      <c r="A590" s="25" t="s">
        <v>1047</v>
      </c>
      <c r="B590" s="26" t="s">
        <v>7</v>
      </c>
      <c r="C590" s="25">
        <v>5.28</v>
      </c>
      <c r="D590" s="95" t="s">
        <v>1117</v>
      </c>
    </row>
    <row r="591" spans="1:4" ht="15.75" outlineLevel="1">
      <c r="A591" s="25" t="s">
        <v>1047</v>
      </c>
      <c r="B591" s="26" t="s">
        <v>157</v>
      </c>
      <c r="C591" s="25">
        <v>5.31</v>
      </c>
      <c r="D591" s="96"/>
    </row>
    <row r="592" spans="1:4" ht="15.75" outlineLevel="1">
      <c r="A592" s="25" t="s">
        <v>1047</v>
      </c>
      <c r="B592" s="26" t="s">
        <v>133</v>
      </c>
      <c r="C592" s="25">
        <v>5.36</v>
      </c>
      <c r="D592" s="96"/>
    </row>
    <row r="593" spans="1:4" ht="15.75" outlineLevel="1">
      <c r="A593" s="25" t="s">
        <v>1047</v>
      </c>
      <c r="B593" s="26" t="s">
        <v>1162</v>
      </c>
      <c r="C593" s="25">
        <v>5.78</v>
      </c>
      <c r="D593" s="96"/>
    </row>
    <row r="594" spans="1:4" ht="15.75" outlineLevel="1">
      <c r="A594" s="25" t="s">
        <v>1047</v>
      </c>
      <c r="B594" s="26" t="s">
        <v>1163</v>
      </c>
      <c r="C594" s="25">
        <v>5.79</v>
      </c>
      <c r="D594" s="95" t="s">
        <v>1117</v>
      </c>
    </row>
    <row r="595" spans="1:4" ht="15.75" outlineLevel="1">
      <c r="A595" s="25" t="s">
        <v>1047</v>
      </c>
      <c r="B595" s="26" t="s">
        <v>1164</v>
      </c>
      <c r="C595" s="25">
        <v>5.41</v>
      </c>
      <c r="D595" s="96"/>
    </row>
    <row r="596" spans="1:4" ht="15.75" outlineLevel="1">
      <c r="A596" s="25" t="s">
        <v>1047</v>
      </c>
      <c r="B596" s="26" t="s">
        <v>9</v>
      </c>
      <c r="C596" s="25">
        <v>5.49</v>
      </c>
      <c r="D596" s="96"/>
    </row>
    <row r="597" spans="1:4" ht="15.75" outlineLevel="1">
      <c r="A597" s="25" t="s">
        <v>1047</v>
      </c>
      <c r="B597" s="26" t="s">
        <v>10</v>
      </c>
      <c r="C597" s="25">
        <v>5.51</v>
      </c>
      <c r="D597" s="96"/>
    </row>
    <row r="598" spans="1:4" ht="15.75" outlineLevel="1">
      <c r="A598" s="25" t="s">
        <v>1047</v>
      </c>
      <c r="B598" s="26" t="s">
        <v>1165</v>
      </c>
      <c r="C598" s="25">
        <v>5.52</v>
      </c>
      <c r="D598" s="96"/>
    </row>
    <row r="599" spans="1:4" ht="15.75" outlineLevel="1">
      <c r="A599" s="25" t="s">
        <v>1047</v>
      </c>
      <c r="B599" s="26" t="s">
        <v>11</v>
      </c>
      <c r="C599" s="25">
        <v>5.53</v>
      </c>
      <c r="D599" s="96"/>
    </row>
    <row r="600" spans="1:4" ht="15.75" outlineLevel="1">
      <c r="A600" s="25" t="s">
        <v>1047</v>
      </c>
      <c r="B600" s="26" t="s">
        <v>12</v>
      </c>
      <c r="C600" s="25">
        <v>5.69</v>
      </c>
      <c r="D600" s="96"/>
    </row>
    <row r="601" spans="1:4" ht="15.75" outlineLevel="1">
      <c r="A601" s="25" t="s">
        <v>1047</v>
      </c>
      <c r="B601" s="26" t="s">
        <v>135</v>
      </c>
      <c r="C601" s="25">
        <v>5.71</v>
      </c>
      <c r="D601" s="96"/>
    </row>
    <row r="602" spans="1:4" ht="15.75" outlineLevel="1">
      <c r="A602" s="25" t="s">
        <v>1047</v>
      </c>
      <c r="B602" s="26" t="s">
        <v>14</v>
      </c>
      <c r="C602" s="27">
        <v>5.7</v>
      </c>
      <c r="D602" s="96"/>
    </row>
    <row r="603" spans="1:4" ht="15.75" outlineLevel="1">
      <c r="A603" s="25" t="s">
        <v>1047</v>
      </c>
      <c r="B603" s="26" t="s">
        <v>766</v>
      </c>
      <c r="C603" s="27">
        <v>5.8</v>
      </c>
      <c r="D603" s="95" t="s">
        <v>1117</v>
      </c>
    </row>
    <row r="604" spans="1:4" ht="15.75" outlineLevel="1">
      <c r="A604" s="25" t="s">
        <v>1047</v>
      </c>
      <c r="B604" s="26" t="s">
        <v>922</v>
      </c>
      <c r="C604" s="27">
        <v>5.72</v>
      </c>
      <c r="D604" s="95" t="s">
        <v>1117</v>
      </c>
    </row>
    <row r="605" spans="1:4" ht="15.75" outlineLevel="1">
      <c r="A605" s="25" t="s">
        <v>1047</v>
      </c>
      <c r="B605" s="26" t="s">
        <v>1166</v>
      </c>
      <c r="C605" s="25">
        <v>5.73</v>
      </c>
      <c r="D605" s="95" t="s">
        <v>1117</v>
      </c>
    </row>
    <row r="606" spans="1:4" ht="15.75" outlineLevel="1">
      <c r="A606" s="25" t="s">
        <v>1047</v>
      </c>
      <c r="B606" s="26" t="s">
        <v>15</v>
      </c>
      <c r="C606" s="25">
        <v>5.74</v>
      </c>
      <c r="D606" s="96"/>
    </row>
    <row r="607" spans="1:4" ht="15.75" outlineLevel="1">
      <c r="A607" s="25" t="s">
        <v>1047</v>
      </c>
      <c r="B607" s="26" t="s">
        <v>13</v>
      </c>
      <c r="C607" s="25">
        <v>5.75</v>
      </c>
      <c r="D607" s="96"/>
    </row>
    <row r="608" spans="1:4" ht="15.75" outlineLevel="1">
      <c r="A608" s="25" t="s">
        <v>1047</v>
      </c>
      <c r="B608" s="26" t="s">
        <v>423</v>
      </c>
      <c r="C608" s="25">
        <v>5.76</v>
      </c>
      <c r="D608" s="96"/>
    </row>
    <row r="609" spans="1:4" ht="15.75" outlineLevel="1">
      <c r="A609" s="25" t="s">
        <v>1047</v>
      </c>
      <c r="B609" s="26" t="s">
        <v>771</v>
      </c>
      <c r="C609" s="25">
        <v>5.81</v>
      </c>
      <c r="D609" s="95" t="s">
        <v>1117</v>
      </c>
    </row>
    <row r="610" spans="1:4" ht="15.75" outlineLevel="1">
      <c r="A610" s="25" t="s">
        <v>1047</v>
      </c>
      <c r="B610" s="26" t="s">
        <v>1167</v>
      </c>
      <c r="C610" s="25">
        <v>5.82</v>
      </c>
      <c r="D610" s="95" t="s">
        <v>1117</v>
      </c>
    </row>
    <row r="611" spans="1:4" ht="15.75" outlineLevel="1">
      <c r="A611" s="25" t="s">
        <v>1047</v>
      </c>
      <c r="B611" s="26" t="s">
        <v>1168</v>
      </c>
      <c r="C611" s="25">
        <v>5.83</v>
      </c>
      <c r="D611" s="95" t="s">
        <v>1117</v>
      </c>
    </row>
    <row r="612" spans="1:4" ht="15.75" outlineLevel="1">
      <c r="A612" s="25" t="s">
        <v>1047</v>
      </c>
      <c r="B612" s="26" t="s">
        <v>1169</v>
      </c>
      <c r="C612" s="25">
        <v>5.84</v>
      </c>
      <c r="D612" s="96"/>
    </row>
    <row r="613" spans="1:4" ht="15.75" outlineLevel="1">
      <c r="A613" s="25" t="s">
        <v>1047</v>
      </c>
      <c r="B613" s="26" t="s">
        <v>794</v>
      </c>
      <c r="C613" s="25">
        <v>5.85</v>
      </c>
      <c r="D613" s="95" t="s">
        <v>1117</v>
      </c>
    </row>
    <row r="614" spans="1:4" ht="15.75" outlineLevel="1">
      <c r="A614" s="25" t="s">
        <v>1047</v>
      </c>
      <c r="B614" s="26" t="s">
        <v>795</v>
      </c>
      <c r="C614" s="25">
        <v>5.86</v>
      </c>
      <c r="D614" s="95" t="s">
        <v>1117</v>
      </c>
    </row>
    <row r="615" spans="1:4" ht="15.75" outlineLevel="1">
      <c r="A615" s="25" t="s">
        <v>1047</v>
      </c>
      <c r="B615" s="26" t="s">
        <v>1170</v>
      </c>
      <c r="C615" s="25">
        <v>5.88</v>
      </c>
      <c r="D615" s="95" t="s">
        <v>1117</v>
      </c>
    </row>
    <row r="616" spans="1:4" ht="15.75" outlineLevel="1">
      <c r="A616" s="25" t="s">
        <v>1047</v>
      </c>
      <c r="B616" s="26" t="s">
        <v>801</v>
      </c>
      <c r="C616" s="25">
        <v>5.87</v>
      </c>
      <c r="D616" s="96"/>
    </row>
    <row r="617" spans="1:4" ht="15.75" outlineLevel="1">
      <c r="A617" s="25" t="s">
        <v>1047</v>
      </c>
      <c r="B617" s="26" t="s">
        <v>158</v>
      </c>
      <c r="C617" s="25">
        <v>5.109</v>
      </c>
      <c r="D617" s="96"/>
    </row>
    <row r="618" spans="1:4" ht="15.75" outlineLevel="1">
      <c r="A618" s="25" t="s">
        <v>1047</v>
      </c>
      <c r="B618" s="26" t="s">
        <v>171</v>
      </c>
      <c r="C618" s="28">
        <v>5.1100000000000003</v>
      </c>
      <c r="D618" s="95" t="s">
        <v>1117</v>
      </c>
    </row>
    <row r="619" spans="1:4" ht="15.75" outlineLevel="1">
      <c r="A619" s="25" t="s">
        <v>1047</v>
      </c>
      <c r="B619" s="26" t="s">
        <v>159</v>
      </c>
      <c r="C619" s="25">
        <v>5.1109999999999998</v>
      </c>
      <c r="D619" s="96"/>
    </row>
    <row r="620" spans="1:4" ht="15.75" outlineLevel="1">
      <c r="A620" s="25" t="s">
        <v>1047</v>
      </c>
      <c r="B620" s="26" t="s">
        <v>142</v>
      </c>
      <c r="C620" s="25">
        <v>5.1120000000000001</v>
      </c>
      <c r="D620" s="96"/>
    </row>
    <row r="621" spans="1:4" ht="15.75" outlineLevel="1">
      <c r="A621" s="25" t="s">
        <v>1047</v>
      </c>
      <c r="B621" s="26" t="s">
        <v>1132</v>
      </c>
      <c r="C621" s="25">
        <v>5.1130000000000004</v>
      </c>
      <c r="D621" s="96"/>
    </row>
    <row r="622" spans="1:4" ht="15.75" outlineLevel="1">
      <c r="A622" s="25" t="s">
        <v>1047</v>
      </c>
      <c r="B622" s="26" t="s">
        <v>1171</v>
      </c>
      <c r="C622" s="25">
        <v>5.99</v>
      </c>
      <c r="D622" s="95" t="s">
        <v>1117</v>
      </c>
    </row>
    <row r="623" spans="1:4" ht="15.75" outlineLevel="1">
      <c r="A623" s="25" t="s">
        <v>1047</v>
      </c>
      <c r="B623" s="26" t="s">
        <v>1172</v>
      </c>
      <c r="C623" s="25">
        <v>5.58</v>
      </c>
      <c r="D623" s="95"/>
    </row>
    <row r="624" spans="1:4" ht="15.75" outlineLevel="1">
      <c r="A624" s="25" t="s">
        <v>1047</v>
      </c>
      <c r="B624" s="26" t="s">
        <v>18</v>
      </c>
      <c r="C624" s="25">
        <v>5.54</v>
      </c>
      <c r="D624" s="96"/>
    </row>
    <row r="625" spans="1:4" ht="15.75" outlineLevel="1">
      <c r="A625" s="25" t="s">
        <v>1047</v>
      </c>
      <c r="B625" s="26" t="s">
        <v>1173</v>
      </c>
      <c r="C625" s="25">
        <v>5.56</v>
      </c>
      <c r="D625" s="96"/>
    </row>
    <row r="626" spans="1:4" ht="15.75" outlineLevel="1">
      <c r="A626" s="25" t="s">
        <v>1047</v>
      </c>
      <c r="B626" s="26" t="s">
        <v>20</v>
      </c>
      <c r="C626" s="25">
        <v>5.63</v>
      </c>
      <c r="D626" s="96"/>
    </row>
    <row r="627" spans="1:4" ht="15.75" outlineLevel="1">
      <c r="A627" s="25" t="s">
        <v>1047</v>
      </c>
      <c r="B627" s="26" t="s">
        <v>172</v>
      </c>
      <c r="C627" s="25">
        <v>5.64</v>
      </c>
      <c r="D627" s="96"/>
    </row>
    <row r="628" spans="1:4" ht="15.75" outlineLevel="1">
      <c r="A628" s="25" t="s">
        <v>1047</v>
      </c>
      <c r="B628" s="26" t="s">
        <v>21</v>
      </c>
      <c r="C628" s="25">
        <v>5.65</v>
      </c>
      <c r="D628" s="96"/>
    </row>
    <row r="629" spans="1:4" ht="15.75" outlineLevel="1">
      <c r="A629" s="25" t="s">
        <v>1047</v>
      </c>
      <c r="B629" s="26" t="s">
        <v>173</v>
      </c>
      <c r="C629" s="25">
        <v>5.66</v>
      </c>
      <c r="D629" s="96"/>
    </row>
    <row r="630" spans="1:4" ht="15.75" outlineLevel="1">
      <c r="A630" s="25" t="s">
        <v>1047</v>
      </c>
      <c r="B630" s="26" t="s">
        <v>844</v>
      </c>
      <c r="C630" s="25">
        <v>5.89</v>
      </c>
      <c r="D630" s="95" t="s">
        <v>1117</v>
      </c>
    </row>
    <row r="631" spans="1:4" ht="15.75" outlineLevel="1">
      <c r="A631" s="25" t="s">
        <v>1047</v>
      </c>
      <c r="B631" s="26" t="s">
        <v>22</v>
      </c>
      <c r="C631" s="25">
        <v>5.68</v>
      </c>
      <c r="D631" s="96"/>
    </row>
    <row r="632" spans="1:4" ht="15.75" outlineLevel="1">
      <c r="A632" s="25" t="s">
        <v>1047</v>
      </c>
      <c r="B632" s="26" t="s">
        <v>24</v>
      </c>
      <c r="C632" s="25">
        <v>5.47</v>
      </c>
      <c r="D632" s="96"/>
    </row>
    <row r="633" spans="1:4" ht="15.75" outlineLevel="1">
      <c r="A633" s="25" t="s">
        <v>1047</v>
      </c>
      <c r="B633" s="26" t="s">
        <v>25</v>
      </c>
      <c r="C633" s="25">
        <v>5.48</v>
      </c>
      <c r="D633" s="96"/>
    </row>
    <row r="634" spans="1:4" ht="15.75">
      <c r="A634" s="30" t="s">
        <v>1047</v>
      </c>
      <c r="B634" s="26"/>
      <c r="C634" s="25"/>
      <c r="D634" s="96"/>
    </row>
    <row r="635" spans="1:4" ht="15.75" outlineLevel="1">
      <c r="A635" s="25" t="s">
        <v>1065</v>
      </c>
      <c r="B635" s="26" t="s">
        <v>0</v>
      </c>
      <c r="C635" s="25">
        <v>5.0999999999999996</v>
      </c>
      <c r="D635" s="96"/>
    </row>
    <row r="636" spans="1:4" ht="15.75" outlineLevel="1">
      <c r="A636" s="25" t="s">
        <v>1065</v>
      </c>
      <c r="B636" s="26" t="s">
        <v>1</v>
      </c>
      <c r="C636" s="25">
        <v>5.2</v>
      </c>
      <c r="D636" s="96"/>
    </row>
    <row r="637" spans="1:4" ht="15.75" outlineLevel="1">
      <c r="A637" s="25" t="s">
        <v>1065</v>
      </c>
      <c r="B637" s="26" t="s">
        <v>2</v>
      </c>
      <c r="C637" s="25">
        <v>5.3</v>
      </c>
      <c r="D637" s="96"/>
    </row>
    <row r="638" spans="1:4" ht="15.75" outlineLevel="1">
      <c r="A638" s="25" t="s">
        <v>1065</v>
      </c>
      <c r="B638" s="26" t="s">
        <v>154</v>
      </c>
      <c r="C638" s="25">
        <v>5.6</v>
      </c>
      <c r="D638" s="96"/>
    </row>
    <row r="639" spans="1:4" ht="15.75" outlineLevel="1">
      <c r="A639" s="25" t="s">
        <v>1065</v>
      </c>
      <c r="B639" s="26" t="s">
        <v>1119</v>
      </c>
      <c r="C639" s="27">
        <v>5.0999999999999996</v>
      </c>
      <c r="D639" s="96"/>
    </row>
    <row r="640" spans="1:4" ht="15.75" outlineLevel="1">
      <c r="A640" s="25" t="s">
        <v>1065</v>
      </c>
      <c r="B640" s="26" t="s">
        <v>1118</v>
      </c>
      <c r="C640" s="25">
        <v>5.14</v>
      </c>
      <c r="D640" s="96"/>
    </row>
    <row r="641" spans="1:4" ht="15.75" outlineLevel="1">
      <c r="A641" s="25" t="s">
        <v>1065</v>
      </c>
      <c r="B641" s="26" t="s">
        <v>4</v>
      </c>
      <c r="C641" s="25">
        <v>5.19</v>
      </c>
      <c r="D641" s="96"/>
    </row>
    <row r="642" spans="1:4" ht="15.75" outlineLevel="1">
      <c r="A642" s="25" t="s">
        <v>1065</v>
      </c>
      <c r="B642" s="26" t="s">
        <v>156</v>
      </c>
      <c r="C642" s="25">
        <v>5.24</v>
      </c>
      <c r="D642" s="96"/>
    </row>
    <row r="643" spans="1:4" ht="15.75" outlineLevel="1">
      <c r="A643" s="25" t="s">
        <v>1065</v>
      </c>
      <c r="B643" s="26" t="s">
        <v>5</v>
      </c>
      <c r="C643" s="25">
        <v>5.26</v>
      </c>
      <c r="D643" s="96"/>
    </row>
    <row r="644" spans="1:4" ht="15.75" outlineLevel="1">
      <c r="A644" s="25" t="s">
        <v>1065</v>
      </c>
      <c r="B644" s="26" t="s">
        <v>6</v>
      </c>
      <c r="C644" s="25">
        <v>5.27</v>
      </c>
      <c r="D644" s="96"/>
    </row>
    <row r="645" spans="1:4" ht="15.75" outlineLevel="1">
      <c r="A645" s="25" t="s">
        <v>1065</v>
      </c>
      <c r="B645" s="26" t="s">
        <v>7</v>
      </c>
      <c r="C645" s="25">
        <v>5.28</v>
      </c>
      <c r="D645" s="96"/>
    </row>
    <row r="646" spans="1:4" ht="15.75" outlineLevel="1">
      <c r="A646" s="25" t="s">
        <v>1065</v>
      </c>
      <c r="B646" s="26" t="s">
        <v>133</v>
      </c>
      <c r="C646" s="25">
        <v>5.36</v>
      </c>
      <c r="D646" s="96"/>
    </row>
    <row r="647" spans="1:4" ht="15.75" outlineLevel="1">
      <c r="A647" s="25" t="s">
        <v>1065</v>
      </c>
      <c r="B647" s="26" t="s">
        <v>180</v>
      </c>
      <c r="C647" s="25">
        <v>5.33</v>
      </c>
      <c r="D647" s="96"/>
    </row>
    <row r="648" spans="1:4" ht="15.75" outlineLevel="1">
      <c r="A648" s="25" t="s">
        <v>1065</v>
      </c>
      <c r="B648" s="26" t="s">
        <v>165</v>
      </c>
      <c r="C648" s="25">
        <v>5.37</v>
      </c>
      <c r="D648" s="96"/>
    </row>
    <row r="649" spans="1:4" ht="15.75" outlineLevel="1">
      <c r="A649" s="25" t="s">
        <v>1065</v>
      </c>
      <c r="B649" s="26" t="s">
        <v>9</v>
      </c>
      <c r="C649" s="25">
        <v>5.49</v>
      </c>
      <c r="D649" s="96"/>
    </row>
    <row r="650" spans="1:4" ht="15.75" outlineLevel="1">
      <c r="A650" s="25" t="s">
        <v>1065</v>
      </c>
      <c r="B650" s="26" t="s">
        <v>10</v>
      </c>
      <c r="C650" s="25">
        <v>5.51</v>
      </c>
      <c r="D650" s="96"/>
    </row>
    <row r="651" spans="1:4" ht="15.75" outlineLevel="1">
      <c r="A651" s="25" t="s">
        <v>1065</v>
      </c>
      <c r="B651" s="26" t="s">
        <v>1120</v>
      </c>
      <c r="C651" s="25">
        <v>5.52</v>
      </c>
      <c r="D651" s="96"/>
    </row>
    <row r="652" spans="1:4" ht="15.75" outlineLevel="1">
      <c r="A652" s="25" t="s">
        <v>1065</v>
      </c>
      <c r="B652" s="26" t="s">
        <v>11</v>
      </c>
      <c r="C652" s="25">
        <v>5.53</v>
      </c>
      <c r="D652" s="96"/>
    </row>
    <row r="653" spans="1:4" ht="15.75" outlineLevel="1">
      <c r="A653" s="25" t="s">
        <v>1065</v>
      </c>
      <c r="B653" s="26" t="s">
        <v>12</v>
      </c>
      <c r="C653" s="25">
        <v>5.69</v>
      </c>
      <c r="D653" s="96"/>
    </row>
    <row r="654" spans="1:4" ht="15.75" outlineLevel="1">
      <c r="A654" s="25" t="s">
        <v>1065</v>
      </c>
      <c r="B654" s="26" t="s">
        <v>14</v>
      </c>
      <c r="C654" s="27">
        <v>5.7</v>
      </c>
      <c r="D654" s="96"/>
    </row>
    <row r="655" spans="1:4" ht="15.75" outlineLevel="1">
      <c r="A655" s="25" t="s">
        <v>1065</v>
      </c>
      <c r="B655" s="26" t="s">
        <v>15</v>
      </c>
      <c r="C655" s="25">
        <v>5.74</v>
      </c>
      <c r="D655" s="96"/>
    </row>
    <row r="656" spans="1:4" ht="15.75" outlineLevel="1">
      <c r="A656" s="25" t="s">
        <v>1065</v>
      </c>
      <c r="B656" s="26" t="s">
        <v>158</v>
      </c>
      <c r="C656" s="25">
        <v>5.109</v>
      </c>
      <c r="D656" s="96"/>
    </row>
    <row r="657" spans="1:4" ht="15.75" outlineLevel="1">
      <c r="A657" s="25" t="s">
        <v>1065</v>
      </c>
      <c r="B657" s="26" t="s">
        <v>159</v>
      </c>
      <c r="C657" s="25">
        <v>5.1109999999999998</v>
      </c>
      <c r="D657" s="96"/>
    </row>
    <row r="658" spans="1:4" ht="15.75" outlineLevel="1">
      <c r="A658" s="25" t="s">
        <v>1065</v>
      </c>
      <c r="B658" s="26" t="s">
        <v>142</v>
      </c>
      <c r="C658" s="25">
        <v>5.1120000000000001</v>
      </c>
      <c r="D658" s="96"/>
    </row>
    <row r="659" spans="1:4" ht="15.75" outlineLevel="1">
      <c r="A659" s="25" t="s">
        <v>1065</v>
      </c>
      <c r="B659" s="26" t="s">
        <v>17</v>
      </c>
      <c r="C659" s="25">
        <v>5.58</v>
      </c>
      <c r="D659" s="96"/>
    </row>
    <row r="660" spans="1:4" ht="15.75" outlineLevel="1">
      <c r="A660" s="25" t="s">
        <v>1065</v>
      </c>
      <c r="B660" s="26" t="s">
        <v>18</v>
      </c>
      <c r="C660" s="25">
        <v>5.54</v>
      </c>
      <c r="D660" s="96"/>
    </row>
    <row r="661" spans="1:4" ht="15.75" outlineLevel="1">
      <c r="A661" s="25" t="s">
        <v>1065</v>
      </c>
      <c r="B661" s="26" t="s">
        <v>19</v>
      </c>
      <c r="C661" s="25">
        <v>5.55</v>
      </c>
      <c r="D661" s="96"/>
    </row>
    <row r="662" spans="1:4" ht="15.75" outlineLevel="1">
      <c r="A662" s="25" t="s">
        <v>1065</v>
      </c>
      <c r="B662" s="26" t="s">
        <v>20</v>
      </c>
      <c r="C662" s="25">
        <v>5.63</v>
      </c>
      <c r="D662" s="96"/>
    </row>
    <row r="663" spans="1:4" ht="15.75" outlineLevel="1">
      <c r="A663" s="25" t="s">
        <v>1065</v>
      </c>
      <c r="B663" s="26" t="s">
        <v>24</v>
      </c>
      <c r="C663" s="25">
        <v>5.47</v>
      </c>
      <c r="D663" s="96"/>
    </row>
    <row r="664" spans="1:4" ht="15.75" outlineLevel="1">
      <c r="A664" s="25" t="s">
        <v>1065</v>
      </c>
      <c r="B664" s="26" t="s">
        <v>25</v>
      </c>
      <c r="C664" s="25">
        <v>5.48</v>
      </c>
      <c r="D664" s="96"/>
    </row>
    <row r="665" spans="1:4" ht="15.75">
      <c r="A665" s="30" t="s">
        <v>1065</v>
      </c>
      <c r="B665" s="26"/>
      <c r="C665" s="25"/>
      <c r="D665" s="96"/>
    </row>
    <row r="666" spans="1:4" ht="15.75" outlineLevel="1">
      <c r="A666" s="25" t="s">
        <v>1070</v>
      </c>
      <c r="B666" s="26" t="s">
        <v>0</v>
      </c>
      <c r="C666" s="25">
        <v>5.0999999999999996</v>
      </c>
      <c r="D666" s="96"/>
    </row>
    <row r="667" spans="1:4" ht="15.75" outlineLevel="1">
      <c r="A667" s="25" t="s">
        <v>1070</v>
      </c>
      <c r="B667" s="26" t="s">
        <v>1</v>
      </c>
      <c r="C667" s="25">
        <v>5.2</v>
      </c>
      <c r="D667" s="96"/>
    </row>
    <row r="668" spans="1:4" ht="15.75" outlineLevel="1">
      <c r="A668" s="25" t="s">
        <v>1070</v>
      </c>
      <c r="B668" s="26" t="s">
        <v>174</v>
      </c>
      <c r="C668" s="25">
        <v>5.4</v>
      </c>
      <c r="D668" s="96"/>
    </row>
    <row r="669" spans="1:4" ht="15.75" outlineLevel="1">
      <c r="A669" s="25" t="s">
        <v>1070</v>
      </c>
      <c r="B669" s="26" t="s">
        <v>175</v>
      </c>
      <c r="C669" s="25">
        <v>5.7</v>
      </c>
      <c r="D669" s="96"/>
    </row>
    <row r="670" spans="1:4" ht="15.75" outlineLevel="1">
      <c r="A670" s="25" t="s">
        <v>1070</v>
      </c>
      <c r="B670" s="26" t="s">
        <v>176</v>
      </c>
      <c r="C670" s="25">
        <v>5.1100000000000003</v>
      </c>
      <c r="D670" s="96"/>
    </row>
    <row r="671" spans="1:4" ht="15.75" outlineLevel="1">
      <c r="A671" s="25" t="s">
        <v>1070</v>
      </c>
      <c r="B671" s="26" t="s">
        <v>5</v>
      </c>
      <c r="C671" s="25">
        <v>5.26</v>
      </c>
      <c r="D671" s="96"/>
    </row>
    <row r="672" spans="1:4" ht="15.75" outlineLevel="1">
      <c r="A672" s="25" t="s">
        <v>1070</v>
      </c>
      <c r="B672" s="26" t="s">
        <v>177</v>
      </c>
      <c r="C672" s="25">
        <v>5.43</v>
      </c>
      <c r="D672" s="96"/>
    </row>
    <row r="673" spans="1:4" ht="15.75" outlineLevel="1">
      <c r="A673" s="25" t="s">
        <v>1070</v>
      </c>
      <c r="B673" s="26" t="s">
        <v>6</v>
      </c>
      <c r="C673" s="25">
        <v>5.27</v>
      </c>
      <c r="D673" s="96"/>
    </row>
    <row r="674" spans="1:4" ht="15.75" outlineLevel="1">
      <c r="A674" s="25" t="s">
        <v>1070</v>
      </c>
      <c r="B674" s="26" t="s">
        <v>7</v>
      </c>
      <c r="C674" s="25">
        <v>5.28</v>
      </c>
      <c r="D674" s="96"/>
    </row>
    <row r="675" spans="1:4" ht="15.75" outlineLevel="1">
      <c r="A675" s="25" t="s">
        <v>1070</v>
      </c>
      <c r="B675" s="26" t="s">
        <v>133</v>
      </c>
      <c r="C675" s="25">
        <v>5.36</v>
      </c>
      <c r="D675" s="96"/>
    </row>
    <row r="676" spans="1:4" ht="15.75" outlineLevel="1">
      <c r="A676" s="25" t="s">
        <v>1070</v>
      </c>
      <c r="B676" s="26" t="s">
        <v>178</v>
      </c>
      <c r="C676" s="27">
        <v>5.5</v>
      </c>
      <c r="D676" s="96"/>
    </row>
    <row r="677" spans="1:4" ht="15.75" outlineLevel="1">
      <c r="A677" s="25" t="s">
        <v>1070</v>
      </c>
      <c r="B677" s="26" t="s">
        <v>10</v>
      </c>
      <c r="C677" s="25">
        <v>5.51</v>
      </c>
      <c r="D677" s="96"/>
    </row>
    <row r="678" spans="1:4" ht="15.75" outlineLevel="1">
      <c r="A678" s="25" t="s">
        <v>1070</v>
      </c>
      <c r="B678" s="26" t="s">
        <v>11</v>
      </c>
      <c r="C678" s="25">
        <v>5.53</v>
      </c>
      <c r="D678" s="96"/>
    </row>
    <row r="679" spans="1:4" ht="15.75" outlineLevel="1">
      <c r="A679" s="25" t="s">
        <v>1070</v>
      </c>
      <c r="B679" s="26" t="s">
        <v>12</v>
      </c>
      <c r="C679" s="25">
        <v>5.69</v>
      </c>
      <c r="D679" s="96"/>
    </row>
    <row r="680" spans="1:4" ht="15.75" outlineLevel="1">
      <c r="A680" s="25" t="s">
        <v>1070</v>
      </c>
      <c r="B680" s="26" t="s">
        <v>14</v>
      </c>
      <c r="C680" s="27">
        <v>5.7</v>
      </c>
      <c r="D680" s="95" t="s">
        <v>1117</v>
      </c>
    </row>
    <row r="681" spans="1:4" ht="15.75" outlineLevel="1">
      <c r="A681" s="25" t="s">
        <v>1070</v>
      </c>
      <c r="B681" s="26" t="s">
        <v>15</v>
      </c>
      <c r="C681" s="25">
        <v>5.74</v>
      </c>
      <c r="D681" s="96"/>
    </row>
    <row r="682" spans="1:4" ht="15.75" outlineLevel="1">
      <c r="A682" s="25" t="s">
        <v>1070</v>
      </c>
      <c r="B682" s="26" t="s">
        <v>143</v>
      </c>
      <c r="C682" s="25">
        <v>5.59</v>
      </c>
      <c r="D682" s="96"/>
    </row>
    <row r="683" spans="1:4" ht="15.75" outlineLevel="1">
      <c r="A683" s="25" t="s">
        <v>1070</v>
      </c>
      <c r="B683" s="26" t="s">
        <v>18</v>
      </c>
      <c r="C683" s="25">
        <v>5.54</v>
      </c>
      <c r="D683" s="96"/>
    </row>
    <row r="684" spans="1:4" ht="15.75" outlineLevel="1">
      <c r="A684" s="25" t="s">
        <v>1070</v>
      </c>
      <c r="B684" s="26" t="s">
        <v>179</v>
      </c>
      <c r="C684" s="25">
        <v>5.57</v>
      </c>
      <c r="D684" s="96"/>
    </row>
    <row r="685" spans="1:4" ht="15.75" outlineLevel="1">
      <c r="A685" s="25" t="s">
        <v>1070</v>
      </c>
      <c r="B685" s="26" t="s">
        <v>20</v>
      </c>
      <c r="C685" s="25">
        <v>5.63</v>
      </c>
      <c r="D685" s="96"/>
    </row>
    <row r="686" spans="1:4" ht="15.75" outlineLevel="1">
      <c r="A686" s="25" t="s">
        <v>1070</v>
      </c>
      <c r="B686" s="26" t="s">
        <v>24</v>
      </c>
      <c r="C686" s="25">
        <v>5.47</v>
      </c>
      <c r="D686" s="96"/>
    </row>
    <row r="687" spans="1:4" ht="15.75" outlineLevel="1">
      <c r="A687" s="25" t="s">
        <v>1070</v>
      </c>
      <c r="B687" s="26" t="s">
        <v>25</v>
      </c>
      <c r="C687" s="25">
        <v>5.48</v>
      </c>
      <c r="D687" s="96"/>
    </row>
    <row r="688" spans="1:4" ht="15.75">
      <c r="A688" s="30" t="s">
        <v>1070</v>
      </c>
      <c r="B688" s="26"/>
      <c r="C688" s="25"/>
      <c r="D688" s="96"/>
    </row>
    <row r="689" spans="1:4" ht="15.75" outlineLevel="1">
      <c r="A689" s="25" t="s">
        <v>1073</v>
      </c>
      <c r="B689" s="26" t="s">
        <v>0</v>
      </c>
      <c r="C689" s="25">
        <v>5.0999999999999996</v>
      </c>
      <c r="D689" s="96"/>
    </row>
    <row r="690" spans="1:4" ht="15.75" outlineLevel="1">
      <c r="A690" s="25" t="s">
        <v>1073</v>
      </c>
      <c r="B690" s="26" t="s">
        <v>1</v>
      </c>
      <c r="C690" s="25">
        <v>5.2</v>
      </c>
      <c r="D690" s="96"/>
    </row>
    <row r="691" spans="1:4" ht="15.75" outlineLevel="1">
      <c r="A691" s="25" t="s">
        <v>1073</v>
      </c>
      <c r="B691" s="26" t="s">
        <v>163</v>
      </c>
      <c r="C691" s="25">
        <v>5.17</v>
      </c>
      <c r="D691" s="96"/>
    </row>
    <row r="692" spans="1:4" ht="15.75" outlineLevel="1">
      <c r="A692" s="25" t="s">
        <v>1073</v>
      </c>
      <c r="B692" s="26" t="s">
        <v>5</v>
      </c>
      <c r="C692" s="25">
        <v>5.26</v>
      </c>
      <c r="D692" s="96"/>
    </row>
    <row r="693" spans="1:4" ht="15.75" outlineLevel="1">
      <c r="A693" s="25" t="s">
        <v>1073</v>
      </c>
      <c r="B693" s="26" t="s">
        <v>164</v>
      </c>
      <c r="C693" s="25">
        <v>5.1029999999999998</v>
      </c>
      <c r="D693" s="96"/>
    </row>
    <row r="694" spans="1:4" ht="15.75" outlineLevel="1">
      <c r="A694" s="25" t="s">
        <v>1073</v>
      </c>
      <c r="B694" s="26" t="s">
        <v>133</v>
      </c>
      <c r="C694" s="25">
        <v>5.36</v>
      </c>
      <c r="D694" s="96"/>
    </row>
    <row r="695" spans="1:4" ht="15.75" outlineLevel="1">
      <c r="A695" s="25" t="s">
        <v>1073</v>
      </c>
      <c r="B695" s="26" t="s">
        <v>165</v>
      </c>
      <c r="C695" s="25">
        <v>5.37</v>
      </c>
      <c r="D695" s="96"/>
    </row>
    <row r="696" spans="1:4" ht="15.75" outlineLevel="1">
      <c r="A696" s="25" t="s">
        <v>1073</v>
      </c>
      <c r="B696" s="26" t="s">
        <v>166</v>
      </c>
      <c r="C696" s="25">
        <v>5.1040000000000001</v>
      </c>
      <c r="D696" s="96"/>
    </row>
    <row r="697" spans="1:4" ht="15.75" outlineLevel="1">
      <c r="A697" s="25" t="s">
        <v>1073</v>
      </c>
      <c r="B697" s="26" t="s">
        <v>167</v>
      </c>
      <c r="C697" s="25">
        <v>5.1050000000000004</v>
      </c>
      <c r="D697" s="96"/>
    </row>
    <row r="698" spans="1:4" ht="15.75" outlineLevel="1">
      <c r="A698" s="25" t="s">
        <v>1073</v>
      </c>
      <c r="B698" s="26" t="s">
        <v>168</v>
      </c>
      <c r="C698" s="25">
        <v>5.1059999999999999</v>
      </c>
      <c r="D698" s="96"/>
    </row>
    <row r="699" spans="1:4" ht="15.75" outlineLevel="1">
      <c r="A699" s="25" t="s">
        <v>1073</v>
      </c>
      <c r="B699" s="26" t="s">
        <v>169</v>
      </c>
      <c r="C699" s="25">
        <v>5.1070000000000002</v>
      </c>
      <c r="D699" s="96"/>
    </row>
    <row r="700" spans="1:4" ht="15.75" outlineLevel="1">
      <c r="A700" s="25" t="s">
        <v>1073</v>
      </c>
      <c r="B700" s="26" t="s">
        <v>895</v>
      </c>
      <c r="C700" s="25">
        <v>5.1079999999999997</v>
      </c>
      <c r="D700" s="95" t="s">
        <v>1117</v>
      </c>
    </row>
    <row r="701" spans="1:4" ht="15.75" outlineLevel="1">
      <c r="A701" s="25" t="s">
        <v>1073</v>
      </c>
      <c r="B701" s="26" t="s">
        <v>158</v>
      </c>
      <c r="C701" s="25">
        <v>5.109</v>
      </c>
      <c r="D701" s="96"/>
    </row>
    <row r="702" spans="1:4" ht="15.75" outlineLevel="1">
      <c r="A702" s="25" t="s">
        <v>1073</v>
      </c>
      <c r="B702" s="26" t="s">
        <v>171</v>
      </c>
      <c r="C702" s="28">
        <v>5.1100000000000003</v>
      </c>
      <c r="D702" s="95" t="s">
        <v>1117</v>
      </c>
    </row>
    <row r="703" spans="1:4" ht="15.75" outlineLevel="1">
      <c r="A703" s="25" t="s">
        <v>1073</v>
      </c>
      <c r="B703" s="26" t="s">
        <v>159</v>
      </c>
      <c r="C703" s="25">
        <v>5.1109999999999998</v>
      </c>
      <c r="D703" s="96"/>
    </row>
    <row r="704" spans="1:4" ht="15.75" outlineLevel="1">
      <c r="A704" s="25" t="s">
        <v>1073</v>
      </c>
      <c r="B704" s="26" t="s">
        <v>142</v>
      </c>
      <c r="C704" s="25">
        <v>5.1120000000000001</v>
      </c>
      <c r="D704" s="96"/>
    </row>
    <row r="705" spans="1:4" ht="15.75" outlineLevel="1">
      <c r="A705" s="25" t="s">
        <v>1073</v>
      </c>
      <c r="B705" s="26" t="s">
        <v>11</v>
      </c>
      <c r="C705" s="25">
        <v>5.53</v>
      </c>
      <c r="D705" s="96"/>
    </row>
    <row r="706" spans="1:4" ht="15.75" outlineLevel="1">
      <c r="A706" s="25" t="s">
        <v>1073</v>
      </c>
      <c r="B706" s="26" t="s">
        <v>172</v>
      </c>
      <c r="C706" s="25">
        <v>5.64</v>
      </c>
      <c r="D706" s="96"/>
    </row>
    <row r="707" spans="1:4" ht="15.75" outlineLevel="1">
      <c r="A707" s="25" t="s">
        <v>1073</v>
      </c>
      <c r="B707" s="26" t="s">
        <v>20</v>
      </c>
      <c r="C707" s="25">
        <v>5.63</v>
      </c>
      <c r="D707" s="96"/>
    </row>
    <row r="708" spans="1:4" ht="15.75" outlineLevel="1">
      <c r="A708" s="25" t="s">
        <v>1073</v>
      </c>
      <c r="B708" s="26" t="s">
        <v>21</v>
      </c>
      <c r="C708" s="25">
        <v>5.65</v>
      </c>
      <c r="D708" s="96"/>
    </row>
    <row r="709" spans="1:4" ht="15.75" outlineLevel="1">
      <c r="A709" s="25" t="s">
        <v>1073</v>
      </c>
      <c r="B709" s="26" t="s">
        <v>173</v>
      </c>
      <c r="C709" s="25">
        <v>5.66</v>
      </c>
      <c r="D709" s="96"/>
    </row>
    <row r="710" spans="1:4" ht="15.75" outlineLevel="1">
      <c r="A710" s="25" t="s">
        <v>1073</v>
      </c>
      <c r="B710" s="26" t="s">
        <v>22</v>
      </c>
      <c r="C710" s="25">
        <v>5.68</v>
      </c>
      <c r="D710" s="96"/>
    </row>
    <row r="711" spans="1:4" ht="15.75" outlineLevel="1">
      <c r="A711" s="25" t="s">
        <v>1073</v>
      </c>
      <c r="B711" s="26" t="s">
        <v>24</v>
      </c>
      <c r="C711" s="25">
        <v>5.47</v>
      </c>
      <c r="D711" s="96"/>
    </row>
    <row r="712" spans="1:4" ht="15.75" outlineLevel="1">
      <c r="A712" s="25" t="s">
        <v>1073</v>
      </c>
      <c r="B712" s="26" t="s">
        <v>25</v>
      </c>
      <c r="C712" s="25">
        <v>5.48</v>
      </c>
      <c r="D712" s="96"/>
    </row>
    <row r="713" spans="1:4" ht="15.75">
      <c r="A713" s="30" t="s">
        <v>1073</v>
      </c>
      <c r="B713" s="26"/>
      <c r="C713" s="25"/>
      <c r="D713" s="96"/>
    </row>
    <row r="714" spans="1:4" ht="15.75" outlineLevel="1">
      <c r="A714" s="25" t="s">
        <v>1174</v>
      </c>
      <c r="B714" s="26" t="s">
        <v>0</v>
      </c>
      <c r="C714" s="25">
        <v>5.0999999999999996</v>
      </c>
      <c r="D714" s="96"/>
    </row>
    <row r="715" spans="1:4" ht="15.75" outlineLevel="1">
      <c r="A715" s="25" t="s">
        <v>1174</v>
      </c>
      <c r="B715" s="26" t="s">
        <v>1</v>
      </c>
      <c r="C715" s="25">
        <v>5.2</v>
      </c>
      <c r="D715" s="96"/>
    </row>
    <row r="716" spans="1:4" ht="15.75" outlineLevel="1">
      <c r="A716" s="25" t="s">
        <v>1174</v>
      </c>
      <c r="B716" s="26" t="s">
        <v>2</v>
      </c>
      <c r="C716" s="25">
        <v>5.3</v>
      </c>
      <c r="D716" s="96"/>
    </row>
    <row r="717" spans="1:4" ht="15.75" outlineLevel="1">
      <c r="A717" s="25" t="s">
        <v>1174</v>
      </c>
      <c r="B717" s="26" t="s">
        <v>154</v>
      </c>
      <c r="C717" s="25">
        <v>5.6</v>
      </c>
      <c r="D717" s="96"/>
    </row>
    <row r="718" spans="1:4" ht="15.75" outlineLevel="1">
      <c r="A718" s="25" t="s">
        <v>1174</v>
      </c>
      <c r="B718" s="26" t="s">
        <v>1119</v>
      </c>
      <c r="C718" s="27">
        <v>5.0999999999999996</v>
      </c>
      <c r="D718" s="96"/>
    </row>
    <row r="719" spans="1:4" ht="15.75" outlineLevel="1">
      <c r="A719" s="25" t="s">
        <v>1174</v>
      </c>
      <c r="B719" s="26" t="s">
        <v>1118</v>
      </c>
      <c r="C719" s="25">
        <v>5.14</v>
      </c>
      <c r="D719" s="96"/>
    </row>
    <row r="720" spans="1:4" ht="15.75" outlineLevel="1">
      <c r="A720" s="25" t="s">
        <v>1174</v>
      </c>
      <c r="B720" s="26" t="s">
        <v>4</v>
      </c>
      <c r="C720" s="25">
        <v>5.19</v>
      </c>
      <c r="D720" s="96"/>
    </row>
    <row r="721" spans="1:4" ht="15.75" outlineLevel="1">
      <c r="A721" s="25" t="s">
        <v>1174</v>
      </c>
      <c r="B721" s="26" t="s">
        <v>156</v>
      </c>
      <c r="C721" s="25">
        <v>5.24</v>
      </c>
      <c r="D721" s="96"/>
    </row>
    <row r="722" spans="1:4" ht="15.75" outlineLevel="1">
      <c r="A722" s="25" t="s">
        <v>1174</v>
      </c>
      <c r="B722" s="26" t="s">
        <v>5</v>
      </c>
      <c r="C722" s="25">
        <v>5.26</v>
      </c>
      <c r="D722" s="96"/>
    </row>
    <row r="723" spans="1:4" ht="15.75" outlineLevel="1">
      <c r="A723" s="25" t="s">
        <v>1174</v>
      </c>
      <c r="B723" s="26" t="s">
        <v>6</v>
      </c>
      <c r="C723" s="25">
        <v>5.27</v>
      </c>
      <c r="D723" s="96"/>
    </row>
    <row r="724" spans="1:4" ht="15.75" outlineLevel="1">
      <c r="A724" s="25" t="s">
        <v>1174</v>
      </c>
      <c r="B724" s="26" t="s">
        <v>7</v>
      </c>
      <c r="C724" s="25">
        <v>5.28</v>
      </c>
      <c r="D724" s="96"/>
    </row>
    <row r="725" spans="1:4" ht="15.75" outlineLevel="1">
      <c r="A725" s="25" t="s">
        <v>1174</v>
      </c>
      <c r="B725" s="26" t="s">
        <v>157</v>
      </c>
      <c r="C725" s="25">
        <v>5.31</v>
      </c>
      <c r="D725" s="96"/>
    </row>
    <row r="726" spans="1:4" ht="15.75" outlineLevel="1">
      <c r="A726" s="25" t="s">
        <v>1174</v>
      </c>
      <c r="B726" s="26" t="s">
        <v>133</v>
      </c>
      <c r="C726" s="25">
        <v>5.36</v>
      </c>
      <c r="D726" s="96"/>
    </row>
    <row r="727" spans="1:4" ht="15.75" outlineLevel="1">
      <c r="A727" s="25" t="s">
        <v>1174</v>
      </c>
      <c r="B727" s="26" t="s">
        <v>11</v>
      </c>
      <c r="C727" s="25">
        <v>5.53</v>
      </c>
      <c r="D727" s="96"/>
    </row>
    <row r="728" spans="1:4" ht="15.75" outlineLevel="1">
      <c r="A728" s="25" t="s">
        <v>1174</v>
      </c>
      <c r="B728" s="26" t="s">
        <v>158</v>
      </c>
      <c r="C728" s="25">
        <v>5.109</v>
      </c>
      <c r="D728" s="96"/>
    </row>
    <row r="729" spans="1:4" ht="15.75" outlineLevel="1">
      <c r="A729" s="25" t="s">
        <v>1174</v>
      </c>
      <c r="B729" s="26" t="s">
        <v>159</v>
      </c>
      <c r="C729" s="25">
        <v>5.1109999999999998</v>
      </c>
      <c r="D729" s="96"/>
    </row>
    <row r="730" spans="1:4" ht="15.75" outlineLevel="1">
      <c r="A730" s="25" t="s">
        <v>1174</v>
      </c>
      <c r="B730" s="26" t="s">
        <v>142</v>
      </c>
      <c r="C730" s="25">
        <v>5.1120000000000001</v>
      </c>
      <c r="D730" s="96"/>
    </row>
    <row r="731" spans="1:4" ht="15.75" outlineLevel="1">
      <c r="A731" s="25" t="s">
        <v>1174</v>
      </c>
      <c r="B731" s="26" t="s">
        <v>1132</v>
      </c>
      <c r="C731" s="25">
        <v>5.1130000000000004</v>
      </c>
      <c r="D731" s="96"/>
    </row>
    <row r="732" spans="1:4" ht="15.75" outlineLevel="1">
      <c r="A732" s="25" t="s">
        <v>1174</v>
      </c>
      <c r="B732" s="26" t="s">
        <v>161</v>
      </c>
      <c r="C732" s="25">
        <v>5.117</v>
      </c>
      <c r="D732" s="96"/>
    </row>
    <row r="733" spans="1:4" ht="15.75" outlineLevel="1">
      <c r="A733" s="25" t="s">
        <v>1174</v>
      </c>
      <c r="B733" s="26" t="s">
        <v>162</v>
      </c>
      <c r="C733" s="25">
        <v>5.67</v>
      </c>
      <c r="D733" s="96"/>
    </row>
    <row r="734" spans="1:4" ht="15.75" outlineLevel="1">
      <c r="A734" s="25" t="s">
        <v>1174</v>
      </c>
      <c r="B734" s="26" t="s">
        <v>20</v>
      </c>
      <c r="C734" s="25">
        <v>5.63</v>
      </c>
      <c r="D734" s="96"/>
    </row>
    <row r="735" spans="1:4" ht="15.75" outlineLevel="1">
      <c r="A735" s="25" t="s">
        <v>1174</v>
      </c>
      <c r="B735" s="26" t="s">
        <v>24</v>
      </c>
      <c r="C735" s="25">
        <v>5.47</v>
      </c>
      <c r="D735" s="96"/>
    </row>
    <row r="736" spans="1:4" ht="15.75" outlineLevel="1">
      <c r="A736" s="25" t="s">
        <v>1174</v>
      </c>
      <c r="B736" s="26" t="s">
        <v>25</v>
      </c>
      <c r="C736" s="25">
        <v>5.48</v>
      </c>
      <c r="D736" s="96"/>
    </row>
    <row r="737" spans="1:4" ht="15.75">
      <c r="A737" s="30" t="s">
        <v>1175</v>
      </c>
      <c r="B737" s="26"/>
      <c r="C737" s="25"/>
      <c r="D737" s="96"/>
    </row>
    <row r="738" spans="1:4" ht="15.75" outlineLevel="1">
      <c r="A738" s="25" t="s">
        <v>1076</v>
      </c>
      <c r="B738" s="26" t="s">
        <v>0</v>
      </c>
      <c r="C738" s="25">
        <v>5.0999999999999996</v>
      </c>
      <c r="D738" s="96"/>
    </row>
    <row r="739" spans="1:4" ht="15.75" outlineLevel="1">
      <c r="A739" s="25" t="s">
        <v>1076</v>
      </c>
      <c r="B739" s="26" t="s">
        <v>1</v>
      </c>
      <c r="C739" s="25">
        <v>5.2</v>
      </c>
      <c r="D739" s="96"/>
    </row>
    <row r="740" spans="1:4" ht="15.75" outlineLevel="1">
      <c r="A740" s="25" t="s">
        <v>1076</v>
      </c>
      <c r="B740" s="26" t="s">
        <v>139</v>
      </c>
      <c r="C740" s="25">
        <v>5.18</v>
      </c>
      <c r="D740" s="96"/>
    </row>
    <row r="741" spans="1:4" ht="15.75" outlineLevel="1">
      <c r="A741" s="25" t="s">
        <v>1076</v>
      </c>
      <c r="B741" s="26" t="s">
        <v>140</v>
      </c>
      <c r="C741" s="25">
        <v>5.23</v>
      </c>
      <c r="D741" s="96"/>
    </row>
    <row r="742" spans="1:4" ht="15.75" outlineLevel="1">
      <c r="A742" s="25" t="s">
        <v>1076</v>
      </c>
      <c r="B742" s="26" t="s">
        <v>5</v>
      </c>
      <c r="C742" s="25">
        <v>5.26</v>
      </c>
      <c r="D742" s="96"/>
    </row>
    <row r="743" spans="1:4" ht="15.75" outlineLevel="1">
      <c r="A743" s="25" t="s">
        <v>1076</v>
      </c>
      <c r="B743" s="26" t="s">
        <v>6</v>
      </c>
      <c r="C743" s="25">
        <v>5.27</v>
      </c>
      <c r="D743" s="96"/>
    </row>
    <row r="744" spans="1:4" ht="15.75" outlineLevel="1">
      <c r="A744" s="25" t="s">
        <v>1076</v>
      </c>
      <c r="B744" s="26" t="s">
        <v>7</v>
      </c>
      <c r="C744" s="25">
        <v>5.28</v>
      </c>
      <c r="D744" s="96"/>
    </row>
    <row r="745" spans="1:4" ht="15.75" outlineLevel="1">
      <c r="A745" s="25" t="s">
        <v>1076</v>
      </c>
      <c r="B745" s="26" t="s">
        <v>133</v>
      </c>
      <c r="C745" s="25">
        <v>5.36</v>
      </c>
      <c r="D745" s="96"/>
    </row>
    <row r="746" spans="1:4" ht="15.75" outlineLevel="1">
      <c r="A746" s="25" t="s">
        <v>1076</v>
      </c>
      <c r="B746" s="26" t="s">
        <v>141</v>
      </c>
      <c r="C746" s="25">
        <v>5.44</v>
      </c>
      <c r="D746" s="96"/>
    </row>
    <row r="747" spans="1:4" ht="15.75" outlineLevel="1">
      <c r="A747" s="25" t="s">
        <v>1076</v>
      </c>
      <c r="B747" s="26" t="s">
        <v>11</v>
      </c>
      <c r="C747" s="25">
        <v>5.53</v>
      </c>
      <c r="D747" s="96"/>
    </row>
    <row r="748" spans="1:4" ht="15.75" outlineLevel="1">
      <c r="A748" s="25" t="s">
        <v>1076</v>
      </c>
      <c r="B748" s="26" t="s">
        <v>142</v>
      </c>
      <c r="C748" s="25">
        <v>5.1120000000000001</v>
      </c>
      <c r="D748" s="96"/>
    </row>
    <row r="749" spans="1:4" ht="15.75" outlineLevel="1">
      <c r="A749" s="25" t="s">
        <v>1076</v>
      </c>
      <c r="B749" s="26" t="s">
        <v>143</v>
      </c>
      <c r="C749" s="25">
        <v>5.59</v>
      </c>
      <c r="D749" s="96"/>
    </row>
    <row r="750" spans="1:4" ht="15.75" outlineLevel="1">
      <c r="A750" s="25" t="s">
        <v>1076</v>
      </c>
      <c r="B750" s="26" t="s">
        <v>18</v>
      </c>
      <c r="C750" s="25">
        <v>5.54</v>
      </c>
      <c r="D750" s="96"/>
    </row>
    <row r="751" spans="1:4" ht="15.75" outlineLevel="1">
      <c r="A751" s="25" t="s">
        <v>1076</v>
      </c>
      <c r="B751" s="26" t="s">
        <v>20</v>
      </c>
      <c r="C751" s="25">
        <v>5.63</v>
      </c>
      <c r="D751" s="96"/>
    </row>
    <row r="752" spans="1:4" ht="15.75" outlineLevel="1">
      <c r="A752" s="25" t="s">
        <v>1076</v>
      </c>
      <c r="B752" s="26" t="s">
        <v>21</v>
      </c>
      <c r="C752" s="25">
        <v>5.65</v>
      </c>
      <c r="D752" s="96"/>
    </row>
    <row r="753" spans="1:4" ht="15.75" outlineLevel="1">
      <c r="A753" s="25" t="s">
        <v>1076</v>
      </c>
      <c r="B753" s="26" t="s">
        <v>22</v>
      </c>
      <c r="C753" s="25">
        <v>5.68</v>
      </c>
      <c r="D753" s="96"/>
    </row>
    <row r="754" spans="1:4" ht="15.75" outlineLevel="1">
      <c r="A754" s="25" t="s">
        <v>1076</v>
      </c>
      <c r="B754" s="26" t="s">
        <v>24</v>
      </c>
      <c r="C754" s="25">
        <v>5.47</v>
      </c>
      <c r="D754" s="96"/>
    </row>
    <row r="755" spans="1:4" ht="15.75" outlineLevel="1">
      <c r="A755" s="25" t="s">
        <v>1076</v>
      </c>
      <c r="B755" s="26" t="s">
        <v>25</v>
      </c>
      <c r="C755" s="25">
        <v>5.48</v>
      </c>
      <c r="D755" s="96"/>
    </row>
    <row r="756" spans="1:4" ht="15.75">
      <c r="A756" s="30" t="s">
        <v>1076</v>
      </c>
      <c r="B756" s="26"/>
      <c r="C756" s="25"/>
      <c r="D756" s="96"/>
    </row>
    <row r="757" spans="1:4" ht="15.75" outlineLevel="1">
      <c r="A757" s="25" t="s">
        <v>1176</v>
      </c>
      <c r="B757" s="26" t="s">
        <v>0</v>
      </c>
      <c r="C757" s="25">
        <v>5.0999999999999996</v>
      </c>
      <c r="D757" s="96"/>
    </row>
    <row r="758" spans="1:4" ht="15.75" outlineLevel="1">
      <c r="A758" s="25" t="s">
        <v>1176</v>
      </c>
      <c r="B758" s="26" t="s">
        <v>1</v>
      </c>
      <c r="C758" s="25">
        <v>5.2</v>
      </c>
      <c r="D758" s="96"/>
    </row>
    <row r="759" spans="1:4" ht="15.75" outlineLevel="1">
      <c r="A759" s="25" t="s">
        <v>1176</v>
      </c>
      <c r="B759" s="26" t="s">
        <v>128</v>
      </c>
      <c r="C759" s="25">
        <v>5.9</v>
      </c>
      <c r="D759" s="95" t="s">
        <v>1117</v>
      </c>
    </row>
    <row r="760" spans="1:4" ht="15.75" outlineLevel="1">
      <c r="A760" s="25" t="s">
        <v>1176</v>
      </c>
      <c r="B760" s="26" t="s">
        <v>129</v>
      </c>
      <c r="C760" s="25">
        <v>5.13</v>
      </c>
      <c r="D760" s="96"/>
    </row>
    <row r="761" spans="1:4" ht="15.75" outlineLevel="1">
      <c r="A761" s="25" t="s">
        <v>1176</v>
      </c>
      <c r="B761" s="26" t="s">
        <v>130</v>
      </c>
      <c r="C761" s="25">
        <v>5.16</v>
      </c>
      <c r="D761" s="95" t="s">
        <v>1117</v>
      </c>
    </row>
    <row r="762" spans="1:4" ht="15.75" outlineLevel="1">
      <c r="A762" s="25" t="s">
        <v>1176</v>
      </c>
      <c r="B762" s="26" t="s">
        <v>131</v>
      </c>
      <c r="C762" s="25">
        <v>5.22</v>
      </c>
      <c r="D762" s="95"/>
    </row>
    <row r="763" spans="1:4" ht="15.75" outlineLevel="1">
      <c r="A763" s="25" t="s">
        <v>1176</v>
      </c>
      <c r="B763" s="26" t="s">
        <v>132</v>
      </c>
      <c r="C763" s="25">
        <v>5.42</v>
      </c>
      <c r="D763" s="96"/>
    </row>
    <row r="764" spans="1:4" ht="15.75" outlineLevel="1">
      <c r="A764" s="25" t="s">
        <v>1176</v>
      </c>
      <c r="B764" s="26" t="s">
        <v>6</v>
      </c>
      <c r="C764" s="25">
        <v>5.27</v>
      </c>
      <c r="D764" s="96"/>
    </row>
    <row r="765" spans="1:4" ht="15.75" outlineLevel="1">
      <c r="A765" s="25" t="s">
        <v>1176</v>
      </c>
      <c r="B765" s="26" t="s">
        <v>7</v>
      </c>
      <c r="C765" s="25">
        <v>5.28</v>
      </c>
      <c r="D765" s="95" t="s">
        <v>1117</v>
      </c>
    </row>
    <row r="766" spans="1:4" ht="15.75" outlineLevel="1">
      <c r="A766" s="25" t="s">
        <v>1176</v>
      </c>
      <c r="B766" s="26" t="s">
        <v>133</v>
      </c>
      <c r="C766" s="25">
        <v>5.36</v>
      </c>
      <c r="D766" s="96"/>
    </row>
    <row r="767" spans="1:4" ht="15.75" outlineLevel="1">
      <c r="A767" s="25" t="s">
        <v>1176</v>
      </c>
      <c r="B767" s="26" t="s">
        <v>9</v>
      </c>
      <c r="C767" s="25">
        <v>5.49</v>
      </c>
      <c r="D767" s="96"/>
    </row>
    <row r="768" spans="1:4" ht="15.75" outlineLevel="1">
      <c r="A768" s="25" t="s">
        <v>1176</v>
      </c>
      <c r="B768" s="26" t="s">
        <v>10</v>
      </c>
      <c r="C768" s="25">
        <v>5.51</v>
      </c>
      <c r="D768" s="96"/>
    </row>
    <row r="769" spans="1:4" ht="15.75" outlineLevel="1">
      <c r="A769" s="25" t="s">
        <v>1176</v>
      </c>
      <c r="B769" s="26" t="s">
        <v>1165</v>
      </c>
      <c r="C769" s="25">
        <v>5.52</v>
      </c>
      <c r="D769" s="96"/>
    </row>
    <row r="770" spans="1:4" ht="15.75" outlineLevel="1">
      <c r="A770" s="25" t="s">
        <v>1176</v>
      </c>
      <c r="B770" s="26" t="s">
        <v>11</v>
      </c>
      <c r="C770" s="25">
        <v>5.53</v>
      </c>
      <c r="D770" s="96"/>
    </row>
    <row r="771" spans="1:4" ht="15.75" outlineLevel="1">
      <c r="A771" s="25" t="s">
        <v>1176</v>
      </c>
      <c r="B771" s="26" t="s">
        <v>18</v>
      </c>
      <c r="C771" s="25">
        <v>5.54</v>
      </c>
      <c r="D771" s="96"/>
    </row>
    <row r="772" spans="1:4" ht="15.75" outlineLevel="1">
      <c r="A772" s="25" t="s">
        <v>1176</v>
      </c>
      <c r="B772" s="26" t="s">
        <v>14</v>
      </c>
      <c r="C772" s="27">
        <v>5.7</v>
      </c>
      <c r="D772" s="96"/>
    </row>
    <row r="773" spans="1:4" ht="15.75" outlineLevel="1">
      <c r="A773" s="25" t="s">
        <v>1176</v>
      </c>
      <c r="B773" s="26" t="s">
        <v>135</v>
      </c>
      <c r="C773" s="25">
        <v>5.71</v>
      </c>
      <c r="D773" s="96"/>
    </row>
    <row r="774" spans="1:4" ht="15.75" outlineLevel="1">
      <c r="A774" s="25" t="s">
        <v>1176</v>
      </c>
      <c r="B774" s="26" t="s">
        <v>136</v>
      </c>
      <c r="C774" s="27">
        <v>5.9</v>
      </c>
      <c r="D774" s="96"/>
    </row>
    <row r="775" spans="1:4" ht="15.75" outlineLevel="1">
      <c r="A775" s="25" t="s">
        <v>1176</v>
      </c>
      <c r="B775" s="26" t="s">
        <v>137</v>
      </c>
      <c r="C775" s="25">
        <v>5.91</v>
      </c>
      <c r="D775" s="96"/>
    </row>
    <row r="776" spans="1:4" ht="15.75" outlineLevel="1">
      <c r="A776" s="25" t="s">
        <v>1176</v>
      </c>
      <c r="B776" s="26" t="s">
        <v>138</v>
      </c>
      <c r="C776" s="25">
        <v>5.97</v>
      </c>
      <c r="D776" s="96"/>
    </row>
    <row r="777" spans="1:4" ht="15.75">
      <c r="A777" s="30" t="s">
        <v>1176</v>
      </c>
      <c r="B777" s="26"/>
      <c r="C777" s="25"/>
      <c r="D777" s="96"/>
    </row>
    <row r="778" spans="1:4" ht="31.5" outlineLevel="1">
      <c r="A778" s="25" t="s">
        <v>1111</v>
      </c>
      <c r="B778" s="26" t="s">
        <v>0</v>
      </c>
      <c r="C778" s="25">
        <v>5.0999999999999996</v>
      </c>
      <c r="D778" s="96"/>
    </row>
    <row r="779" spans="1:4" ht="31.5" outlineLevel="1">
      <c r="A779" s="25" t="s">
        <v>1111</v>
      </c>
      <c r="B779" s="26" t="s">
        <v>1</v>
      </c>
      <c r="C779" s="25">
        <v>5.2</v>
      </c>
      <c r="D779" s="96"/>
    </row>
    <row r="780" spans="1:4" ht="31.5" outlineLevel="1">
      <c r="A780" s="25" t="s">
        <v>1111</v>
      </c>
      <c r="B780" s="26" t="s">
        <v>5</v>
      </c>
      <c r="C780" s="25">
        <v>5.26</v>
      </c>
      <c r="D780" s="96"/>
    </row>
    <row r="781" spans="1:4" ht="31.5" outlineLevel="1">
      <c r="A781" s="25" t="s">
        <v>1111</v>
      </c>
      <c r="B781" s="26" t="s">
        <v>207</v>
      </c>
      <c r="C781" s="25">
        <v>5.5</v>
      </c>
      <c r="D781" s="96"/>
    </row>
    <row r="782" spans="1:4" ht="31.5" outlineLevel="1">
      <c r="A782" s="25" t="s">
        <v>1111</v>
      </c>
      <c r="B782" s="26" t="s">
        <v>208</v>
      </c>
      <c r="C782" s="25">
        <v>5.8</v>
      </c>
      <c r="D782" s="95" t="s">
        <v>1117</v>
      </c>
    </row>
    <row r="783" spans="1:4" ht="31.5" outlineLevel="1">
      <c r="A783" s="25" t="s">
        <v>1111</v>
      </c>
      <c r="B783" s="26" t="s">
        <v>209</v>
      </c>
      <c r="C783" s="25">
        <v>5.12</v>
      </c>
      <c r="D783" s="25"/>
    </row>
    <row r="784" spans="1:4" ht="31.5" outlineLevel="1">
      <c r="A784" s="25" t="s">
        <v>1111</v>
      </c>
      <c r="B784" s="26" t="s">
        <v>210</v>
      </c>
      <c r="C784" s="25">
        <v>5.15</v>
      </c>
      <c r="D784" s="25"/>
    </row>
    <row r="785" spans="1:4" ht="31.5" outlineLevel="1">
      <c r="A785" s="25" t="s">
        <v>1111</v>
      </c>
      <c r="B785" s="26" t="s">
        <v>211</v>
      </c>
      <c r="C785" s="27">
        <v>5.2</v>
      </c>
      <c r="D785" s="95"/>
    </row>
    <row r="786" spans="1:4" ht="31.5" outlineLevel="1">
      <c r="A786" s="25" t="s">
        <v>1111</v>
      </c>
      <c r="B786" s="26" t="s">
        <v>212</v>
      </c>
      <c r="C786" s="25">
        <v>5.25</v>
      </c>
      <c r="D786" s="25"/>
    </row>
    <row r="787" spans="1:4" ht="31.5" outlineLevel="1">
      <c r="A787" s="25" t="s">
        <v>1111</v>
      </c>
      <c r="B787" s="26" t="s">
        <v>11</v>
      </c>
      <c r="C787" s="25">
        <v>5.53</v>
      </c>
      <c r="D787" s="25"/>
    </row>
    <row r="788" spans="1:4" ht="31.5" outlineLevel="1">
      <c r="A788" s="25" t="s">
        <v>1111</v>
      </c>
      <c r="B788" s="26" t="s">
        <v>213</v>
      </c>
      <c r="C788" s="27">
        <v>5.4</v>
      </c>
      <c r="D788" s="25"/>
    </row>
    <row r="789" spans="1:4" ht="31.5" outlineLevel="1">
      <c r="A789" s="25" t="s">
        <v>1111</v>
      </c>
      <c r="B789" s="26" t="s">
        <v>214</v>
      </c>
      <c r="C789" s="25">
        <v>5.92</v>
      </c>
      <c r="D789" s="25"/>
    </row>
    <row r="790" spans="1:4" ht="31.5" outlineLevel="1">
      <c r="A790" s="25" t="s">
        <v>1111</v>
      </c>
      <c r="B790" s="26" t="s">
        <v>215</v>
      </c>
      <c r="C790" s="25">
        <v>5.93</v>
      </c>
      <c r="D790" s="25"/>
    </row>
    <row r="791" spans="1:4" ht="31.5" outlineLevel="1">
      <c r="A791" s="25" t="s">
        <v>1111</v>
      </c>
      <c r="B791" s="26" t="s">
        <v>216</v>
      </c>
      <c r="C791" s="25">
        <v>5.94</v>
      </c>
      <c r="D791" s="25"/>
    </row>
    <row r="792" spans="1:4" ht="31.5" outlineLevel="1">
      <c r="A792" s="25" t="s">
        <v>1111</v>
      </c>
      <c r="B792" s="26" t="s">
        <v>217</v>
      </c>
      <c r="C792" s="25">
        <v>5.95</v>
      </c>
      <c r="D792" s="25"/>
    </row>
    <row r="793" spans="1:4" ht="31.5" outlineLevel="1">
      <c r="A793" s="25" t="s">
        <v>1111</v>
      </c>
      <c r="B793" s="26" t="s">
        <v>218</v>
      </c>
      <c r="C793" s="25">
        <v>5.98</v>
      </c>
      <c r="D793" s="25"/>
    </row>
    <row r="794" spans="1:4" ht="31.5" outlineLevel="1">
      <c r="A794" s="25" t="s">
        <v>1111</v>
      </c>
      <c r="B794" s="26" t="s">
        <v>219</v>
      </c>
      <c r="C794" s="25">
        <v>5.96</v>
      </c>
      <c r="D794" s="25"/>
    </row>
    <row r="795" spans="1:4" ht="31.5">
      <c r="A795" s="30" t="s">
        <v>1111</v>
      </c>
      <c r="B795" s="26"/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1186</v>
      </c>
    </row>
    <row r="3" spans="1:2">
      <c r="A3" t="s">
        <v>1187</v>
      </c>
      <c r="B3" t="s">
        <v>1188</v>
      </c>
    </row>
    <row r="4" spans="1:2">
      <c r="A4" t="s">
        <v>194</v>
      </c>
      <c r="B4" t="s">
        <v>1189</v>
      </c>
    </row>
    <row r="5" spans="1:2">
      <c r="A5" t="s">
        <v>1190</v>
      </c>
      <c r="B5" t="s">
        <v>1191</v>
      </c>
    </row>
    <row r="6" spans="1:2">
      <c r="A6" t="s">
        <v>1192</v>
      </c>
      <c r="B6" t="s">
        <v>1193</v>
      </c>
    </row>
    <row r="7" spans="1:2">
      <c r="A7" t="s">
        <v>1194</v>
      </c>
      <c r="B7" t="s">
        <v>1195</v>
      </c>
    </row>
    <row r="8" spans="1:2">
      <c r="A8" t="s">
        <v>1196</v>
      </c>
      <c r="B8" t="s">
        <v>1197</v>
      </c>
    </row>
    <row r="10" spans="1:2" ht="15">
      <c r="A10" s="16" t="s">
        <v>1198</v>
      </c>
    </row>
    <row r="11" spans="1:2">
      <c r="A11" t="s">
        <v>1199</v>
      </c>
    </row>
    <row r="12" spans="1:2">
      <c r="A12" t="s">
        <v>1200</v>
      </c>
      <c r="B12" t="s">
        <v>1201</v>
      </c>
    </row>
    <row r="14" spans="1:2">
      <c r="A14" s="24"/>
    </row>
    <row r="15" spans="1:2" ht="15">
      <c r="A15" s="16" t="s">
        <v>1202</v>
      </c>
    </row>
    <row r="16" spans="1:2">
      <c r="A16" s="22" t="s">
        <v>1203</v>
      </c>
    </row>
    <row r="17" spans="1:2">
      <c r="A17" s="22" t="s">
        <v>1204</v>
      </c>
    </row>
    <row r="18" spans="1:2">
      <c r="A18" s="22" t="s">
        <v>1205</v>
      </c>
    </row>
    <row r="19" spans="1:2">
      <c r="A19" s="22" t="s">
        <v>1206</v>
      </c>
    </row>
    <row r="21" spans="1:2" ht="15">
      <c r="A21" s="23" t="s">
        <v>1207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1208</v>
      </c>
      <c r="B34" s="16" t="s">
        <v>326</v>
      </c>
    </row>
    <row r="35" spans="1:2">
      <c r="A35" s="8" t="s">
        <v>1209</v>
      </c>
      <c r="B35" s="29">
        <v>512310509</v>
      </c>
    </row>
    <row r="36" spans="1:2">
      <c r="A36" t="s">
        <v>1210</v>
      </c>
      <c r="B36" s="29">
        <v>513910703</v>
      </c>
    </row>
    <row r="37" spans="1:2">
      <c r="A37" t="s">
        <v>1211</v>
      </c>
      <c r="B37" s="29">
        <v>512304882</v>
      </c>
    </row>
    <row r="38" spans="1:2">
      <c r="A38" t="s">
        <v>1212</v>
      </c>
      <c r="B38" s="29">
        <v>520030677</v>
      </c>
    </row>
    <row r="39" spans="1:2">
      <c r="A39" t="s">
        <v>1213</v>
      </c>
      <c r="B39" s="29">
        <v>513621110</v>
      </c>
    </row>
    <row r="40" spans="1:2">
      <c r="A40" t="s">
        <v>1214</v>
      </c>
      <c r="B40" s="8">
        <v>513173393</v>
      </c>
    </row>
    <row r="41" spans="1:2">
      <c r="A41" t="s">
        <v>1215</v>
      </c>
      <c r="B41" s="8">
        <v>511880460</v>
      </c>
    </row>
    <row r="42" spans="1:2">
      <c r="A42" t="s">
        <v>1216</v>
      </c>
      <c r="B42" s="8">
        <v>510773922</v>
      </c>
    </row>
    <row r="43" spans="1:2">
      <c r="A43" t="s">
        <v>1217</v>
      </c>
      <c r="B43">
        <v>520021916</v>
      </c>
    </row>
    <row r="44" spans="1:2">
      <c r="A44" t="s">
        <v>1218</v>
      </c>
      <c r="B44">
        <v>520044025</v>
      </c>
    </row>
    <row r="45" spans="1:2">
      <c r="A45" t="s">
        <v>1219</v>
      </c>
      <c r="B45">
        <v>570003152</v>
      </c>
    </row>
    <row r="46" spans="1:2">
      <c r="A46" t="s">
        <v>1220</v>
      </c>
      <c r="B46" s="8">
        <v>520023094</v>
      </c>
    </row>
    <row r="47" spans="1:2">
      <c r="A47" t="s">
        <v>1221</v>
      </c>
      <c r="B47" s="8">
        <v>512711409</v>
      </c>
    </row>
    <row r="48" spans="1:2">
      <c r="A48" t="s">
        <v>1222</v>
      </c>
      <c r="B48">
        <v>515859379</v>
      </c>
    </row>
    <row r="49" spans="1:2">
      <c r="A49" t="s">
        <v>1223</v>
      </c>
      <c r="B49" s="8">
        <v>520030990</v>
      </c>
    </row>
    <row r="50" spans="1:2">
      <c r="A50" t="s">
        <v>1224</v>
      </c>
      <c r="B50" s="8">
        <v>520028812</v>
      </c>
    </row>
    <row r="51" spans="1:2">
      <c r="A51" t="s">
        <v>1225</v>
      </c>
      <c r="B51" s="8">
        <v>520034968</v>
      </c>
    </row>
    <row r="52" spans="1:2">
      <c r="A52" t="s">
        <v>1226</v>
      </c>
      <c r="B52" s="8">
        <v>520031824</v>
      </c>
    </row>
    <row r="53" spans="1:2">
      <c r="A53" t="s">
        <v>1227</v>
      </c>
      <c r="B53" s="8">
        <v>520005497</v>
      </c>
    </row>
    <row r="54" spans="1:2">
      <c r="A54" t="s">
        <v>1228</v>
      </c>
      <c r="B54" s="8">
        <v>520022518</v>
      </c>
    </row>
    <row r="55" spans="1:2">
      <c r="A55" t="s">
        <v>1229</v>
      </c>
      <c r="B55" s="8">
        <v>520028556</v>
      </c>
    </row>
    <row r="56" spans="1:2">
      <c r="A56" t="s">
        <v>1230</v>
      </c>
      <c r="B56" s="8">
        <v>520032269</v>
      </c>
    </row>
    <row r="57" spans="1:2">
      <c r="A57" t="s">
        <v>1231</v>
      </c>
      <c r="B57" s="8">
        <v>520027954</v>
      </c>
    </row>
    <row r="58" spans="1:2">
      <c r="A58" t="s">
        <v>1232</v>
      </c>
      <c r="B58">
        <v>520029620</v>
      </c>
    </row>
    <row r="59" spans="1:2">
      <c r="A59" t="s">
        <v>1233</v>
      </c>
      <c r="B59" s="8">
        <v>520028861</v>
      </c>
    </row>
    <row r="60" spans="1:2">
      <c r="A60" t="s">
        <v>1234</v>
      </c>
      <c r="B60" s="8">
        <v>520030743</v>
      </c>
    </row>
    <row r="61" spans="1:2">
      <c r="A61" t="s">
        <v>1235</v>
      </c>
      <c r="B61">
        <v>520042177</v>
      </c>
    </row>
    <row r="62" spans="1:2">
      <c r="A62" t="s">
        <v>1236</v>
      </c>
      <c r="B62" s="8">
        <v>515447035</v>
      </c>
    </row>
    <row r="63" spans="1:2">
      <c r="A63" t="s">
        <v>1237</v>
      </c>
      <c r="B63" s="8">
        <v>520042607</v>
      </c>
    </row>
    <row r="64" spans="1:2">
      <c r="A64" t="s">
        <v>1238</v>
      </c>
      <c r="B64" s="8">
        <v>513026484</v>
      </c>
    </row>
    <row r="65" spans="1:2">
      <c r="A65" t="s">
        <v>1239</v>
      </c>
      <c r="B65">
        <v>520023185</v>
      </c>
    </row>
    <row r="66" spans="1:2">
      <c r="A66" t="s">
        <v>1240</v>
      </c>
      <c r="B66">
        <v>520004078</v>
      </c>
    </row>
    <row r="67" spans="1:2">
      <c r="A67" t="s">
        <v>1241</v>
      </c>
      <c r="B67" s="8">
        <v>512267592</v>
      </c>
    </row>
    <row r="68" spans="1:2">
      <c r="A68" t="s">
        <v>1242</v>
      </c>
      <c r="B68">
        <v>515764868</v>
      </c>
    </row>
    <row r="69" spans="1:2">
      <c r="A69" t="s">
        <v>1243</v>
      </c>
      <c r="B69" s="8">
        <v>513452003</v>
      </c>
    </row>
    <row r="70" spans="1:2">
      <c r="A70" t="s">
        <v>1244</v>
      </c>
      <c r="B70" s="8">
        <v>510142789</v>
      </c>
    </row>
    <row r="71" spans="1:2">
      <c r="A71" t="s">
        <v>1245</v>
      </c>
      <c r="B71" s="8">
        <v>510960586</v>
      </c>
    </row>
    <row r="72" spans="1:2">
      <c r="A72" t="s">
        <v>1246</v>
      </c>
      <c r="B72" s="8">
        <v>510930670</v>
      </c>
    </row>
    <row r="73" spans="1:2">
      <c r="A73" t="s">
        <v>1247</v>
      </c>
      <c r="B73" s="8">
        <v>510927536</v>
      </c>
    </row>
    <row r="74" spans="1:2">
      <c r="A74" t="s">
        <v>1248</v>
      </c>
      <c r="B74" s="8">
        <v>510930654</v>
      </c>
    </row>
    <row r="75" spans="1:2">
      <c r="A75" t="s">
        <v>1249</v>
      </c>
      <c r="B75" s="8">
        <v>520032566</v>
      </c>
    </row>
    <row r="76" spans="1:2">
      <c r="A76" t="s">
        <v>1250</v>
      </c>
      <c r="B76" s="8">
        <v>513611509</v>
      </c>
    </row>
    <row r="77" spans="1:2">
      <c r="A77" t="s">
        <v>1251</v>
      </c>
      <c r="B77">
        <v>510888985</v>
      </c>
    </row>
    <row r="78" spans="1:2">
      <c r="A78" t="s">
        <v>1252</v>
      </c>
      <c r="B78">
        <v>520024647</v>
      </c>
    </row>
    <row r="79" spans="1:2">
      <c r="A79" t="s">
        <v>1253</v>
      </c>
      <c r="B79" s="8">
        <v>512244146</v>
      </c>
    </row>
    <row r="80" spans="1:2">
      <c r="A80" t="s">
        <v>1254</v>
      </c>
      <c r="B80" s="8">
        <v>510694821</v>
      </c>
    </row>
    <row r="81" spans="1:2">
      <c r="A81" t="s">
        <v>1255</v>
      </c>
      <c r="B81">
        <v>515761625</v>
      </c>
    </row>
    <row r="82" spans="1:2">
      <c r="A82" t="s">
        <v>1256</v>
      </c>
      <c r="B82" s="8">
        <v>511423048</v>
      </c>
    </row>
    <row r="83" spans="1:2">
      <c r="A83" t="s">
        <v>1257</v>
      </c>
      <c r="B83" s="8">
        <v>520019688</v>
      </c>
    </row>
    <row r="84" spans="1:2">
      <c r="A84" t="s">
        <v>1258</v>
      </c>
      <c r="B84">
        <v>520004896</v>
      </c>
    </row>
    <row r="85" spans="1:2">
      <c r="A85" t="s">
        <v>1259</v>
      </c>
      <c r="B85" s="8">
        <v>512237744</v>
      </c>
    </row>
    <row r="86" spans="1:2">
      <c r="A86" t="s">
        <v>1260</v>
      </c>
      <c r="B86" s="8">
        <v>514956465</v>
      </c>
    </row>
    <row r="87" spans="1:2">
      <c r="A87" t="s">
        <v>1261</v>
      </c>
      <c r="B87" s="8">
        <v>512362914</v>
      </c>
    </row>
    <row r="88" spans="1:2">
      <c r="A88" t="s">
        <v>1262</v>
      </c>
      <c r="B88" s="8">
        <v>520042615</v>
      </c>
    </row>
    <row r="89" spans="1:2">
      <c r="A89" t="s">
        <v>1263</v>
      </c>
      <c r="B89" s="8">
        <v>512065202</v>
      </c>
    </row>
    <row r="90" spans="1:2">
      <c r="A90" t="s">
        <v>1264</v>
      </c>
      <c r="B90">
        <v>520042540</v>
      </c>
    </row>
    <row r="91" spans="1:2">
      <c r="A91" t="s">
        <v>1265</v>
      </c>
      <c r="B91" s="8">
        <v>520027715</v>
      </c>
    </row>
    <row r="92" spans="1:2">
      <c r="A92" t="s">
        <v>1266</v>
      </c>
      <c r="B92" s="8">
        <v>512245812</v>
      </c>
    </row>
    <row r="93" spans="1:2">
      <c r="A93" t="s">
        <v>1267</v>
      </c>
      <c r="B93" s="8">
        <v>520022351</v>
      </c>
    </row>
    <row r="94" spans="1:2">
      <c r="A94" t="s">
        <v>1268</v>
      </c>
      <c r="B94" s="8">
        <v>514767490</v>
      </c>
    </row>
    <row r="95" spans="1:2">
      <c r="A95" t="s">
        <v>1269</v>
      </c>
      <c r="B95" s="8">
        <v>520024985</v>
      </c>
    </row>
    <row r="96" spans="1:2">
      <c r="A96" t="s">
        <v>1270</v>
      </c>
      <c r="B96" s="8">
        <v>520042573</v>
      </c>
    </row>
    <row r="97" spans="1:2">
      <c r="A97" t="s">
        <v>1271</v>
      </c>
      <c r="B97" s="8">
        <v>570009449</v>
      </c>
    </row>
    <row r="98" spans="1:2">
      <c r="A98" t="s">
        <v>1272</v>
      </c>
      <c r="B98" s="8">
        <v>520031659</v>
      </c>
    </row>
    <row r="99" spans="1:2">
      <c r="A99" t="s">
        <v>1273</v>
      </c>
      <c r="B99" s="8">
        <v>520042581</v>
      </c>
    </row>
    <row r="100" spans="1:2">
      <c r="A100" t="s">
        <v>1274</v>
      </c>
      <c r="B100">
        <v>520031030</v>
      </c>
    </row>
    <row r="101" spans="1:2">
      <c r="A101" t="s">
        <v>1275</v>
      </c>
      <c r="B101" s="8">
        <v>520030941</v>
      </c>
    </row>
    <row r="102" spans="1:2">
      <c r="A102" t="s">
        <v>1276</v>
      </c>
      <c r="B102" s="8">
        <v>512008335</v>
      </c>
    </row>
    <row r="103" spans="1:2">
      <c r="A103" t="s">
        <v>1277</v>
      </c>
      <c r="B103" s="8">
        <v>520022963</v>
      </c>
    </row>
    <row r="104" spans="1:2">
      <c r="A104" t="s">
        <v>1278</v>
      </c>
      <c r="B104" s="8">
        <v>570011767</v>
      </c>
    </row>
    <row r="105" spans="1:2">
      <c r="A105" t="s">
        <v>1279</v>
      </c>
      <c r="B105" s="8">
        <v>570014928</v>
      </c>
    </row>
    <row r="106" spans="1:2">
      <c r="A106" t="s">
        <v>1280</v>
      </c>
      <c r="B106" s="8">
        <v>570005959</v>
      </c>
    </row>
    <row r="107" spans="1:2">
      <c r="A107" t="s">
        <v>1281</v>
      </c>
      <c r="B107" s="8">
        <v>510800402</v>
      </c>
    </row>
    <row r="108" spans="1:2">
      <c r="A108" t="s">
        <v>1282</v>
      </c>
      <c r="B108" s="8">
        <v>570007476</v>
      </c>
    </row>
    <row r="109" spans="1:2">
      <c r="A109" t="s">
        <v>1283</v>
      </c>
      <c r="B109" s="8">
        <v>570005850</v>
      </c>
    </row>
    <row r="110" spans="1:2">
      <c r="A110" t="s">
        <v>1284</v>
      </c>
      <c r="B110" s="8">
        <v>520020504</v>
      </c>
    </row>
    <row r="111" spans="1:2">
      <c r="A111" t="s">
        <v>1285</v>
      </c>
      <c r="B111" s="8">
        <v>520020447</v>
      </c>
    </row>
    <row r="112" spans="1:2">
      <c r="A112" t="s">
        <v>1286</v>
      </c>
      <c r="B112" s="8">
        <v>511033060</v>
      </c>
    </row>
    <row r="113" spans="1:2">
      <c r="A113" t="s">
        <v>1287</v>
      </c>
      <c r="B113">
        <v>520027848</v>
      </c>
    </row>
    <row r="114" spans="1:2">
      <c r="A114" t="s">
        <v>1288</v>
      </c>
      <c r="B114" s="8">
        <v>570009852</v>
      </c>
    </row>
    <row r="115" spans="1:2">
      <c r="A115" t="s">
        <v>1289</v>
      </c>
      <c r="B115" s="8">
        <v>520027251</v>
      </c>
    </row>
    <row r="116" spans="1:2">
      <c r="A116" t="s">
        <v>1290</v>
      </c>
      <c r="B116" s="8">
        <v>520028390</v>
      </c>
    </row>
    <row r="117" spans="1:2">
      <c r="A117" t="s">
        <v>1291</v>
      </c>
      <c r="B117" s="8">
        <v>510806870</v>
      </c>
    </row>
    <row r="118" spans="1:2">
      <c r="A118" t="s">
        <v>1292</v>
      </c>
      <c r="B118">
        <v>513879189</v>
      </c>
    </row>
    <row r="119" spans="1:2">
      <c r="A119" t="s">
        <v>1293</v>
      </c>
      <c r="B119">
        <v>510015951</v>
      </c>
    </row>
    <row r="120" spans="1:2">
      <c r="A120" t="s">
        <v>1294</v>
      </c>
      <c r="B120" s="8">
        <v>520030693</v>
      </c>
    </row>
    <row r="121" spans="1:2">
      <c r="A121" t="s">
        <v>1295</v>
      </c>
      <c r="B121" s="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2025-09-17T12:23:16Z</dcterms:modified>
</cp:coreProperties>
</file>